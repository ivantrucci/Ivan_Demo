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SourceTree\fa_ifrs9\irm\tools\"/>
    </mc:Choice>
  </mc:AlternateContent>
  <xr:revisionPtr revIDLastSave="0" documentId="13_ncr:1_{8A9C69E9-0697-4846-B130-4BF916F481E0}" xr6:coauthVersionLast="41" xr6:coauthVersionMax="41" xr10:uidLastSave="{00000000-0000-0000-0000-000000000000}"/>
  <bookViews>
    <workbookView xWindow="-108" yWindow="-108" windowWidth="23256" windowHeight="12576" xr2:uid="{00000000-000D-0000-FFFF-FFFF00000000}"/>
  </bookViews>
  <sheets>
    <sheet name="Data" sheetId="1" r:id="rId1"/>
    <sheet name="Tables" sheetId="4" state="hidden" r:id="rId2"/>
    <sheet name="Checks" sheetId="3" r:id="rId3"/>
    <sheet name="Report" sheetId="2" r:id="rId4"/>
  </sheets>
  <functionGroups builtInGroupCount="19"/>
  <definedNames>
    <definedName name="_AMO_UniqueIdentifier" hidden="1">"'915f4f34-a166-42cf-9970-0f1dc06619fd'"</definedName>
    <definedName name="_xlnm._FilterDatabase" localSheetId="2" hidden="1">Checks!$A$4:$AC$5</definedName>
    <definedName name="_xlnm._FilterDatabase" localSheetId="0" hidden="1">Data!$A$4:$CA$217</definedName>
    <definedName name="_xlnm._FilterDatabase" localSheetId="3" hidden="1">Report!$A$1:$C$1437</definedName>
    <definedName name="AvailableObjects">Tables!$B$3:$B$7</definedName>
    <definedName name="Check">OFFSET(Checks!$L$5,0,0,ItemsCount,1)</definedName>
    <definedName name="Data">OFFSET(Data!$A$5,0,0,ItemsCount,COLUMNS(Header))</definedName>
    <definedName name="FA_folder">Data!$CE$1</definedName>
    <definedName name="globalCheck">Data!$CD$3</definedName>
    <definedName name="globalCheckTxt">Data!$CE$3</definedName>
    <definedName name="GlobalWarning">Data!$CD$2</definedName>
    <definedName name="GlobalWarningText">Data!$CE$2</definedName>
    <definedName name="Header">Data!$A$4:$CE$4</definedName>
    <definedName name="IRM34_FLAG">Data!$CU$1</definedName>
    <definedName name="ItemsCount">Data!$CJ$3</definedName>
    <definedName name="JobflowFolder">Data!$CJ$2</definedName>
    <definedName name="Key">OFFSET(Checks!$A$5,0,0,ItemsCount,1)</definedName>
    <definedName name="NodeFolder">Data!$CJ$1</definedName>
    <definedName name="Warning">OFFSET(Checks!$E$5,0,0,ItemsCount,1)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" i="3" l="1"/>
  <c r="C6" i="3"/>
  <c r="F6" i="3"/>
  <c r="G6" i="3"/>
  <c r="N6" i="3"/>
  <c r="O6" i="3"/>
  <c r="P6" i="3"/>
  <c r="R6" i="3"/>
  <c r="S6" i="3"/>
  <c r="T6" i="3"/>
  <c r="V6" i="3"/>
  <c r="W6" i="3"/>
  <c r="X6" i="3" a="1"/>
  <c r="X6" i="3" s="1"/>
  <c r="Y6" i="3" a="1"/>
  <c r="Y6" i="3" s="1"/>
  <c r="Z6" i="3" a="1"/>
  <c r="Z6" i="3" s="1"/>
  <c r="AA6" i="3"/>
  <c r="AB6" i="3"/>
  <c r="AC6" i="3"/>
  <c r="A7" i="3"/>
  <c r="C7" i="3"/>
  <c r="F7" i="3"/>
  <c r="G7" i="3"/>
  <c r="V7" i="3"/>
  <c r="X7" i="3" a="1"/>
  <c r="X7" i="3" s="1"/>
  <c r="Y7" i="3" a="1"/>
  <c r="Y7" i="3" s="1"/>
  <c r="Z7" i="3" a="1"/>
  <c r="Z7" i="3" s="1"/>
  <c r="AA7" i="3"/>
  <c r="A8" i="3"/>
  <c r="C8" i="3"/>
  <c r="F8" i="3"/>
  <c r="G8" i="3"/>
  <c r="N8" i="3"/>
  <c r="P8" i="3"/>
  <c r="R8" i="3"/>
  <c r="V8" i="3"/>
  <c r="X8" i="3" a="1"/>
  <c r="X8" i="3" s="1"/>
  <c r="Y8" i="3" a="1"/>
  <c r="Y8" i="3" s="1"/>
  <c r="Z8" i="3" a="1"/>
  <c r="Z8" i="3" s="1"/>
  <c r="AA8" i="3"/>
  <c r="AC8" i="3"/>
  <c r="A9" i="3"/>
  <c r="C9" i="3"/>
  <c r="F9" i="3"/>
  <c r="G9" i="3"/>
  <c r="N9" i="3"/>
  <c r="P9" i="3"/>
  <c r="R9" i="3"/>
  <c r="T9" i="3"/>
  <c r="V9" i="3"/>
  <c r="X9" i="3" a="1"/>
  <c r="X9" i="3" s="1"/>
  <c r="Y9" i="3" a="1"/>
  <c r="Y9" i="3" s="1"/>
  <c r="Z9" i="3" a="1"/>
  <c r="Z9" i="3" s="1"/>
  <c r="AA9" i="3"/>
  <c r="AC9" i="3"/>
  <c r="A10" i="3"/>
  <c r="C10" i="3"/>
  <c r="O10" i="3" s="1"/>
  <c r="F10" i="3"/>
  <c r="G10" i="3"/>
  <c r="N10" i="3"/>
  <c r="P10" i="3"/>
  <c r="R10" i="3"/>
  <c r="S10" i="3"/>
  <c r="V10" i="3"/>
  <c r="W10" i="3"/>
  <c r="X10" i="3" a="1"/>
  <c r="X10" i="3" s="1"/>
  <c r="Y10" i="3" a="1"/>
  <c r="Y10" i="3" s="1"/>
  <c r="Z10" i="3" a="1"/>
  <c r="Z10" i="3" s="1"/>
  <c r="AA10" i="3"/>
  <c r="AC10" i="3"/>
  <c r="A11" i="3"/>
  <c r="C11" i="3"/>
  <c r="F11" i="3"/>
  <c r="G11" i="3"/>
  <c r="P11" i="3"/>
  <c r="Q11" i="3"/>
  <c r="U11" i="3"/>
  <c r="V11" i="3"/>
  <c r="X11" i="3" a="1"/>
  <c r="X11" i="3" s="1"/>
  <c r="Y11" i="3" a="1"/>
  <c r="Y11" i="3" s="1"/>
  <c r="Z11" i="3" a="1"/>
  <c r="Z11" i="3" s="1"/>
  <c r="AC11" i="3"/>
  <c r="A12" i="3"/>
  <c r="C12" i="3"/>
  <c r="F12" i="3"/>
  <c r="G12" i="3"/>
  <c r="N12" i="3"/>
  <c r="O12" i="3"/>
  <c r="P12" i="3"/>
  <c r="R12" i="3"/>
  <c r="S12" i="3"/>
  <c r="T12" i="3"/>
  <c r="V12" i="3"/>
  <c r="W12" i="3"/>
  <c r="X12" i="3" a="1"/>
  <c r="X12" i="3" s="1"/>
  <c r="Y12" i="3" a="1"/>
  <c r="Y12" i="3" s="1"/>
  <c r="Z12" i="3" a="1"/>
  <c r="Z12" i="3" s="1"/>
  <c r="AA12" i="3"/>
  <c r="AB12" i="3"/>
  <c r="AC12" i="3"/>
  <c r="A13" i="3"/>
  <c r="C13" i="3"/>
  <c r="F13" i="3"/>
  <c r="G13" i="3"/>
  <c r="N13" i="3"/>
  <c r="P13" i="3"/>
  <c r="Q13" i="3"/>
  <c r="T13" i="3"/>
  <c r="U13" i="3"/>
  <c r="V13" i="3"/>
  <c r="X13" i="3" a="1"/>
  <c r="X13" i="3" s="1"/>
  <c r="Y13" i="3" a="1"/>
  <c r="Y13" i="3" s="1"/>
  <c r="Z13" i="3" a="1"/>
  <c r="Z13" i="3" s="1"/>
  <c r="AA13" i="3"/>
  <c r="AC13" i="3"/>
  <c r="A14" i="3"/>
  <c r="C14" i="3"/>
  <c r="F14" i="3"/>
  <c r="G14" i="3"/>
  <c r="N14" i="3"/>
  <c r="O14" i="3"/>
  <c r="S14" i="3"/>
  <c r="T14" i="3"/>
  <c r="X14" i="3" a="1"/>
  <c r="X14" i="3" s="1"/>
  <c r="Y14" i="3" a="1"/>
  <c r="Y14" i="3" s="1"/>
  <c r="Z14" i="3" a="1"/>
  <c r="Z14" i="3" s="1"/>
  <c r="AA14" i="3"/>
  <c r="AB14" i="3"/>
  <c r="A15" i="3"/>
  <c r="C15" i="3"/>
  <c r="F15" i="3"/>
  <c r="G15" i="3"/>
  <c r="M15" i="3"/>
  <c r="Q15" i="3"/>
  <c r="R15" i="3"/>
  <c r="V15" i="3"/>
  <c r="X15" i="3" a="1"/>
  <c r="X15" i="3" s="1"/>
  <c r="Y15" i="3" a="1"/>
  <c r="Y15" i="3" s="1"/>
  <c r="Z15" i="3" a="1"/>
  <c r="Z15" i="3" s="1"/>
  <c r="A16" i="3"/>
  <c r="C16" i="3"/>
  <c r="F16" i="3"/>
  <c r="G16" i="3"/>
  <c r="N16" i="3"/>
  <c r="S16" i="3"/>
  <c r="X16" i="3" a="1"/>
  <c r="X16" i="3" s="1"/>
  <c r="Y16" i="3" a="1"/>
  <c r="Y16" i="3" s="1"/>
  <c r="Z16" i="3" a="1"/>
  <c r="Z16" i="3" s="1"/>
  <c r="AA16" i="3"/>
  <c r="A17" i="3"/>
  <c r="C17" i="3"/>
  <c r="F17" i="3"/>
  <c r="G17" i="3"/>
  <c r="Q17" i="3"/>
  <c r="V17" i="3"/>
  <c r="X17" i="3" a="1"/>
  <c r="X17" i="3" s="1"/>
  <c r="Y17" i="3" a="1"/>
  <c r="Y17" i="3" s="1"/>
  <c r="Z17" i="3" a="1"/>
  <c r="Z17" i="3" s="1"/>
  <c r="A18" i="3"/>
  <c r="U21" i="3" s="1"/>
  <c r="C18" i="3"/>
  <c r="O18" i="3" s="1"/>
  <c r="F18" i="3"/>
  <c r="G18" i="3"/>
  <c r="N18" i="3"/>
  <c r="P18" i="3"/>
  <c r="R18" i="3"/>
  <c r="S18" i="3"/>
  <c r="V18" i="3"/>
  <c r="W18" i="3"/>
  <c r="X18" i="3" a="1"/>
  <c r="X18" i="3" s="1"/>
  <c r="Y18" i="3" a="1"/>
  <c r="Y18" i="3" s="1"/>
  <c r="Z18" i="3" a="1"/>
  <c r="Z18" i="3" s="1"/>
  <c r="AA18" i="3"/>
  <c r="AC18" i="3"/>
  <c r="A19" i="3"/>
  <c r="C19" i="3"/>
  <c r="F19" i="3"/>
  <c r="G19" i="3"/>
  <c r="P19" i="3"/>
  <c r="Q19" i="3"/>
  <c r="U19" i="3"/>
  <c r="V19" i="3"/>
  <c r="X19" i="3" a="1"/>
  <c r="X19" i="3" s="1"/>
  <c r="Y19" i="3" a="1"/>
  <c r="Y19" i="3" s="1"/>
  <c r="Z19" i="3" a="1"/>
  <c r="Z19" i="3" s="1"/>
  <c r="AC19" i="3"/>
  <c r="A20" i="3"/>
  <c r="C20" i="3"/>
  <c r="F20" i="3"/>
  <c r="G20" i="3"/>
  <c r="N20" i="3"/>
  <c r="O20" i="3"/>
  <c r="P20" i="3"/>
  <c r="R20" i="3"/>
  <c r="S20" i="3"/>
  <c r="T20" i="3"/>
  <c r="V20" i="3"/>
  <c r="W20" i="3"/>
  <c r="X20" i="3" a="1"/>
  <c r="X20" i="3" s="1"/>
  <c r="Y20" i="3" a="1"/>
  <c r="Y20" i="3" s="1"/>
  <c r="Z20" i="3" a="1"/>
  <c r="Z20" i="3" s="1"/>
  <c r="AA20" i="3"/>
  <c r="AB20" i="3"/>
  <c r="AC20" i="3"/>
  <c r="A21" i="3"/>
  <c r="C21" i="3"/>
  <c r="F21" i="3"/>
  <c r="G21" i="3"/>
  <c r="N21" i="3"/>
  <c r="P21" i="3"/>
  <c r="Q21" i="3"/>
  <c r="T21" i="3"/>
  <c r="V21" i="3"/>
  <c r="X21" i="3" a="1"/>
  <c r="X21" i="3" s="1"/>
  <c r="Y21" i="3" a="1"/>
  <c r="Y21" i="3" s="1"/>
  <c r="Z21" i="3" a="1"/>
  <c r="Z21" i="3" s="1"/>
  <c r="AA21" i="3"/>
  <c r="AC21" i="3"/>
  <c r="A22" i="3"/>
  <c r="C22" i="3"/>
  <c r="F22" i="3"/>
  <c r="G22" i="3"/>
  <c r="N22" i="3"/>
  <c r="O22" i="3"/>
  <c r="P22" i="3"/>
  <c r="R22" i="3"/>
  <c r="S22" i="3"/>
  <c r="T22" i="3"/>
  <c r="V22" i="3"/>
  <c r="W22" i="3"/>
  <c r="X22" i="3" a="1"/>
  <c r="X22" i="3" s="1"/>
  <c r="Y22" i="3" a="1"/>
  <c r="Y22" i="3" s="1"/>
  <c r="Z22" i="3" a="1"/>
  <c r="Z22" i="3" s="1"/>
  <c r="AA22" i="3"/>
  <c r="AB22" i="3"/>
  <c r="AC22" i="3"/>
  <c r="A23" i="3"/>
  <c r="C23" i="3"/>
  <c r="F23" i="3"/>
  <c r="G23" i="3"/>
  <c r="M23" i="3"/>
  <c r="N23" i="3"/>
  <c r="P23" i="3"/>
  <c r="Q23" i="3"/>
  <c r="R23" i="3"/>
  <c r="T23" i="3"/>
  <c r="U23" i="3"/>
  <c r="V23" i="3"/>
  <c r="X23" i="3" a="1"/>
  <c r="X23" i="3" s="1"/>
  <c r="Y23" i="3" a="1"/>
  <c r="Y23" i="3" s="1"/>
  <c r="Z23" i="3" a="1"/>
  <c r="Z23" i="3" s="1"/>
  <c r="AA23" i="3"/>
  <c r="AC23" i="3"/>
  <c r="A24" i="3"/>
  <c r="C24" i="3"/>
  <c r="F24" i="3"/>
  <c r="G24" i="3"/>
  <c r="N24" i="3"/>
  <c r="S24" i="3"/>
  <c r="X24" i="3" a="1"/>
  <c r="X24" i="3" s="1"/>
  <c r="Y24" i="3" a="1"/>
  <c r="Y24" i="3" s="1"/>
  <c r="Z24" i="3" a="1"/>
  <c r="Z24" i="3" s="1"/>
  <c r="AA24" i="3"/>
  <c r="A25" i="3"/>
  <c r="C25" i="3"/>
  <c r="F25" i="3"/>
  <c r="G25" i="3"/>
  <c r="Q25" i="3"/>
  <c r="V25" i="3"/>
  <c r="X25" i="3" a="1"/>
  <c r="X25" i="3" s="1"/>
  <c r="Y25" i="3" a="1"/>
  <c r="Y25" i="3" s="1"/>
  <c r="Z25" i="3" a="1"/>
  <c r="Z25" i="3" s="1"/>
  <c r="A26" i="3"/>
  <c r="C26" i="3"/>
  <c r="P26" i="3" s="1"/>
  <c r="F26" i="3"/>
  <c r="G26" i="3"/>
  <c r="N26" i="3"/>
  <c r="O26" i="3"/>
  <c r="R26" i="3"/>
  <c r="S26" i="3"/>
  <c r="T26" i="3"/>
  <c r="W26" i="3"/>
  <c r="X26" i="3" a="1"/>
  <c r="X26" i="3" s="1"/>
  <c r="Y26" i="3" a="1"/>
  <c r="Y26" i="3" s="1"/>
  <c r="Z26" i="3" a="1"/>
  <c r="Z26" i="3" s="1"/>
  <c r="AA26" i="3"/>
  <c r="AB26" i="3"/>
  <c r="A27" i="3"/>
  <c r="C27" i="3"/>
  <c r="F27" i="3"/>
  <c r="G27" i="3"/>
  <c r="P27" i="3"/>
  <c r="Q27" i="3"/>
  <c r="U27" i="3"/>
  <c r="V27" i="3"/>
  <c r="X27" i="3" a="1"/>
  <c r="X27" i="3" s="1"/>
  <c r="Y27" i="3" a="1"/>
  <c r="Y27" i="3" s="1"/>
  <c r="Z27" i="3" a="1"/>
  <c r="Z27" i="3" s="1"/>
  <c r="AC27" i="3"/>
  <c r="A28" i="3"/>
  <c r="C28" i="3"/>
  <c r="O28" i="3" s="1"/>
  <c r="F28" i="3"/>
  <c r="G28" i="3"/>
  <c r="N28" i="3"/>
  <c r="P28" i="3"/>
  <c r="S28" i="3"/>
  <c r="V28" i="3"/>
  <c r="X28" i="3" a="1"/>
  <c r="X28" i="3" s="1"/>
  <c r="Y28" i="3" a="1"/>
  <c r="Y28" i="3" s="1"/>
  <c r="Z28" i="3" a="1"/>
  <c r="Z28" i="3" s="1"/>
  <c r="AA28" i="3"/>
  <c r="AC28" i="3"/>
  <c r="A29" i="3"/>
  <c r="C29" i="3"/>
  <c r="F29" i="3"/>
  <c r="G29" i="3"/>
  <c r="Q29" i="3"/>
  <c r="V29" i="3"/>
  <c r="X29" i="3" a="1"/>
  <c r="X29" i="3" s="1"/>
  <c r="Y29" i="3" a="1"/>
  <c r="Y29" i="3" s="1"/>
  <c r="Z29" i="3" a="1"/>
  <c r="Z29" i="3" s="1"/>
  <c r="A30" i="3"/>
  <c r="C30" i="3"/>
  <c r="F30" i="3"/>
  <c r="G30" i="3"/>
  <c r="N30" i="3"/>
  <c r="O30" i="3"/>
  <c r="P30" i="3"/>
  <c r="R30" i="3"/>
  <c r="S30" i="3"/>
  <c r="T30" i="3"/>
  <c r="V30" i="3"/>
  <c r="W30" i="3"/>
  <c r="X30" i="3" a="1"/>
  <c r="X30" i="3" s="1"/>
  <c r="Y30" i="3" a="1"/>
  <c r="Y30" i="3" s="1"/>
  <c r="Z30" i="3" a="1"/>
  <c r="Z30" i="3" s="1"/>
  <c r="AA30" i="3"/>
  <c r="AB30" i="3"/>
  <c r="AC30" i="3"/>
  <c r="A31" i="3"/>
  <c r="C31" i="3"/>
  <c r="F31" i="3"/>
  <c r="G31" i="3"/>
  <c r="M31" i="3"/>
  <c r="N31" i="3"/>
  <c r="P31" i="3"/>
  <c r="Q31" i="3"/>
  <c r="R31" i="3"/>
  <c r="T31" i="3"/>
  <c r="U31" i="3"/>
  <c r="V31" i="3"/>
  <c r="X31" i="3" a="1"/>
  <c r="X31" i="3" s="1"/>
  <c r="Y31" i="3" a="1"/>
  <c r="Y31" i="3" s="1"/>
  <c r="Z31" i="3" a="1"/>
  <c r="Z31" i="3" s="1"/>
  <c r="AA31" i="3"/>
  <c r="AC31" i="3"/>
  <c r="A32" i="3"/>
  <c r="C32" i="3"/>
  <c r="F32" i="3"/>
  <c r="G32" i="3"/>
  <c r="N32" i="3"/>
  <c r="S32" i="3"/>
  <c r="X32" i="3" a="1"/>
  <c r="X32" i="3" s="1"/>
  <c r="Y32" i="3" a="1"/>
  <c r="Y32" i="3" s="1"/>
  <c r="Z32" i="3" a="1"/>
  <c r="Z32" i="3" s="1"/>
  <c r="AA32" i="3"/>
  <c r="A33" i="3"/>
  <c r="C33" i="3"/>
  <c r="F33" i="3"/>
  <c r="G33" i="3"/>
  <c r="Q33" i="3"/>
  <c r="V33" i="3"/>
  <c r="X33" i="3" a="1"/>
  <c r="X33" i="3" s="1"/>
  <c r="Y33" i="3" a="1"/>
  <c r="Y33" i="3" s="1"/>
  <c r="Z33" i="3" a="1"/>
  <c r="Z33" i="3" s="1"/>
  <c r="A34" i="3"/>
  <c r="C34" i="3"/>
  <c r="P34" i="3" s="1"/>
  <c r="F34" i="3"/>
  <c r="G34" i="3"/>
  <c r="N34" i="3"/>
  <c r="O34" i="3"/>
  <c r="R34" i="3"/>
  <c r="S34" i="3"/>
  <c r="T34" i="3"/>
  <c r="W34" i="3"/>
  <c r="X34" i="3" a="1"/>
  <c r="X34" i="3" s="1"/>
  <c r="Y34" i="3" a="1"/>
  <c r="Y34" i="3" s="1"/>
  <c r="Z34" i="3" a="1"/>
  <c r="Z34" i="3" s="1"/>
  <c r="AA34" i="3"/>
  <c r="AB34" i="3"/>
  <c r="A35" i="3"/>
  <c r="C35" i="3"/>
  <c r="N35" i="3" s="1"/>
  <c r="F35" i="3"/>
  <c r="G35" i="3"/>
  <c r="M35" i="3"/>
  <c r="P35" i="3"/>
  <c r="Q35" i="3"/>
  <c r="R35" i="3"/>
  <c r="U35" i="3"/>
  <c r="V35" i="3"/>
  <c r="X35" i="3" a="1"/>
  <c r="X35" i="3" s="1"/>
  <c r="Y35" i="3" a="1"/>
  <c r="Y35" i="3" s="1"/>
  <c r="Z35" i="3" a="1"/>
  <c r="Z35" i="3" s="1"/>
  <c r="AC35" i="3"/>
  <c r="A36" i="3"/>
  <c r="C36" i="3"/>
  <c r="O36" i="3" s="1"/>
  <c r="F36" i="3"/>
  <c r="G36" i="3"/>
  <c r="N36" i="3"/>
  <c r="S36" i="3"/>
  <c r="X36" i="3" a="1"/>
  <c r="X36" i="3" s="1"/>
  <c r="Y36" i="3" a="1"/>
  <c r="Y36" i="3" s="1"/>
  <c r="Z36" i="3" a="1"/>
  <c r="Z36" i="3" s="1"/>
  <c r="AA36" i="3"/>
  <c r="A37" i="3"/>
  <c r="C37" i="3"/>
  <c r="F37" i="3"/>
  <c r="G37" i="3"/>
  <c r="Q37" i="3"/>
  <c r="V37" i="3"/>
  <c r="X37" i="3" a="1"/>
  <c r="X37" i="3" s="1"/>
  <c r="Y37" i="3" a="1"/>
  <c r="Y37" i="3" s="1"/>
  <c r="Z37" i="3" a="1"/>
  <c r="Z37" i="3" s="1"/>
  <c r="A38" i="3"/>
  <c r="C38" i="3"/>
  <c r="F38" i="3"/>
  <c r="G38" i="3"/>
  <c r="N38" i="3"/>
  <c r="P38" i="3"/>
  <c r="R38" i="3"/>
  <c r="S38" i="3"/>
  <c r="T38" i="3"/>
  <c r="V38" i="3"/>
  <c r="W38" i="3"/>
  <c r="X38" i="3" a="1"/>
  <c r="X38" i="3" s="1"/>
  <c r="Y38" i="3" a="1"/>
  <c r="Y38" i="3" s="1"/>
  <c r="Z38" i="3" a="1"/>
  <c r="Z38" i="3" s="1"/>
  <c r="AA38" i="3"/>
  <c r="AB38" i="3"/>
  <c r="AC38" i="3"/>
  <c r="A39" i="3"/>
  <c r="C39" i="3"/>
  <c r="F39" i="3"/>
  <c r="E39" i="3" s="1"/>
  <c r="G39" i="3"/>
  <c r="M39" i="3"/>
  <c r="P39" i="3"/>
  <c r="Q39" i="3"/>
  <c r="R39" i="3"/>
  <c r="U39" i="3"/>
  <c r="V39" i="3"/>
  <c r="X39" i="3" a="1"/>
  <c r="X39" i="3" s="1"/>
  <c r="Y39" i="3" a="1"/>
  <c r="Y39" i="3" s="1"/>
  <c r="Z39" i="3" a="1"/>
  <c r="Z39" i="3" s="1"/>
  <c r="AC39" i="3"/>
  <c r="A40" i="3"/>
  <c r="C40" i="3"/>
  <c r="F40" i="3"/>
  <c r="G40" i="3"/>
  <c r="N40" i="3"/>
  <c r="P40" i="3"/>
  <c r="S40" i="3"/>
  <c r="V40" i="3"/>
  <c r="X40" i="3" a="1"/>
  <c r="X40" i="3" s="1"/>
  <c r="Y40" i="3" a="1"/>
  <c r="Y40" i="3" s="1"/>
  <c r="Z40" i="3" a="1"/>
  <c r="Z40" i="3" s="1"/>
  <c r="AA40" i="3"/>
  <c r="AC40" i="3"/>
  <c r="A41" i="3"/>
  <c r="C41" i="3"/>
  <c r="F41" i="3"/>
  <c r="G41" i="3"/>
  <c r="Q41" i="3"/>
  <c r="V41" i="3"/>
  <c r="X41" i="3" a="1"/>
  <c r="X41" i="3" s="1"/>
  <c r="Y41" i="3" a="1"/>
  <c r="Y41" i="3" s="1"/>
  <c r="Z41" i="3" a="1"/>
  <c r="Z41" i="3" s="1"/>
  <c r="A42" i="3"/>
  <c r="C42" i="3"/>
  <c r="P42" i="3" s="1"/>
  <c r="F42" i="3"/>
  <c r="G42" i="3"/>
  <c r="N42" i="3"/>
  <c r="R42" i="3"/>
  <c r="S42" i="3"/>
  <c r="T42" i="3"/>
  <c r="W42" i="3"/>
  <c r="X42" i="3" a="1"/>
  <c r="X42" i="3" s="1"/>
  <c r="Y42" i="3" a="1"/>
  <c r="Y42" i="3" s="1"/>
  <c r="Z42" i="3" a="1"/>
  <c r="Z42" i="3" s="1"/>
  <c r="AA42" i="3"/>
  <c r="AB42" i="3"/>
  <c r="A43" i="3"/>
  <c r="C43" i="3"/>
  <c r="N43" i="3" s="1"/>
  <c r="F43" i="3"/>
  <c r="G43" i="3"/>
  <c r="M43" i="3"/>
  <c r="P43" i="3"/>
  <c r="Q43" i="3"/>
  <c r="R43" i="3"/>
  <c r="U43" i="3"/>
  <c r="V43" i="3"/>
  <c r="X43" i="3" a="1"/>
  <c r="X43" i="3" s="1"/>
  <c r="Y43" i="3" a="1"/>
  <c r="Y43" i="3" s="1"/>
  <c r="Z43" i="3" a="1"/>
  <c r="Z43" i="3" s="1"/>
  <c r="AC43" i="3"/>
  <c r="A44" i="3"/>
  <c r="C44" i="3"/>
  <c r="S44" i="3" s="1"/>
  <c r="F44" i="3"/>
  <c r="G44" i="3"/>
  <c r="N44" i="3"/>
  <c r="P44" i="3"/>
  <c r="V44" i="3"/>
  <c r="X44" i="3" a="1"/>
  <c r="X44" i="3" s="1"/>
  <c r="Y44" i="3" a="1"/>
  <c r="Y44" i="3" s="1"/>
  <c r="Z44" i="3" a="1"/>
  <c r="Z44" i="3" s="1"/>
  <c r="AA44" i="3"/>
  <c r="AC44" i="3"/>
  <c r="A45" i="3"/>
  <c r="C45" i="3"/>
  <c r="F45" i="3"/>
  <c r="G45" i="3"/>
  <c r="X45" i="3" a="1"/>
  <c r="X45" i="3" s="1"/>
  <c r="Y45" i="3" a="1"/>
  <c r="Y45" i="3" s="1"/>
  <c r="Z45" i="3" a="1"/>
  <c r="Z45" i="3" s="1"/>
  <c r="A46" i="3"/>
  <c r="C46" i="3"/>
  <c r="F46" i="3"/>
  <c r="G46" i="3"/>
  <c r="N46" i="3"/>
  <c r="O46" i="3"/>
  <c r="P46" i="3"/>
  <c r="R46" i="3"/>
  <c r="S46" i="3"/>
  <c r="T46" i="3"/>
  <c r="V46" i="3"/>
  <c r="W46" i="3"/>
  <c r="X46" i="3" a="1"/>
  <c r="X46" i="3" s="1"/>
  <c r="Y46" i="3" a="1"/>
  <c r="Y46" i="3" s="1"/>
  <c r="Z46" i="3" a="1"/>
  <c r="Z46" i="3" s="1"/>
  <c r="AA46" i="3"/>
  <c r="AB46" i="3"/>
  <c r="AC46" i="3"/>
  <c r="A47" i="3"/>
  <c r="C47" i="3"/>
  <c r="F47" i="3"/>
  <c r="G47" i="3"/>
  <c r="M47" i="3"/>
  <c r="N47" i="3"/>
  <c r="P47" i="3"/>
  <c r="Q47" i="3"/>
  <c r="R47" i="3"/>
  <c r="T47" i="3"/>
  <c r="U47" i="3"/>
  <c r="V47" i="3"/>
  <c r="X47" i="3" a="1"/>
  <c r="X47" i="3" s="1"/>
  <c r="Y47" i="3" a="1"/>
  <c r="Y47" i="3" s="1"/>
  <c r="Z47" i="3" a="1"/>
  <c r="Z47" i="3" s="1"/>
  <c r="AA47" i="3"/>
  <c r="AC47" i="3"/>
  <c r="A48" i="3"/>
  <c r="C48" i="3"/>
  <c r="F48" i="3"/>
  <c r="G48" i="3"/>
  <c r="R48" i="3"/>
  <c r="X48" i="3" a="1"/>
  <c r="X48" i="3" s="1"/>
  <c r="Y48" i="3" a="1"/>
  <c r="Y48" i="3" s="1"/>
  <c r="Z48" i="3" a="1"/>
  <c r="Z48" i="3" s="1"/>
  <c r="AC48" i="3"/>
  <c r="A49" i="3"/>
  <c r="C49" i="3"/>
  <c r="P49" i="3" s="1"/>
  <c r="F49" i="3"/>
  <c r="G49" i="3"/>
  <c r="N49" i="3"/>
  <c r="R49" i="3"/>
  <c r="T49" i="3"/>
  <c r="V49" i="3"/>
  <c r="X49" i="3" a="1"/>
  <c r="X49" i="3" s="1"/>
  <c r="Y49" i="3" a="1"/>
  <c r="Y49" i="3" s="1"/>
  <c r="Z49" i="3" a="1"/>
  <c r="Z49" i="3" s="1"/>
  <c r="AA49" i="3"/>
  <c r="AC49" i="3"/>
  <c r="A50" i="3"/>
  <c r="C50" i="3"/>
  <c r="F50" i="3"/>
  <c r="G50" i="3"/>
  <c r="N50" i="3"/>
  <c r="T50" i="3"/>
  <c r="X50" i="3" a="1"/>
  <c r="X50" i="3" s="1"/>
  <c r="Y50" i="3" a="1"/>
  <c r="Y50" i="3" s="1"/>
  <c r="Z50" i="3" a="1"/>
  <c r="Z50" i="3" s="1"/>
  <c r="A51" i="3"/>
  <c r="C51" i="3"/>
  <c r="F51" i="3"/>
  <c r="G51" i="3"/>
  <c r="P51" i="3"/>
  <c r="V51" i="3"/>
  <c r="X51" i="3" a="1"/>
  <c r="X51" i="3" s="1"/>
  <c r="Y51" i="3" a="1"/>
  <c r="Y51" i="3" s="1"/>
  <c r="Z51" i="3" a="1"/>
  <c r="Z51" i="3" s="1"/>
  <c r="AA51" i="3"/>
  <c r="AC51" i="3"/>
  <c r="A52" i="3"/>
  <c r="C52" i="3"/>
  <c r="F52" i="3"/>
  <c r="G52" i="3"/>
  <c r="N52" i="3"/>
  <c r="P52" i="3"/>
  <c r="R52" i="3"/>
  <c r="T52" i="3"/>
  <c r="V52" i="3"/>
  <c r="X52" i="3" a="1"/>
  <c r="X52" i="3" s="1"/>
  <c r="Y52" i="3" a="1"/>
  <c r="Y52" i="3" s="1"/>
  <c r="Z52" i="3" a="1"/>
  <c r="Z52" i="3" s="1"/>
  <c r="AA52" i="3"/>
  <c r="AC52" i="3"/>
  <c r="A53" i="3"/>
  <c r="C53" i="3"/>
  <c r="P53" i="3" s="1"/>
  <c r="F53" i="3"/>
  <c r="G53" i="3"/>
  <c r="N53" i="3"/>
  <c r="R53" i="3"/>
  <c r="T53" i="3"/>
  <c r="U53" i="3"/>
  <c r="X53" i="3" a="1"/>
  <c r="X53" i="3" s="1"/>
  <c r="Y53" i="3" a="1"/>
  <c r="Y53" i="3" s="1"/>
  <c r="Z53" i="3" a="1"/>
  <c r="Z53" i="3" s="1"/>
  <c r="AA53" i="3"/>
  <c r="AC53" i="3"/>
  <c r="A54" i="3"/>
  <c r="C54" i="3"/>
  <c r="S54" i="3" s="1"/>
  <c r="F54" i="3"/>
  <c r="G54" i="3"/>
  <c r="N54" i="3"/>
  <c r="O54" i="3"/>
  <c r="X54" i="3" a="1"/>
  <c r="X54" i="3" s="1"/>
  <c r="Y54" i="3" a="1"/>
  <c r="Y54" i="3" s="1"/>
  <c r="Z54" i="3" a="1"/>
  <c r="Z54" i="3" s="1"/>
  <c r="AB54" i="3"/>
  <c r="A55" i="3"/>
  <c r="C55" i="3"/>
  <c r="F55" i="3"/>
  <c r="G55" i="3"/>
  <c r="M55" i="3"/>
  <c r="P55" i="3"/>
  <c r="Q55" i="3"/>
  <c r="T55" i="3"/>
  <c r="U55" i="3"/>
  <c r="X55" i="3" a="1"/>
  <c r="X55" i="3" s="1"/>
  <c r="Y55" i="3" a="1"/>
  <c r="Y55" i="3" s="1"/>
  <c r="Z55" i="3" a="1"/>
  <c r="Z55" i="3" s="1"/>
  <c r="AC55" i="3"/>
  <c r="A56" i="3"/>
  <c r="C56" i="3"/>
  <c r="F56" i="3"/>
  <c r="G56" i="3"/>
  <c r="N56" i="3"/>
  <c r="O56" i="3"/>
  <c r="P56" i="3"/>
  <c r="R56" i="3"/>
  <c r="S56" i="3"/>
  <c r="T56" i="3"/>
  <c r="V56" i="3"/>
  <c r="W56" i="3"/>
  <c r="X56" i="3" a="1"/>
  <c r="X56" i="3" s="1"/>
  <c r="Y56" i="3" a="1"/>
  <c r="Y56" i="3" s="1"/>
  <c r="Z56" i="3" a="1"/>
  <c r="Z56" i="3" s="1"/>
  <c r="AA56" i="3"/>
  <c r="AB56" i="3"/>
  <c r="AC56" i="3"/>
  <c r="A57" i="3"/>
  <c r="C57" i="3"/>
  <c r="F57" i="3"/>
  <c r="G57" i="3"/>
  <c r="M57" i="3"/>
  <c r="N57" i="3"/>
  <c r="P57" i="3"/>
  <c r="Q57" i="3"/>
  <c r="R57" i="3"/>
  <c r="T57" i="3"/>
  <c r="U57" i="3"/>
  <c r="V57" i="3"/>
  <c r="X57" i="3" a="1"/>
  <c r="X57" i="3" s="1"/>
  <c r="Y57" i="3" a="1"/>
  <c r="Y57" i="3" s="1"/>
  <c r="Z57" i="3" a="1"/>
  <c r="Z57" i="3" s="1"/>
  <c r="AA57" i="3"/>
  <c r="AC57" i="3"/>
  <c r="A58" i="3"/>
  <c r="C58" i="3"/>
  <c r="F58" i="3"/>
  <c r="G58" i="3"/>
  <c r="N58" i="3"/>
  <c r="O58" i="3"/>
  <c r="S58" i="3"/>
  <c r="T58" i="3"/>
  <c r="X58" i="3" a="1"/>
  <c r="X58" i="3" s="1"/>
  <c r="Y58" i="3" a="1"/>
  <c r="Y58" i="3" s="1"/>
  <c r="Z58" i="3" a="1"/>
  <c r="Z58" i="3" s="1"/>
  <c r="AA58" i="3"/>
  <c r="AB58" i="3"/>
  <c r="A59" i="3"/>
  <c r="C59" i="3"/>
  <c r="F59" i="3"/>
  <c r="G59" i="3"/>
  <c r="M59" i="3"/>
  <c r="Q59" i="3"/>
  <c r="R59" i="3"/>
  <c r="V59" i="3"/>
  <c r="X59" i="3" a="1"/>
  <c r="X59" i="3" s="1"/>
  <c r="Y59" i="3" a="1"/>
  <c r="Y59" i="3" s="1"/>
  <c r="Z59" i="3" a="1"/>
  <c r="Z59" i="3" s="1"/>
  <c r="A60" i="3"/>
  <c r="C60" i="3"/>
  <c r="F60" i="3"/>
  <c r="G60" i="3"/>
  <c r="N60" i="3"/>
  <c r="S60" i="3"/>
  <c r="X60" i="3" a="1"/>
  <c r="X60" i="3" s="1"/>
  <c r="Y60" i="3" a="1"/>
  <c r="Y60" i="3" s="1"/>
  <c r="Z60" i="3" a="1"/>
  <c r="Z60" i="3" s="1"/>
  <c r="AA60" i="3"/>
  <c r="A61" i="3"/>
  <c r="C61" i="3"/>
  <c r="F61" i="3"/>
  <c r="G61" i="3"/>
  <c r="Q61" i="3"/>
  <c r="V61" i="3"/>
  <c r="X61" i="3" a="1"/>
  <c r="X61" i="3" s="1"/>
  <c r="Y61" i="3" a="1"/>
  <c r="Y61" i="3" s="1"/>
  <c r="Z61" i="3" a="1"/>
  <c r="Z61" i="3" s="1"/>
  <c r="A62" i="3"/>
  <c r="C62" i="3"/>
  <c r="O62" i="3" s="1"/>
  <c r="F62" i="3"/>
  <c r="G62" i="3"/>
  <c r="N62" i="3"/>
  <c r="P62" i="3"/>
  <c r="R62" i="3"/>
  <c r="S62" i="3"/>
  <c r="V62" i="3"/>
  <c r="W62" i="3"/>
  <c r="X62" i="3" a="1"/>
  <c r="X62" i="3" s="1"/>
  <c r="Y62" i="3" a="1"/>
  <c r="Y62" i="3" s="1"/>
  <c r="Z62" i="3" a="1"/>
  <c r="Z62" i="3" s="1"/>
  <c r="AA62" i="3"/>
  <c r="AC62" i="3"/>
  <c r="A63" i="3"/>
  <c r="C63" i="3"/>
  <c r="F63" i="3"/>
  <c r="G63" i="3"/>
  <c r="P63" i="3"/>
  <c r="Q63" i="3"/>
  <c r="U63" i="3"/>
  <c r="V63" i="3"/>
  <c r="X63" i="3" a="1"/>
  <c r="X63" i="3" s="1"/>
  <c r="Y63" i="3" a="1"/>
  <c r="Y63" i="3" s="1"/>
  <c r="Z63" i="3" a="1"/>
  <c r="Z63" i="3" s="1"/>
  <c r="AC63" i="3"/>
  <c r="A64" i="3"/>
  <c r="C64" i="3"/>
  <c r="F64" i="3"/>
  <c r="G64" i="3"/>
  <c r="N64" i="3"/>
  <c r="O64" i="3"/>
  <c r="P64" i="3"/>
  <c r="R64" i="3"/>
  <c r="S64" i="3"/>
  <c r="T64" i="3"/>
  <c r="V64" i="3"/>
  <c r="W64" i="3"/>
  <c r="X64" i="3" a="1"/>
  <c r="X64" i="3" s="1"/>
  <c r="Y64" i="3" a="1"/>
  <c r="Y64" i="3" s="1"/>
  <c r="Z64" i="3" a="1"/>
  <c r="Z64" i="3" s="1"/>
  <c r="AA64" i="3"/>
  <c r="AB64" i="3"/>
  <c r="AC64" i="3"/>
  <c r="A65" i="3"/>
  <c r="C65" i="3"/>
  <c r="F65" i="3"/>
  <c r="G65" i="3"/>
  <c r="M65" i="3"/>
  <c r="N65" i="3"/>
  <c r="P65" i="3"/>
  <c r="Q65" i="3"/>
  <c r="R65" i="3"/>
  <c r="T65" i="3"/>
  <c r="U65" i="3"/>
  <c r="V65" i="3"/>
  <c r="X65" i="3" a="1"/>
  <c r="X65" i="3" s="1"/>
  <c r="Y65" i="3" a="1"/>
  <c r="Y65" i="3" s="1"/>
  <c r="Z65" i="3" a="1"/>
  <c r="Z65" i="3" s="1"/>
  <c r="AA65" i="3"/>
  <c r="AC65" i="3"/>
  <c r="A66" i="3"/>
  <c r="C66" i="3"/>
  <c r="F66" i="3"/>
  <c r="G66" i="3"/>
  <c r="N66" i="3"/>
  <c r="P66" i="3"/>
  <c r="S66" i="3"/>
  <c r="T66" i="3"/>
  <c r="V66" i="3"/>
  <c r="X66" i="3" a="1"/>
  <c r="X66" i="3" s="1"/>
  <c r="Y66" i="3" a="1"/>
  <c r="Y66" i="3" s="1"/>
  <c r="Z66" i="3" a="1"/>
  <c r="Z66" i="3" s="1"/>
  <c r="AA66" i="3"/>
  <c r="AB66" i="3"/>
  <c r="AC66" i="3"/>
  <c r="A67" i="3"/>
  <c r="C67" i="3"/>
  <c r="F67" i="3"/>
  <c r="G67" i="3"/>
  <c r="R67" i="3"/>
  <c r="X67" i="3" a="1"/>
  <c r="X67" i="3" s="1"/>
  <c r="Y67" i="3" a="1"/>
  <c r="Y67" i="3" s="1"/>
  <c r="Z67" i="3" a="1"/>
  <c r="Z67" i="3" s="1"/>
  <c r="AA67" i="3"/>
  <c r="A68" i="3"/>
  <c r="C68" i="3"/>
  <c r="F68" i="3"/>
  <c r="G68" i="3"/>
  <c r="Q68" i="3"/>
  <c r="V68" i="3"/>
  <c r="X68" i="3" a="1"/>
  <c r="X68" i="3" s="1"/>
  <c r="Y68" i="3" a="1"/>
  <c r="Y68" i="3" s="1"/>
  <c r="Z68" i="3" a="1"/>
  <c r="Z68" i="3" s="1"/>
  <c r="A69" i="3"/>
  <c r="U72" i="3" s="1"/>
  <c r="C69" i="3"/>
  <c r="O69" i="3" s="1"/>
  <c r="F69" i="3"/>
  <c r="G69" i="3"/>
  <c r="N69" i="3"/>
  <c r="R69" i="3"/>
  <c r="S69" i="3"/>
  <c r="W69" i="3"/>
  <c r="X69" i="3" a="1"/>
  <c r="X69" i="3" s="1"/>
  <c r="Y69" i="3" a="1"/>
  <c r="Y69" i="3" s="1"/>
  <c r="Z69" i="3" a="1"/>
  <c r="Z69" i="3" s="1"/>
  <c r="AA69" i="3"/>
  <c r="A70" i="3"/>
  <c r="C70" i="3"/>
  <c r="F70" i="3"/>
  <c r="G70" i="3"/>
  <c r="P70" i="3"/>
  <c r="Q70" i="3"/>
  <c r="U70" i="3"/>
  <c r="V70" i="3"/>
  <c r="X70" i="3" a="1"/>
  <c r="X70" i="3" s="1"/>
  <c r="Y70" i="3" a="1"/>
  <c r="Y70" i="3" s="1"/>
  <c r="Z70" i="3" a="1"/>
  <c r="Z70" i="3" s="1"/>
  <c r="AC70" i="3"/>
  <c r="A71" i="3"/>
  <c r="C71" i="3"/>
  <c r="O71" i="3" s="1"/>
  <c r="F71" i="3"/>
  <c r="G71" i="3"/>
  <c r="N71" i="3"/>
  <c r="P71" i="3"/>
  <c r="R71" i="3"/>
  <c r="S71" i="3"/>
  <c r="V71" i="3"/>
  <c r="W71" i="3"/>
  <c r="X71" i="3" a="1"/>
  <c r="X71" i="3" s="1"/>
  <c r="Y71" i="3" a="1"/>
  <c r="Y71" i="3" s="1"/>
  <c r="Z71" i="3" a="1"/>
  <c r="Z71" i="3" s="1"/>
  <c r="AA71" i="3"/>
  <c r="AC71" i="3"/>
  <c r="A72" i="3"/>
  <c r="C72" i="3"/>
  <c r="F72" i="3"/>
  <c r="G72" i="3"/>
  <c r="N72" i="3"/>
  <c r="P72" i="3"/>
  <c r="Q72" i="3"/>
  <c r="T72" i="3"/>
  <c r="V72" i="3"/>
  <c r="X72" i="3" a="1"/>
  <c r="X72" i="3" s="1"/>
  <c r="Y72" i="3" a="1"/>
  <c r="Y72" i="3" s="1"/>
  <c r="Z72" i="3" a="1"/>
  <c r="Z72" i="3" s="1"/>
  <c r="AA72" i="3"/>
  <c r="AC72" i="3"/>
  <c r="A73" i="3"/>
  <c r="C73" i="3"/>
  <c r="F73" i="3"/>
  <c r="G73" i="3"/>
  <c r="N73" i="3"/>
  <c r="O73" i="3"/>
  <c r="P73" i="3"/>
  <c r="R73" i="3"/>
  <c r="S73" i="3"/>
  <c r="T73" i="3"/>
  <c r="V73" i="3"/>
  <c r="W73" i="3"/>
  <c r="X73" i="3" a="1"/>
  <c r="X73" i="3" s="1"/>
  <c r="Y73" i="3" a="1"/>
  <c r="Y73" i="3" s="1"/>
  <c r="Z73" i="3" a="1"/>
  <c r="Z73" i="3" s="1"/>
  <c r="AA73" i="3"/>
  <c r="AB73" i="3"/>
  <c r="AC73" i="3"/>
  <c r="A74" i="3"/>
  <c r="C74" i="3"/>
  <c r="F74" i="3"/>
  <c r="G74" i="3"/>
  <c r="M74" i="3"/>
  <c r="N74" i="3"/>
  <c r="P74" i="3"/>
  <c r="Q74" i="3"/>
  <c r="R74" i="3"/>
  <c r="T74" i="3"/>
  <c r="V74" i="3"/>
  <c r="X74" i="3" a="1"/>
  <c r="X74" i="3" s="1"/>
  <c r="Y74" i="3" a="1"/>
  <c r="Y74" i="3" s="1"/>
  <c r="Z74" i="3" a="1"/>
  <c r="Z74" i="3" s="1"/>
  <c r="AA74" i="3"/>
  <c r="AC74" i="3"/>
  <c r="A75" i="3"/>
  <c r="C75" i="3"/>
  <c r="F75" i="3"/>
  <c r="G75" i="3"/>
  <c r="N75" i="3"/>
  <c r="S75" i="3"/>
  <c r="X75" i="3" a="1"/>
  <c r="X75" i="3" s="1"/>
  <c r="Y75" i="3" a="1"/>
  <c r="Y75" i="3" s="1"/>
  <c r="Z75" i="3" a="1"/>
  <c r="Z75" i="3" s="1"/>
  <c r="AA75" i="3"/>
  <c r="A76" i="3"/>
  <c r="C76" i="3"/>
  <c r="F76" i="3"/>
  <c r="G76" i="3"/>
  <c r="Q76" i="3"/>
  <c r="V76" i="3"/>
  <c r="X76" i="3" a="1"/>
  <c r="X76" i="3" s="1"/>
  <c r="Y76" i="3" a="1"/>
  <c r="Y76" i="3" s="1"/>
  <c r="Z76" i="3" a="1"/>
  <c r="Z76" i="3" s="1"/>
  <c r="A77" i="3"/>
  <c r="U82" i="3" s="1"/>
  <c r="C77" i="3"/>
  <c r="O77" i="3" s="1"/>
  <c r="F77" i="3"/>
  <c r="G77" i="3"/>
  <c r="N77" i="3"/>
  <c r="R77" i="3"/>
  <c r="S77" i="3"/>
  <c r="W77" i="3"/>
  <c r="X77" i="3" a="1"/>
  <c r="X77" i="3" s="1"/>
  <c r="Y77" i="3" a="1"/>
  <c r="Y77" i="3" s="1"/>
  <c r="Z77" i="3" a="1"/>
  <c r="Z77" i="3" s="1"/>
  <c r="AA77" i="3"/>
  <c r="A78" i="3"/>
  <c r="C78" i="3"/>
  <c r="F78" i="3"/>
  <c r="G78" i="3"/>
  <c r="P78" i="3"/>
  <c r="Q78" i="3"/>
  <c r="U78" i="3"/>
  <c r="V78" i="3"/>
  <c r="X78" i="3" a="1"/>
  <c r="X78" i="3" s="1"/>
  <c r="Y78" i="3" a="1"/>
  <c r="Y78" i="3" s="1"/>
  <c r="Z78" i="3" a="1"/>
  <c r="Z78" i="3" s="1"/>
  <c r="AC78" i="3"/>
  <c r="A79" i="3"/>
  <c r="C79" i="3"/>
  <c r="F79" i="3"/>
  <c r="G79" i="3"/>
  <c r="N79" i="3"/>
  <c r="P79" i="3"/>
  <c r="R79" i="3"/>
  <c r="S79" i="3"/>
  <c r="V79" i="3"/>
  <c r="W79" i="3"/>
  <c r="X79" i="3" a="1"/>
  <c r="X79" i="3" s="1"/>
  <c r="Y79" i="3" a="1"/>
  <c r="Y79" i="3" s="1"/>
  <c r="Z79" i="3" a="1"/>
  <c r="Z79" i="3" s="1"/>
  <c r="AA79" i="3"/>
  <c r="AC79" i="3"/>
  <c r="A80" i="3"/>
  <c r="C80" i="3"/>
  <c r="F80" i="3"/>
  <c r="G80" i="3"/>
  <c r="N80" i="3"/>
  <c r="P80" i="3"/>
  <c r="Q80" i="3"/>
  <c r="T80" i="3"/>
  <c r="U80" i="3"/>
  <c r="V80" i="3"/>
  <c r="X80" i="3" a="1"/>
  <c r="X80" i="3" s="1"/>
  <c r="Y80" i="3" a="1"/>
  <c r="Y80" i="3" s="1"/>
  <c r="Z80" i="3" a="1"/>
  <c r="Z80" i="3" s="1"/>
  <c r="AA80" i="3"/>
  <c r="AC80" i="3"/>
  <c r="A81" i="3"/>
  <c r="C81" i="3"/>
  <c r="F81" i="3"/>
  <c r="G81" i="3"/>
  <c r="N81" i="3"/>
  <c r="O81" i="3"/>
  <c r="P81" i="3"/>
  <c r="R81" i="3"/>
  <c r="S81" i="3"/>
  <c r="T81" i="3"/>
  <c r="V81" i="3"/>
  <c r="W81" i="3"/>
  <c r="X81" i="3" a="1"/>
  <c r="X81" i="3" s="1"/>
  <c r="Y81" i="3" a="1"/>
  <c r="Y81" i="3" s="1"/>
  <c r="Z81" i="3" a="1"/>
  <c r="Z81" i="3" s="1"/>
  <c r="AA81" i="3"/>
  <c r="AB81" i="3"/>
  <c r="AC81" i="3"/>
  <c r="A82" i="3"/>
  <c r="C82" i="3"/>
  <c r="F82" i="3"/>
  <c r="G82" i="3"/>
  <c r="M82" i="3"/>
  <c r="N82" i="3"/>
  <c r="P82" i="3"/>
  <c r="Q82" i="3"/>
  <c r="R82" i="3"/>
  <c r="T82" i="3"/>
  <c r="V82" i="3"/>
  <c r="X82" i="3" a="1"/>
  <c r="X82" i="3" s="1"/>
  <c r="Y82" i="3" a="1"/>
  <c r="Y82" i="3" s="1"/>
  <c r="Z82" i="3" a="1"/>
  <c r="Z82" i="3" s="1"/>
  <c r="AA82" i="3"/>
  <c r="AC82" i="3"/>
  <c r="A83" i="3"/>
  <c r="C83" i="3"/>
  <c r="F83" i="3"/>
  <c r="G83" i="3"/>
  <c r="N83" i="3"/>
  <c r="S83" i="3"/>
  <c r="X83" i="3" a="1"/>
  <c r="X83" i="3" s="1"/>
  <c r="Y83" i="3" a="1"/>
  <c r="Y83" i="3" s="1"/>
  <c r="Z83" i="3" a="1"/>
  <c r="Z83" i="3" s="1"/>
  <c r="AA83" i="3"/>
  <c r="A84" i="3"/>
  <c r="C84" i="3"/>
  <c r="F84" i="3"/>
  <c r="G84" i="3"/>
  <c r="Q84" i="3"/>
  <c r="V84" i="3"/>
  <c r="X84" i="3" a="1"/>
  <c r="X84" i="3" s="1"/>
  <c r="Y84" i="3" a="1"/>
  <c r="Y84" i="3" s="1"/>
  <c r="Z84" i="3" a="1"/>
  <c r="Z84" i="3" s="1"/>
  <c r="A85" i="3"/>
  <c r="U90" i="3" s="1"/>
  <c r="C85" i="3"/>
  <c r="F85" i="3"/>
  <c r="G85" i="3"/>
  <c r="N85" i="3"/>
  <c r="R85" i="3"/>
  <c r="S85" i="3"/>
  <c r="W85" i="3"/>
  <c r="X85" i="3" a="1"/>
  <c r="X85" i="3" s="1"/>
  <c r="Y85" i="3" a="1"/>
  <c r="Y85" i="3" s="1"/>
  <c r="Z85" i="3" a="1"/>
  <c r="Z85" i="3" s="1"/>
  <c r="AA85" i="3"/>
  <c r="A86" i="3"/>
  <c r="C86" i="3"/>
  <c r="F86" i="3"/>
  <c r="G86" i="3"/>
  <c r="P86" i="3"/>
  <c r="Q86" i="3"/>
  <c r="U86" i="3"/>
  <c r="V86" i="3"/>
  <c r="X86" i="3" a="1"/>
  <c r="X86" i="3" s="1"/>
  <c r="Y86" i="3" a="1"/>
  <c r="Y86" i="3" s="1"/>
  <c r="Z86" i="3" a="1"/>
  <c r="Z86" i="3" s="1"/>
  <c r="AC86" i="3"/>
  <c r="A87" i="3"/>
  <c r="C87" i="3"/>
  <c r="O87" i="3" s="1"/>
  <c r="F87" i="3"/>
  <c r="G87" i="3"/>
  <c r="N87" i="3"/>
  <c r="P87" i="3"/>
  <c r="R87" i="3"/>
  <c r="S87" i="3"/>
  <c r="V87" i="3"/>
  <c r="W87" i="3"/>
  <c r="X87" i="3" a="1"/>
  <c r="X87" i="3" s="1"/>
  <c r="Y87" i="3" a="1"/>
  <c r="Y87" i="3" s="1"/>
  <c r="Z87" i="3" a="1"/>
  <c r="Z87" i="3" s="1"/>
  <c r="AA87" i="3"/>
  <c r="AC87" i="3"/>
  <c r="A88" i="3"/>
  <c r="C88" i="3"/>
  <c r="F88" i="3"/>
  <c r="G88" i="3"/>
  <c r="N88" i="3"/>
  <c r="P88" i="3"/>
  <c r="Q88" i="3"/>
  <c r="T88" i="3"/>
  <c r="U88" i="3"/>
  <c r="V88" i="3"/>
  <c r="X88" i="3" a="1"/>
  <c r="X88" i="3" s="1"/>
  <c r="Y88" i="3" a="1"/>
  <c r="Y88" i="3" s="1"/>
  <c r="Z88" i="3" a="1"/>
  <c r="Z88" i="3" s="1"/>
  <c r="AA88" i="3"/>
  <c r="AC88" i="3"/>
  <c r="A89" i="3"/>
  <c r="C89" i="3"/>
  <c r="F89" i="3"/>
  <c r="G89" i="3"/>
  <c r="N89" i="3"/>
  <c r="P89" i="3"/>
  <c r="R89" i="3"/>
  <c r="S89" i="3"/>
  <c r="T89" i="3"/>
  <c r="V89" i="3"/>
  <c r="W89" i="3"/>
  <c r="X89" i="3" a="1"/>
  <c r="X89" i="3" s="1"/>
  <c r="Y89" i="3" a="1"/>
  <c r="Y89" i="3" s="1"/>
  <c r="Z89" i="3" a="1"/>
  <c r="Z89" i="3" s="1"/>
  <c r="AA89" i="3"/>
  <c r="AB89" i="3"/>
  <c r="AC89" i="3"/>
  <c r="A90" i="3"/>
  <c r="C90" i="3"/>
  <c r="F90" i="3"/>
  <c r="G90" i="3"/>
  <c r="M90" i="3"/>
  <c r="N90" i="3"/>
  <c r="P90" i="3"/>
  <c r="Q90" i="3"/>
  <c r="R90" i="3"/>
  <c r="T90" i="3"/>
  <c r="V90" i="3"/>
  <c r="X90" i="3" a="1"/>
  <c r="X90" i="3" s="1"/>
  <c r="Y90" i="3" a="1"/>
  <c r="Y90" i="3" s="1"/>
  <c r="Z90" i="3" a="1"/>
  <c r="Z90" i="3" s="1"/>
  <c r="AA90" i="3"/>
  <c r="AC90" i="3"/>
  <c r="A91" i="3"/>
  <c r="C91" i="3"/>
  <c r="F91" i="3"/>
  <c r="G91" i="3"/>
  <c r="N91" i="3"/>
  <c r="S91" i="3"/>
  <c r="X91" i="3" a="1"/>
  <c r="X91" i="3" s="1"/>
  <c r="Y91" i="3" a="1"/>
  <c r="Y91" i="3" s="1"/>
  <c r="Z91" i="3" a="1"/>
  <c r="Z91" i="3" s="1"/>
  <c r="AA91" i="3"/>
  <c r="A92" i="3"/>
  <c r="C92" i="3"/>
  <c r="F92" i="3"/>
  <c r="G92" i="3"/>
  <c r="Q92" i="3"/>
  <c r="U92" i="3"/>
  <c r="X92" i="3" a="1"/>
  <c r="X92" i="3" s="1"/>
  <c r="Y92" i="3" a="1"/>
  <c r="Y92" i="3" s="1"/>
  <c r="Z92" i="3" a="1"/>
  <c r="Z92" i="3" s="1"/>
  <c r="A93" i="3"/>
  <c r="U96" i="3" s="1"/>
  <c r="C93" i="3"/>
  <c r="F93" i="3"/>
  <c r="G93" i="3"/>
  <c r="N93" i="3"/>
  <c r="O93" i="3"/>
  <c r="P93" i="3"/>
  <c r="R93" i="3"/>
  <c r="S93" i="3"/>
  <c r="T93" i="3"/>
  <c r="V93" i="3"/>
  <c r="W93" i="3"/>
  <c r="X93" i="3" a="1"/>
  <c r="X93" i="3" s="1"/>
  <c r="Y93" i="3" a="1"/>
  <c r="Y93" i="3" s="1"/>
  <c r="Z93" i="3" a="1"/>
  <c r="Z93" i="3" s="1"/>
  <c r="AA93" i="3"/>
  <c r="AB93" i="3"/>
  <c r="AC93" i="3"/>
  <c r="A94" i="3"/>
  <c r="C94" i="3"/>
  <c r="F94" i="3"/>
  <c r="G94" i="3"/>
  <c r="M94" i="3"/>
  <c r="N94" i="3"/>
  <c r="P94" i="3"/>
  <c r="Q94" i="3"/>
  <c r="R94" i="3"/>
  <c r="T94" i="3"/>
  <c r="U94" i="3"/>
  <c r="V94" i="3"/>
  <c r="X94" i="3" a="1"/>
  <c r="X94" i="3" s="1"/>
  <c r="Y94" i="3" a="1"/>
  <c r="Y94" i="3" s="1"/>
  <c r="Z94" i="3" a="1"/>
  <c r="Z94" i="3" s="1"/>
  <c r="AA94" i="3"/>
  <c r="AC94" i="3"/>
  <c r="A95" i="3"/>
  <c r="C95" i="3"/>
  <c r="F95" i="3"/>
  <c r="G95" i="3"/>
  <c r="N95" i="3"/>
  <c r="O95" i="3"/>
  <c r="P95" i="3"/>
  <c r="R95" i="3"/>
  <c r="S95" i="3"/>
  <c r="T95" i="3"/>
  <c r="V95" i="3"/>
  <c r="W95" i="3"/>
  <c r="X95" i="3" a="1"/>
  <c r="X95" i="3" s="1"/>
  <c r="Y95" i="3" a="1"/>
  <c r="Y95" i="3" s="1"/>
  <c r="Z95" i="3" a="1"/>
  <c r="Z95" i="3" s="1"/>
  <c r="AA95" i="3"/>
  <c r="AB95" i="3"/>
  <c r="AC95" i="3"/>
  <c r="A96" i="3"/>
  <c r="C96" i="3"/>
  <c r="O96" i="3" s="1"/>
  <c r="F96" i="3"/>
  <c r="G96" i="3"/>
  <c r="M96" i="3"/>
  <c r="N96" i="3"/>
  <c r="P96" i="3"/>
  <c r="Q96" i="3"/>
  <c r="R96" i="3"/>
  <c r="T96" i="3"/>
  <c r="V96" i="3"/>
  <c r="X96" i="3" a="1"/>
  <c r="X96" i="3" s="1"/>
  <c r="Y96" i="3" a="1"/>
  <c r="Y96" i="3" s="1"/>
  <c r="Z96" i="3" a="1"/>
  <c r="Z96" i="3"/>
  <c r="AA96" i="3"/>
  <c r="AC96" i="3"/>
  <c r="A97" i="3"/>
  <c r="C97" i="3"/>
  <c r="F97" i="3"/>
  <c r="G97" i="3"/>
  <c r="N97" i="3"/>
  <c r="O97" i="3"/>
  <c r="S97" i="3"/>
  <c r="T97" i="3"/>
  <c r="X97" i="3" a="1"/>
  <c r="X97" i="3" s="1"/>
  <c r="Y97" i="3" a="1"/>
  <c r="Y97" i="3" s="1"/>
  <c r="Z97" i="3" a="1"/>
  <c r="Z97" i="3" s="1"/>
  <c r="AA97" i="3"/>
  <c r="AB97" i="3"/>
  <c r="A98" i="3"/>
  <c r="C98" i="3"/>
  <c r="F98" i="3"/>
  <c r="G98" i="3"/>
  <c r="M98" i="3"/>
  <c r="Q98" i="3"/>
  <c r="R98" i="3"/>
  <c r="V98" i="3"/>
  <c r="X98" i="3" a="1"/>
  <c r="X98" i="3" s="1"/>
  <c r="Y98" i="3" a="1"/>
  <c r="Y98" i="3" s="1"/>
  <c r="Z98" i="3" a="1"/>
  <c r="Z98" i="3" s="1"/>
  <c r="A99" i="3"/>
  <c r="C99" i="3"/>
  <c r="F99" i="3"/>
  <c r="G99" i="3"/>
  <c r="N99" i="3"/>
  <c r="S99" i="3"/>
  <c r="X99" i="3" a="1"/>
  <c r="X99" i="3" s="1"/>
  <c r="Y99" i="3" a="1"/>
  <c r="Y99" i="3" s="1"/>
  <c r="Z99" i="3" a="1"/>
  <c r="Z99" i="3" s="1"/>
  <c r="AA99" i="3"/>
  <c r="A100" i="3"/>
  <c r="C100" i="3"/>
  <c r="F100" i="3"/>
  <c r="G100" i="3"/>
  <c r="Q100" i="3"/>
  <c r="V100" i="3"/>
  <c r="X100" i="3" a="1"/>
  <c r="X100" i="3" s="1"/>
  <c r="Y100" i="3" a="1"/>
  <c r="Y100" i="3" s="1"/>
  <c r="Z100" i="3" a="1"/>
  <c r="Z100" i="3" s="1"/>
  <c r="A101" i="3"/>
  <c r="C101" i="3"/>
  <c r="O101" i="3" s="1"/>
  <c r="F101" i="3"/>
  <c r="G101" i="3"/>
  <c r="N101" i="3"/>
  <c r="S101" i="3"/>
  <c r="X101" i="3" a="1"/>
  <c r="X101" i="3" s="1"/>
  <c r="Y101" i="3" a="1"/>
  <c r="Y101" i="3" s="1"/>
  <c r="Z101" i="3" a="1"/>
  <c r="Z101" i="3" s="1"/>
  <c r="AA101" i="3"/>
  <c r="A102" i="3"/>
  <c r="C102" i="3"/>
  <c r="F102" i="3"/>
  <c r="G102" i="3"/>
  <c r="Q102" i="3"/>
  <c r="V102" i="3"/>
  <c r="X102" i="3" a="1"/>
  <c r="X102" i="3" s="1"/>
  <c r="Y102" i="3" a="1"/>
  <c r="Y102" i="3" s="1"/>
  <c r="Z102" i="3" a="1"/>
  <c r="Z102" i="3" s="1"/>
  <c r="A103" i="3"/>
  <c r="C103" i="3"/>
  <c r="F103" i="3"/>
  <c r="G103" i="3"/>
  <c r="N103" i="3"/>
  <c r="O103" i="3"/>
  <c r="P103" i="3"/>
  <c r="R103" i="3"/>
  <c r="S103" i="3"/>
  <c r="T103" i="3"/>
  <c r="V103" i="3"/>
  <c r="W103" i="3"/>
  <c r="X103" i="3" a="1"/>
  <c r="X103" i="3" s="1"/>
  <c r="Y103" i="3" a="1"/>
  <c r="Y103" i="3" s="1"/>
  <c r="Z103" i="3" a="1"/>
  <c r="Z103" i="3" s="1"/>
  <c r="AA103" i="3"/>
  <c r="AB103" i="3"/>
  <c r="AC103" i="3"/>
  <c r="A104" i="3"/>
  <c r="C104" i="3"/>
  <c r="F104" i="3"/>
  <c r="G104" i="3"/>
  <c r="N104" i="3"/>
  <c r="P104" i="3"/>
  <c r="Q104" i="3"/>
  <c r="T104" i="3"/>
  <c r="U104" i="3"/>
  <c r="V104" i="3"/>
  <c r="X104" i="3" a="1"/>
  <c r="X104" i="3" s="1"/>
  <c r="Y104" i="3" a="1"/>
  <c r="Y104" i="3" s="1"/>
  <c r="Z104" i="3" a="1"/>
  <c r="Z104" i="3" s="1"/>
  <c r="AA104" i="3"/>
  <c r="AC104" i="3"/>
  <c r="A105" i="3"/>
  <c r="C105" i="3"/>
  <c r="F105" i="3"/>
  <c r="G105" i="3"/>
  <c r="N105" i="3"/>
  <c r="O105" i="3"/>
  <c r="P105" i="3"/>
  <c r="S105" i="3"/>
  <c r="T105" i="3"/>
  <c r="V105" i="3"/>
  <c r="X105" i="3" a="1"/>
  <c r="X105" i="3" s="1"/>
  <c r="Y105" i="3" a="1"/>
  <c r="Y105" i="3" s="1"/>
  <c r="Z105" i="3" a="1"/>
  <c r="Z105" i="3" s="1"/>
  <c r="AA105" i="3"/>
  <c r="AB105" i="3"/>
  <c r="AC105" i="3"/>
  <c r="A106" i="3"/>
  <c r="C106" i="3"/>
  <c r="F106" i="3"/>
  <c r="G106" i="3"/>
  <c r="M106" i="3"/>
  <c r="N106" i="3"/>
  <c r="Q106" i="3"/>
  <c r="R106" i="3"/>
  <c r="T106" i="3"/>
  <c r="V106" i="3"/>
  <c r="X106" i="3" a="1"/>
  <c r="X106" i="3" s="1"/>
  <c r="Y106" i="3" a="1"/>
  <c r="Y106" i="3" s="1"/>
  <c r="Z106" i="3" a="1"/>
  <c r="Z106" i="3" s="1"/>
  <c r="AA106" i="3"/>
  <c r="A107" i="3"/>
  <c r="C107" i="3"/>
  <c r="F107" i="3"/>
  <c r="G107" i="3"/>
  <c r="N107" i="3"/>
  <c r="O107" i="3"/>
  <c r="S107" i="3"/>
  <c r="T107" i="3"/>
  <c r="X107" i="3" a="1"/>
  <c r="X107" i="3" s="1"/>
  <c r="Y107" i="3" a="1"/>
  <c r="Y107" i="3" s="1"/>
  <c r="Z107" i="3" a="1"/>
  <c r="Z107" i="3" s="1"/>
  <c r="AA107" i="3"/>
  <c r="AB107" i="3"/>
  <c r="A108" i="3"/>
  <c r="C108" i="3"/>
  <c r="F108" i="3"/>
  <c r="G108" i="3"/>
  <c r="M108" i="3"/>
  <c r="Q108" i="3"/>
  <c r="R108" i="3"/>
  <c r="V108" i="3"/>
  <c r="X108" i="3" a="1"/>
  <c r="X108" i="3" s="1"/>
  <c r="Y108" i="3" a="1"/>
  <c r="Y108" i="3" s="1"/>
  <c r="Z108" i="3" a="1"/>
  <c r="Z108" i="3" s="1"/>
  <c r="A109" i="3"/>
  <c r="C109" i="3"/>
  <c r="O109" i="3" s="1"/>
  <c r="F109" i="3"/>
  <c r="G109" i="3"/>
  <c r="N109" i="3"/>
  <c r="S109" i="3"/>
  <c r="X109" i="3" a="1"/>
  <c r="X109" i="3" s="1"/>
  <c r="Y109" i="3" a="1"/>
  <c r="Y109" i="3" s="1"/>
  <c r="Z109" i="3" a="1"/>
  <c r="Z109" i="3" s="1"/>
  <c r="AA109" i="3"/>
  <c r="A110" i="3"/>
  <c r="C110" i="3"/>
  <c r="F110" i="3"/>
  <c r="G110" i="3"/>
  <c r="Q110" i="3"/>
  <c r="V110" i="3"/>
  <c r="X110" i="3" a="1"/>
  <c r="X110" i="3" s="1"/>
  <c r="Y110" i="3" a="1"/>
  <c r="Y110" i="3" s="1"/>
  <c r="Z110" i="3" a="1"/>
  <c r="Z110" i="3" s="1"/>
  <c r="A111" i="3"/>
  <c r="C111" i="3"/>
  <c r="O111" i="3" s="1"/>
  <c r="F111" i="3"/>
  <c r="G111" i="3"/>
  <c r="N111" i="3"/>
  <c r="P111" i="3"/>
  <c r="R111" i="3"/>
  <c r="S111" i="3"/>
  <c r="V111" i="3"/>
  <c r="W111" i="3"/>
  <c r="X111" i="3" a="1"/>
  <c r="X111" i="3" s="1"/>
  <c r="Y111" i="3" a="1"/>
  <c r="Y111" i="3" s="1"/>
  <c r="Z111" i="3" a="1"/>
  <c r="Z111" i="3" s="1"/>
  <c r="AA111" i="3"/>
  <c r="AC111" i="3"/>
  <c r="A112" i="3"/>
  <c r="C112" i="3"/>
  <c r="F112" i="3"/>
  <c r="G112" i="3"/>
  <c r="N112" i="3"/>
  <c r="P112" i="3"/>
  <c r="Q112" i="3"/>
  <c r="T112" i="3"/>
  <c r="U112" i="3"/>
  <c r="V112" i="3"/>
  <c r="X112" i="3" a="1"/>
  <c r="X112" i="3" s="1"/>
  <c r="Y112" i="3" a="1"/>
  <c r="Y112" i="3" s="1"/>
  <c r="Z112" i="3" a="1"/>
  <c r="Z112" i="3" s="1"/>
  <c r="AA112" i="3"/>
  <c r="AC112" i="3"/>
  <c r="A113" i="3"/>
  <c r="C113" i="3"/>
  <c r="F113" i="3"/>
  <c r="G113" i="3"/>
  <c r="N113" i="3"/>
  <c r="P113" i="3"/>
  <c r="R113" i="3"/>
  <c r="S113" i="3"/>
  <c r="T113" i="3"/>
  <c r="V113" i="3"/>
  <c r="W113" i="3"/>
  <c r="X113" i="3" a="1"/>
  <c r="X113" i="3" s="1"/>
  <c r="Y113" i="3" a="1"/>
  <c r="Y113" i="3" s="1"/>
  <c r="Z113" i="3" a="1"/>
  <c r="Z113" i="3" s="1"/>
  <c r="AA113" i="3"/>
  <c r="AB113" i="3"/>
  <c r="AC113" i="3"/>
  <c r="A114" i="3"/>
  <c r="C114" i="3"/>
  <c r="F114" i="3"/>
  <c r="G114" i="3"/>
  <c r="M114" i="3"/>
  <c r="N114" i="3"/>
  <c r="Q114" i="3"/>
  <c r="R114" i="3"/>
  <c r="T114" i="3"/>
  <c r="V114" i="3"/>
  <c r="X114" i="3" a="1"/>
  <c r="X114" i="3" s="1"/>
  <c r="Y114" i="3" a="1"/>
  <c r="Y114" i="3" s="1"/>
  <c r="Z114" i="3" a="1"/>
  <c r="Z114" i="3" s="1"/>
  <c r="AA114" i="3"/>
  <c r="A115" i="3"/>
  <c r="C115" i="3"/>
  <c r="F115" i="3"/>
  <c r="G115" i="3"/>
  <c r="N115" i="3"/>
  <c r="O115" i="3"/>
  <c r="S115" i="3"/>
  <c r="T115" i="3"/>
  <c r="X115" i="3" a="1"/>
  <c r="X115" i="3" s="1"/>
  <c r="Y115" i="3" a="1"/>
  <c r="Y115" i="3" s="1"/>
  <c r="Z115" i="3" a="1"/>
  <c r="Z115" i="3" s="1"/>
  <c r="AA115" i="3"/>
  <c r="AB115" i="3"/>
  <c r="A116" i="3"/>
  <c r="C116" i="3"/>
  <c r="F116" i="3"/>
  <c r="G116" i="3"/>
  <c r="Q116" i="3"/>
  <c r="V116" i="3"/>
  <c r="X116" i="3" a="1"/>
  <c r="X116" i="3" s="1"/>
  <c r="Y116" i="3" a="1"/>
  <c r="Y116" i="3" s="1"/>
  <c r="Z116" i="3" a="1"/>
  <c r="Z116" i="3" s="1"/>
  <c r="A117" i="3"/>
  <c r="C117" i="3"/>
  <c r="F117" i="3"/>
  <c r="G117" i="3"/>
  <c r="N117" i="3"/>
  <c r="S117" i="3"/>
  <c r="X117" i="3" a="1"/>
  <c r="X117" i="3" s="1"/>
  <c r="Y117" i="3" a="1"/>
  <c r="Y117" i="3" s="1"/>
  <c r="Z117" i="3" a="1"/>
  <c r="Z117" i="3" s="1"/>
  <c r="AA117" i="3"/>
  <c r="A118" i="3"/>
  <c r="C118" i="3"/>
  <c r="F118" i="3"/>
  <c r="G118" i="3"/>
  <c r="Q118" i="3"/>
  <c r="V118" i="3"/>
  <c r="X118" i="3" a="1"/>
  <c r="X118" i="3" s="1"/>
  <c r="Y118" i="3" a="1"/>
  <c r="Y118" i="3" s="1"/>
  <c r="Z118" i="3" a="1"/>
  <c r="Z118" i="3" s="1"/>
  <c r="A119" i="3"/>
  <c r="C119" i="3"/>
  <c r="O119" i="3" s="1"/>
  <c r="F119" i="3"/>
  <c r="G119" i="3"/>
  <c r="N119" i="3"/>
  <c r="P119" i="3"/>
  <c r="R119" i="3"/>
  <c r="S119" i="3"/>
  <c r="V119" i="3"/>
  <c r="W119" i="3"/>
  <c r="X119" i="3" a="1"/>
  <c r="X119" i="3" s="1"/>
  <c r="Y119" i="3" a="1"/>
  <c r="Y119" i="3" s="1"/>
  <c r="Z119" i="3" a="1"/>
  <c r="Z119" i="3" s="1"/>
  <c r="AA119" i="3"/>
  <c r="AC119" i="3"/>
  <c r="A120" i="3"/>
  <c r="C120" i="3"/>
  <c r="F120" i="3"/>
  <c r="G120" i="3"/>
  <c r="N120" i="3"/>
  <c r="P120" i="3"/>
  <c r="Q120" i="3"/>
  <c r="T120" i="3"/>
  <c r="U120" i="3"/>
  <c r="V120" i="3"/>
  <c r="X120" i="3" a="1"/>
  <c r="X120" i="3" s="1"/>
  <c r="Y120" i="3" a="1"/>
  <c r="Y120" i="3" s="1"/>
  <c r="Z120" i="3" a="1"/>
  <c r="Z120" i="3" s="1"/>
  <c r="AA120" i="3"/>
  <c r="AC120" i="3"/>
  <c r="A121" i="3"/>
  <c r="C121" i="3"/>
  <c r="F121" i="3"/>
  <c r="G121" i="3"/>
  <c r="N121" i="3"/>
  <c r="O121" i="3"/>
  <c r="P121" i="3"/>
  <c r="R121" i="3"/>
  <c r="S121" i="3"/>
  <c r="T121" i="3"/>
  <c r="V121" i="3"/>
  <c r="W121" i="3"/>
  <c r="X121" i="3" a="1"/>
  <c r="X121" i="3" s="1"/>
  <c r="Y121" i="3" a="1"/>
  <c r="Y121" i="3" s="1"/>
  <c r="Z121" i="3" a="1"/>
  <c r="Z121" i="3" s="1"/>
  <c r="AA121" i="3"/>
  <c r="AB121" i="3"/>
  <c r="AC121" i="3"/>
  <c r="A122" i="3"/>
  <c r="C122" i="3"/>
  <c r="F122" i="3"/>
  <c r="G122" i="3"/>
  <c r="M122" i="3"/>
  <c r="N122" i="3"/>
  <c r="Q122" i="3"/>
  <c r="R122" i="3"/>
  <c r="T122" i="3"/>
  <c r="V122" i="3"/>
  <c r="X122" i="3" a="1"/>
  <c r="X122" i="3" s="1"/>
  <c r="Y122" i="3" a="1"/>
  <c r="Y122" i="3" s="1"/>
  <c r="Z122" i="3" a="1"/>
  <c r="Z122" i="3" s="1"/>
  <c r="AA122" i="3"/>
  <c r="A123" i="3"/>
  <c r="C123" i="3"/>
  <c r="F123" i="3"/>
  <c r="G123" i="3"/>
  <c r="N123" i="3"/>
  <c r="O123" i="3"/>
  <c r="S123" i="3"/>
  <c r="T123" i="3"/>
  <c r="X123" i="3" a="1"/>
  <c r="X123" i="3" s="1"/>
  <c r="Y123" i="3" a="1"/>
  <c r="Y123" i="3" s="1"/>
  <c r="Z123" i="3" a="1"/>
  <c r="Z123" i="3" s="1"/>
  <c r="AA123" i="3"/>
  <c r="AB123" i="3"/>
  <c r="A124" i="3"/>
  <c r="C124" i="3"/>
  <c r="F124" i="3"/>
  <c r="G124" i="3"/>
  <c r="Q124" i="3"/>
  <c r="V124" i="3"/>
  <c r="X124" i="3" a="1"/>
  <c r="X124" i="3" s="1"/>
  <c r="Y124" i="3" a="1"/>
  <c r="Y124" i="3" s="1"/>
  <c r="Z124" i="3" a="1"/>
  <c r="Z124" i="3" s="1"/>
  <c r="A125" i="3"/>
  <c r="C125" i="3"/>
  <c r="F125" i="3"/>
  <c r="G125" i="3"/>
  <c r="S125" i="3"/>
  <c r="X125" i="3" a="1"/>
  <c r="X125" i="3" s="1"/>
  <c r="Y125" i="3" a="1"/>
  <c r="Y125" i="3" s="1"/>
  <c r="Z125" i="3" a="1"/>
  <c r="Z125" i="3" s="1"/>
  <c r="AA125" i="3"/>
  <c r="A126" i="3"/>
  <c r="C126" i="3"/>
  <c r="F126" i="3"/>
  <c r="G126" i="3"/>
  <c r="Q126" i="3"/>
  <c r="V126" i="3"/>
  <c r="X126" i="3" a="1"/>
  <c r="X126" i="3" s="1"/>
  <c r="Y126" i="3" a="1"/>
  <c r="Y126" i="3" s="1"/>
  <c r="Z126" i="3" a="1"/>
  <c r="Z126" i="3" s="1"/>
  <c r="A127" i="3"/>
  <c r="C127" i="3"/>
  <c r="O127" i="3" s="1"/>
  <c r="F127" i="3"/>
  <c r="G127" i="3"/>
  <c r="N127" i="3"/>
  <c r="P127" i="3"/>
  <c r="R127" i="3"/>
  <c r="S127" i="3"/>
  <c r="V127" i="3"/>
  <c r="W127" i="3"/>
  <c r="X127" i="3" a="1"/>
  <c r="X127" i="3" s="1"/>
  <c r="Y127" i="3" a="1"/>
  <c r="Y127" i="3" s="1"/>
  <c r="Z127" i="3" a="1"/>
  <c r="Z127" i="3" s="1"/>
  <c r="AA127" i="3"/>
  <c r="AC127" i="3"/>
  <c r="A128" i="3"/>
  <c r="C128" i="3"/>
  <c r="F128" i="3"/>
  <c r="G128" i="3"/>
  <c r="N128" i="3"/>
  <c r="P128" i="3"/>
  <c r="Q128" i="3"/>
  <c r="T128" i="3"/>
  <c r="U128" i="3"/>
  <c r="V128" i="3"/>
  <c r="X128" i="3" a="1"/>
  <c r="X128" i="3" s="1"/>
  <c r="Y128" i="3" a="1"/>
  <c r="Y128" i="3" s="1"/>
  <c r="Z128" i="3" a="1"/>
  <c r="Z128" i="3" s="1"/>
  <c r="AA128" i="3"/>
  <c r="AC128" i="3"/>
  <c r="A129" i="3"/>
  <c r="C129" i="3"/>
  <c r="F129" i="3"/>
  <c r="G129" i="3"/>
  <c r="N129" i="3"/>
  <c r="O129" i="3"/>
  <c r="P129" i="3"/>
  <c r="R129" i="3"/>
  <c r="S129" i="3"/>
  <c r="T129" i="3"/>
  <c r="V129" i="3"/>
  <c r="W129" i="3"/>
  <c r="X129" i="3" a="1"/>
  <c r="X129" i="3" s="1"/>
  <c r="Y129" i="3" a="1"/>
  <c r="Y129" i="3" s="1"/>
  <c r="Z129" i="3" a="1"/>
  <c r="Z129" i="3" s="1"/>
  <c r="AA129" i="3"/>
  <c r="AB129" i="3"/>
  <c r="AC129" i="3"/>
  <c r="A130" i="3"/>
  <c r="C130" i="3"/>
  <c r="F130" i="3"/>
  <c r="G130" i="3"/>
  <c r="M130" i="3"/>
  <c r="N130" i="3"/>
  <c r="Q130" i="3"/>
  <c r="R130" i="3"/>
  <c r="T130" i="3"/>
  <c r="V130" i="3"/>
  <c r="X130" i="3" a="1"/>
  <c r="X130" i="3" s="1"/>
  <c r="Y130" i="3" a="1"/>
  <c r="Y130" i="3" s="1"/>
  <c r="Z130" i="3" a="1"/>
  <c r="Z130" i="3" s="1"/>
  <c r="AA130" i="3"/>
  <c r="A131" i="3"/>
  <c r="C131" i="3"/>
  <c r="F131" i="3"/>
  <c r="G131" i="3"/>
  <c r="O131" i="3"/>
  <c r="X131" i="3" a="1"/>
  <c r="X131" i="3" s="1"/>
  <c r="Y131" i="3" a="1"/>
  <c r="Y131" i="3" s="1"/>
  <c r="Z131" i="3" a="1"/>
  <c r="Z131" i="3" s="1"/>
  <c r="AB131" i="3"/>
  <c r="A132" i="3"/>
  <c r="C132" i="3"/>
  <c r="F132" i="3"/>
  <c r="G132" i="3"/>
  <c r="M132" i="3"/>
  <c r="Q132" i="3"/>
  <c r="R132" i="3"/>
  <c r="V132" i="3"/>
  <c r="X132" i="3" a="1"/>
  <c r="X132" i="3" s="1"/>
  <c r="Y132" i="3" a="1"/>
  <c r="Y132" i="3" s="1"/>
  <c r="Z132" i="3" a="1"/>
  <c r="Z132" i="3" s="1"/>
  <c r="A133" i="3"/>
  <c r="U136" i="3" s="1"/>
  <c r="C133" i="3"/>
  <c r="F133" i="3"/>
  <c r="G133" i="3"/>
  <c r="N133" i="3"/>
  <c r="R133" i="3"/>
  <c r="X133" i="3" a="1"/>
  <c r="X133" i="3" s="1"/>
  <c r="Y133" i="3" a="1"/>
  <c r="Y133" i="3" s="1"/>
  <c r="Z133" i="3" a="1"/>
  <c r="Z133" i="3" s="1"/>
  <c r="A134" i="3"/>
  <c r="C134" i="3"/>
  <c r="F134" i="3"/>
  <c r="G134" i="3"/>
  <c r="P134" i="3"/>
  <c r="X134" i="3" a="1"/>
  <c r="X134" i="3" s="1"/>
  <c r="Y134" i="3" a="1"/>
  <c r="Y134" i="3" s="1"/>
  <c r="Z134" i="3" a="1"/>
  <c r="Z134" i="3" s="1"/>
  <c r="A135" i="3"/>
  <c r="C135" i="3"/>
  <c r="O135" i="3" s="1"/>
  <c r="F135" i="3"/>
  <c r="G135" i="3"/>
  <c r="N135" i="3"/>
  <c r="P135" i="3"/>
  <c r="R135" i="3"/>
  <c r="S135" i="3"/>
  <c r="V135" i="3"/>
  <c r="W135" i="3"/>
  <c r="X135" i="3" a="1"/>
  <c r="X135" i="3" s="1"/>
  <c r="Y135" i="3" a="1"/>
  <c r="Y135" i="3" s="1"/>
  <c r="Z135" i="3" a="1"/>
  <c r="Z135" i="3" s="1"/>
  <c r="AA135" i="3"/>
  <c r="AC135" i="3"/>
  <c r="A136" i="3"/>
  <c r="C136" i="3"/>
  <c r="F136" i="3"/>
  <c r="G136" i="3"/>
  <c r="N136" i="3"/>
  <c r="P136" i="3"/>
  <c r="Q136" i="3"/>
  <c r="T136" i="3"/>
  <c r="V136" i="3"/>
  <c r="X136" i="3" a="1"/>
  <c r="X136" i="3" s="1"/>
  <c r="Y136" i="3" a="1"/>
  <c r="Y136" i="3" s="1"/>
  <c r="Z136" i="3" a="1"/>
  <c r="Z136" i="3" s="1"/>
  <c r="AA136" i="3"/>
  <c r="AC136" i="3"/>
  <c r="A137" i="3"/>
  <c r="C137" i="3"/>
  <c r="F137" i="3"/>
  <c r="G137" i="3"/>
  <c r="N137" i="3"/>
  <c r="O137" i="3"/>
  <c r="P137" i="3"/>
  <c r="R137" i="3"/>
  <c r="S137" i="3"/>
  <c r="T137" i="3"/>
  <c r="V137" i="3"/>
  <c r="W137" i="3"/>
  <c r="X137" i="3" a="1"/>
  <c r="X137" i="3" s="1"/>
  <c r="Y137" i="3" a="1"/>
  <c r="Y137" i="3" s="1"/>
  <c r="Z137" i="3" a="1"/>
  <c r="Z137" i="3" s="1"/>
  <c r="AA137" i="3"/>
  <c r="AB137" i="3"/>
  <c r="AC137" i="3"/>
  <c r="A138" i="3"/>
  <c r="C138" i="3"/>
  <c r="F138" i="3"/>
  <c r="G138" i="3"/>
  <c r="M138" i="3"/>
  <c r="N138" i="3"/>
  <c r="P138" i="3"/>
  <c r="Q138" i="3"/>
  <c r="R138" i="3"/>
  <c r="T138" i="3"/>
  <c r="V138" i="3"/>
  <c r="X138" i="3" a="1"/>
  <c r="X138" i="3" s="1"/>
  <c r="Y138" i="3" a="1"/>
  <c r="Y138" i="3" s="1"/>
  <c r="Z138" i="3" a="1"/>
  <c r="Z138" i="3" s="1"/>
  <c r="AA138" i="3"/>
  <c r="AC138" i="3"/>
  <c r="A139" i="3"/>
  <c r="C139" i="3"/>
  <c r="F139" i="3"/>
  <c r="G139" i="3"/>
  <c r="O139" i="3"/>
  <c r="X139" i="3" a="1"/>
  <c r="X139" i="3" s="1"/>
  <c r="Y139" i="3" a="1"/>
  <c r="Y139" i="3" s="1"/>
  <c r="Z139" i="3" a="1"/>
  <c r="Z139" i="3" s="1"/>
  <c r="A140" i="3"/>
  <c r="C140" i="3"/>
  <c r="F140" i="3"/>
  <c r="G140" i="3"/>
  <c r="M140" i="3"/>
  <c r="Q140" i="3"/>
  <c r="R140" i="3"/>
  <c r="V140" i="3"/>
  <c r="X140" i="3" a="1"/>
  <c r="X140" i="3" s="1"/>
  <c r="Y140" i="3" a="1"/>
  <c r="Y140" i="3" s="1"/>
  <c r="Z140" i="3" a="1"/>
  <c r="Z140" i="3" s="1"/>
  <c r="A141" i="3"/>
  <c r="C141" i="3"/>
  <c r="F141" i="3"/>
  <c r="G141" i="3"/>
  <c r="N141" i="3"/>
  <c r="R141" i="3"/>
  <c r="X141" i="3" a="1"/>
  <c r="X141" i="3" s="1"/>
  <c r="Y141" i="3" a="1"/>
  <c r="Y141" i="3" s="1"/>
  <c r="Z141" i="3" a="1"/>
  <c r="Z141" i="3" s="1"/>
  <c r="A142" i="3"/>
  <c r="C142" i="3"/>
  <c r="F142" i="3"/>
  <c r="G142" i="3"/>
  <c r="P142" i="3"/>
  <c r="U142" i="3"/>
  <c r="X142" i="3" a="1"/>
  <c r="X142" i="3" s="1"/>
  <c r="Y142" i="3" a="1"/>
  <c r="Y142" i="3" s="1"/>
  <c r="Z142" i="3" a="1"/>
  <c r="Z142" i="3" s="1"/>
  <c r="A143" i="3"/>
  <c r="C143" i="3"/>
  <c r="F143" i="3"/>
  <c r="G143" i="3"/>
  <c r="N143" i="3"/>
  <c r="O143" i="3"/>
  <c r="P143" i="3"/>
  <c r="R143" i="3"/>
  <c r="S143" i="3"/>
  <c r="T143" i="3"/>
  <c r="V143" i="3"/>
  <c r="W143" i="3"/>
  <c r="X143" i="3" a="1"/>
  <c r="X143" i="3" s="1"/>
  <c r="Y143" i="3" a="1"/>
  <c r="Y143" i="3" s="1"/>
  <c r="Z143" i="3" a="1"/>
  <c r="Z143" i="3" s="1"/>
  <c r="AA143" i="3"/>
  <c r="AB143" i="3"/>
  <c r="AC143" i="3"/>
  <c r="A144" i="3"/>
  <c r="C144" i="3"/>
  <c r="F144" i="3"/>
  <c r="G144" i="3"/>
  <c r="M144" i="3"/>
  <c r="N144" i="3"/>
  <c r="Q144" i="3"/>
  <c r="R144" i="3"/>
  <c r="T144" i="3"/>
  <c r="V144" i="3"/>
  <c r="X144" i="3" a="1"/>
  <c r="X144" i="3" s="1"/>
  <c r="Y144" i="3" a="1"/>
  <c r="Y144" i="3" s="1"/>
  <c r="Z144" i="3" a="1"/>
  <c r="Z144" i="3" s="1"/>
  <c r="AA144" i="3"/>
  <c r="A145" i="3"/>
  <c r="C145" i="3"/>
  <c r="F145" i="3"/>
  <c r="G145" i="3"/>
  <c r="N145" i="3"/>
  <c r="S145" i="3"/>
  <c r="X145" i="3" a="1"/>
  <c r="X145" i="3" s="1"/>
  <c r="Y145" i="3" a="1"/>
  <c r="Y145" i="3" s="1"/>
  <c r="Z145" i="3" a="1"/>
  <c r="Z145" i="3" s="1"/>
  <c r="AA145" i="3"/>
  <c r="A146" i="3"/>
  <c r="C146" i="3"/>
  <c r="F146" i="3"/>
  <c r="G146" i="3"/>
  <c r="Q146" i="3"/>
  <c r="V146" i="3"/>
  <c r="X146" i="3" a="1"/>
  <c r="X146" i="3" s="1"/>
  <c r="Y146" i="3" a="1"/>
  <c r="Y146" i="3" s="1"/>
  <c r="Z146" i="3" a="1"/>
  <c r="Z146" i="3" s="1"/>
  <c r="A147" i="3"/>
  <c r="C147" i="3"/>
  <c r="F147" i="3"/>
  <c r="G147" i="3"/>
  <c r="N147" i="3"/>
  <c r="R147" i="3"/>
  <c r="S147" i="3"/>
  <c r="W147" i="3"/>
  <c r="X147" i="3" a="1"/>
  <c r="X147" i="3" s="1"/>
  <c r="Y147" i="3" a="1"/>
  <c r="Y147" i="3" s="1"/>
  <c r="Z147" i="3" a="1"/>
  <c r="Z147" i="3" s="1"/>
  <c r="AA147" i="3"/>
  <c r="A148" i="3"/>
  <c r="C148" i="3"/>
  <c r="F148" i="3"/>
  <c r="G148" i="3"/>
  <c r="Q148" i="3"/>
  <c r="V148" i="3"/>
  <c r="X148" i="3" a="1"/>
  <c r="X148" i="3" s="1"/>
  <c r="Y148" i="3" a="1"/>
  <c r="Y148" i="3" s="1"/>
  <c r="Z148" i="3" a="1"/>
  <c r="Z148" i="3" s="1"/>
  <c r="A149" i="3"/>
  <c r="C149" i="3"/>
  <c r="F149" i="3"/>
  <c r="G149" i="3"/>
  <c r="N149" i="3"/>
  <c r="O149" i="3"/>
  <c r="P149" i="3"/>
  <c r="R149" i="3"/>
  <c r="S149" i="3"/>
  <c r="T149" i="3"/>
  <c r="V149" i="3"/>
  <c r="W149" i="3"/>
  <c r="X149" i="3" a="1"/>
  <c r="X149" i="3" s="1"/>
  <c r="Y149" i="3" a="1"/>
  <c r="Y149" i="3" s="1"/>
  <c r="Z149" i="3" a="1"/>
  <c r="Z149" i="3" s="1"/>
  <c r="AA149" i="3"/>
  <c r="AB149" i="3"/>
  <c r="AC149" i="3"/>
  <c r="A150" i="3"/>
  <c r="C150" i="3"/>
  <c r="F150" i="3"/>
  <c r="G150" i="3"/>
  <c r="N150" i="3"/>
  <c r="P150" i="3"/>
  <c r="Q150" i="3"/>
  <c r="T150" i="3"/>
  <c r="U150" i="3"/>
  <c r="V150" i="3"/>
  <c r="X150" i="3" a="1"/>
  <c r="X150" i="3" s="1"/>
  <c r="Y150" i="3" a="1"/>
  <c r="Y150" i="3" s="1"/>
  <c r="Z150" i="3" a="1"/>
  <c r="Z150" i="3" s="1"/>
  <c r="AA150" i="3"/>
  <c r="AC150" i="3"/>
  <c r="A151" i="3"/>
  <c r="C151" i="3"/>
  <c r="F151" i="3"/>
  <c r="G151" i="3"/>
  <c r="N151" i="3"/>
  <c r="O151" i="3"/>
  <c r="P151" i="3"/>
  <c r="S151" i="3"/>
  <c r="T151" i="3"/>
  <c r="V151" i="3"/>
  <c r="X151" i="3" a="1"/>
  <c r="X151" i="3" s="1"/>
  <c r="Y151" i="3" a="1"/>
  <c r="Y151" i="3" s="1"/>
  <c r="Z151" i="3" a="1"/>
  <c r="Z151" i="3" s="1"/>
  <c r="AA151" i="3"/>
  <c r="AB151" i="3"/>
  <c r="AC151" i="3"/>
  <c r="A152" i="3"/>
  <c r="C152" i="3"/>
  <c r="F152" i="3"/>
  <c r="G152" i="3"/>
  <c r="M152" i="3"/>
  <c r="N152" i="3"/>
  <c r="Q152" i="3"/>
  <c r="R152" i="3"/>
  <c r="T152" i="3"/>
  <c r="V152" i="3"/>
  <c r="X152" i="3" a="1"/>
  <c r="X152" i="3" s="1"/>
  <c r="Y152" i="3" a="1"/>
  <c r="Y152" i="3" s="1"/>
  <c r="Z152" i="3" a="1"/>
  <c r="Z152" i="3" s="1"/>
  <c r="AA152" i="3"/>
  <c r="A153" i="3"/>
  <c r="C153" i="3"/>
  <c r="O153" i="3" s="1"/>
  <c r="F153" i="3"/>
  <c r="G153" i="3"/>
  <c r="N153" i="3"/>
  <c r="S153" i="3"/>
  <c r="X153" i="3" a="1"/>
  <c r="X153" i="3" s="1"/>
  <c r="Y153" i="3" a="1"/>
  <c r="Y153" i="3" s="1"/>
  <c r="Z153" i="3" a="1"/>
  <c r="Z153" i="3" s="1"/>
  <c r="AA153" i="3"/>
  <c r="A154" i="3"/>
  <c r="C154" i="3"/>
  <c r="F154" i="3"/>
  <c r="G154" i="3"/>
  <c r="Q154" i="3"/>
  <c r="V154" i="3"/>
  <c r="X154" i="3" a="1"/>
  <c r="X154" i="3" s="1"/>
  <c r="Y154" i="3" a="1"/>
  <c r="Y154" i="3" s="1"/>
  <c r="Z154" i="3" a="1"/>
  <c r="Z154" i="3" s="1"/>
  <c r="A155" i="3"/>
  <c r="AB165" i="3" s="1"/>
  <c r="C155" i="3"/>
  <c r="F155" i="3"/>
  <c r="G155" i="3"/>
  <c r="N155" i="3"/>
  <c r="R155" i="3"/>
  <c r="S155" i="3"/>
  <c r="W155" i="3"/>
  <c r="X155" i="3" a="1"/>
  <c r="X155" i="3" s="1"/>
  <c r="Y155" i="3" a="1"/>
  <c r="Y155" i="3" s="1"/>
  <c r="Z155" i="3" a="1"/>
  <c r="Z155" i="3" s="1"/>
  <c r="AA155" i="3"/>
  <c r="A156" i="3"/>
  <c r="C156" i="3"/>
  <c r="F156" i="3"/>
  <c r="G156" i="3"/>
  <c r="Q156" i="3"/>
  <c r="V156" i="3"/>
  <c r="X156" i="3" a="1"/>
  <c r="X156" i="3" s="1"/>
  <c r="Y156" i="3" a="1"/>
  <c r="Y156" i="3" s="1"/>
  <c r="Z156" i="3" a="1"/>
  <c r="Z156" i="3" s="1"/>
  <c r="A157" i="3"/>
  <c r="C157" i="3"/>
  <c r="F157" i="3"/>
  <c r="G157" i="3"/>
  <c r="N157" i="3"/>
  <c r="O157" i="3"/>
  <c r="P157" i="3"/>
  <c r="R157" i="3"/>
  <c r="S157" i="3"/>
  <c r="T157" i="3"/>
  <c r="V157" i="3"/>
  <c r="W157" i="3"/>
  <c r="X157" i="3" a="1"/>
  <c r="X157" i="3" s="1"/>
  <c r="Y157" i="3" a="1"/>
  <c r="Y157" i="3" s="1"/>
  <c r="Z157" i="3" a="1"/>
  <c r="Z157" i="3" s="1"/>
  <c r="AA157" i="3"/>
  <c r="AB157" i="3"/>
  <c r="AC157" i="3"/>
  <c r="A158" i="3"/>
  <c r="C158" i="3"/>
  <c r="F158" i="3"/>
  <c r="G158" i="3"/>
  <c r="N158" i="3"/>
  <c r="P158" i="3"/>
  <c r="Q158" i="3"/>
  <c r="T158" i="3"/>
  <c r="U158" i="3"/>
  <c r="V158" i="3"/>
  <c r="X158" i="3" a="1"/>
  <c r="X158" i="3" s="1"/>
  <c r="Y158" i="3" a="1"/>
  <c r="Y158" i="3" s="1"/>
  <c r="Z158" i="3" a="1"/>
  <c r="Z158" i="3" s="1"/>
  <c r="AA158" i="3"/>
  <c r="AC158" i="3"/>
  <c r="A159" i="3"/>
  <c r="C159" i="3"/>
  <c r="F159" i="3"/>
  <c r="G159" i="3"/>
  <c r="N159" i="3"/>
  <c r="O159" i="3"/>
  <c r="P159" i="3"/>
  <c r="S159" i="3"/>
  <c r="T159" i="3"/>
  <c r="V159" i="3"/>
  <c r="X159" i="3" a="1"/>
  <c r="X159" i="3" s="1"/>
  <c r="Y159" i="3" a="1"/>
  <c r="Y159" i="3" s="1"/>
  <c r="Z159" i="3" a="1"/>
  <c r="Z159" i="3" s="1"/>
  <c r="AA159" i="3"/>
  <c r="AB159" i="3"/>
  <c r="AC159" i="3"/>
  <c r="A160" i="3"/>
  <c r="C160" i="3"/>
  <c r="F160" i="3"/>
  <c r="G160" i="3"/>
  <c r="M160" i="3"/>
  <c r="N160" i="3"/>
  <c r="Q160" i="3"/>
  <c r="R160" i="3"/>
  <c r="T160" i="3"/>
  <c r="V160" i="3"/>
  <c r="X160" i="3" a="1"/>
  <c r="X160" i="3" s="1"/>
  <c r="Y160" i="3" a="1"/>
  <c r="Y160" i="3" s="1"/>
  <c r="Z160" i="3" a="1"/>
  <c r="Z160" i="3" s="1"/>
  <c r="AA160" i="3"/>
  <c r="A161" i="3"/>
  <c r="C161" i="3"/>
  <c r="O161" i="3" s="1"/>
  <c r="F161" i="3"/>
  <c r="G161" i="3"/>
  <c r="N161" i="3"/>
  <c r="S161" i="3"/>
  <c r="X161" i="3" a="1"/>
  <c r="X161" i="3" s="1"/>
  <c r="Y161" i="3" a="1"/>
  <c r="Y161" i="3" s="1"/>
  <c r="Z161" i="3" a="1"/>
  <c r="Z161" i="3" s="1"/>
  <c r="AA161" i="3"/>
  <c r="AB161" i="3"/>
  <c r="A162" i="3"/>
  <c r="C162" i="3"/>
  <c r="F162" i="3"/>
  <c r="G162" i="3"/>
  <c r="Q162" i="3"/>
  <c r="V162" i="3"/>
  <c r="X162" i="3" a="1"/>
  <c r="X162" i="3" s="1"/>
  <c r="Y162" i="3" a="1"/>
  <c r="Y162" i="3" s="1"/>
  <c r="Z162" i="3" a="1"/>
  <c r="Z162" i="3" s="1"/>
  <c r="A163" i="3"/>
  <c r="C163" i="3"/>
  <c r="F163" i="3"/>
  <c r="G163" i="3"/>
  <c r="N163" i="3"/>
  <c r="S163" i="3"/>
  <c r="X163" i="3" a="1"/>
  <c r="X163" i="3" s="1"/>
  <c r="Y163" i="3" a="1"/>
  <c r="Y163" i="3" s="1"/>
  <c r="Z163" i="3" a="1"/>
  <c r="Z163" i="3" s="1"/>
  <c r="AA163" i="3"/>
  <c r="A164" i="3"/>
  <c r="C164" i="3"/>
  <c r="V164" i="3" s="1"/>
  <c r="F164" i="3"/>
  <c r="G164" i="3"/>
  <c r="Q164" i="3"/>
  <c r="X164" i="3" a="1"/>
  <c r="X164" i="3" s="1"/>
  <c r="Y164" i="3" a="1"/>
  <c r="Y164" i="3" s="1"/>
  <c r="Z164" i="3" a="1"/>
  <c r="Z164" i="3" s="1"/>
  <c r="A165" i="3"/>
  <c r="AB167" i="3" s="1"/>
  <c r="C165" i="3"/>
  <c r="F165" i="3"/>
  <c r="G165" i="3"/>
  <c r="N165" i="3"/>
  <c r="O165" i="3"/>
  <c r="P165" i="3"/>
  <c r="R165" i="3"/>
  <c r="S165" i="3"/>
  <c r="T165" i="3"/>
  <c r="V165" i="3"/>
  <c r="W165" i="3"/>
  <c r="X165" i="3" a="1"/>
  <c r="X165" i="3" s="1"/>
  <c r="Y165" i="3" a="1"/>
  <c r="Y165" i="3" s="1"/>
  <c r="Z165" i="3" a="1"/>
  <c r="Z165" i="3" s="1"/>
  <c r="AA165" i="3"/>
  <c r="AC165" i="3"/>
  <c r="A166" i="3"/>
  <c r="C166" i="3"/>
  <c r="F166" i="3"/>
  <c r="G166" i="3"/>
  <c r="M166" i="3"/>
  <c r="N166" i="3"/>
  <c r="P166" i="3"/>
  <c r="Q166" i="3"/>
  <c r="R166" i="3"/>
  <c r="T166" i="3"/>
  <c r="V166" i="3"/>
  <c r="X166" i="3" a="1"/>
  <c r="X166" i="3" s="1"/>
  <c r="Y166" i="3" a="1"/>
  <c r="Y166" i="3" s="1"/>
  <c r="Z166" i="3" a="1"/>
  <c r="Z166" i="3" s="1"/>
  <c r="AA166" i="3"/>
  <c r="AC166" i="3"/>
  <c r="A167" i="3"/>
  <c r="C167" i="3"/>
  <c r="F167" i="3"/>
  <c r="G167" i="3"/>
  <c r="N167" i="3"/>
  <c r="P167" i="3"/>
  <c r="S167" i="3"/>
  <c r="T167" i="3"/>
  <c r="V167" i="3"/>
  <c r="X167" i="3" a="1"/>
  <c r="X167" i="3" s="1"/>
  <c r="Y167" i="3" a="1"/>
  <c r="Y167" i="3" s="1"/>
  <c r="Z167" i="3" a="1"/>
  <c r="Z167" i="3" s="1"/>
  <c r="AA167" i="3"/>
  <c r="AC167" i="3"/>
  <c r="A168" i="3"/>
  <c r="C168" i="3"/>
  <c r="F168" i="3"/>
  <c r="G168" i="3"/>
  <c r="M168" i="3"/>
  <c r="N168" i="3"/>
  <c r="Q168" i="3"/>
  <c r="R168" i="3"/>
  <c r="T168" i="3"/>
  <c r="V168" i="3"/>
  <c r="X168" i="3" a="1"/>
  <c r="X168" i="3" s="1"/>
  <c r="Y168" i="3" a="1"/>
  <c r="Y168" i="3" s="1"/>
  <c r="Z168" i="3" a="1"/>
  <c r="Z168" i="3" s="1"/>
  <c r="AA168" i="3"/>
  <c r="A169" i="3"/>
  <c r="C169" i="3"/>
  <c r="F169" i="3"/>
  <c r="G169" i="3"/>
  <c r="N169" i="3"/>
  <c r="O169" i="3"/>
  <c r="S169" i="3"/>
  <c r="T169" i="3"/>
  <c r="X169" i="3" a="1"/>
  <c r="X169" i="3" s="1"/>
  <c r="Y169" i="3" a="1"/>
  <c r="Y169" i="3" s="1"/>
  <c r="Z169" i="3" a="1"/>
  <c r="Z169" i="3" s="1"/>
  <c r="AA169" i="3"/>
  <c r="AB169" i="3"/>
  <c r="A170" i="3"/>
  <c r="C170" i="3"/>
  <c r="F170" i="3"/>
  <c r="G170" i="3"/>
  <c r="V170" i="3"/>
  <c r="X170" i="3" a="1"/>
  <c r="X170" i="3" s="1"/>
  <c r="Y170" i="3" a="1"/>
  <c r="Y170" i="3" s="1"/>
  <c r="Z170" i="3" a="1"/>
  <c r="Z170" i="3" s="1"/>
  <c r="A171" i="3"/>
  <c r="C171" i="3"/>
  <c r="R171" i="3" s="1"/>
  <c r="F171" i="3"/>
  <c r="G171" i="3"/>
  <c r="N171" i="3"/>
  <c r="S171" i="3"/>
  <c r="X171" i="3" a="1"/>
  <c r="X171" i="3" s="1"/>
  <c r="Y171" i="3" a="1"/>
  <c r="Y171" i="3" s="1"/>
  <c r="Z171" i="3" a="1"/>
  <c r="Z171" i="3" s="1"/>
  <c r="AA171" i="3"/>
  <c r="A172" i="3"/>
  <c r="C172" i="3"/>
  <c r="Q172" i="3" s="1"/>
  <c r="F172" i="3"/>
  <c r="G172" i="3"/>
  <c r="P172" i="3"/>
  <c r="X172" i="3" a="1"/>
  <c r="X172" i="3" s="1"/>
  <c r="Y172" i="3" a="1"/>
  <c r="Y172" i="3" s="1"/>
  <c r="Z172" i="3" a="1"/>
  <c r="Z172" i="3" s="1"/>
  <c r="AC172" i="3"/>
  <c r="A173" i="3"/>
  <c r="C173" i="3"/>
  <c r="F173" i="3"/>
  <c r="G173" i="3"/>
  <c r="N173" i="3"/>
  <c r="O173" i="3"/>
  <c r="P173" i="3"/>
  <c r="R173" i="3"/>
  <c r="S173" i="3"/>
  <c r="T173" i="3"/>
  <c r="V173" i="3"/>
  <c r="W173" i="3"/>
  <c r="X173" i="3" a="1"/>
  <c r="X173" i="3" s="1"/>
  <c r="Y173" i="3" a="1"/>
  <c r="Y173" i="3" s="1"/>
  <c r="Z173" i="3" a="1"/>
  <c r="Z173" i="3" s="1"/>
  <c r="AA173" i="3"/>
  <c r="AB173" i="3"/>
  <c r="AC173" i="3"/>
  <c r="A174" i="3"/>
  <c r="C174" i="3"/>
  <c r="F174" i="3"/>
  <c r="G174" i="3"/>
  <c r="M174" i="3"/>
  <c r="N174" i="3"/>
  <c r="P174" i="3"/>
  <c r="Q174" i="3"/>
  <c r="R174" i="3"/>
  <c r="T174" i="3"/>
  <c r="U174" i="3"/>
  <c r="V174" i="3"/>
  <c r="X174" i="3" a="1"/>
  <c r="X174" i="3" s="1"/>
  <c r="Y174" i="3" a="1"/>
  <c r="Y174" i="3" s="1"/>
  <c r="Z174" i="3" a="1"/>
  <c r="Z174" i="3" s="1"/>
  <c r="AA174" i="3"/>
  <c r="AC174" i="3"/>
  <c r="A175" i="3"/>
  <c r="C175" i="3"/>
  <c r="F175" i="3"/>
  <c r="G175" i="3"/>
  <c r="N175" i="3"/>
  <c r="O175" i="3"/>
  <c r="P175" i="3"/>
  <c r="S175" i="3"/>
  <c r="T175" i="3"/>
  <c r="V175" i="3"/>
  <c r="X175" i="3" a="1"/>
  <c r="X175" i="3" s="1"/>
  <c r="Y175" i="3" a="1"/>
  <c r="Y175" i="3" s="1"/>
  <c r="Z175" i="3" a="1"/>
  <c r="Z175" i="3" s="1"/>
  <c r="AA175" i="3"/>
  <c r="AB175" i="3"/>
  <c r="AC175" i="3"/>
  <c r="A176" i="3"/>
  <c r="C176" i="3"/>
  <c r="F176" i="3"/>
  <c r="G176" i="3"/>
  <c r="N176" i="3"/>
  <c r="R176" i="3"/>
  <c r="V176" i="3"/>
  <c r="X176" i="3" a="1"/>
  <c r="X176" i="3" s="1"/>
  <c r="Y176" i="3" a="1"/>
  <c r="Y176" i="3" s="1"/>
  <c r="Z176" i="3" a="1"/>
  <c r="Z176" i="3" s="1"/>
  <c r="AA176" i="3"/>
  <c r="A177" i="3"/>
  <c r="C177" i="3"/>
  <c r="O177" i="3" s="1"/>
  <c r="F177" i="3"/>
  <c r="G177" i="3"/>
  <c r="N177" i="3"/>
  <c r="T177" i="3"/>
  <c r="X177" i="3" a="1"/>
  <c r="X177" i="3" s="1"/>
  <c r="Y177" i="3" a="1"/>
  <c r="Y177" i="3" s="1"/>
  <c r="Z177" i="3" a="1"/>
  <c r="Z177" i="3" s="1"/>
  <c r="AB177" i="3"/>
  <c r="A178" i="3"/>
  <c r="C178" i="3"/>
  <c r="F178" i="3"/>
  <c r="G178" i="3"/>
  <c r="P178" i="3"/>
  <c r="R178" i="3"/>
  <c r="V178" i="3"/>
  <c r="X178" i="3" a="1"/>
  <c r="X178" i="3" s="1"/>
  <c r="Y178" i="3" a="1"/>
  <c r="Y178" i="3" s="1"/>
  <c r="Z178" i="3" a="1"/>
  <c r="Z178" i="3" s="1"/>
  <c r="A179" i="3"/>
  <c r="C179" i="3"/>
  <c r="R179" i="3" s="1"/>
  <c r="F179" i="3"/>
  <c r="G179" i="3"/>
  <c r="N179" i="3"/>
  <c r="P179" i="3"/>
  <c r="S179" i="3"/>
  <c r="V179" i="3"/>
  <c r="W179" i="3"/>
  <c r="X179" i="3" a="1"/>
  <c r="X179" i="3" s="1"/>
  <c r="Y179" i="3" a="1"/>
  <c r="Y179" i="3" s="1"/>
  <c r="Z179" i="3" a="1"/>
  <c r="Z179" i="3" s="1"/>
  <c r="AC179" i="3"/>
  <c r="A180" i="3"/>
  <c r="C180" i="3"/>
  <c r="P180" i="3" s="1"/>
  <c r="F180" i="3"/>
  <c r="G180" i="3"/>
  <c r="N180" i="3"/>
  <c r="U180" i="3"/>
  <c r="X180" i="3" a="1"/>
  <c r="X180" i="3" s="1"/>
  <c r="Y180" i="3" a="1"/>
  <c r="Y180" i="3" s="1"/>
  <c r="Z180" i="3" a="1"/>
  <c r="Z180" i="3" s="1"/>
  <c r="A181" i="3"/>
  <c r="C181" i="3"/>
  <c r="F181" i="3"/>
  <c r="G181" i="3"/>
  <c r="N181" i="3"/>
  <c r="O181" i="3"/>
  <c r="P181" i="3"/>
  <c r="R181" i="3"/>
  <c r="S181" i="3"/>
  <c r="T181" i="3"/>
  <c r="V181" i="3"/>
  <c r="W181" i="3"/>
  <c r="X181" i="3" a="1"/>
  <c r="X181" i="3" s="1"/>
  <c r="Y181" i="3" a="1"/>
  <c r="Y181" i="3" s="1"/>
  <c r="Z181" i="3" a="1"/>
  <c r="Z181" i="3" s="1"/>
  <c r="AA181" i="3"/>
  <c r="AB181" i="3"/>
  <c r="AC181" i="3"/>
  <c r="A182" i="3"/>
  <c r="C182" i="3"/>
  <c r="F182" i="3"/>
  <c r="G182" i="3"/>
  <c r="M182" i="3"/>
  <c r="N182" i="3"/>
  <c r="P182" i="3"/>
  <c r="Q182" i="3"/>
  <c r="R182" i="3"/>
  <c r="T182" i="3"/>
  <c r="U182" i="3"/>
  <c r="V182" i="3"/>
  <c r="X182" i="3" a="1"/>
  <c r="X182" i="3" s="1"/>
  <c r="Y182" i="3" a="1"/>
  <c r="Y182" i="3" s="1"/>
  <c r="Z182" i="3" a="1"/>
  <c r="Z182" i="3" s="1"/>
  <c r="AA182" i="3"/>
  <c r="AC182" i="3"/>
  <c r="A183" i="3"/>
  <c r="C183" i="3"/>
  <c r="F183" i="3"/>
  <c r="G183" i="3"/>
  <c r="N183" i="3"/>
  <c r="S183" i="3"/>
  <c r="X183" i="3" a="1"/>
  <c r="X183" i="3" s="1"/>
  <c r="Y183" i="3" a="1"/>
  <c r="Y183" i="3" s="1"/>
  <c r="Z183" i="3" a="1"/>
  <c r="Z183" i="3" s="1"/>
  <c r="AA183" i="3"/>
  <c r="A184" i="3"/>
  <c r="C184" i="3"/>
  <c r="F184" i="3"/>
  <c r="G184" i="3"/>
  <c r="Q184" i="3"/>
  <c r="V184" i="3"/>
  <c r="X184" i="3" a="1"/>
  <c r="X184" i="3" s="1"/>
  <c r="Y184" i="3" a="1"/>
  <c r="Y184" i="3" s="1"/>
  <c r="Z184" i="3" a="1"/>
  <c r="Z184" i="3" s="1"/>
  <c r="A185" i="3"/>
  <c r="C185" i="3"/>
  <c r="O185" i="3" s="1"/>
  <c r="F185" i="3"/>
  <c r="G185" i="3"/>
  <c r="N185" i="3"/>
  <c r="R185" i="3"/>
  <c r="S185" i="3"/>
  <c r="W185" i="3"/>
  <c r="X185" i="3" a="1"/>
  <c r="X185" i="3" s="1"/>
  <c r="Y185" i="3" a="1"/>
  <c r="Y185" i="3" s="1"/>
  <c r="Z185" i="3" a="1"/>
  <c r="Z185" i="3" s="1"/>
  <c r="AA185" i="3"/>
  <c r="A186" i="3"/>
  <c r="C186" i="3"/>
  <c r="V186" i="3" s="1"/>
  <c r="F186" i="3"/>
  <c r="G186" i="3"/>
  <c r="Q186" i="3"/>
  <c r="X186" i="3" a="1"/>
  <c r="X186" i="3" s="1"/>
  <c r="Y186" i="3" a="1"/>
  <c r="Y186" i="3" s="1"/>
  <c r="Z186" i="3" a="1"/>
  <c r="Z186" i="3" s="1"/>
  <c r="A187" i="3"/>
  <c r="C187" i="3"/>
  <c r="O187" i="3" s="1"/>
  <c r="F187" i="3"/>
  <c r="G187" i="3"/>
  <c r="N187" i="3"/>
  <c r="P187" i="3"/>
  <c r="R187" i="3"/>
  <c r="S187" i="3"/>
  <c r="V187" i="3"/>
  <c r="W187" i="3"/>
  <c r="X187" i="3" a="1"/>
  <c r="X187" i="3" s="1"/>
  <c r="Y187" i="3" a="1"/>
  <c r="Y187" i="3" s="1"/>
  <c r="Z187" i="3" a="1"/>
  <c r="Z187" i="3" s="1"/>
  <c r="AA187" i="3"/>
  <c r="AC187" i="3"/>
  <c r="A188" i="3"/>
  <c r="C188" i="3"/>
  <c r="F188" i="3"/>
  <c r="G188" i="3"/>
  <c r="N188" i="3"/>
  <c r="P188" i="3"/>
  <c r="Q188" i="3"/>
  <c r="T188" i="3"/>
  <c r="U188" i="3"/>
  <c r="V188" i="3"/>
  <c r="X188" i="3" a="1"/>
  <c r="X188" i="3" s="1"/>
  <c r="Y188" i="3" a="1"/>
  <c r="Y188" i="3" s="1"/>
  <c r="Z188" i="3" a="1"/>
  <c r="Z188" i="3" s="1"/>
  <c r="AA188" i="3"/>
  <c r="AC188" i="3"/>
  <c r="A189" i="3"/>
  <c r="C189" i="3"/>
  <c r="F189" i="3"/>
  <c r="G189" i="3"/>
  <c r="N189" i="3"/>
  <c r="O189" i="3"/>
  <c r="P189" i="3"/>
  <c r="R189" i="3"/>
  <c r="S189" i="3"/>
  <c r="T189" i="3"/>
  <c r="V189" i="3"/>
  <c r="W189" i="3"/>
  <c r="X189" i="3" a="1"/>
  <c r="X189" i="3" s="1"/>
  <c r="Y189" i="3" a="1"/>
  <c r="Y189" i="3" s="1"/>
  <c r="Z189" i="3" a="1"/>
  <c r="Z189" i="3" s="1"/>
  <c r="AA189" i="3"/>
  <c r="AB189" i="3"/>
  <c r="AC189" i="3"/>
  <c r="A190" i="3"/>
  <c r="C190" i="3"/>
  <c r="F190" i="3"/>
  <c r="G190" i="3"/>
  <c r="N190" i="3"/>
  <c r="P190" i="3"/>
  <c r="R190" i="3"/>
  <c r="T190" i="3"/>
  <c r="V190" i="3"/>
  <c r="X190" i="3" a="1"/>
  <c r="X190" i="3" s="1"/>
  <c r="Y190" i="3" a="1"/>
  <c r="Y190" i="3" s="1"/>
  <c r="Z190" i="3" a="1"/>
  <c r="Z190" i="3" s="1"/>
  <c r="AA190" i="3"/>
  <c r="AC190" i="3"/>
  <c r="A191" i="3"/>
  <c r="C191" i="3"/>
  <c r="F191" i="3"/>
  <c r="G191" i="3"/>
  <c r="N191" i="3"/>
  <c r="P191" i="3"/>
  <c r="R191" i="3"/>
  <c r="V191" i="3"/>
  <c r="X191" i="3" a="1"/>
  <c r="X191" i="3" s="1"/>
  <c r="Y191" i="3" a="1"/>
  <c r="Y191" i="3" s="1"/>
  <c r="Z191" i="3" a="1"/>
  <c r="Z191" i="3" s="1"/>
  <c r="AA191" i="3"/>
  <c r="AC191" i="3"/>
  <c r="A192" i="3"/>
  <c r="C192" i="3"/>
  <c r="F192" i="3"/>
  <c r="G192" i="3"/>
  <c r="N192" i="3"/>
  <c r="P192" i="3"/>
  <c r="R192" i="3"/>
  <c r="T192" i="3"/>
  <c r="V192" i="3"/>
  <c r="X192" i="3" a="1"/>
  <c r="X192" i="3" s="1"/>
  <c r="Y192" i="3" a="1"/>
  <c r="Y192" i="3" s="1"/>
  <c r="Z192" i="3" a="1"/>
  <c r="Z192" i="3" s="1"/>
  <c r="AA192" i="3"/>
  <c r="AC192" i="3"/>
  <c r="A193" i="3"/>
  <c r="C193" i="3"/>
  <c r="F193" i="3"/>
  <c r="G193" i="3"/>
  <c r="N193" i="3"/>
  <c r="R193" i="3"/>
  <c r="T193" i="3"/>
  <c r="V193" i="3"/>
  <c r="X193" i="3" a="1"/>
  <c r="X193" i="3" s="1"/>
  <c r="Y193" i="3" a="1"/>
  <c r="Y193" i="3" s="1"/>
  <c r="Z193" i="3" a="1"/>
  <c r="Z193" i="3" s="1"/>
  <c r="AA193" i="3"/>
  <c r="AC193" i="3"/>
  <c r="A194" i="3"/>
  <c r="C194" i="3"/>
  <c r="P194" i="3" s="1"/>
  <c r="F194" i="3"/>
  <c r="G194" i="3"/>
  <c r="N194" i="3"/>
  <c r="V194" i="3"/>
  <c r="X194" i="3" a="1"/>
  <c r="X194" i="3" s="1"/>
  <c r="Y194" i="3" a="1"/>
  <c r="Y194" i="3" s="1"/>
  <c r="Z194" i="3" a="1"/>
  <c r="Z194" i="3" s="1"/>
  <c r="AA194" i="3"/>
  <c r="AC194" i="3"/>
  <c r="A195" i="3"/>
  <c r="C195" i="3"/>
  <c r="F195" i="3"/>
  <c r="G195" i="3"/>
  <c r="N195" i="3"/>
  <c r="P195" i="3"/>
  <c r="R195" i="3"/>
  <c r="V195" i="3"/>
  <c r="X195" i="3" a="1"/>
  <c r="X195" i="3" s="1"/>
  <c r="Y195" i="3" a="1"/>
  <c r="Y195" i="3" s="1"/>
  <c r="Z195" i="3" a="1"/>
  <c r="Z195" i="3" s="1"/>
  <c r="AA195" i="3"/>
  <c r="AC195" i="3"/>
  <c r="A196" i="3"/>
  <c r="C196" i="3"/>
  <c r="F196" i="3"/>
  <c r="G196" i="3"/>
  <c r="N196" i="3"/>
  <c r="P196" i="3"/>
  <c r="R196" i="3"/>
  <c r="T196" i="3"/>
  <c r="V196" i="3"/>
  <c r="X196" i="3" a="1"/>
  <c r="X196" i="3" s="1"/>
  <c r="Y196" i="3" a="1"/>
  <c r="Y196" i="3" s="1"/>
  <c r="Z196" i="3" a="1"/>
  <c r="Z196" i="3" s="1"/>
  <c r="AA196" i="3"/>
  <c r="AC196" i="3"/>
  <c r="A197" i="3"/>
  <c r="C197" i="3"/>
  <c r="F197" i="3"/>
  <c r="G197" i="3"/>
  <c r="N197" i="3"/>
  <c r="R197" i="3"/>
  <c r="T197" i="3"/>
  <c r="V197" i="3"/>
  <c r="X197" i="3" a="1"/>
  <c r="X197" i="3" s="1"/>
  <c r="Y197" i="3" a="1"/>
  <c r="Y197" i="3" s="1"/>
  <c r="Z197" i="3" a="1"/>
  <c r="Z197" i="3" s="1"/>
  <c r="AA197" i="3"/>
  <c r="AC197" i="3"/>
  <c r="A198" i="3"/>
  <c r="C198" i="3"/>
  <c r="P198" i="3" s="1"/>
  <c r="F198" i="3"/>
  <c r="G198" i="3"/>
  <c r="N198" i="3"/>
  <c r="V198" i="3"/>
  <c r="X198" i="3" a="1"/>
  <c r="X198" i="3" s="1"/>
  <c r="Y198" i="3" a="1"/>
  <c r="Y198" i="3" s="1"/>
  <c r="Z198" i="3" a="1"/>
  <c r="Z198" i="3" s="1"/>
  <c r="AA198" i="3"/>
  <c r="AC198" i="3"/>
  <c r="A199" i="3"/>
  <c r="C199" i="3"/>
  <c r="F199" i="3"/>
  <c r="G199" i="3"/>
  <c r="N199" i="3"/>
  <c r="P199" i="3"/>
  <c r="R199" i="3"/>
  <c r="V199" i="3"/>
  <c r="X199" i="3" a="1"/>
  <c r="X199" i="3" s="1"/>
  <c r="Y199" i="3" a="1"/>
  <c r="Y199" i="3" s="1"/>
  <c r="Z199" i="3" a="1"/>
  <c r="Z199" i="3" s="1"/>
  <c r="AA199" i="3"/>
  <c r="AC199" i="3"/>
  <c r="A200" i="3"/>
  <c r="C200" i="3"/>
  <c r="F200" i="3"/>
  <c r="G200" i="3"/>
  <c r="N200" i="3"/>
  <c r="P200" i="3"/>
  <c r="R200" i="3"/>
  <c r="T200" i="3"/>
  <c r="V200" i="3"/>
  <c r="X200" i="3" a="1"/>
  <c r="X200" i="3" s="1"/>
  <c r="Y200" i="3" a="1"/>
  <c r="Y200" i="3" s="1"/>
  <c r="Z200" i="3" a="1"/>
  <c r="Z200" i="3" s="1"/>
  <c r="AA200" i="3"/>
  <c r="AC200" i="3"/>
  <c r="A201" i="3"/>
  <c r="C201" i="3"/>
  <c r="F201" i="3"/>
  <c r="G201" i="3"/>
  <c r="N201" i="3"/>
  <c r="O201" i="3"/>
  <c r="P201" i="3"/>
  <c r="R201" i="3"/>
  <c r="S201" i="3"/>
  <c r="T201" i="3"/>
  <c r="V201" i="3"/>
  <c r="W201" i="3"/>
  <c r="X201" i="3" a="1"/>
  <c r="X201" i="3" s="1"/>
  <c r="Y201" i="3" a="1"/>
  <c r="Y201" i="3" s="1"/>
  <c r="Z201" i="3" a="1"/>
  <c r="Z201" i="3" s="1"/>
  <c r="AA201" i="3"/>
  <c r="AB201" i="3"/>
  <c r="AC201" i="3"/>
  <c r="A202" i="3"/>
  <c r="C202" i="3"/>
  <c r="P202" i="3" s="1"/>
  <c r="F202" i="3"/>
  <c r="G202" i="3"/>
  <c r="M202" i="3"/>
  <c r="N202" i="3"/>
  <c r="Q202" i="3"/>
  <c r="R202" i="3"/>
  <c r="T202" i="3"/>
  <c r="V202" i="3"/>
  <c r="X202" i="3" a="1"/>
  <c r="X202" i="3" s="1"/>
  <c r="Y202" i="3" a="1"/>
  <c r="Y202" i="3" s="1"/>
  <c r="Z202" i="3" a="1"/>
  <c r="Z202" i="3" s="1"/>
  <c r="AA202" i="3"/>
  <c r="A203" i="3"/>
  <c r="C203" i="3"/>
  <c r="F203" i="3"/>
  <c r="G203" i="3"/>
  <c r="S203" i="3"/>
  <c r="X203" i="3" a="1"/>
  <c r="X203" i="3" s="1"/>
  <c r="Y203" i="3" a="1"/>
  <c r="Y203" i="3" s="1"/>
  <c r="Z203" i="3" a="1"/>
  <c r="Z203" i="3" s="1"/>
  <c r="AA203" i="3"/>
  <c r="A204" i="3"/>
  <c r="C204" i="3"/>
  <c r="F204" i="3"/>
  <c r="G204" i="3"/>
  <c r="Q204" i="3"/>
  <c r="X204" i="3" a="1"/>
  <c r="X204" i="3" s="1"/>
  <c r="Y204" i="3" a="1"/>
  <c r="Y204" i="3" s="1"/>
  <c r="Z204" i="3" a="1"/>
  <c r="Z204" i="3" s="1"/>
  <c r="A205" i="3"/>
  <c r="C205" i="3"/>
  <c r="F205" i="3"/>
  <c r="G205" i="3"/>
  <c r="N205" i="3"/>
  <c r="R205" i="3"/>
  <c r="X205" i="3" a="1"/>
  <c r="X205" i="3" s="1"/>
  <c r="Y205" i="3" a="1"/>
  <c r="Y205" i="3" s="1"/>
  <c r="Z205" i="3" a="1"/>
  <c r="Z205" i="3" s="1"/>
  <c r="AA205" i="3"/>
  <c r="A206" i="3"/>
  <c r="C206" i="3"/>
  <c r="F206" i="3"/>
  <c r="G206" i="3"/>
  <c r="O206" i="3"/>
  <c r="P206" i="3"/>
  <c r="S206" i="3"/>
  <c r="T206" i="3"/>
  <c r="W206" i="3"/>
  <c r="X206" i="3" a="1"/>
  <c r="X206" i="3" s="1"/>
  <c r="Y206" i="3" a="1"/>
  <c r="Y206" i="3" s="1"/>
  <c r="Z206" i="3" a="1"/>
  <c r="Z206" i="3" s="1"/>
  <c r="AB206" i="3"/>
  <c r="AC206" i="3"/>
  <c r="A207" i="3"/>
  <c r="C207" i="3"/>
  <c r="O207" i="3" s="1"/>
  <c r="F207" i="3"/>
  <c r="G207" i="3"/>
  <c r="M207" i="3"/>
  <c r="N207" i="3"/>
  <c r="P207" i="3"/>
  <c r="Q207" i="3"/>
  <c r="R207" i="3"/>
  <c r="T207" i="3"/>
  <c r="U207" i="3"/>
  <c r="V207" i="3"/>
  <c r="X207" i="3" a="1"/>
  <c r="X207" i="3" s="1"/>
  <c r="Y207" i="3" a="1"/>
  <c r="Y207" i="3" s="1"/>
  <c r="Z207" i="3" a="1"/>
  <c r="Z207" i="3" s="1"/>
  <c r="AA207" i="3"/>
  <c r="AC207" i="3"/>
  <c r="A208" i="3"/>
  <c r="AB216" i="3" s="1"/>
  <c r="C208" i="3"/>
  <c r="F208" i="3"/>
  <c r="G208" i="3"/>
  <c r="N208" i="3"/>
  <c r="O208" i="3"/>
  <c r="P208" i="3"/>
  <c r="R208" i="3"/>
  <c r="S208" i="3"/>
  <c r="T208" i="3"/>
  <c r="V208" i="3"/>
  <c r="W208" i="3"/>
  <c r="X208" i="3" a="1"/>
  <c r="X208" i="3" s="1"/>
  <c r="Y208" i="3" a="1"/>
  <c r="Y208" i="3" s="1"/>
  <c r="Z208" i="3" a="1"/>
  <c r="Z208" i="3" s="1"/>
  <c r="AA208" i="3"/>
  <c r="AB208" i="3"/>
  <c r="AC208" i="3"/>
  <c r="A209" i="3"/>
  <c r="C209" i="3"/>
  <c r="F209" i="3"/>
  <c r="G209" i="3"/>
  <c r="N209" i="3"/>
  <c r="P209" i="3"/>
  <c r="Q209" i="3"/>
  <c r="T209" i="3"/>
  <c r="U209" i="3"/>
  <c r="V209" i="3"/>
  <c r="X209" i="3" a="1"/>
  <c r="X209" i="3" s="1"/>
  <c r="Y209" i="3" a="1"/>
  <c r="Y209" i="3" s="1"/>
  <c r="Z209" i="3" a="1"/>
  <c r="Z209" i="3" s="1"/>
  <c r="AA209" i="3"/>
  <c r="AC209" i="3"/>
  <c r="A210" i="3"/>
  <c r="C210" i="3"/>
  <c r="F210" i="3"/>
  <c r="G210" i="3"/>
  <c r="N210" i="3"/>
  <c r="O210" i="3"/>
  <c r="P210" i="3"/>
  <c r="S210" i="3"/>
  <c r="T210" i="3"/>
  <c r="V210" i="3"/>
  <c r="X210" i="3" a="1"/>
  <c r="X210" i="3" s="1"/>
  <c r="Y210" i="3" a="1"/>
  <c r="Y210" i="3" s="1"/>
  <c r="Z210" i="3" a="1"/>
  <c r="Z210" i="3" s="1"/>
  <c r="AA210" i="3"/>
  <c r="AB210" i="3"/>
  <c r="AC210" i="3"/>
  <c r="A211" i="3"/>
  <c r="C211" i="3"/>
  <c r="F211" i="3"/>
  <c r="G211" i="3"/>
  <c r="N211" i="3"/>
  <c r="Q211" i="3"/>
  <c r="T211" i="3"/>
  <c r="V211" i="3"/>
  <c r="X211" i="3" a="1"/>
  <c r="X211" i="3" s="1"/>
  <c r="Y211" i="3" a="1"/>
  <c r="Y211" i="3" s="1"/>
  <c r="Z211" i="3" a="1"/>
  <c r="Z211" i="3" s="1"/>
  <c r="AA211" i="3"/>
  <c r="A212" i="3"/>
  <c r="C212" i="3"/>
  <c r="F212" i="3"/>
  <c r="G212" i="3"/>
  <c r="N212" i="3"/>
  <c r="O212" i="3"/>
  <c r="S212" i="3"/>
  <c r="T212" i="3"/>
  <c r="X212" i="3" a="1"/>
  <c r="X212" i="3" s="1"/>
  <c r="Y212" i="3" a="1"/>
  <c r="Y212" i="3" s="1"/>
  <c r="Z212" i="3" a="1"/>
  <c r="Z212" i="3" s="1"/>
  <c r="AA212" i="3"/>
  <c r="AB212" i="3"/>
  <c r="A213" i="3"/>
  <c r="C213" i="3"/>
  <c r="F213" i="3"/>
  <c r="G213" i="3"/>
  <c r="M213" i="3"/>
  <c r="Q213" i="3"/>
  <c r="R213" i="3"/>
  <c r="V213" i="3"/>
  <c r="X213" i="3" a="1"/>
  <c r="X213" i="3" s="1"/>
  <c r="Y213" i="3" a="1"/>
  <c r="Y213" i="3" s="1"/>
  <c r="Z213" i="3" a="1"/>
  <c r="Z213" i="3" s="1"/>
  <c r="AC213" i="3"/>
  <c r="A214" i="3"/>
  <c r="C214" i="3"/>
  <c r="N214" i="3" s="1"/>
  <c r="F214" i="3"/>
  <c r="G214" i="3"/>
  <c r="S214" i="3"/>
  <c r="X214" i="3" a="1"/>
  <c r="X214" i="3" s="1"/>
  <c r="Y214" i="3" a="1"/>
  <c r="Y214" i="3" s="1"/>
  <c r="Z214" i="3" a="1"/>
  <c r="Z214" i="3" s="1"/>
  <c r="AA214" i="3"/>
  <c r="A215" i="3"/>
  <c r="C215" i="3"/>
  <c r="F215" i="3"/>
  <c r="G215" i="3"/>
  <c r="Q215" i="3"/>
  <c r="V215" i="3"/>
  <c r="X215" i="3" a="1"/>
  <c r="X215" i="3" s="1"/>
  <c r="Y215" i="3" a="1"/>
  <c r="Y215" i="3" s="1"/>
  <c r="Z215" i="3" a="1"/>
  <c r="Z215" i="3" s="1"/>
  <c r="A216" i="3"/>
  <c r="C216" i="3"/>
  <c r="F216" i="3"/>
  <c r="G216" i="3"/>
  <c r="N216" i="3"/>
  <c r="O216" i="3"/>
  <c r="P216" i="3"/>
  <c r="R216" i="3"/>
  <c r="S216" i="3"/>
  <c r="T216" i="3"/>
  <c r="V216" i="3"/>
  <c r="W216" i="3"/>
  <c r="X216" i="3" a="1"/>
  <c r="X216" i="3" s="1"/>
  <c r="Y216" i="3" a="1"/>
  <c r="Y216" i="3" s="1"/>
  <c r="Z216" i="3" a="1"/>
  <c r="Z216" i="3" s="1"/>
  <c r="AA216" i="3"/>
  <c r="AC216" i="3"/>
  <c r="A217" i="3"/>
  <c r="C217" i="3"/>
  <c r="F217" i="3"/>
  <c r="G217" i="3"/>
  <c r="M217" i="3"/>
  <c r="N217" i="3"/>
  <c r="P217" i="3"/>
  <c r="Q217" i="3"/>
  <c r="R217" i="3"/>
  <c r="T217" i="3"/>
  <c r="U217" i="3"/>
  <c r="V217" i="3"/>
  <c r="X217" i="3" a="1"/>
  <c r="X217" i="3" s="1"/>
  <c r="Y217" i="3" a="1"/>
  <c r="Y217" i="3" s="1"/>
  <c r="Z217" i="3" a="1"/>
  <c r="Z217" i="3" s="1"/>
  <c r="AA217" i="3"/>
  <c r="AC217" i="3"/>
  <c r="A218" i="3"/>
  <c r="C218" i="3"/>
  <c r="O218" i="3" s="1"/>
  <c r="F218" i="3"/>
  <c r="G218" i="3"/>
  <c r="N218" i="3"/>
  <c r="P218" i="3"/>
  <c r="S218" i="3"/>
  <c r="V218" i="3"/>
  <c r="X218" i="3" a="1"/>
  <c r="X218" i="3" s="1"/>
  <c r="Y218" i="3" a="1"/>
  <c r="Y218" i="3" s="1"/>
  <c r="Z218" i="3" a="1"/>
  <c r="Z218" i="3" s="1"/>
  <c r="AA218" i="3"/>
  <c r="AC218" i="3"/>
  <c r="A219" i="3"/>
  <c r="C219" i="3"/>
  <c r="F219" i="3"/>
  <c r="G219" i="3"/>
  <c r="N219" i="3"/>
  <c r="Q219" i="3"/>
  <c r="T219" i="3"/>
  <c r="V219" i="3"/>
  <c r="X219" i="3" a="1"/>
  <c r="X219" i="3" s="1"/>
  <c r="Y219" i="3" a="1"/>
  <c r="Y219" i="3" s="1"/>
  <c r="Z219" i="3" a="1"/>
  <c r="Z219" i="3" s="1"/>
  <c r="AA219" i="3"/>
  <c r="A220" i="3"/>
  <c r="C220" i="3"/>
  <c r="F220" i="3"/>
  <c r="G220" i="3"/>
  <c r="N220" i="3"/>
  <c r="O220" i="3"/>
  <c r="R220" i="3"/>
  <c r="S220" i="3"/>
  <c r="T220" i="3"/>
  <c r="W220" i="3"/>
  <c r="X220" i="3" a="1"/>
  <c r="X220" i="3" s="1"/>
  <c r="Y220" i="3" a="1"/>
  <c r="Y220" i="3" s="1"/>
  <c r="Z220" i="3" a="1"/>
  <c r="Z220" i="3" s="1"/>
  <c r="AA220" i="3"/>
  <c r="AB220" i="3"/>
  <c r="A221" i="3"/>
  <c r="C221" i="3"/>
  <c r="F221" i="3"/>
  <c r="G221" i="3"/>
  <c r="M221" i="3"/>
  <c r="Q221" i="3"/>
  <c r="R221" i="3"/>
  <c r="V221" i="3"/>
  <c r="X221" i="3" a="1"/>
  <c r="X221" i="3" s="1"/>
  <c r="Y221" i="3" a="1"/>
  <c r="Y221" i="3" s="1"/>
  <c r="Z221" i="3" a="1"/>
  <c r="Z221" i="3" s="1"/>
  <c r="A222" i="3"/>
  <c r="C222" i="3"/>
  <c r="F222" i="3"/>
  <c r="G222" i="3"/>
  <c r="N222" i="3"/>
  <c r="S222" i="3"/>
  <c r="X222" i="3" a="1"/>
  <c r="X222" i="3" s="1"/>
  <c r="Y222" i="3" a="1"/>
  <c r="Y222" i="3" s="1"/>
  <c r="Z222" i="3" a="1"/>
  <c r="Z222" i="3" s="1"/>
  <c r="AA222" i="3"/>
  <c r="A223" i="3"/>
  <c r="C223" i="3"/>
  <c r="V223" i="3" s="1"/>
  <c r="F223" i="3"/>
  <c r="G223" i="3"/>
  <c r="Q223" i="3"/>
  <c r="X223" i="3" a="1"/>
  <c r="X223" i="3" s="1"/>
  <c r="Y223" i="3" a="1"/>
  <c r="Y223" i="3" s="1"/>
  <c r="Z223" i="3" a="1"/>
  <c r="Z223" i="3" s="1"/>
  <c r="A224" i="3"/>
  <c r="C224" i="3"/>
  <c r="F224" i="3"/>
  <c r="G224" i="3"/>
  <c r="N224" i="3"/>
  <c r="O224" i="3"/>
  <c r="P224" i="3"/>
  <c r="R224" i="3"/>
  <c r="S224" i="3"/>
  <c r="T224" i="3"/>
  <c r="V224" i="3"/>
  <c r="W224" i="3"/>
  <c r="X224" i="3" a="1"/>
  <c r="X224" i="3" s="1"/>
  <c r="Y224" i="3" a="1"/>
  <c r="Y224" i="3" s="1"/>
  <c r="Z224" i="3" a="1"/>
  <c r="Z224" i="3" s="1"/>
  <c r="AA224" i="3"/>
  <c r="AB224" i="3"/>
  <c r="AC224" i="3"/>
  <c r="A225" i="3"/>
  <c r="C225" i="3"/>
  <c r="F225" i="3"/>
  <c r="G225" i="3"/>
  <c r="M225" i="3"/>
  <c r="N225" i="3"/>
  <c r="P225" i="3"/>
  <c r="Q225" i="3"/>
  <c r="R225" i="3"/>
  <c r="T225" i="3"/>
  <c r="U225" i="3"/>
  <c r="V225" i="3"/>
  <c r="X225" i="3" a="1"/>
  <c r="X225" i="3" s="1"/>
  <c r="Y225" i="3" a="1"/>
  <c r="Y225" i="3" s="1"/>
  <c r="Z225" i="3" a="1"/>
  <c r="Z225" i="3" s="1"/>
  <c r="AA225" i="3"/>
  <c r="AC225" i="3"/>
  <c r="A226" i="3"/>
  <c r="C226" i="3"/>
  <c r="O226" i="3" s="1"/>
  <c r="F226" i="3"/>
  <c r="G226" i="3"/>
  <c r="N226" i="3"/>
  <c r="P226" i="3"/>
  <c r="S226" i="3"/>
  <c r="V226" i="3"/>
  <c r="X226" i="3" a="1"/>
  <c r="X226" i="3" s="1"/>
  <c r="Y226" i="3" a="1"/>
  <c r="Y226" i="3" s="1"/>
  <c r="Z226" i="3" a="1"/>
  <c r="Z226" i="3" s="1"/>
  <c r="AA226" i="3"/>
  <c r="AC226" i="3"/>
  <c r="A227" i="3"/>
  <c r="C227" i="3"/>
  <c r="F227" i="3"/>
  <c r="G227" i="3"/>
  <c r="N227" i="3"/>
  <c r="Q227" i="3"/>
  <c r="T227" i="3"/>
  <c r="V227" i="3"/>
  <c r="X227" i="3" a="1"/>
  <c r="X227" i="3" s="1"/>
  <c r="Y227" i="3" a="1"/>
  <c r="Y227" i="3" s="1"/>
  <c r="Z227" i="3" a="1"/>
  <c r="Z227" i="3" s="1"/>
  <c r="AA227" i="3"/>
  <c r="A228" i="3"/>
  <c r="C228" i="3"/>
  <c r="F228" i="3"/>
  <c r="G228" i="3"/>
  <c r="N228" i="3"/>
  <c r="O228" i="3"/>
  <c r="R228" i="3"/>
  <c r="S228" i="3"/>
  <c r="T228" i="3"/>
  <c r="W228" i="3"/>
  <c r="X228" i="3" a="1"/>
  <c r="X228" i="3" s="1"/>
  <c r="Y228" i="3" a="1"/>
  <c r="Y228" i="3" s="1"/>
  <c r="Z228" i="3" a="1"/>
  <c r="Z228" i="3" s="1"/>
  <c r="AA228" i="3"/>
  <c r="AB228" i="3"/>
  <c r="A229" i="3"/>
  <c r="C229" i="3"/>
  <c r="F229" i="3"/>
  <c r="G229" i="3"/>
  <c r="M229" i="3"/>
  <c r="Q229" i="3"/>
  <c r="R229" i="3"/>
  <c r="V229" i="3"/>
  <c r="X229" i="3" a="1"/>
  <c r="X229" i="3" s="1"/>
  <c r="Y229" i="3" a="1"/>
  <c r="Y229" i="3" s="1"/>
  <c r="Z229" i="3" a="1"/>
  <c r="Z229" i="3" s="1"/>
  <c r="A230" i="3"/>
  <c r="C230" i="3"/>
  <c r="AA230" i="3" s="1"/>
  <c r="F230" i="3"/>
  <c r="G230" i="3"/>
  <c r="S230" i="3"/>
  <c r="X230" i="3" a="1"/>
  <c r="X230" i="3" s="1"/>
  <c r="Y230" i="3" a="1"/>
  <c r="Y230" i="3" s="1"/>
  <c r="Z230" i="3" a="1"/>
  <c r="Z230" i="3" s="1"/>
  <c r="A231" i="3"/>
  <c r="C231" i="3"/>
  <c r="F231" i="3"/>
  <c r="G231" i="3"/>
  <c r="Q231" i="3"/>
  <c r="V231" i="3"/>
  <c r="X231" i="3" a="1"/>
  <c r="X231" i="3" s="1"/>
  <c r="Y231" i="3" a="1"/>
  <c r="Y231" i="3" s="1"/>
  <c r="Z231" i="3" a="1"/>
  <c r="Z231" i="3" s="1"/>
  <c r="A232" i="3"/>
  <c r="C232" i="3"/>
  <c r="F232" i="3"/>
  <c r="G232" i="3"/>
  <c r="N232" i="3"/>
  <c r="O232" i="3"/>
  <c r="P232" i="3"/>
  <c r="R232" i="3"/>
  <c r="S232" i="3"/>
  <c r="T232" i="3"/>
  <c r="V232" i="3"/>
  <c r="W232" i="3"/>
  <c r="X232" i="3" a="1"/>
  <c r="X232" i="3" s="1"/>
  <c r="Y232" i="3" a="1"/>
  <c r="Y232" i="3" s="1"/>
  <c r="Z232" i="3" a="1"/>
  <c r="Z232" i="3" s="1"/>
  <c r="AA232" i="3"/>
  <c r="AB232" i="3"/>
  <c r="AC232" i="3"/>
  <c r="A233" i="3"/>
  <c r="C233" i="3"/>
  <c r="F233" i="3"/>
  <c r="G233" i="3"/>
  <c r="N233" i="3"/>
  <c r="O233" i="3"/>
  <c r="P233" i="3"/>
  <c r="R233" i="3"/>
  <c r="S233" i="3"/>
  <c r="T233" i="3"/>
  <c r="V233" i="3"/>
  <c r="W233" i="3"/>
  <c r="X233" i="3" a="1"/>
  <c r="X233" i="3" s="1"/>
  <c r="Y233" i="3" a="1"/>
  <c r="Y233" i="3" s="1"/>
  <c r="Z233" i="3" a="1"/>
  <c r="Z233" i="3" s="1"/>
  <c r="AA233" i="3"/>
  <c r="AB233" i="3"/>
  <c r="AC233" i="3"/>
  <c r="A234" i="3"/>
  <c r="C234" i="3"/>
  <c r="O234" i="3" s="1"/>
  <c r="F234" i="3"/>
  <c r="G234" i="3"/>
  <c r="M234" i="3"/>
  <c r="N234" i="3"/>
  <c r="P234" i="3"/>
  <c r="Q234" i="3"/>
  <c r="R234" i="3"/>
  <c r="T234" i="3"/>
  <c r="U234" i="3"/>
  <c r="V234" i="3"/>
  <c r="X234" i="3" a="1"/>
  <c r="X234" i="3" s="1"/>
  <c r="Y234" i="3" a="1"/>
  <c r="Y234" i="3" s="1"/>
  <c r="Z234" i="3" a="1"/>
  <c r="Z234" i="3" s="1"/>
  <c r="AA234" i="3"/>
  <c r="AC234" i="3"/>
  <c r="A235" i="3"/>
  <c r="AB239" i="3" s="1"/>
  <c r="C235" i="3"/>
  <c r="F235" i="3"/>
  <c r="G235" i="3"/>
  <c r="N235" i="3"/>
  <c r="P235" i="3"/>
  <c r="R235" i="3"/>
  <c r="S235" i="3"/>
  <c r="T235" i="3"/>
  <c r="V235" i="3"/>
  <c r="W235" i="3"/>
  <c r="X235" i="3" a="1"/>
  <c r="X235" i="3" s="1"/>
  <c r="Y235" i="3" a="1"/>
  <c r="Y235" i="3" s="1"/>
  <c r="Z235" i="3" a="1"/>
  <c r="Z235" i="3" s="1"/>
  <c r="AA235" i="3"/>
  <c r="AB235" i="3"/>
  <c r="AC235" i="3"/>
  <c r="A236" i="3"/>
  <c r="C236" i="3"/>
  <c r="O236" i="3" s="1"/>
  <c r="F236" i="3"/>
  <c r="G236" i="3"/>
  <c r="M236" i="3"/>
  <c r="N236" i="3"/>
  <c r="P236" i="3"/>
  <c r="Q236" i="3"/>
  <c r="R236" i="3"/>
  <c r="T236" i="3"/>
  <c r="V236" i="3"/>
  <c r="X236" i="3" a="1"/>
  <c r="X236" i="3" s="1"/>
  <c r="Y236" i="3" a="1"/>
  <c r="Y236" i="3" s="1"/>
  <c r="Z236" i="3" a="1"/>
  <c r="Z236" i="3" s="1"/>
  <c r="AA236" i="3"/>
  <c r="AC236" i="3"/>
  <c r="A237" i="3"/>
  <c r="C237" i="3"/>
  <c r="F237" i="3"/>
  <c r="G237" i="3"/>
  <c r="O237" i="3"/>
  <c r="P237" i="3"/>
  <c r="S237" i="3"/>
  <c r="T237" i="3"/>
  <c r="W237" i="3"/>
  <c r="X237" i="3" a="1"/>
  <c r="X237" i="3" s="1"/>
  <c r="Y237" i="3" a="1"/>
  <c r="Y237" i="3" s="1"/>
  <c r="Z237" i="3" a="1"/>
  <c r="Z237" i="3" s="1"/>
  <c r="AB237" i="3"/>
  <c r="AC237" i="3"/>
  <c r="A238" i="3"/>
  <c r="C238" i="3"/>
  <c r="O238" i="3" s="1"/>
  <c r="F238" i="3"/>
  <c r="G238" i="3"/>
  <c r="M238" i="3"/>
  <c r="N238" i="3"/>
  <c r="P238" i="3"/>
  <c r="Q238" i="3"/>
  <c r="R238" i="3"/>
  <c r="T238" i="3"/>
  <c r="V238" i="3"/>
  <c r="X238" i="3" a="1"/>
  <c r="X238" i="3" s="1"/>
  <c r="Y238" i="3" a="1"/>
  <c r="Y238" i="3" s="1"/>
  <c r="Z238" i="3" a="1"/>
  <c r="Z238" i="3" s="1"/>
  <c r="AA238" i="3"/>
  <c r="AC238" i="3"/>
  <c r="A239" i="3"/>
  <c r="C239" i="3"/>
  <c r="F239" i="3"/>
  <c r="G239" i="3"/>
  <c r="O239" i="3"/>
  <c r="P239" i="3"/>
  <c r="S239" i="3"/>
  <c r="T239" i="3"/>
  <c r="W239" i="3"/>
  <c r="X239" i="3" a="1"/>
  <c r="X239" i="3" s="1"/>
  <c r="Y239" i="3" a="1"/>
  <c r="Y239" i="3" s="1"/>
  <c r="Z239" i="3" a="1"/>
  <c r="Z239" i="3" s="1"/>
  <c r="AC239" i="3"/>
  <c r="A240" i="3"/>
  <c r="C240" i="3"/>
  <c r="O240" i="3" s="1"/>
  <c r="F240" i="3"/>
  <c r="G240" i="3"/>
  <c r="M240" i="3"/>
  <c r="N240" i="3"/>
  <c r="P240" i="3"/>
  <c r="Q240" i="3"/>
  <c r="R240" i="3"/>
  <c r="T240" i="3"/>
  <c r="U240" i="3"/>
  <c r="V240" i="3"/>
  <c r="X240" i="3" a="1"/>
  <c r="X240" i="3" s="1"/>
  <c r="Y240" i="3" a="1"/>
  <c r="Y240" i="3" s="1"/>
  <c r="Z240" i="3" a="1"/>
  <c r="Z240" i="3" s="1"/>
  <c r="AA240" i="3"/>
  <c r="AC240" i="3"/>
  <c r="A241" i="3"/>
  <c r="C241" i="3"/>
  <c r="F241" i="3"/>
  <c r="G241" i="3"/>
  <c r="P241" i="3"/>
  <c r="S241" i="3"/>
  <c r="T241" i="3"/>
  <c r="W241" i="3"/>
  <c r="X241" i="3" a="1"/>
  <c r="X241" i="3" s="1"/>
  <c r="Y241" i="3" a="1"/>
  <c r="Y241" i="3" s="1"/>
  <c r="Z241" i="3" a="1"/>
  <c r="Z241" i="3" s="1"/>
  <c r="AB241" i="3"/>
  <c r="AC241" i="3"/>
  <c r="A242" i="3"/>
  <c r="C242" i="3"/>
  <c r="O242" i="3" s="1"/>
  <c r="F242" i="3"/>
  <c r="G242" i="3"/>
  <c r="M242" i="3"/>
  <c r="N242" i="3"/>
  <c r="P242" i="3"/>
  <c r="Q242" i="3"/>
  <c r="R242" i="3"/>
  <c r="T242" i="3"/>
  <c r="U242" i="3"/>
  <c r="V242" i="3"/>
  <c r="X242" i="3" a="1"/>
  <c r="X242" i="3" s="1"/>
  <c r="Y242" i="3" a="1"/>
  <c r="Y242" i="3" s="1"/>
  <c r="Z242" i="3" a="1"/>
  <c r="Z242" i="3" s="1"/>
  <c r="AA242" i="3"/>
  <c r="AC242" i="3"/>
  <c r="A243" i="3"/>
  <c r="C243" i="3"/>
  <c r="F243" i="3"/>
  <c r="G243" i="3"/>
  <c r="N243" i="3"/>
  <c r="O243" i="3"/>
  <c r="P243" i="3"/>
  <c r="R243" i="3"/>
  <c r="S243" i="3"/>
  <c r="T243" i="3"/>
  <c r="V243" i="3"/>
  <c r="W243" i="3"/>
  <c r="X243" i="3" a="1"/>
  <c r="X243" i="3" s="1"/>
  <c r="Y243" i="3" a="1"/>
  <c r="Y243" i="3" s="1"/>
  <c r="Z243" i="3" a="1"/>
  <c r="Z243" i="3" s="1"/>
  <c r="AA243" i="3"/>
  <c r="AB243" i="3"/>
  <c r="AC243" i="3"/>
  <c r="A244" i="3"/>
  <c r="C244" i="3"/>
  <c r="F244" i="3"/>
  <c r="G244" i="3"/>
  <c r="M244" i="3"/>
  <c r="N244" i="3"/>
  <c r="Q244" i="3"/>
  <c r="R244" i="3"/>
  <c r="T244" i="3"/>
  <c r="V244" i="3"/>
  <c r="X244" i="3" a="1"/>
  <c r="X244" i="3" s="1"/>
  <c r="Y244" i="3" a="1"/>
  <c r="Y244" i="3" s="1"/>
  <c r="Z244" i="3" a="1"/>
  <c r="Z244" i="3" s="1"/>
  <c r="AA244" i="3"/>
  <c r="A245" i="3"/>
  <c r="C245" i="3"/>
  <c r="P245" i="3" s="1"/>
  <c r="F245" i="3"/>
  <c r="G245" i="3"/>
  <c r="N245" i="3"/>
  <c r="O245" i="3"/>
  <c r="S245" i="3"/>
  <c r="T245" i="3"/>
  <c r="X245" i="3" a="1"/>
  <c r="X245" i="3" s="1"/>
  <c r="Y245" i="3" a="1"/>
  <c r="Y245" i="3" s="1"/>
  <c r="Z245" i="3" a="1"/>
  <c r="Z245" i="3" s="1"/>
  <c r="AA245" i="3"/>
  <c r="AB245" i="3"/>
  <c r="A246" i="3"/>
  <c r="C246" i="3"/>
  <c r="F246" i="3"/>
  <c r="G246" i="3"/>
  <c r="Q246" i="3"/>
  <c r="V246" i="3"/>
  <c r="X246" i="3" a="1"/>
  <c r="X246" i="3" s="1"/>
  <c r="Y246" i="3" a="1"/>
  <c r="Y246" i="3" s="1"/>
  <c r="Z246" i="3" a="1"/>
  <c r="Z246" i="3" s="1"/>
  <c r="A247" i="3"/>
  <c r="C247" i="3"/>
  <c r="O247" i="3" s="1"/>
  <c r="F247" i="3"/>
  <c r="G247" i="3"/>
  <c r="N247" i="3"/>
  <c r="S247" i="3"/>
  <c r="X247" i="3" a="1"/>
  <c r="X247" i="3" s="1"/>
  <c r="Y247" i="3" a="1"/>
  <c r="Y247" i="3" s="1"/>
  <c r="Z247" i="3" a="1"/>
  <c r="Z247" i="3" s="1"/>
  <c r="AA247" i="3"/>
  <c r="A248" i="3"/>
  <c r="C248" i="3"/>
  <c r="F248" i="3"/>
  <c r="G248" i="3"/>
  <c r="Q248" i="3"/>
  <c r="V248" i="3"/>
  <c r="X248" i="3" a="1"/>
  <c r="X248" i="3" s="1"/>
  <c r="Y248" i="3" a="1"/>
  <c r="Y248" i="3" s="1"/>
  <c r="Z248" i="3" a="1"/>
  <c r="Z248" i="3" s="1"/>
  <c r="A249" i="3"/>
  <c r="C249" i="3"/>
  <c r="O249" i="3" s="1"/>
  <c r="F249" i="3"/>
  <c r="G249" i="3"/>
  <c r="N249" i="3"/>
  <c r="P249" i="3"/>
  <c r="R249" i="3"/>
  <c r="S249" i="3"/>
  <c r="V249" i="3"/>
  <c r="W249" i="3"/>
  <c r="X249" i="3" a="1"/>
  <c r="X249" i="3" s="1"/>
  <c r="Y249" i="3" a="1"/>
  <c r="Y249" i="3" s="1"/>
  <c r="Z249" i="3" a="1"/>
  <c r="Z249" i="3" s="1"/>
  <c r="AA249" i="3"/>
  <c r="AC249" i="3"/>
  <c r="A250" i="3"/>
  <c r="C250" i="3"/>
  <c r="F250" i="3"/>
  <c r="G250" i="3"/>
  <c r="N250" i="3"/>
  <c r="P250" i="3"/>
  <c r="Q250" i="3"/>
  <c r="T250" i="3"/>
  <c r="U250" i="3"/>
  <c r="V250" i="3"/>
  <c r="X250" i="3" a="1"/>
  <c r="X250" i="3" s="1"/>
  <c r="Y250" i="3" a="1"/>
  <c r="Y250" i="3" s="1"/>
  <c r="Z250" i="3" a="1"/>
  <c r="Z250" i="3" s="1"/>
  <c r="AA250" i="3"/>
  <c r="AC250" i="3"/>
  <c r="A251" i="3"/>
  <c r="C251" i="3"/>
  <c r="F251" i="3"/>
  <c r="G251" i="3"/>
  <c r="N251" i="3"/>
  <c r="O251" i="3"/>
  <c r="P251" i="3"/>
  <c r="R251" i="3"/>
  <c r="S251" i="3"/>
  <c r="T251" i="3"/>
  <c r="V251" i="3"/>
  <c r="W251" i="3"/>
  <c r="X251" i="3" a="1"/>
  <c r="X251" i="3" s="1"/>
  <c r="Y251" i="3" a="1"/>
  <c r="Y251" i="3" s="1"/>
  <c r="Z251" i="3" a="1"/>
  <c r="Z251" i="3" s="1"/>
  <c r="AA251" i="3"/>
  <c r="AB251" i="3"/>
  <c r="AC251" i="3"/>
  <c r="A252" i="3"/>
  <c r="C252" i="3"/>
  <c r="F252" i="3"/>
  <c r="G252" i="3"/>
  <c r="M252" i="3"/>
  <c r="N252" i="3"/>
  <c r="Q252" i="3"/>
  <c r="R252" i="3"/>
  <c r="T252" i="3"/>
  <c r="V252" i="3"/>
  <c r="X252" i="3" a="1"/>
  <c r="X252" i="3" s="1"/>
  <c r="Y252" i="3" a="1"/>
  <c r="Y252" i="3" s="1"/>
  <c r="Z252" i="3" a="1"/>
  <c r="Z252" i="3" s="1"/>
  <c r="AA252" i="3"/>
  <c r="A253" i="3"/>
  <c r="C253" i="3"/>
  <c r="P253" i="3" s="1"/>
  <c r="F253" i="3"/>
  <c r="G253" i="3"/>
  <c r="N253" i="3"/>
  <c r="O253" i="3"/>
  <c r="S253" i="3"/>
  <c r="T253" i="3"/>
  <c r="X253" i="3" a="1"/>
  <c r="X253" i="3" s="1"/>
  <c r="Y253" i="3" a="1"/>
  <c r="Y253" i="3" s="1"/>
  <c r="Z253" i="3" a="1"/>
  <c r="Z253" i="3" s="1"/>
  <c r="AA253" i="3"/>
  <c r="AB253" i="3"/>
  <c r="A254" i="3"/>
  <c r="C254" i="3"/>
  <c r="F254" i="3"/>
  <c r="G254" i="3"/>
  <c r="Q254" i="3"/>
  <c r="V254" i="3"/>
  <c r="X254" i="3" a="1"/>
  <c r="X254" i="3" s="1"/>
  <c r="Y254" i="3" a="1"/>
  <c r="Y254" i="3" s="1"/>
  <c r="Z254" i="3" a="1"/>
  <c r="Z254" i="3" s="1"/>
  <c r="A255" i="3"/>
  <c r="C255" i="3"/>
  <c r="O255" i="3" s="1"/>
  <c r="F255" i="3"/>
  <c r="G255" i="3"/>
  <c r="N255" i="3"/>
  <c r="S255" i="3"/>
  <c r="X255" i="3" a="1"/>
  <c r="X255" i="3" s="1"/>
  <c r="Y255" i="3" a="1"/>
  <c r="Y255" i="3" s="1"/>
  <c r="Z255" i="3" a="1"/>
  <c r="Z255" i="3" s="1"/>
  <c r="AA255" i="3"/>
  <c r="A256" i="3"/>
  <c r="C256" i="3"/>
  <c r="F256" i="3"/>
  <c r="G256" i="3"/>
  <c r="Q256" i="3"/>
  <c r="V256" i="3"/>
  <c r="X256" i="3" a="1"/>
  <c r="X256" i="3" s="1"/>
  <c r="Y256" i="3" a="1"/>
  <c r="Y256" i="3" s="1"/>
  <c r="Z256" i="3" a="1"/>
  <c r="Z256" i="3" s="1"/>
  <c r="A257" i="3"/>
  <c r="C257" i="3"/>
  <c r="O257" i="3" s="1"/>
  <c r="F257" i="3"/>
  <c r="G257" i="3"/>
  <c r="N257" i="3"/>
  <c r="P257" i="3"/>
  <c r="R257" i="3"/>
  <c r="S257" i="3"/>
  <c r="V257" i="3"/>
  <c r="W257" i="3"/>
  <c r="X257" i="3" a="1"/>
  <c r="X257" i="3" s="1"/>
  <c r="Y257" i="3" a="1"/>
  <c r="Y257" i="3" s="1"/>
  <c r="Z257" i="3" a="1"/>
  <c r="Z257" i="3" s="1"/>
  <c r="AA257" i="3"/>
  <c r="AB257" i="3"/>
  <c r="AC257" i="3"/>
  <c r="A258" i="3"/>
  <c r="C258" i="3"/>
  <c r="F258" i="3"/>
  <c r="G258" i="3"/>
  <c r="N258" i="3"/>
  <c r="P258" i="3"/>
  <c r="Q258" i="3"/>
  <c r="T258" i="3"/>
  <c r="U258" i="3"/>
  <c r="V258" i="3"/>
  <c r="X258" i="3" a="1"/>
  <c r="X258" i="3" s="1"/>
  <c r="Y258" i="3" a="1"/>
  <c r="Y258" i="3" s="1"/>
  <c r="Z258" i="3" a="1"/>
  <c r="Z258" i="3" s="1"/>
  <c r="AA258" i="3"/>
  <c r="AC258" i="3"/>
  <c r="A259" i="3"/>
  <c r="C259" i="3"/>
  <c r="F259" i="3"/>
  <c r="G259" i="3"/>
  <c r="N259" i="3"/>
  <c r="O259" i="3"/>
  <c r="P259" i="3"/>
  <c r="R259" i="3"/>
  <c r="S259" i="3"/>
  <c r="T259" i="3"/>
  <c r="V259" i="3"/>
  <c r="W259" i="3"/>
  <c r="X259" i="3" a="1"/>
  <c r="X259" i="3" s="1"/>
  <c r="Y259" i="3" a="1"/>
  <c r="Y259" i="3" s="1"/>
  <c r="Z259" i="3" a="1"/>
  <c r="Z259" i="3" s="1"/>
  <c r="AA259" i="3"/>
  <c r="AB259" i="3"/>
  <c r="AC259" i="3"/>
  <c r="A260" i="3"/>
  <c r="C260" i="3"/>
  <c r="F260" i="3"/>
  <c r="G260" i="3"/>
  <c r="M260" i="3"/>
  <c r="N260" i="3"/>
  <c r="Q260" i="3"/>
  <c r="R260" i="3"/>
  <c r="T260" i="3"/>
  <c r="V260" i="3"/>
  <c r="X260" i="3" a="1"/>
  <c r="X260" i="3" s="1"/>
  <c r="Y260" i="3" a="1"/>
  <c r="Y260" i="3" s="1"/>
  <c r="Z260" i="3" a="1"/>
  <c r="Z260" i="3" s="1"/>
  <c r="AA260" i="3"/>
  <c r="A261" i="3"/>
  <c r="C261" i="3"/>
  <c r="P261" i="3" s="1"/>
  <c r="F261" i="3"/>
  <c r="G261" i="3"/>
  <c r="N261" i="3"/>
  <c r="O261" i="3"/>
  <c r="S261" i="3"/>
  <c r="T261" i="3"/>
  <c r="X261" i="3" a="1"/>
  <c r="X261" i="3" s="1"/>
  <c r="Y261" i="3" a="1"/>
  <c r="Y261" i="3" s="1"/>
  <c r="Z261" i="3" a="1"/>
  <c r="Z261" i="3" s="1"/>
  <c r="AA261" i="3"/>
  <c r="AB261" i="3"/>
  <c r="A262" i="3"/>
  <c r="C262" i="3"/>
  <c r="F262" i="3"/>
  <c r="G262" i="3"/>
  <c r="Q262" i="3"/>
  <c r="V262" i="3"/>
  <c r="X262" i="3" a="1"/>
  <c r="X262" i="3" s="1"/>
  <c r="Y262" i="3" a="1"/>
  <c r="Y262" i="3" s="1"/>
  <c r="Z262" i="3" a="1"/>
  <c r="Z262" i="3" s="1"/>
  <c r="A263" i="3"/>
  <c r="C263" i="3"/>
  <c r="O263" i="3" s="1"/>
  <c r="F263" i="3"/>
  <c r="G263" i="3"/>
  <c r="N263" i="3"/>
  <c r="R263" i="3"/>
  <c r="S263" i="3"/>
  <c r="W263" i="3"/>
  <c r="X263" i="3" a="1"/>
  <c r="X263" i="3" s="1"/>
  <c r="Y263" i="3" a="1"/>
  <c r="Y263" i="3" s="1"/>
  <c r="Z263" i="3" a="1"/>
  <c r="Z263" i="3" s="1"/>
  <c r="AA263" i="3"/>
  <c r="A264" i="3"/>
  <c r="C264" i="3"/>
  <c r="F264" i="3"/>
  <c r="G264" i="3"/>
  <c r="Q264" i="3"/>
  <c r="V264" i="3"/>
  <c r="X264" i="3" a="1"/>
  <c r="X264" i="3" s="1"/>
  <c r="Y264" i="3" a="1"/>
  <c r="Y264" i="3" s="1"/>
  <c r="Z264" i="3" a="1"/>
  <c r="Z264" i="3" s="1"/>
  <c r="A265" i="3"/>
  <c r="C265" i="3"/>
  <c r="O265" i="3" s="1"/>
  <c r="F265" i="3"/>
  <c r="G265" i="3"/>
  <c r="N265" i="3"/>
  <c r="P265" i="3"/>
  <c r="R265" i="3"/>
  <c r="S265" i="3"/>
  <c r="V265" i="3"/>
  <c r="W265" i="3"/>
  <c r="X265" i="3" a="1"/>
  <c r="X265" i="3" s="1"/>
  <c r="Y265" i="3" a="1"/>
  <c r="Y265" i="3" s="1"/>
  <c r="Z265" i="3" a="1"/>
  <c r="Z265" i="3" s="1"/>
  <c r="AA265" i="3"/>
  <c r="AC265" i="3"/>
  <c r="A266" i="3"/>
  <c r="C266" i="3"/>
  <c r="F266" i="3"/>
  <c r="G266" i="3"/>
  <c r="N266" i="3"/>
  <c r="P266" i="3"/>
  <c r="Q266" i="3"/>
  <c r="T266" i="3"/>
  <c r="U266" i="3"/>
  <c r="V266" i="3"/>
  <c r="X266" i="3" a="1"/>
  <c r="X266" i="3" s="1"/>
  <c r="Y266" i="3" a="1"/>
  <c r="Y266" i="3" s="1"/>
  <c r="Z266" i="3" a="1"/>
  <c r="Z266" i="3" s="1"/>
  <c r="AA266" i="3"/>
  <c r="AC266" i="3"/>
  <c r="A267" i="3"/>
  <c r="C267" i="3"/>
  <c r="F267" i="3"/>
  <c r="G267" i="3"/>
  <c r="N267" i="3"/>
  <c r="O267" i="3"/>
  <c r="P267" i="3"/>
  <c r="R267" i="3"/>
  <c r="S267" i="3"/>
  <c r="T267" i="3"/>
  <c r="V267" i="3"/>
  <c r="W267" i="3"/>
  <c r="X267" i="3" a="1"/>
  <c r="X267" i="3" s="1"/>
  <c r="Y267" i="3" a="1"/>
  <c r="Y267" i="3" s="1"/>
  <c r="Z267" i="3" a="1"/>
  <c r="Z267" i="3" s="1"/>
  <c r="AA267" i="3"/>
  <c r="AB267" i="3"/>
  <c r="AC267" i="3"/>
  <c r="A268" i="3"/>
  <c r="C268" i="3"/>
  <c r="F268" i="3"/>
  <c r="G268" i="3"/>
  <c r="M268" i="3"/>
  <c r="N268" i="3"/>
  <c r="Q268" i="3"/>
  <c r="R268" i="3"/>
  <c r="T268" i="3"/>
  <c r="V268" i="3"/>
  <c r="X268" i="3" a="1"/>
  <c r="X268" i="3" s="1"/>
  <c r="Y268" i="3" a="1"/>
  <c r="Y268" i="3" s="1"/>
  <c r="Z268" i="3" a="1"/>
  <c r="Z268" i="3" s="1"/>
  <c r="AA268" i="3"/>
  <c r="A269" i="3"/>
  <c r="C269" i="3"/>
  <c r="F269" i="3"/>
  <c r="G269" i="3"/>
  <c r="N269" i="3"/>
  <c r="S269" i="3"/>
  <c r="X269" i="3" a="1"/>
  <c r="X269" i="3" s="1"/>
  <c r="Y269" i="3" a="1"/>
  <c r="Y269" i="3" s="1"/>
  <c r="Z269" i="3" a="1"/>
  <c r="Z269" i="3" s="1"/>
  <c r="AA269" i="3"/>
  <c r="A270" i="3"/>
  <c r="C270" i="3"/>
  <c r="F270" i="3"/>
  <c r="G270" i="3"/>
  <c r="Q270" i="3"/>
  <c r="V270" i="3"/>
  <c r="X270" i="3" a="1"/>
  <c r="X270" i="3" s="1"/>
  <c r="Y270" i="3" a="1"/>
  <c r="Y270" i="3" s="1"/>
  <c r="Z270" i="3" a="1"/>
  <c r="Z270" i="3" s="1"/>
  <c r="A271" i="3"/>
  <c r="C271" i="3"/>
  <c r="O271" i="3" s="1"/>
  <c r="F271" i="3"/>
  <c r="G271" i="3"/>
  <c r="N271" i="3"/>
  <c r="R271" i="3"/>
  <c r="S271" i="3"/>
  <c r="W271" i="3"/>
  <c r="X271" i="3" a="1"/>
  <c r="X271" i="3" s="1"/>
  <c r="Y271" i="3" a="1"/>
  <c r="Y271" i="3" s="1"/>
  <c r="Z271" i="3" a="1"/>
  <c r="Z271" i="3" s="1"/>
  <c r="AA271" i="3"/>
  <c r="A272" i="3"/>
  <c r="C272" i="3"/>
  <c r="F272" i="3"/>
  <c r="G272" i="3"/>
  <c r="Q272" i="3"/>
  <c r="V272" i="3"/>
  <c r="X272" i="3" a="1"/>
  <c r="X272" i="3" s="1"/>
  <c r="Y272" i="3" a="1"/>
  <c r="Y272" i="3" s="1"/>
  <c r="Z272" i="3" a="1"/>
  <c r="Z272" i="3" s="1"/>
  <c r="A273" i="3"/>
  <c r="C273" i="3"/>
  <c r="O273" i="3" s="1"/>
  <c r="F273" i="3"/>
  <c r="G273" i="3"/>
  <c r="N273" i="3"/>
  <c r="P273" i="3"/>
  <c r="R273" i="3"/>
  <c r="S273" i="3"/>
  <c r="V273" i="3"/>
  <c r="W273" i="3"/>
  <c r="X273" i="3" a="1"/>
  <c r="X273" i="3" s="1"/>
  <c r="Y273" i="3" a="1"/>
  <c r="Y273" i="3" s="1"/>
  <c r="Z273" i="3" a="1"/>
  <c r="Z273" i="3" s="1"/>
  <c r="AA273" i="3"/>
  <c r="AC273" i="3"/>
  <c r="A274" i="3"/>
  <c r="C274" i="3"/>
  <c r="F274" i="3"/>
  <c r="G274" i="3"/>
  <c r="N274" i="3"/>
  <c r="P274" i="3"/>
  <c r="Q274" i="3"/>
  <c r="T274" i="3"/>
  <c r="U274" i="3"/>
  <c r="V274" i="3"/>
  <c r="X274" i="3" a="1"/>
  <c r="X274" i="3" s="1"/>
  <c r="Y274" i="3" a="1"/>
  <c r="Y274" i="3" s="1"/>
  <c r="Z274" i="3" a="1"/>
  <c r="Z274" i="3" s="1"/>
  <c r="AA274" i="3"/>
  <c r="AC274" i="3"/>
  <c r="A275" i="3"/>
  <c r="C275" i="3"/>
  <c r="F275" i="3"/>
  <c r="G275" i="3"/>
  <c r="N275" i="3"/>
  <c r="O275" i="3"/>
  <c r="P275" i="3"/>
  <c r="R275" i="3"/>
  <c r="S275" i="3"/>
  <c r="T275" i="3"/>
  <c r="V275" i="3"/>
  <c r="W275" i="3"/>
  <c r="X275" i="3" a="1"/>
  <c r="X275" i="3" s="1"/>
  <c r="Y275" i="3" a="1"/>
  <c r="Y275" i="3" s="1"/>
  <c r="Z275" i="3" a="1"/>
  <c r="Z275" i="3" s="1"/>
  <c r="AA275" i="3"/>
  <c r="AB275" i="3"/>
  <c r="AC275" i="3"/>
  <c r="A276" i="3"/>
  <c r="C276" i="3"/>
  <c r="F276" i="3"/>
  <c r="G276" i="3"/>
  <c r="M276" i="3"/>
  <c r="N276" i="3"/>
  <c r="Q276" i="3"/>
  <c r="R276" i="3"/>
  <c r="T276" i="3"/>
  <c r="V276" i="3"/>
  <c r="X276" i="3" a="1"/>
  <c r="X276" i="3" s="1"/>
  <c r="Y276" i="3" a="1"/>
  <c r="Y276" i="3" s="1"/>
  <c r="Z276" i="3" a="1"/>
  <c r="Z276" i="3" s="1"/>
  <c r="AA276" i="3"/>
  <c r="A277" i="3"/>
  <c r="C277" i="3"/>
  <c r="P277" i="3" s="1"/>
  <c r="F277" i="3"/>
  <c r="G277" i="3"/>
  <c r="N277" i="3"/>
  <c r="O277" i="3"/>
  <c r="S277" i="3"/>
  <c r="T277" i="3"/>
  <c r="X277" i="3" a="1"/>
  <c r="X277" i="3" s="1"/>
  <c r="Y277" i="3" a="1"/>
  <c r="Y277" i="3" s="1"/>
  <c r="Z277" i="3" a="1"/>
  <c r="Z277" i="3" s="1"/>
  <c r="AA277" i="3"/>
  <c r="AB277" i="3"/>
  <c r="A278" i="3"/>
  <c r="C278" i="3"/>
  <c r="F278" i="3"/>
  <c r="G278" i="3"/>
  <c r="Q278" i="3"/>
  <c r="V278" i="3"/>
  <c r="X278" i="3" a="1"/>
  <c r="X278" i="3" s="1"/>
  <c r="Y278" i="3" a="1"/>
  <c r="Y278" i="3" s="1"/>
  <c r="Z278" i="3" a="1"/>
  <c r="Z278" i="3" s="1"/>
  <c r="A279" i="3"/>
  <c r="C279" i="3"/>
  <c r="O279" i="3" s="1"/>
  <c r="F279" i="3"/>
  <c r="G279" i="3"/>
  <c r="N279" i="3"/>
  <c r="S279" i="3"/>
  <c r="X279" i="3" a="1"/>
  <c r="X279" i="3" s="1"/>
  <c r="Y279" i="3" a="1"/>
  <c r="Y279" i="3" s="1"/>
  <c r="Z279" i="3" a="1"/>
  <c r="Z279" i="3" s="1"/>
  <c r="AA279" i="3"/>
  <c r="A280" i="3"/>
  <c r="C280" i="3"/>
  <c r="F280" i="3"/>
  <c r="G280" i="3"/>
  <c r="Q280" i="3"/>
  <c r="V280" i="3"/>
  <c r="X280" i="3" a="1"/>
  <c r="X280" i="3" s="1"/>
  <c r="Y280" i="3" a="1"/>
  <c r="Y280" i="3" s="1"/>
  <c r="Z280" i="3" a="1"/>
  <c r="Z280" i="3" s="1"/>
  <c r="A281" i="3"/>
  <c r="C281" i="3"/>
  <c r="F281" i="3"/>
  <c r="G281" i="3"/>
  <c r="N281" i="3"/>
  <c r="P281" i="3"/>
  <c r="R281" i="3"/>
  <c r="S281" i="3"/>
  <c r="V281" i="3"/>
  <c r="W281" i="3"/>
  <c r="X281" i="3" a="1"/>
  <c r="X281" i="3" s="1"/>
  <c r="Y281" i="3" a="1"/>
  <c r="Y281" i="3" s="1"/>
  <c r="Z281" i="3" a="1"/>
  <c r="Z281" i="3" s="1"/>
  <c r="AA281" i="3"/>
  <c r="AC281" i="3"/>
  <c r="A282" i="3"/>
  <c r="C282" i="3"/>
  <c r="F282" i="3"/>
  <c r="G282" i="3"/>
  <c r="N282" i="3"/>
  <c r="P282" i="3"/>
  <c r="Q282" i="3"/>
  <c r="T282" i="3"/>
  <c r="U282" i="3"/>
  <c r="V282" i="3"/>
  <c r="X282" i="3" a="1"/>
  <c r="X282" i="3" s="1"/>
  <c r="Y282" i="3" a="1"/>
  <c r="Y282" i="3" s="1"/>
  <c r="Z282" i="3" a="1"/>
  <c r="Z282" i="3" s="1"/>
  <c r="AA282" i="3"/>
  <c r="AC282" i="3"/>
  <c r="A283" i="3"/>
  <c r="C283" i="3"/>
  <c r="F283" i="3"/>
  <c r="G283" i="3"/>
  <c r="N283" i="3"/>
  <c r="O283" i="3"/>
  <c r="P283" i="3"/>
  <c r="R283" i="3"/>
  <c r="S283" i="3"/>
  <c r="T283" i="3"/>
  <c r="V283" i="3"/>
  <c r="W283" i="3"/>
  <c r="X283" i="3" a="1"/>
  <c r="X283" i="3" s="1"/>
  <c r="Y283" i="3" a="1"/>
  <c r="Y283" i="3" s="1"/>
  <c r="Z283" i="3" a="1"/>
  <c r="Z283" i="3" s="1"/>
  <c r="AA283" i="3"/>
  <c r="AB283" i="3"/>
  <c r="AC283" i="3"/>
  <c r="A284" i="3"/>
  <c r="C284" i="3"/>
  <c r="F284" i="3"/>
  <c r="G284" i="3"/>
  <c r="M284" i="3"/>
  <c r="N284" i="3"/>
  <c r="Q284" i="3"/>
  <c r="R284" i="3"/>
  <c r="T284" i="3"/>
  <c r="V284" i="3"/>
  <c r="X284" i="3" a="1"/>
  <c r="X284" i="3" s="1"/>
  <c r="Y284" i="3" a="1"/>
  <c r="Y284" i="3" s="1"/>
  <c r="Z284" i="3" a="1"/>
  <c r="Z284" i="3" s="1"/>
  <c r="AA284" i="3"/>
  <c r="A285" i="3"/>
  <c r="C285" i="3"/>
  <c r="P285" i="3" s="1"/>
  <c r="F285" i="3"/>
  <c r="G285" i="3"/>
  <c r="N285" i="3"/>
  <c r="O285" i="3"/>
  <c r="S285" i="3"/>
  <c r="T285" i="3"/>
  <c r="X285" i="3" a="1"/>
  <c r="X285" i="3" s="1"/>
  <c r="Y285" i="3" a="1"/>
  <c r="Y285" i="3" s="1"/>
  <c r="Z285" i="3" a="1"/>
  <c r="Z285" i="3" s="1"/>
  <c r="AA285" i="3"/>
  <c r="AB285" i="3"/>
  <c r="A286" i="3"/>
  <c r="C286" i="3"/>
  <c r="F286" i="3"/>
  <c r="G286" i="3"/>
  <c r="Q286" i="3"/>
  <c r="V286" i="3"/>
  <c r="X286" i="3" a="1"/>
  <c r="X286" i="3" s="1"/>
  <c r="Y286" i="3" a="1"/>
  <c r="Y286" i="3" s="1"/>
  <c r="Z286" i="3" a="1"/>
  <c r="Z286" i="3" s="1"/>
  <c r="A287" i="3"/>
  <c r="C287" i="3"/>
  <c r="F287" i="3"/>
  <c r="G287" i="3"/>
  <c r="N287" i="3"/>
  <c r="S287" i="3"/>
  <c r="X287" i="3" a="1"/>
  <c r="X287" i="3" s="1"/>
  <c r="Y287" i="3" a="1"/>
  <c r="Y287" i="3" s="1"/>
  <c r="Z287" i="3" a="1"/>
  <c r="Z287" i="3" s="1"/>
  <c r="AA287" i="3"/>
  <c r="A288" i="3"/>
  <c r="C288" i="3"/>
  <c r="F288" i="3"/>
  <c r="G288" i="3"/>
  <c r="Q288" i="3"/>
  <c r="V288" i="3"/>
  <c r="X288" i="3" a="1"/>
  <c r="X288" i="3" s="1"/>
  <c r="Y288" i="3" a="1"/>
  <c r="Y288" i="3" s="1"/>
  <c r="Z288" i="3" a="1"/>
  <c r="Z288" i="3" s="1"/>
  <c r="A289" i="3"/>
  <c r="C289" i="3"/>
  <c r="F289" i="3"/>
  <c r="G289" i="3"/>
  <c r="N289" i="3"/>
  <c r="O289" i="3"/>
  <c r="P289" i="3"/>
  <c r="R289" i="3"/>
  <c r="S289" i="3"/>
  <c r="T289" i="3"/>
  <c r="V289" i="3"/>
  <c r="W289" i="3"/>
  <c r="X289" i="3" a="1"/>
  <c r="X289" i="3" s="1"/>
  <c r="Y289" i="3" a="1"/>
  <c r="Y289" i="3" s="1"/>
  <c r="Z289" i="3" a="1"/>
  <c r="Z289" i="3" s="1"/>
  <c r="AA289" i="3"/>
  <c r="AB289" i="3"/>
  <c r="AC289" i="3"/>
  <c r="A290" i="3"/>
  <c r="C290" i="3"/>
  <c r="F290" i="3"/>
  <c r="G290" i="3"/>
  <c r="M290" i="3"/>
  <c r="N290" i="3"/>
  <c r="P290" i="3"/>
  <c r="Q290" i="3"/>
  <c r="R290" i="3"/>
  <c r="T290" i="3"/>
  <c r="U290" i="3"/>
  <c r="V290" i="3"/>
  <c r="X290" i="3" a="1"/>
  <c r="X290" i="3" s="1"/>
  <c r="Y290" i="3" a="1"/>
  <c r="Y290" i="3" s="1"/>
  <c r="Z290" i="3" a="1"/>
  <c r="Z290" i="3" s="1"/>
  <c r="AA290" i="3"/>
  <c r="AC290" i="3"/>
  <c r="A291" i="3"/>
  <c r="C291" i="3"/>
  <c r="F291" i="3"/>
  <c r="G291" i="3"/>
  <c r="N291" i="3"/>
  <c r="P291" i="3"/>
  <c r="S291" i="3"/>
  <c r="V291" i="3"/>
  <c r="X291" i="3" a="1"/>
  <c r="X291" i="3" s="1"/>
  <c r="Y291" i="3" a="1"/>
  <c r="Y291" i="3" s="1"/>
  <c r="Z291" i="3" a="1"/>
  <c r="Z291" i="3" s="1"/>
  <c r="AA291" i="3"/>
  <c r="AC291" i="3"/>
  <c r="A292" i="3"/>
  <c r="C292" i="3"/>
  <c r="F292" i="3"/>
  <c r="G292" i="3"/>
  <c r="N292" i="3"/>
  <c r="Q292" i="3"/>
  <c r="T292" i="3"/>
  <c r="V292" i="3"/>
  <c r="X292" i="3" a="1"/>
  <c r="X292" i="3" s="1"/>
  <c r="Y292" i="3" a="1"/>
  <c r="Y292" i="3" s="1"/>
  <c r="Z292" i="3" a="1"/>
  <c r="Z292" i="3" s="1"/>
  <c r="AA292" i="3"/>
  <c r="A293" i="3"/>
  <c r="C293" i="3"/>
  <c r="P293" i="3" s="1"/>
  <c r="F293" i="3"/>
  <c r="G293" i="3"/>
  <c r="N293" i="3"/>
  <c r="O293" i="3"/>
  <c r="R293" i="3"/>
  <c r="S293" i="3"/>
  <c r="T293" i="3"/>
  <c r="W293" i="3"/>
  <c r="X293" i="3" a="1"/>
  <c r="X293" i="3" s="1"/>
  <c r="Y293" i="3" a="1"/>
  <c r="Y293" i="3" s="1"/>
  <c r="Z293" i="3" a="1"/>
  <c r="Z293" i="3" s="1"/>
  <c r="AA293" i="3"/>
  <c r="AB293" i="3"/>
  <c r="A294" i="3"/>
  <c r="C294" i="3"/>
  <c r="N294" i="3" s="1"/>
  <c r="F294" i="3"/>
  <c r="G294" i="3"/>
  <c r="M294" i="3"/>
  <c r="Q294" i="3"/>
  <c r="R294" i="3"/>
  <c r="V294" i="3"/>
  <c r="X294" i="3" a="1"/>
  <c r="X294" i="3" s="1"/>
  <c r="Y294" i="3" a="1"/>
  <c r="Y294" i="3" s="1"/>
  <c r="Z294" i="3" a="1"/>
  <c r="Z294" i="3" s="1"/>
  <c r="A295" i="3"/>
  <c r="C295" i="3"/>
  <c r="O295" i="3" s="1"/>
  <c r="F295" i="3"/>
  <c r="G295" i="3"/>
  <c r="N295" i="3"/>
  <c r="S295" i="3"/>
  <c r="X295" i="3" a="1"/>
  <c r="X295" i="3" s="1"/>
  <c r="Y295" i="3" a="1"/>
  <c r="Y295" i="3" s="1"/>
  <c r="Z295" i="3" a="1"/>
  <c r="Z295" i="3" s="1"/>
  <c r="AA295" i="3"/>
  <c r="A296" i="3"/>
  <c r="C296" i="3"/>
  <c r="F296" i="3"/>
  <c r="G296" i="3"/>
  <c r="Q296" i="3"/>
  <c r="V296" i="3"/>
  <c r="X296" i="3" a="1"/>
  <c r="X296" i="3" s="1"/>
  <c r="Y296" i="3" a="1"/>
  <c r="Y296" i="3" s="1"/>
  <c r="Z296" i="3" a="1"/>
  <c r="Z296" i="3" s="1"/>
  <c r="A297" i="3"/>
  <c r="C297" i="3"/>
  <c r="F297" i="3"/>
  <c r="G297" i="3"/>
  <c r="N297" i="3"/>
  <c r="O297" i="3"/>
  <c r="P297" i="3"/>
  <c r="R297" i="3"/>
  <c r="S297" i="3"/>
  <c r="T297" i="3"/>
  <c r="V297" i="3"/>
  <c r="W297" i="3"/>
  <c r="X297" i="3" a="1"/>
  <c r="X297" i="3" s="1"/>
  <c r="Y297" i="3" a="1"/>
  <c r="Y297" i="3" s="1"/>
  <c r="Z297" i="3" a="1"/>
  <c r="Z297" i="3" s="1"/>
  <c r="AA297" i="3"/>
  <c r="AB297" i="3"/>
  <c r="AC297" i="3"/>
  <c r="A298" i="3"/>
  <c r="C298" i="3"/>
  <c r="F298" i="3"/>
  <c r="G298" i="3"/>
  <c r="M298" i="3"/>
  <c r="N298" i="3"/>
  <c r="P298" i="3"/>
  <c r="Q298" i="3"/>
  <c r="R298" i="3"/>
  <c r="T298" i="3"/>
  <c r="U298" i="3"/>
  <c r="V298" i="3"/>
  <c r="X298" i="3" a="1"/>
  <c r="X298" i="3" s="1"/>
  <c r="Y298" i="3" a="1"/>
  <c r="Y298" i="3" s="1"/>
  <c r="Z298" i="3" a="1"/>
  <c r="Z298" i="3" s="1"/>
  <c r="AA298" i="3"/>
  <c r="AC298" i="3"/>
  <c r="A299" i="3"/>
  <c r="C299" i="3"/>
  <c r="F299" i="3"/>
  <c r="G299" i="3"/>
  <c r="N299" i="3"/>
  <c r="P299" i="3"/>
  <c r="S299" i="3"/>
  <c r="V299" i="3"/>
  <c r="X299" i="3" a="1"/>
  <c r="X299" i="3" s="1"/>
  <c r="Y299" i="3" a="1"/>
  <c r="Y299" i="3" s="1"/>
  <c r="Z299" i="3" a="1"/>
  <c r="Z299" i="3" s="1"/>
  <c r="AA299" i="3"/>
  <c r="AC299" i="3"/>
  <c r="A300" i="3"/>
  <c r="C300" i="3"/>
  <c r="F300" i="3"/>
  <c r="G300" i="3"/>
  <c r="N300" i="3"/>
  <c r="Q300" i="3"/>
  <c r="T300" i="3"/>
  <c r="V300" i="3"/>
  <c r="X300" i="3" a="1"/>
  <c r="X300" i="3" s="1"/>
  <c r="Y300" i="3" a="1"/>
  <c r="Y300" i="3" s="1"/>
  <c r="Z300" i="3" a="1"/>
  <c r="Z300" i="3" s="1"/>
  <c r="AA300" i="3"/>
  <c r="A301" i="3"/>
  <c r="C301" i="3"/>
  <c r="P301" i="3" s="1"/>
  <c r="F301" i="3"/>
  <c r="G301" i="3"/>
  <c r="N301" i="3"/>
  <c r="O301" i="3"/>
  <c r="R301" i="3"/>
  <c r="S301" i="3"/>
  <c r="T301" i="3"/>
  <c r="W301" i="3"/>
  <c r="X301" i="3" a="1"/>
  <c r="X301" i="3" s="1"/>
  <c r="Y301" i="3" a="1"/>
  <c r="Y301" i="3" s="1"/>
  <c r="Z301" i="3" a="1"/>
  <c r="Z301" i="3" s="1"/>
  <c r="AA301" i="3"/>
  <c r="AB301" i="3"/>
  <c r="A302" i="3"/>
  <c r="C302" i="3"/>
  <c r="N302" i="3" s="1"/>
  <c r="F302" i="3"/>
  <c r="G302" i="3"/>
  <c r="M302" i="3"/>
  <c r="Q302" i="3"/>
  <c r="R302" i="3"/>
  <c r="V302" i="3"/>
  <c r="X302" i="3" a="1"/>
  <c r="X302" i="3" s="1"/>
  <c r="Y302" i="3" a="1"/>
  <c r="Y302" i="3" s="1"/>
  <c r="Z302" i="3" a="1"/>
  <c r="Z302" i="3" s="1"/>
  <c r="A303" i="3"/>
  <c r="C303" i="3"/>
  <c r="O303" i="3" s="1"/>
  <c r="F303" i="3"/>
  <c r="G303" i="3"/>
  <c r="N303" i="3"/>
  <c r="S303" i="3"/>
  <c r="X303" i="3" a="1"/>
  <c r="X303" i="3" s="1"/>
  <c r="Y303" i="3" a="1"/>
  <c r="Y303" i="3" s="1"/>
  <c r="Z303" i="3" a="1"/>
  <c r="Z303" i="3" s="1"/>
  <c r="AA303" i="3"/>
  <c r="A304" i="3"/>
  <c r="C304" i="3"/>
  <c r="F304" i="3"/>
  <c r="G304" i="3"/>
  <c r="Q304" i="3"/>
  <c r="V304" i="3"/>
  <c r="X304" i="3" a="1"/>
  <c r="X304" i="3" s="1"/>
  <c r="Y304" i="3" a="1"/>
  <c r="Y304" i="3" s="1"/>
  <c r="Z304" i="3" a="1"/>
  <c r="Z304" i="3" s="1"/>
  <c r="A305" i="3"/>
  <c r="C305" i="3"/>
  <c r="F305" i="3"/>
  <c r="G305" i="3"/>
  <c r="N305" i="3"/>
  <c r="O305" i="3"/>
  <c r="P305" i="3"/>
  <c r="R305" i="3"/>
  <c r="S305" i="3"/>
  <c r="T305" i="3"/>
  <c r="V305" i="3"/>
  <c r="W305" i="3"/>
  <c r="X305" i="3" a="1"/>
  <c r="X305" i="3" s="1"/>
  <c r="Y305" i="3" a="1"/>
  <c r="Y305" i="3" s="1"/>
  <c r="Z305" i="3" a="1"/>
  <c r="Z305" i="3" s="1"/>
  <c r="AA305" i="3"/>
  <c r="AB305" i="3"/>
  <c r="AC305" i="3"/>
  <c r="A306" i="3"/>
  <c r="C306" i="3"/>
  <c r="F306" i="3"/>
  <c r="G306" i="3"/>
  <c r="M306" i="3"/>
  <c r="N306" i="3"/>
  <c r="P306" i="3"/>
  <c r="Q306" i="3"/>
  <c r="R306" i="3"/>
  <c r="T306" i="3"/>
  <c r="U306" i="3"/>
  <c r="V306" i="3"/>
  <c r="X306" i="3" a="1"/>
  <c r="X306" i="3" s="1"/>
  <c r="Y306" i="3" a="1"/>
  <c r="Y306" i="3" s="1"/>
  <c r="Z306" i="3" a="1"/>
  <c r="Z306" i="3" s="1"/>
  <c r="AA306" i="3"/>
  <c r="AC306" i="3"/>
  <c r="A307" i="3"/>
  <c r="C307" i="3"/>
  <c r="F307" i="3"/>
  <c r="G307" i="3"/>
  <c r="N307" i="3"/>
  <c r="P307" i="3"/>
  <c r="S307" i="3"/>
  <c r="V307" i="3"/>
  <c r="X307" i="3" a="1"/>
  <c r="X307" i="3" s="1"/>
  <c r="Y307" i="3" a="1"/>
  <c r="Y307" i="3" s="1"/>
  <c r="Z307" i="3" a="1"/>
  <c r="Z307" i="3" s="1"/>
  <c r="AA307" i="3"/>
  <c r="AC307" i="3"/>
  <c r="A308" i="3"/>
  <c r="C308" i="3"/>
  <c r="F308" i="3"/>
  <c r="G308" i="3"/>
  <c r="N308" i="3"/>
  <c r="Q308" i="3"/>
  <c r="T308" i="3"/>
  <c r="V308" i="3"/>
  <c r="X308" i="3" a="1"/>
  <c r="X308" i="3" s="1"/>
  <c r="Y308" i="3" a="1"/>
  <c r="Y308" i="3" s="1"/>
  <c r="Z308" i="3" a="1"/>
  <c r="Z308" i="3" s="1"/>
  <c r="AA308" i="3"/>
  <c r="A309" i="3"/>
  <c r="C309" i="3"/>
  <c r="P309" i="3" s="1"/>
  <c r="F309" i="3"/>
  <c r="G309" i="3"/>
  <c r="N309" i="3"/>
  <c r="O309" i="3"/>
  <c r="R309" i="3"/>
  <c r="S309" i="3"/>
  <c r="T309" i="3"/>
  <c r="W309" i="3"/>
  <c r="X309" i="3" a="1"/>
  <c r="X309" i="3" s="1"/>
  <c r="Y309" i="3" a="1"/>
  <c r="Y309" i="3" s="1"/>
  <c r="Z309" i="3" a="1"/>
  <c r="Z309" i="3" s="1"/>
  <c r="AA309" i="3"/>
  <c r="AB309" i="3"/>
  <c r="A310" i="3"/>
  <c r="C310" i="3"/>
  <c r="N310" i="3" s="1"/>
  <c r="F310" i="3"/>
  <c r="G310" i="3"/>
  <c r="M310" i="3"/>
  <c r="P310" i="3"/>
  <c r="Q310" i="3"/>
  <c r="R310" i="3"/>
  <c r="U310" i="3"/>
  <c r="V310" i="3"/>
  <c r="X310" i="3" a="1"/>
  <c r="X310" i="3" s="1"/>
  <c r="Y310" i="3" a="1"/>
  <c r="Y310" i="3" s="1"/>
  <c r="Z310" i="3" a="1"/>
  <c r="Z310" i="3" s="1"/>
  <c r="AC310" i="3"/>
  <c r="A311" i="3"/>
  <c r="C311" i="3"/>
  <c r="O311" i="3" s="1"/>
  <c r="F311" i="3"/>
  <c r="G311" i="3"/>
  <c r="N311" i="3"/>
  <c r="S311" i="3"/>
  <c r="X311" i="3" a="1"/>
  <c r="X311" i="3" s="1"/>
  <c r="Y311" i="3" a="1"/>
  <c r="Y311" i="3" s="1"/>
  <c r="Z311" i="3" a="1"/>
  <c r="Z311" i="3" s="1"/>
  <c r="AA311" i="3"/>
  <c r="A312" i="3"/>
  <c r="C312" i="3"/>
  <c r="F312" i="3"/>
  <c r="G312" i="3"/>
  <c r="Q312" i="3"/>
  <c r="V312" i="3"/>
  <c r="X312" i="3" a="1"/>
  <c r="X312" i="3" s="1"/>
  <c r="Y312" i="3" a="1"/>
  <c r="Y312" i="3" s="1"/>
  <c r="Z312" i="3" a="1"/>
  <c r="Z312" i="3" s="1"/>
  <c r="A313" i="3"/>
  <c r="U318" i="3" s="1"/>
  <c r="C313" i="3"/>
  <c r="F313" i="3"/>
  <c r="G313" i="3"/>
  <c r="N313" i="3"/>
  <c r="O313" i="3"/>
  <c r="P313" i="3"/>
  <c r="R313" i="3"/>
  <c r="S313" i="3"/>
  <c r="T313" i="3"/>
  <c r="V313" i="3"/>
  <c r="W313" i="3"/>
  <c r="X313" i="3" a="1"/>
  <c r="X313" i="3" s="1"/>
  <c r="Y313" i="3" a="1"/>
  <c r="Y313" i="3" s="1"/>
  <c r="Z313" i="3" a="1"/>
  <c r="Z313" i="3" s="1"/>
  <c r="AA313" i="3"/>
  <c r="AB313" i="3"/>
  <c r="AC313" i="3"/>
  <c r="A314" i="3"/>
  <c r="C314" i="3"/>
  <c r="F314" i="3"/>
  <c r="G314" i="3"/>
  <c r="M314" i="3"/>
  <c r="N314" i="3"/>
  <c r="P314" i="3"/>
  <c r="Q314" i="3"/>
  <c r="R314" i="3"/>
  <c r="T314" i="3"/>
  <c r="U314" i="3"/>
  <c r="V314" i="3"/>
  <c r="X314" i="3" a="1"/>
  <c r="X314" i="3" s="1"/>
  <c r="Y314" i="3" a="1"/>
  <c r="Y314" i="3" s="1"/>
  <c r="Z314" i="3" a="1"/>
  <c r="Z314" i="3" s="1"/>
  <c r="AA314" i="3"/>
  <c r="AC314" i="3"/>
  <c r="A315" i="3"/>
  <c r="C315" i="3"/>
  <c r="F315" i="3"/>
  <c r="G315" i="3"/>
  <c r="N315" i="3"/>
  <c r="P315" i="3"/>
  <c r="S315" i="3"/>
  <c r="V315" i="3"/>
  <c r="X315" i="3" a="1"/>
  <c r="X315" i="3" s="1"/>
  <c r="Y315" i="3" a="1"/>
  <c r="Y315" i="3" s="1"/>
  <c r="Z315" i="3" a="1"/>
  <c r="Z315" i="3" s="1"/>
  <c r="AA315" i="3"/>
  <c r="AC315" i="3"/>
  <c r="A316" i="3"/>
  <c r="C316" i="3"/>
  <c r="F316" i="3"/>
  <c r="G316" i="3"/>
  <c r="N316" i="3"/>
  <c r="Q316" i="3"/>
  <c r="T316" i="3"/>
  <c r="V316" i="3"/>
  <c r="X316" i="3" a="1"/>
  <c r="X316" i="3" s="1"/>
  <c r="Y316" i="3" a="1"/>
  <c r="Y316" i="3" s="1"/>
  <c r="Z316" i="3" a="1"/>
  <c r="Z316" i="3" s="1"/>
  <c r="AA316" i="3"/>
  <c r="A317" i="3"/>
  <c r="C317" i="3"/>
  <c r="P317" i="3" s="1"/>
  <c r="F317" i="3"/>
  <c r="G317" i="3"/>
  <c r="N317" i="3"/>
  <c r="O317" i="3"/>
  <c r="R317" i="3"/>
  <c r="S317" i="3"/>
  <c r="T317" i="3"/>
  <c r="W317" i="3"/>
  <c r="X317" i="3" a="1"/>
  <c r="X317" i="3" s="1"/>
  <c r="Y317" i="3" a="1"/>
  <c r="Y317" i="3" s="1"/>
  <c r="Z317" i="3" a="1"/>
  <c r="Z317" i="3" s="1"/>
  <c r="AA317" i="3"/>
  <c r="AB317" i="3"/>
  <c r="A318" i="3"/>
  <c r="C318" i="3"/>
  <c r="N318" i="3" s="1"/>
  <c r="F318" i="3"/>
  <c r="G318" i="3"/>
  <c r="M318" i="3"/>
  <c r="P318" i="3"/>
  <c r="Q318" i="3"/>
  <c r="R318" i="3"/>
  <c r="V318" i="3"/>
  <c r="X318" i="3" a="1"/>
  <c r="X318" i="3" s="1"/>
  <c r="Y318" i="3" a="1"/>
  <c r="Y318" i="3" s="1"/>
  <c r="Z318" i="3" a="1"/>
  <c r="Z318" i="3" s="1"/>
  <c r="AC318" i="3"/>
  <c r="A319" i="3"/>
  <c r="C319" i="3"/>
  <c r="O319" i="3" s="1"/>
  <c r="F319" i="3"/>
  <c r="G319" i="3"/>
  <c r="N319" i="3"/>
  <c r="S319" i="3"/>
  <c r="X319" i="3" a="1"/>
  <c r="X319" i="3" s="1"/>
  <c r="Y319" i="3" a="1"/>
  <c r="Y319" i="3" s="1"/>
  <c r="Z319" i="3" a="1"/>
  <c r="Z319" i="3" s="1"/>
  <c r="AA319" i="3"/>
  <c r="A320" i="3"/>
  <c r="C320" i="3"/>
  <c r="F320" i="3"/>
  <c r="G320" i="3"/>
  <c r="Q320" i="3"/>
  <c r="V320" i="3"/>
  <c r="X320" i="3" a="1"/>
  <c r="X320" i="3" s="1"/>
  <c r="Y320" i="3" a="1"/>
  <c r="Y320" i="3" s="1"/>
  <c r="Z320" i="3" a="1"/>
  <c r="Z320" i="3" s="1"/>
  <c r="A321" i="3"/>
  <c r="C321" i="3"/>
  <c r="F321" i="3"/>
  <c r="G321" i="3"/>
  <c r="N321" i="3"/>
  <c r="O321" i="3"/>
  <c r="P321" i="3"/>
  <c r="R321" i="3"/>
  <c r="S321" i="3"/>
  <c r="T321" i="3"/>
  <c r="V321" i="3"/>
  <c r="W321" i="3"/>
  <c r="X321" i="3" a="1"/>
  <c r="X321" i="3" s="1"/>
  <c r="Y321" i="3" a="1"/>
  <c r="Y321" i="3" s="1"/>
  <c r="Z321" i="3" a="1"/>
  <c r="Z321" i="3" s="1"/>
  <c r="AA321" i="3"/>
  <c r="AB321" i="3"/>
  <c r="AC321" i="3"/>
  <c r="A322" i="3"/>
  <c r="C322" i="3"/>
  <c r="F322" i="3"/>
  <c r="G322" i="3"/>
  <c r="M322" i="3"/>
  <c r="N322" i="3"/>
  <c r="P322" i="3"/>
  <c r="Q322" i="3"/>
  <c r="R322" i="3"/>
  <c r="T322" i="3"/>
  <c r="U322" i="3"/>
  <c r="V322" i="3"/>
  <c r="X322" i="3" a="1"/>
  <c r="X322" i="3" s="1"/>
  <c r="Y322" i="3" a="1"/>
  <c r="Y322" i="3" s="1"/>
  <c r="Z322" i="3" a="1"/>
  <c r="Z322" i="3" s="1"/>
  <c r="AA322" i="3"/>
  <c r="AC322" i="3"/>
  <c r="A323" i="3"/>
  <c r="C323" i="3"/>
  <c r="F323" i="3"/>
  <c r="G323" i="3"/>
  <c r="N323" i="3"/>
  <c r="P323" i="3"/>
  <c r="S323" i="3"/>
  <c r="V323" i="3"/>
  <c r="X323" i="3" a="1"/>
  <c r="X323" i="3" s="1"/>
  <c r="Y323" i="3" a="1"/>
  <c r="Y323" i="3" s="1"/>
  <c r="Z323" i="3" a="1"/>
  <c r="Z323" i="3" s="1"/>
  <c r="AA323" i="3"/>
  <c r="AC323" i="3"/>
  <c r="A324" i="3"/>
  <c r="C324" i="3"/>
  <c r="F324" i="3"/>
  <c r="G324" i="3"/>
  <c r="N324" i="3"/>
  <c r="Q324" i="3"/>
  <c r="T324" i="3"/>
  <c r="V324" i="3"/>
  <c r="X324" i="3" a="1"/>
  <c r="X324" i="3" s="1"/>
  <c r="Y324" i="3" a="1"/>
  <c r="Y324" i="3" s="1"/>
  <c r="Z324" i="3" a="1"/>
  <c r="Z324" i="3" s="1"/>
  <c r="AA324" i="3"/>
  <c r="A325" i="3"/>
  <c r="C325" i="3"/>
  <c r="P325" i="3" s="1"/>
  <c r="F325" i="3"/>
  <c r="G325" i="3"/>
  <c r="N325" i="3"/>
  <c r="O325" i="3"/>
  <c r="R325" i="3"/>
  <c r="S325" i="3"/>
  <c r="T325" i="3"/>
  <c r="W325" i="3"/>
  <c r="X325" i="3" a="1"/>
  <c r="X325" i="3" s="1"/>
  <c r="Y325" i="3" a="1"/>
  <c r="Y325" i="3" s="1"/>
  <c r="Z325" i="3" a="1"/>
  <c r="Z325" i="3" s="1"/>
  <c r="AA325" i="3"/>
  <c r="AB325" i="3"/>
  <c r="A326" i="3"/>
  <c r="C326" i="3"/>
  <c r="N326" i="3" s="1"/>
  <c r="F326" i="3"/>
  <c r="G326" i="3"/>
  <c r="M326" i="3"/>
  <c r="P326" i="3"/>
  <c r="Q326" i="3"/>
  <c r="R326" i="3"/>
  <c r="U326" i="3"/>
  <c r="V326" i="3"/>
  <c r="X326" i="3" a="1"/>
  <c r="X326" i="3" s="1"/>
  <c r="Y326" i="3" a="1"/>
  <c r="Y326" i="3" s="1"/>
  <c r="Z326" i="3" a="1"/>
  <c r="Z326" i="3" s="1"/>
  <c r="AC326" i="3"/>
  <c r="A327" i="3"/>
  <c r="C327" i="3"/>
  <c r="F327" i="3"/>
  <c r="G327" i="3"/>
  <c r="N327" i="3"/>
  <c r="S327" i="3"/>
  <c r="X327" i="3" a="1"/>
  <c r="X327" i="3" s="1"/>
  <c r="Y327" i="3" a="1"/>
  <c r="Y327" i="3" s="1"/>
  <c r="Z327" i="3" a="1"/>
  <c r="Z327" i="3" s="1"/>
  <c r="AA327" i="3"/>
  <c r="A328" i="3"/>
  <c r="C328" i="3"/>
  <c r="F328" i="3"/>
  <c r="G328" i="3"/>
  <c r="Q328" i="3"/>
  <c r="V328" i="3"/>
  <c r="X328" i="3" a="1"/>
  <c r="X328" i="3" s="1"/>
  <c r="Y328" i="3" a="1"/>
  <c r="Y328" i="3" s="1"/>
  <c r="Z328" i="3" a="1"/>
  <c r="Z328" i="3" s="1"/>
  <c r="A329" i="3"/>
  <c r="U334" i="3" s="1"/>
  <c r="C329" i="3"/>
  <c r="F329" i="3"/>
  <c r="G329" i="3"/>
  <c r="N329" i="3"/>
  <c r="O329" i="3"/>
  <c r="P329" i="3"/>
  <c r="R329" i="3"/>
  <c r="S329" i="3"/>
  <c r="T329" i="3"/>
  <c r="V329" i="3"/>
  <c r="W329" i="3"/>
  <c r="X329" i="3" a="1"/>
  <c r="X329" i="3" s="1"/>
  <c r="Y329" i="3" a="1"/>
  <c r="Y329" i="3" s="1"/>
  <c r="Z329" i="3" a="1"/>
  <c r="Z329" i="3" s="1"/>
  <c r="AA329" i="3"/>
  <c r="AB329" i="3"/>
  <c r="AC329" i="3"/>
  <c r="A330" i="3"/>
  <c r="C330" i="3"/>
  <c r="F330" i="3"/>
  <c r="G330" i="3"/>
  <c r="M330" i="3"/>
  <c r="N330" i="3"/>
  <c r="P330" i="3"/>
  <c r="Q330" i="3"/>
  <c r="R330" i="3"/>
  <c r="T330" i="3"/>
  <c r="U330" i="3"/>
  <c r="V330" i="3"/>
  <c r="X330" i="3" a="1"/>
  <c r="X330" i="3" s="1"/>
  <c r="Y330" i="3" a="1"/>
  <c r="Y330" i="3" s="1"/>
  <c r="Z330" i="3" a="1"/>
  <c r="Z330" i="3" s="1"/>
  <c r="AA330" i="3"/>
  <c r="AC330" i="3"/>
  <c r="A331" i="3"/>
  <c r="C331" i="3"/>
  <c r="F331" i="3"/>
  <c r="G331" i="3"/>
  <c r="N331" i="3"/>
  <c r="P331" i="3"/>
  <c r="S331" i="3"/>
  <c r="V331" i="3"/>
  <c r="X331" i="3" a="1"/>
  <c r="X331" i="3" s="1"/>
  <c r="Y331" i="3" a="1"/>
  <c r="Y331" i="3" s="1"/>
  <c r="Z331" i="3" a="1"/>
  <c r="Z331" i="3" s="1"/>
  <c r="AA331" i="3"/>
  <c r="AC331" i="3"/>
  <c r="A332" i="3"/>
  <c r="C332" i="3"/>
  <c r="F332" i="3"/>
  <c r="G332" i="3"/>
  <c r="N332" i="3"/>
  <c r="Q332" i="3"/>
  <c r="T332" i="3"/>
  <c r="V332" i="3"/>
  <c r="X332" i="3" a="1"/>
  <c r="X332" i="3" s="1"/>
  <c r="Y332" i="3" a="1"/>
  <c r="Y332" i="3" s="1"/>
  <c r="Z332" i="3" a="1"/>
  <c r="Z332" i="3" s="1"/>
  <c r="AA332" i="3"/>
  <c r="A333" i="3"/>
  <c r="C333" i="3"/>
  <c r="P333" i="3" s="1"/>
  <c r="F333" i="3"/>
  <c r="G333" i="3"/>
  <c r="N333" i="3"/>
  <c r="R333" i="3"/>
  <c r="S333" i="3"/>
  <c r="T333" i="3"/>
  <c r="W333" i="3"/>
  <c r="X333" i="3" a="1"/>
  <c r="X333" i="3" s="1"/>
  <c r="Y333" i="3" a="1"/>
  <c r="Y333" i="3" s="1"/>
  <c r="Z333" i="3" a="1"/>
  <c r="Z333" i="3" s="1"/>
  <c r="AA333" i="3"/>
  <c r="AB333" i="3"/>
  <c r="A334" i="3"/>
  <c r="C334" i="3"/>
  <c r="N334" i="3" s="1"/>
  <c r="F334" i="3"/>
  <c r="G334" i="3"/>
  <c r="M334" i="3"/>
  <c r="P334" i="3"/>
  <c r="Q334" i="3"/>
  <c r="R334" i="3"/>
  <c r="V334" i="3"/>
  <c r="X334" i="3" a="1"/>
  <c r="X334" i="3" s="1"/>
  <c r="Y334" i="3" a="1"/>
  <c r="Y334" i="3" s="1"/>
  <c r="Z334" i="3" a="1"/>
  <c r="Z334" i="3" s="1"/>
  <c r="AC334" i="3"/>
  <c r="A335" i="3"/>
  <c r="C335" i="3"/>
  <c r="O335" i="3" s="1"/>
  <c r="F335" i="3"/>
  <c r="G335" i="3"/>
  <c r="N335" i="3"/>
  <c r="S335" i="3"/>
  <c r="X335" i="3" a="1"/>
  <c r="X335" i="3" s="1"/>
  <c r="Y335" i="3" a="1"/>
  <c r="Y335" i="3" s="1"/>
  <c r="Z335" i="3" a="1"/>
  <c r="Z335" i="3" s="1"/>
  <c r="AA335" i="3"/>
  <c r="A336" i="3"/>
  <c r="C336" i="3"/>
  <c r="V336" i="3" s="1"/>
  <c r="F336" i="3"/>
  <c r="G336" i="3"/>
  <c r="Q336" i="3"/>
  <c r="X336" i="3" a="1"/>
  <c r="X336" i="3" s="1"/>
  <c r="Y336" i="3" a="1"/>
  <c r="Y336" i="3" s="1"/>
  <c r="Z336" i="3" a="1"/>
  <c r="Z336" i="3" s="1"/>
  <c r="A337" i="3"/>
  <c r="C337" i="3"/>
  <c r="F337" i="3"/>
  <c r="G337" i="3"/>
  <c r="N337" i="3"/>
  <c r="P337" i="3"/>
  <c r="R337" i="3"/>
  <c r="S337" i="3"/>
  <c r="T337" i="3"/>
  <c r="V337" i="3"/>
  <c r="W337" i="3"/>
  <c r="X337" i="3" a="1"/>
  <c r="X337" i="3" s="1"/>
  <c r="Y337" i="3" a="1"/>
  <c r="Y337" i="3" s="1"/>
  <c r="Z337" i="3" a="1"/>
  <c r="Z337" i="3" s="1"/>
  <c r="AA337" i="3"/>
  <c r="AC337" i="3"/>
  <c r="A338" i="3"/>
  <c r="C338" i="3"/>
  <c r="F338" i="3"/>
  <c r="E338" i="3" s="1"/>
  <c r="G338" i="3"/>
  <c r="M338" i="3"/>
  <c r="P338" i="3"/>
  <c r="Q338" i="3"/>
  <c r="R338" i="3"/>
  <c r="U338" i="3"/>
  <c r="V338" i="3"/>
  <c r="X338" i="3" a="1"/>
  <c r="X338" i="3" s="1"/>
  <c r="Y338" i="3" a="1"/>
  <c r="Y338" i="3" s="1"/>
  <c r="Z338" i="3" a="1"/>
  <c r="Z338" i="3" s="1"/>
  <c r="AC338" i="3"/>
  <c r="A339" i="3"/>
  <c r="C339" i="3"/>
  <c r="F339" i="3"/>
  <c r="G339" i="3"/>
  <c r="N339" i="3"/>
  <c r="P339" i="3"/>
  <c r="S339" i="3"/>
  <c r="V339" i="3"/>
  <c r="X339" i="3" a="1"/>
  <c r="X339" i="3" s="1"/>
  <c r="Y339" i="3" a="1"/>
  <c r="Y339" i="3" s="1"/>
  <c r="Z339" i="3" a="1"/>
  <c r="Z339" i="3" s="1"/>
  <c r="AA339" i="3"/>
  <c r="AC339" i="3"/>
  <c r="A340" i="3"/>
  <c r="C340" i="3"/>
  <c r="F340" i="3"/>
  <c r="G340" i="3"/>
  <c r="N340" i="3"/>
  <c r="Q340" i="3"/>
  <c r="T340" i="3"/>
  <c r="V340" i="3"/>
  <c r="X340" i="3" a="1"/>
  <c r="X340" i="3" s="1"/>
  <c r="Y340" i="3" a="1"/>
  <c r="Y340" i="3" s="1"/>
  <c r="Z340" i="3" a="1"/>
  <c r="Z340" i="3" s="1"/>
  <c r="AA340" i="3"/>
  <c r="A341" i="3"/>
  <c r="C341" i="3"/>
  <c r="P341" i="3" s="1"/>
  <c r="F341" i="3"/>
  <c r="G341" i="3"/>
  <c r="N341" i="3"/>
  <c r="O341" i="3"/>
  <c r="R341" i="3"/>
  <c r="S341" i="3"/>
  <c r="T341" i="3"/>
  <c r="W341" i="3"/>
  <c r="X341" i="3" a="1"/>
  <c r="X341" i="3" s="1"/>
  <c r="Y341" i="3" a="1"/>
  <c r="Y341" i="3" s="1"/>
  <c r="Z341" i="3" a="1"/>
  <c r="Z341" i="3" s="1"/>
  <c r="AA341" i="3"/>
  <c r="AB341" i="3"/>
  <c r="A342" i="3"/>
  <c r="C342" i="3"/>
  <c r="N342" i="3" s="1"/>
  <c r="F342" i="3"/>
  <c r="E342" i="3" s="1"/>
  <c r="G342" i="3"/>
  <c r="M342" i="3"/>
  <c r="P342" i="3"/>
  <c r="Q342" i="3"/>
  <c r="R342" i="3"/>
  <c r="V342" i="3"/>
  <c r="X342" i="3" a="1"/>
  <c r="X342" i="3" s="1"/>
  <c r="Y342" i="3" a="1"/>
  <c r="Y342" i="3" s="1"/>
  <c r="Z342" i="3" a="1"/>
  <c r="Z342" i="3" s="1"/>
  <c r="AC342" i="3"/>
  <c r="A343" i="3"/>
  <c r="C343" i="3"/>
  <c r="F343" i="3"/>
  <c r="G343" i="3"/>
  <c r="N343" i="3"/>
  <c r="S343" i="3"/>
  <c r="X343" i="3" a="1"/>
  <c r="X343" i="3" s="1"/>
  <c r="Y343" i="3" a="1"/>
  <c r="Y343" i="3" s="1"/>
  <c r="Z343" i="3" a="1"/>
  <c r="Z343" i="3" s="1"/>
  <c r="AA343" i="3"/>
  <c r="A344" i="3"/>
  <c r="C344" i="3"/>
  <c r="V344" i="3" s="1"/>
  <c r="F344" i="3"/>
  <c r="G344" i="3"/>
  <c r="Q344" i="3"/>
  <c r="X344" i="3" a="1"/>
  <c r="X344" i="3" s="1"/>
  <c r="Y344" i="3" a="1"/>
  <c r="Y344" i="3" s="1"/>
  <c r="Z344" i="3" a="1"/>
  <c r="Z344" i="3" s="1"/>
  <c r="A345" i="3"/>
  <c r="U346" i="3" s="1"/>
  <c r="C345" i="3"/>
  <c r="F345" i="3"/>
  <c r="G345" i="3"/>
  <c r="N345" i="3"/>
  <c r="O345" i="3"/>
  <c r="P345" i="3"/>
  <c r="R345" i="3"/>
  <c r="S345" i="3"/>
  <c r="T345" i="3"/>
  <c r="V345" i="3"/>
  <c r="W345" i="3"/>
  <c r="X345" i="3" a="1"/>
  <c r="X345" i="3" s="1"/>
  <c r="Y345" i="3" a="1"/>
  <c r="Y345" i="3" s="1"/>
  <c r="Z345" i="3" a="1"/>
  <c r="Z345" i="3" s="1"/>
  <c r="AA345" i="3"/>
  <c r="AC345" i="3"/>
  <c r="A346" i="3"/>
  <c r="C346" i="3"/>
  <c r="F346" i="3"/>
  <c r="G346" i="3"/>
  <c r="M346" i="3"/>
  <c r="P346" i="3"/>
  <c r="Q346" i="3"/>
  <c r="R346" i="3"/>
  <c r="V346" i="3"/>
  <c r="X346" i="3" a="1"/>
  <c r="X346" i="3" s="1"/>
  <c r="Y346" i="3" a="1"/>
  <c r="Y346" i="3" s="1"/>
  <c r="Z346" i="3" a="1"/>
  <c r="Z346" i="3" s="1"/>
  <c r="AC346" i="3"/>
  <c r="A347" i="3"/>
  <c r="C347" i="3"/>
  <c r="F347" i="3"/>
  <c r="G347" i="3"/>
  <c r="N347" i="3"/>
  <c r="P347" i="3"/>
  <c r="S347" i="3"/>
  <c r="V347" i="3"/>
  <c r="X347" i="3" a="1"/>
  <c r="X347" i="3" s="1"/>
  <c r="Y347" i="3" a="1"/>
  <c r="Y347" i="3" s="1"/>
  <c r="Z347" i="3" a="1"/>
  <c r="Z347" i="3" s="1"/>
  <c r="AA347" i="3"/>
  <c r="AC347" i="3"/>
  <c r="A348" i="3"/>
  <c r="C348" i="3"/>
  <c r="Q348" i="3" s="1"/>
  <c r="F348" i="3"/>
  <c r="G348" i="3"/>
  <c r="N348" i="3"/>
  <c r="X348" i="3" a="1"/>
  <c r="X348" i="3" s="1"/>
  <c r="Y348" i="3" a="1"/>
  <c r="Y348" i="3" s="1"/>
  <c r="Z348" i="3" a="1"/>
  <c r="Z348" i="3" s="1"/>
  <c r="AA348" i="3"/>
  <c r="A349" i="3"/>
  <c r="C349" i="3"/>
  <c r="F349" i="3"/>
  <c r="G349" i="3"/>
  <c r="N349" i="3"/>
  <c r="P349" i="3"/>
  <c r="R349" i="3"/>
  <c r="V349" i="3"/>
  <c r="X349" i="3" a="1"/>
  <c r="X349" i="3" s="1"/>
  <c r="Y349" i="3" a="1"/>
  <c r="Y349" i="3" s="1"/>
  <c r="Z349" i="3" a="1"/>
  <c r="Z349" i="3" s="1"/>
  <c r="AA349" i="3"/>
  <c r="AC349" i="3"/>
  <c r="A350" i="3"/>
  <c r="C350" i="3"/>
  <c r="F350" i="3"/>
  <c r="G350" i="3"/>
  <c r="N350" i="3"/>
  <c r="P350" i="3"/>
  <c r="R350" i="3"/>
  <c r="T350" i="3"/>
  <c r="V350" i="3"/>
  <c r="X350" i="3" a="1"/>
  <c r="X350" i="3" s="1"/>
  <c r="Y350" i="3" a="1"/>
  <c r="Y350" i="3" s="1"/>
  <c r="Z350" i="3" a="1"/>
  <c r="Z350" i="3" s="1"/>
  <c r="AA350" i="3"/>
  <c r="AC350" i="3"/>
  <c r="A351" i="3"/>
  <c r="C351" i="3"/>
  <c r="P351" i="3" s="1"/>
  <c r="F351" i="3"/>
  <c r="G351" i="3"/>
  <c r="N351" i="3"/>
  <c r="R351" i="3"/>
  <c r="T351" i="3"/>
  <c r="V351" i="3"/>
  <c r="X351" i="3" a="1"/>
  <c r="X351" i="3" s="1"/>
  <c r="Y351" i="3" a="1"/>
  <c r="Y351" i="3" s="1"/>
  <c r="Z351" i="3" a="1"/>
  <c r="Z351" i="3" s="1"/>
  <c r="AA351" i="3"/>
  <c r="A352" i="3"/>
  <c r="C352" i="3"/>
  <c r="P352" i="3" s="1"/>
  <c r="F352" i="3"/>
  <c r="G352" i="3"/>
  <c r="N352" i="3"/>
  <c r="V352" i="3"/>
  <c r="X352" i="3" a="1"/>
  <c r="X352" i="3" s="1"/>
  <c r="Y352" i="3" a="1"/>
  <c r="Y352" i="3" s="1"/>
  <c r="Z352" i="3" a="1"/>
  <c r="Z352" i="3" s="1"/>
  <c r="AA352" i="3"/>
  <c r="A353" i="3"/>
  <c r="C353" i="3"/>
  <c r="F353" i="3"/>
  <c r="G353" i="3"/>
  <c r="N353" i="3"/>
  <c r="P353" i="3"/>
  <c r="R353" i="3"/>
  <c r="V353" i="3"/>
  <c r="X353" i="3" a="1"/>
  <c r="X353" i="3" s="1"/>
  <c r="Y353" i="3" a="1"/>
  <c r="Y353" i="3" s="1"/>
  <c r="Z353" i="3" a="1"/>
  <c r="Z353" i="3" s="1"/>
  <c r="AA353" i="3"/>
  <c r="AC353" i="3"/>
  <c r="A354" i="3"/>
  <c r="C354" i="3"/>
  <c r="F354" i="3"/>
  <c r="G354" i="3"/>
  <c r="N354" i="3"/>
  <c r="P354" i="3"/>
  <c r="R354" i="3"/>
  <c r="T354" i="3"/>
  <c r="V354" i="3"/>
  <c r="X354" i="3" a="1"/>
  <c r="X354" i="3" s="1"/>
  <c r="Y354" i="3" a="1"/>
  <c r="Y354" i="3" s="1"/>
  <c r="Z354" i="3" a="1"/>
  <c r="Z354" i="3" s="1"/>
  <c r="AA354" i="3"/>
  <c r="AC354" i="3"/>
  <c r="A355" i="3"/>
  <c r="C355" i="3"/>
  <c r="P355" i="3" s="1"/>
  <c r="F355" i="3"/>
  <c r="G355" i="3"/>
  <c r="N355" i="3"/>
  <c r="R355" i="3"/>
  <c r="T355" i="3"/>
  <c r="V355" i="3"/>
  <c r="X355" i="3" a="1"/>
  <c r="X355" i="3" s="1"/>
  <c r="Y355" i="3" a="1"/>
  <c r="Y355" i="3" s="1"/>
  <c r="Z355" i="3" a="1"/>
  <c r="Z355" i="3" s="1"/>
  <c r="AA355" i="3"/>
  <c r="A356" i="3"/>
  <c r="C356" i="3"/>
  <c r="P356" i="3" s="1"/>
  <c r="F356" i="3"/>
  <c r="G356" i="3"/>
  <c r="N356" i="3"/>
  <c r="V356" i="3"/>
  <c r="X356" i="3" a="1"/>
  <c r="X356" i="3" s="1"/>
  <c r="Y356" i="3" a="1"/>
  <c r="Y356" i="3" s="1"/>
  <c r="Z356" i="3" a="1"/>
  <c r="Z356" i="3" s="1"/>
  <c r="AA356" i="3"/>
  <c r="A357" i="3"/>
  <c r="C357" i="3"/>
  <c r="F357" i="3"/>
  <c r="G357" i="3"/>
  <c r="N357" i="3"/>
  <c r="P357" i="3"/>
  <c r="R357" i="3"/>
  <c r="V357" i="3"/>
  <c r="X357" i="3" a="1"/>
  <c r="X357" i="3" s="1"/>
  <c r="Y357" i="3" a="1"/>
  <c r="Y357" i="3" s="1"/>
  <c r="Z357" i="3" a="1"/>
  <c r="Z357" i="3" s="1"/>
  <c r="AA357" i="3"/>
  <c r="AC357" i="3"/>
  <c r="A358" i="3"/>
  <c r="C358" i="3"/>
  <c r="F358" i="3"/>
  <c r="G358" i="3"/>
  <c r="N358" i="3"/>
  <c r="P358" i="3"/>
  <c r="R358" i="3"/>
  <c r="T358" i="3"/>
  <c r="V358" i="3"/>
  <c r="X358" i="3" a="1"/>
  <c r="X358" i="3" s="1"/>
  <c r="Y358" i="3" a="1"/>
  <c r="Y358" i="3" s="1"/>
  <c r="Z358" i="3" a="1"/>
  <c r="Z358" i="3" s="1"/>
  <c r="AA358" i="3"/>
  <c r="AC358" i="3"/>
  <c r="A359" i="3"/>
  <c r="C359" i="3"/>
  <c r="P359" i="3" s="1"/>
  <c r="F359" i="3"/>
  <c r="G359" i="3"/>
  <c r="N359" i="3"/>
  <c r="R359" i="3"/>
  <c r="T359" i="3"/>
  <c r="V359" i="3"/>
  <c r="X359" i="3" a="1"/>
  <c r="X359" i="3" s="1"/>
  <c r="Y359" i="3" a="1"/>
  <c r="Y359" i="3" s="1"/>
  <c r="Z359" i="3" a="1"/>
  <c r="Z359" i="3" s="1"/>
  <c r="AA359" i="3"/>
  <c r="A360" i="3"/>
  <c r="C360" i="3"/>
  <c r="P360" i="3" s="1"/>
  <c r="F360" i="3"/>
  <c r="G360" i="3"/>
  <c r="N360" i="3"/>
  <c r="V360" i="3"/>
  <c r="X360" i="3" a="1"/>
  <c r="X360" i="3" s="1"/>
  <c r="Y360" i="3" a="1"/>
  <c r="Y360" i="3" s="1"/>
  <c r="Z360" i="3" a="1"/>
  <c r="Z360" i="3" s="1"/>
  <c r="AA360" i="3"/>
  <c r="A361" i="3"/>
  <c r="C361" i="3"/>
  <c r="F361" i="3"/>
  <c r="G361" i="3"/>
  <c r="N361" i="3"/>
  <c r="P361" i="3"/>
  <c r="R361" i="3"/>
  <c r="V361" i="3"/>
  <c r="X361" i="3" a="1"/>
  <c r="X361" i="3" s="1"/>
  <c r="Y361" i="3" a="1"/>
  <c r="Y361" i="3" s="1"/>
  <c r="Z361" i="3" a="1"/>
  <c r="Z361" i="3" s="1"/>
  <c r="AA361" i="3"/>
  <c r="AC361" i="3"/>
  <c r="A362" i="3"/>
  <c r="C362" i="3"/>
  <c r="F362" i="3"/>
  <c r="G362" i="3"/>
  <c r="N362" i="3"/>
  <c r="P362" i="3"/>
  <c r="R362" i="3"/>
  <c r="T362" i="3"/>
  <c r="V362" i="3"/>
  <c r="X362" i="3" a="1"/>
  <c r="X362" i="3" s="1"/>
  <c r="Y362" i="3" a="1"/>
  <c r="Y362" i="3" s="1"/>
  <c r="Z362" i="3" a="1"/>
  <c r="Z362" i="3" s="1"/>
  <c r="AA362" i="3"/>
  <c r="AC362" i="3"/>
  <c r="A363" i="3"/>
  <c r="C363" i="3"/>
  <c r="P363" i="3" s="1"/>
  <c r="F363" i="3"/>
  <c r="G363" i="3"/>
  <c r="N363" i="3"/>
  <c r="R363" i="3"/>
  <c r="T363" i="3"/>
  <c r="V363" i="3"/>
  <c r="X363" i="3" a="1"/>
  <c r="X363" i="3" s="1"/>
  <c r="Y363" i="3" a="1"/>
  <c r="Y363" i="3" s="1"/>
  <c r="Z363" i="3" a="1"/>
  <c r="Z363" i="3" s="1"/>
  <c r="AA363" i="3"/>
  <c r="A364" i="3"/>
  <c r="C364" i="3"/>
  <c r="P364" i="3" s="1"/>
  <c r="F364" i="3"/>
  <c r="G364" i="3"/>
  <c r="N364" i="3"/>
  <c r="V364" i="3"/>
  <c r="X364" i="3" a="1"/>
  <c r="X364" i="3" s="1"/>
  <c r="Y364" i="3" a="1"/>
  <c r="Y364" i="3" s="1"/>
  <c r="Z364" i="3" a="1"/>
  <c r="Z364" i="3" s="1"/>
  <c r="AA364" i="3"/>
  <c r="A365" i="3"/>
  <c r="C365" i="3"/>
  <c r="F365" i="3"/>
  <c r="G365" i="3"/>
  <c r="N365" i="3"/>
  <c r="P365" i="3"/>
  <c r="R365" i="3"/>
  <c r="V365" i="3"/>
  <c r="X365" i="3" a="1"/>
  <c r="X365" i="3" s="1"/>
  <c r="Y365" i="3" a="1"/>
  <c r="Y365" i="3" s="1"/>
  <c r="Z365" i="3" a="1"/>
  <c r="Z365" i="3" s="1"/>
  <c r="AA365" i="3"/>
  <c r="AC365" i="3"/>
  <c r="A366" i="3"/>
  <c r="C366" i="3"/>
  <c r="F366" i="3"/>
  <c r="G366" i="3"/>
  <c r="N366" i="3"/>
  <c r="P366" i="3"/>
  <c r="R366" i="3"/>
  <c r="T366" i="3"/>
  <c r="V366" i="3"/>
  <c r="X366" i="3" a="1"/>
  <c r="X366" i="3" s="1"/>
  <c r="Y366" i="3" a="1"/>
  <c r="Y366" i="3" s="1"/>
  <c r="Z366" i="3" a="1"/>
  <c r="Z366" i="3" s="1"/>
  <c r="AA366" i="3"/>
  <c r="AC366" i="3"/>
  <c r="A367" i="3"/>
  <c r="C367" i="3"/>
  <c r="P367" i="3" s="1"/>
  <c r="F367" i="3"/>
  <c r="G367" i="3"/>
  <c r="N367" i="3"/>
  <c r="R367" i="3"/>
  <c r="T367" i="3"/>
  <c r="V367" i="3"/>
  <c r="X367" i="3" a="1"/>
  <c r="X367" i="3" s="1"/>
  <c r="Y367" i="3" a="1"/>
  <c r="Y367" i="3" s="1"/>
  <c r="Z367" i="3" a="1"/>
  <c r="Z367" i="3" s="1"/>
  <c r="AA367" i="3"/>
  <c r="A368" i="3"/>
  <c r="C368" i="3"/>
  <c r="P368" i="3" s="1"/>
  <c r="F368" i="3"/>
  <c r="G368" i="3"/>
  <c r="N368" i="3"/>
  <c r="V368" i="3"/>
  <c r="X368" i="3" a="1"/>
  <c r="X368" i="3" s="1"/>
  <c r="Y368" i="3" a="1"/>
  <c r="Y368" i="3" s="1"/>
  <c r="Z368" i="3" a="1"/>
  <c r="Z368" i="3" s="1"/>
  <c r="AA368" i="3"/>
  <c r="A369" i="3"/>
  <c r="C369" i="3"/>
  <c r="F369" i="3"/>
  <c r="G369" i="3"/>
  <c r="N369" i="3"/>
  <c r="P369" i="3"/>
  <c r="R369" i="3"/>
  <c r="V369" i="3"/>
  <c r="X369" i="3" a="1"/>
  <c r="X369" i="3" s="1"/>
  <c r="Y369" i="3" a="1"/>
  <c r="Y369" i="3" s="1"/>
  <c r="Z369" i="3" a="1"/>
  <c r="Z369" i="3" s="1"/>
  <c r="AA369" i="3"/>
  <c r="AC369" i="3"/>
  <c r="A370" i="3"/>
  <c r="C370" i="3"/>
  <c r="F370" i="3"/>
  <c r="G370" i="3"/>
  <c r="N370" i="3"/>
  <c r="P370" i="3"/>
  <c r="R370" i="3"/>
  <c r="T370" i="3"/>
  <c r="V370" i="3"/>
  <c r="X370" i="3" a="1"/>
  <c r="X370" i="3" s="1"/>
  <c r="Y370" i="3" a="1"/>
  <c r="Y370" i="3" s="1"/>
  <c r="Z370" i="3" a="1"/>
  <c r="Z370" i="3" s="1"/>
  <c r="AA370" i="3"/>
  <c r="AC370" i="3"/>
  <c r="A371" i="3"/>
  <c r="C371" i="3"/>
  <c r="P371" i="3" s="1"/>
  <c r="F371" i="3"/>
  <c r="G371" i="3"/>
  <c r="N371" i="3"/>
  <c r="R371" i="3"/>
  <c r="T371" i="3"/>
  <c r="V371" i="3"/>
  <c r="X371" i="3" a="1"/>
  <c r="X371" i="3" s="1"/>
  <c r="Y371" i="3" a="1"/>
  <c r="Y371" i="3" s="1"/>
  <c r="Z371" i="3" a="1"/>
  <c r="Z371" i="3" s="1"/>
  <c r="AA371" i="3"/>
  <c r="A372" i="3"/>
  <c r="C372" i="3"/>
  <c r="P372" i="3" s="1"/>
  <c r="F372" i="3"/>
  <c r="G372" i="3"/>
  <c r="N372" i="3"/>
  <c r="V372" i="3"/>
  <c r="X372" i="3" a="1"/>
  <c r="X372" i="3" s="1"/>
  <c r="Y372" i="3" a="1"/>
  <c r="Y372" i="3" s="1"/>
  <c r="Z372" i="3" a="1"/>
  <c r="Z372" i="3" s="1"/>
  <c r="AA372" i="3"/>
  <c r="A373" i="3"/>
  <c r="C373" i="3"/>
  <c r="F373" i="3"/>
  <c r="G373" i="3"/>
  <c r="N373" i="3"/>
  <c r="P373" i="3"/>
  <c r="R373" i="3"/>
  <c r="T373" i="3"/>
  <c r="V373" i="3"/>
  <c r="X373" i="3" a="1"/>
  <c r="X373" i="3" s="1"/>
  <c r="Y373" i="3" a="1"/>
  <c r="Y373" i="3" s="1"/>
  <c r="Z373" i="3" a="1"/>
  <c r="Z373" i="3" s="1"/>
  <c r="AA373" i="3"/>
  <c r="AC373" i="3"/>
  <c r="A374" i="3"/>
  <c r="C374" i="3"/>
  <c r="P374" i="3" s="1"/>
  <c r="F374" i="3"/>
  <c r="G374" i="3"/>
  <c r="N374" i="3"/>
  <c r="R374" i="3"/>
  <c r="T374" i="3"/>
  <c r="V374" i="3"/>
  <c r="X374" i="3" a="1"/>
  <c r="X374" i="3" s="1"/>
  <c r="Y374" i="3" a="1"/>
  <c r="Y374" i="3" s="1"/>
  <c r="Z374" i="3" a="1"/>
  <c r="Z374" i="3" s="1"/>
  <c r="AA374" i="3"/>
  <c r="AC374" i="3"/>
  <c r="A375" i="3"/>
  <c r="C375" i="3"/>
  <c r="P375" i="3" s="1"/>
  <c r="F375" i="3"/>
  <c r="G375" i="3"/>
  <c r="N375" i="3"/>
  <c r="R375" i="3"/>
  <c r="T375" i="3"/>
  <c r="V375" i="3"/>
  <c r="X375" i="3" a="1"/>
  <c r="X375" i="3" s="1"/>
  <c r="Y375" i="3" a="1"/>
  <c r="Y375" i="3" s="1"/>
  <c r="Z375" i="3" a="1"/>
  <c r="Z375" i="3" s="1"/>
  <c r="AA375" i="3"/>
  <c r="AC375" i="3"/>
  <c r="A376" i="3"/>
  <c r="C376" i="3"/>
  <c r="P376" i="3" s="1"/>
  <c r="F376" i="3"/>
  <c r="G376" i="3"/>
  <c r="N376" i="3"/>
  <c r="V376" i="3"/>
  <c r="X376" i="3" a="1"/>
  <c r="X376" i="3" s="1"/>
  <c r="Y376" i="3" a="1"/>
  <c r="Y376" i="3" s="1"/>
  <c r="Z376" i="3" a="1"/>
  <c r="Z376" i="3" s="1"/>
  <c r="AA376" i="3"/>
  <c r="A377" i="3"/>
  <c r="C377" i="3"/>
  <c r="F377" i="3"/>
  <c r="G377" i="3"/>
  <c r="N377" i="3"/>
  <c r="P377" i="3"/>
  <c r="R377" i="3"/>
  <c r="S377" i="3"/>
  <c r="T377" i="3"/>
  <c r="V377" i="3"/>
  <c r="W377" i="3"/>
  <c r="X377" i="3" a="1"/>
  <c r="X377" i="3" s="1"/>
  <c r="Y377" i="3" a="1"/>
  <c r="Y377" i="3" s="1"/>
  <c r="Z377" i="3" a="1"/>
  <c r="Z377" i="3" s="1"/>
  <c r="AA377" i="3"/>
  <c r="AB377" i="3"/>
  <c r="AC377" i="3"/>
  <c r="A378" i="3"/>
  <c r="C378" i="3"/>
  <c r="F378" i="3"/>
  <c r="G378" i="3"/>
  <c r="M378" i="3"/>
  <c r="Q378" i="3"/>
  <c r="R378" i="3"/>
  <c r="V378" i="3"/>
  <c r="X378" i="3" a="1"/>
  <c r="X378" i="3" s="1"/>
  <c r="Y378" i="3" a="1"/>
  <c r="Y378" i="3" s="1"/>
  <c r="Z378" i="3" a="1"/>
  <c r="Z378" i="3" s="1"/>
  <c r="A379" i="3"/>
  <c r="C379" i="3"/>
  <c r="O379" i="3" s="1"/>
  <c r="F379" i="3"/>
  <c r="G379" i="3"/>
  <c r="N379" i="3"/>
  <c r="S379" i="3"/>
  <c r="X379" i="3" a="1"/>
  <c r="X379" i="3" s="1"/>
  <c r="Y379" i="3" a="1"/>
  <c r="Y379" i="3" s="1"/>
  <c r="Z379" i="3" a="1"/>
  <c r="Z379" i="3" s="1"/>
  <c r="AA379" i="3"/>
  <c r="A380" i="3"/>
  <c r="C380" i="3"/>
  <c r="F380" i="3"/>
  <c r="G380" i="3"/>
  <c r="Q380" i="3"/>
  <c r="V380" i="3"/>
  <c r="X380" i="3" a="1"/>
  <c r="X380" i="3" s="1"/>
  <c r="Y380" i="3" a="1"/>
  <c r="Y380" i="3" s="1"/>
  <c r="Z380" i="3" a="1"/>
  <c r="Z380" i="3" s="1"/>
  <c r="A381" i="3"/>
  <c r="C381" i="3"/>
  <c r="O381" i="3" s="1"/>
  <c r="F381" i="3"/>
  <c r="G381" i="3"/>
  <c r="N381" i="3"/>
  <c r="R381" i="3"/>
  <c r="S381" i="3"/>
  <c r="W381" i="3"/>
  <c r="X381" i="3" a="1"/>
  <c r="X381" i="3" s="1"/>
  <c r="Y381" i="3" a="1"/>
  <c r="Y381" i="3" s="1"/>
  <c r="Z381" i="3" a="1"/>
  <c r="Z381" i="3" s="1"/>
  <c r="AA381" i="3"/>
  <c r="A382" i="3"/>
  <c r="C382" i="3"/>
  <c r="F382" i="3"/>
  <c r="G382" i="3"/>
  <c r="O382" i="3"/>
  <c r="P382" i="3"/>
  <c r="S382" i="3"/>
  <c r="T382" i="3"/>
  <c r="W382" i="3"/>
  <c r="X382" i="3" a="1"/>
  <c r="X382" i="3" s="1"/>
  <c r="Y382" i="3" a="1"/>
  <c r="Y382" i="3" s="1"/>
  <c r="Z382" i="3" a="1"/>
  <c r="Z382" i="3" s="1"/>
  <c r="AB382" i="3"/>
  <c r="AC382" i="3"/>
  <c r="A383" i="3"/>
  <c r="C383" i="3"/>
  <c r="O383" i="3" s="1"/>
  <c r="F383" i="3"/>
  <c r="G383" i="3"/>
  <c r="M383" i="3"/>
  <c r="N383" i="3"/>
  <c r="P383" i="3"/>
  <c r="Q383" i="3"/>
  <c r="R383" i="3"/>
  <c r="T383" i="3"/>
  <c r="U383" i="3"/>
  <c r="V383" i="3"/>
  <c r="X383" i="3" a="1"/>
  <c r="X383" i="3" s="1"/>
  <c r="Y383" i="3" a="1"/>
  <c r="Y383" i="3" s="1"/>
  <c r="Z383" i="3" a="1"/>
  <c r="Z383" i="3" s="1"/>
  <c r="AA383" i="3"/>
  <c r="AC383" i="3"/>
  <c r="A384" i="3"/>
  <c r="C384" i="3"/>
  <c r="F384" i="3"/>
  <c r="G384" i="3"/>
  <c r="O384" i="3"/>
  <c r="P384" i="3"/>
  <c r="S384" i="3"/>
  <c r="T384" i="3"/>
  <c r="W384" i="3"/>
  <c r="X384" i="3" a="1"/>
  <c r="X384" i="3" s="1"/>
  <c r="Y384" i="3" a="1"/>
  <c r="Y384" i="3" s="1"/>
  <c r="Z384" i="3" a="1"/>
  <c r="Z384" i="3" s="1"/>
  <c r="AB384" i="3"/>
  <c r="AC384" i="3"/>
  <c r="A385" i="3"/>
  <c r="C385" i="3"/>
  <c r="O385" i="3" s="1"/>
  <c r="F385" i="3"/>
  <c r="G385" i="3"/>
  <c r="M385" i="3"/>
  <c r="N385" i="3"/>
  <c r="P385" i="3"/>
  <c r="Q385" i="3"/>
  <c r="R385" i="3"/>
  <c r="T385" i="3"/>
  <c r="U385" i="3"/>
  <c r="V385" i="3"/>
  <c r="X385" i="3" a="1"/>
  <c r="X385" i="3" s="1"/>
  <c r="Y385" i="3" a="1"/>
  <c r="Y385" i="3" s="1"/>
  <c r="Z385" i="3" a="1"/>
  <c r="Z385" i="3" s="1"/>
  <c r="AA385" i="3"/>
  <c r="AC385" i="3"/>
  <c r="A386" i="3"/>
  <c r="C386" i="3"/>
  <c r="F386" i="3"/>
  <c r="G386" i="3"/>
  <c r="O386" i="3"/>
  <c r="P386" i="3"/>
  <c r="S386" i="3"/>
  <c r="T386" i="3"/>
  <c r="W386" i="3"/>
  <c r="X386" i="3" a="1"/>
  <c r="X386" i="3" s="1"/>
  <c r="Y386" i="3" a="1"/>
  <c r="Y386" i="3" s="1"/>
  <c r="Z386" i="3" a="1"/>
  <c r="Z386" i="3" s="1"/>
  <c r="AB386" i="3"/>
  <c r="AC386" i="3"/>
  <c r="A387" i="3"/>
  <c r="C387" i="3"/>
  <c r="F387" i="3"/>
  <c r="G387" i="3"/>
  <c r="M387" i="3"/>
  <c r="N387" i="3"/>
  <c r="P387" i="3"/>
  <c r="Q387" i="3"/>
  <c r="R387" i="3"/>
  <c r="T387" i="3"/>
  <c r="U387" i="3"/>
  <c r="V387" i="3"/>
  <c r="X387" i="3" a="1"/>
  <c r="X387" i="3" s="1"/>
  <c r="Y387" i="3" a="1"/>
  <c r="Y387" i="3" s="1"/>
  <c r="Z387" i="3" a="1"/>
  <c r="Z387" i="3" s="1"/>
  <c r="AA387" i="3"/>
  <c r="AC387" i="3"/>
  <c r="A388" i="3"/>
  <c r="C388" i="3"/>
  <c r="F388" i="3"/>
  <c r="G388" i="3"/>
  <c r="P388" i="3"/>
  <c r="T388" i="3"/>
  <c r="X388" i="3" a="1"/>
  <c r="X388" i="3" s="1"/>
  <c r="Y388" i="3" a="1"/>
  <c r="Y388" i="3" s="1"/>
  <c r="Z388" i="3" a="1"/>
  <c r="Z388" i="3" s="1"/>
  <c r="AC388" i="3"/>
  <c r="A389" i="3"/>
  <c r="C389" i="3"/>
  <c r="O389" i="3" s="1"/>
  <c r="F389" i="3"/>
  <c r="G389" i="3"/>
  <c r="M389" i="3"/>
  <c r="N389" i="3"/>
  <c r="P389" i="3"/>
  <c r="Q389" i="3"/>
  <c r="R389" i="3"/>
  <c r="T389" i="3"/>
  <c r="U389" i="3"/>
  <c r="V389" i="3"/>
  <c r="X389" i="3" a="1"/>
  <c r="X389" i="3" s="1"/>
  <c r="Y389" i="3" a="1"/>
  <c r="Y389" i="3" s="1"/>
  <c r="Z389" i="3" a="1"/>
  <c r="Z389" i="3" s="1"/>
  <c r="AA389" i="3"/>
  <c r="AC389" i="3"/>
  <c r="A390" i="3"/>
  <c r="C390" i="3"/>
  <c r="P390" i="3" s="1"/>
  <c r="F390" i="3"/>
  <c r="G390" i="3"/>
  <c r="O390" i="3"/>
  <c r="S390" i="3"/>
  <c r="T390" i="3"/>
  <c r="W390" i="3"/>
  <c r="X390" i="3" a="1"/>
  <c r="X390" i="3" s="1"/>
  <c r="Y390" i="3" a="1"/>
  <c r="Y390" i="3" s="1"/>
  <c r="Z390" i="3" a="1"/>
  <c r="Z390" i="3" s="1"/>
  <c r="AB390" i="3"/>
  <c r="AC390" i="3"/>
  <c r="A391" i="3"/>
  <c r="C391" i="3"/>
  <c r="O391" i="3" s="1"/>
  <c r="F391" i="3"/>
  <c r="G391" i="3"/>
  <c r="M391" i="3"/>
  <c r="N391" i="3"/>
  <c r="P391" i="3"/>
  <c r="Q391" i="3"/>
  <c r="R391" i="3"/>
  <c r="T391" i="3"/>
  <c r="U391" i="3"/>
  <c r="V391" i="3"/>
  <c r="X391" i="3" a="1"/>
  <c r="X391" i="3" s="1"/>
  <c r="Y391" i="3" a="1"/>
  <c r="Y391" i="3" s="1"/>
  <c r="Z391" i="3" a="1"/>
  <c r="Z391" i="3" s="1"/>
  <c r="AA391" i="3"/>
  <c r="AC391" i="3"/>
  <c r="A392" i="3"/>
  <c r="C392" i="3"/>
  <c r="F392" i="3"/>
  <c r="G392" i="3"/>
  <c r="N392" i="3"/>
  <c r="O392" i="3"/>
  <c r="P392" i="3"/>
  <c r="R392" i="3"/>
  <c r="S392" i="3"/>
  <c r="T392" i="3"/>
  <c r="V392" i="3"/>
  <c r="W392" i="3"/>
  <c r="X392" i="3" a="1"/>
  <c r="X392" i="3" s="1"/>
  <c r="Y392" i="3" a="1"/>
  <c r="Y392" i="3" s="1"/>
  <c r="Z392" i="3" a="1"/>
  <c r="Z392" i="3" s="1"/>
  <c r="AA392" i="3"/>
  <c r="AB392" i="3"/>
  <c r="AC392" i="3"/>
  <c r="A393" i="3"/>
  <c r="C393" i="3"/>
  <c r="N393" i="3" s="1"/>
  <c r="F393" i="3"/>
  <c r="G393" i="3"/>
  <c r="M393" i="3"/>
  <c r="P393" i="3"/>
  <c r="Q393" i="3"/>
  <c r="R393" i="3"/>
  <c r="U393" i="3"/>
  <c r="V393" i="3"/>
  <c r="X393" i="3" a="1"/>
  <c r="X393" i="3" s="1"/>
  <c r="Y393" i="3" a="1"/>
  <c r="Y393" i="3" s="1"/>
  <c r="Z393" i="3" a="1"/>
  <c r="Z393" i="3" s="1"/>
  <c r="AC393" i="3"/>
  <c r="A394" i="3"/>
  <c r="C394" i="3"/>
  <c r="O394" i="3" s="1"/>
  <c r="F394" i="3"/>
  <c r="G394" i="3"/>
  <c r="N394" i="3"/>
  <c r="S394" i="3"/>
  <c r="X394" i="3" a="1"/>
  <c r="X394" i="3" s="1"/>
  <c r="Y394" i="3" a="1"/>
  <c r="Y394" i="3" s="1"/>
  <c r="Z394" i="3" a="1"/>
  <c r="Z394" i="3" s="1"/>
  <c r="AA394" i="3"/>
  <c r="A395" i="3"/>
  <c r="C395" i="3"/>
  <c r="F395" i="3"/>
  <c r="G395" i="3"/>
  <c r="Q395" i="3"/>
  <c r="V395" i="3"/>
  <c r="X395" i="3" a="1"/>
  <c r="X395" i="3" s="1"/>
  <c r="Y395" i="3" a="1"/>
  <c r="Y395" i="3" s="1"/>
  <c r="Z395" i="3" a="1"/>
  <c r="Z395" i="3" s="1"/>
  <c r="A396" i="3"/>
  <c r="C396" i="3"/>
  <c r="F396" i="3"/>
  <c r="G396" i="3"/>
  <c r="N396" i="3"/>
  <c r="O396" i="3"/>
  <c r="P396" i="3"/>
  <c r="R396" i="3"/>
  <c r="S396" i="3"/>
  <c r="T396" i="3"/>
  <c r="V396" i="3"/>
  <c r="W396" i="3"/>
  <c r="X396" i="3" a="1"/>
  <c r="X396" i="3" s="1"/>
  <c r="Y396" i="3" a="1"/>
  <c r="Y396" i="3" s="1"/>
  <c r="Z396" i="3" a="1"/>
  <c r="Z396" i="3" s="1"/>
  <c r="AA396" i="3"/>
  <c r="AB396" i="3"/>
  <c r="AC396" i="3"/>
  <c r="A397" i="3"/>
  <c r="C397" i="3"/>
  <c r="F397" i="3"/>
  <c r="G397" i="3"/>
  <c r="P397" i="3"/>
  <c r="Q397" i="3"/>
  <c r="U397" i="3"/>
  <c r="V397" i="3"/>
  <c r="X397" i="3" a="1"/>
  <c r="X397" i="3" s="1"/>
  <c r="Y397" i="3" a="1"/>
  <c r="Y397" i="3" s="1"/>
  <c r="Z397" i="3" a="1"/>
  <c r="Z397" i="3" s="1"/>
  <c r="AC397" i="3"/>
  <c r="A398" i="3"/>
  <c r="C398" i="3"/>
  <c r="F398" i="3"/>
  <c r="G398" i="3"/>
  <c r="N398" i="3"/>
  <c r="P398" i="3"/>
  <c r="S398" i="3"/>
  <c r="V398" i="3"/>
  <c r="X398" i="3" a="1"/>
  <c r="X398" i="3" s="1"/>
  <c r="Y398" i="3" a="1"/>
  <c r="Y398" i="3" s="1"/>
  <c r="Z398" i="3" a="1"/>
  <c r="Z398" i="3" s="1"/>
  <c r="AA398" i="3"/>
  <c r="AC398" i="3"/>
  <c r="A399" i="3"/>
  <c r="C399" i="3"/>
  <c r="F399" i="3"/>
  <c r="G399" i="3"/>
  <c r="N399" i="3"/>
  <c r="Q399" i="3"/>
  <c r="T399" i="3"/>
  <c r="V399" i="3"/>
  <c r="X399" i="3" a="1"/>
  <c r="X399" i="3" s="1"/>
  <c r="Y399" i="3" a="1"/>
  <c r="Y399" i="3" s="1"/>
  <c r="Z399" i="3" a="1"/>
  <c r="Z399" i="3" s="1"/>
  <c r="AA399" i="3"/>
  <c r="A400" i="3"/>
  <c r="C400" i="3"/>
  <c r="F400" i="3"/>
  <c r="G400" i="3"/>
  <c r="N400" i="3"/>
  <c r="O400" i="3"/>
  <c r="P400" i="3"/>
  <c r="R400" i="3"/>
  <c r="S400" i="3"/>
  <c r="T400" i="3"/>
  <c r="V400" i="3"/>
  <c r="W400" i="3"/>
  <c r="X400" i="3" a="1"/>
  <c r="X400" i="3" s="1"/>
  <c r="Y400" i="3" a="1"/>
  <c r="Y400" i="3" s="1"/>
  <c r="Z400" i="3" a="1"/>
  <c r="Z400" i="3" s="1"/>
  <c r="AA400" i="3"/>
  <c r="AB400" i="3"/>
  <c r="AC400" i="3"/>
  <c r="A401" i="3"/>
  <c r="C401" i="3"/>
  <c r="N401" i="3" s="1"/>
  <c r="F401" i="3"/>
  <c r="G401" i="3"/>
  <c r="E401" i="3" s="1"/>
  <c r="M401" i="3"/>
  <c r="P401" i="3"/>
  <c r="Q401" i="3"/>
  <c r="R401" i="3"/>
  <c r="U401" i="3"/>
  <c r="V401" i="3"/>
  <c r="X401" i="3" a="1"/>
  <c r="X401" i="3" s="1"/>
  <c r="Y401" i="3" a="1"/>
  <c r="Y401" i="3" s="1"/>
  <c r="Z401" i="3" a="1"/>
  <c r="Z401" i="3" s="1"/>
  <c r="AC401" i="3"/>
  <c r="A402" i="3"/>
  <c r="C402" i="3"/>
  <c r="O402" i="3" s="1"/>
  <c r="F402" i="3"/>
  <c r="G402" i="3"/>
  <c r="N402" i="3"/>
  <c r="S402" i="3"/>
  <c r="X402" i="3" a="1"/>
  <c r="X402" i="3" s="1"/>
  <c r="Y402" i="3" a="1"/>
  <c r="Y402" i="3" s="1"/>
  <c r="Z402" i="3" a="1"/>
  <c r="Z402" i="3" s="1"/>
  <c r="AA402" i="3"/>
  <c r="A403" i="3"/>
  <c r="C403" i="3"/>
  <c r="F403" i="3"/>
  <c r="G403" i="3"/>
  <c r="Q403" i="3"/>
  <c r="V403" i="3"/>
  <c r="X403" i="3" a="1"/>
  <c r="X403" i="3"/>
  <c r="Y403" i="3" a="1"/>
  <c r="Y403" i="3" s="1"/>
  <c r="Z403" i="3" a="1"/>
  <c r="Z403" i="3" s="1"/>
  <c r="A404" i="3"/>
  <c r="C404" i="3"/>
  <c r="F404" i="3"/>
  <c r="G404" i="3"/>
  <c r="N404" i="3"/>
  <c r="O404" i="3"/>
  <c r="P404" i="3"/>
  <c r="R404" i="3"/>
  <c r="S404" i="3"/>
  <c r="T404" i="3"/>
  <c r="V404" i="3"/>
  <c r="W404" i="3"/>
  <c r="X404" i="3" a="1"/>
  <c r="X404" i="3" s="1"/>
  <c r="Y404" i="3" a="1"/>
  <c r="Y404" i="3" s="1"/>
  <c r="Z404" i="3" a="1"/>
  <c r="Z404" i="3" s="1"/>
  <c r="AA404" i="3"/>
  <c r="AB404" i="3"/>
  <c r="AC404" i="3"/>
  <c r="A405" i="3"/>
  <c r="C405" i="3"/>
  <c r="F405" i="3"/>
  <c r="G405" i="3"/>
  <c r="M405" i="3"/>
  <c r="P405" i="3"/>
  <c r="Q405" i="3"/>
  <c r="R405" i="3"/>
  <c r="U405" i="3"/>
  <c r="V405" i="3"/>
  <c r="X405" i="3" a="1"/>
  <c r="X405" i="3" s="1"/>
  <c r="Y405" i="3" a="1"/>
  <c r="Y405" i="3" s="1"/>
  <c r="Z405" i="3" a="1"/>
  <c r="Z405" i="3" s="1"/>
  <c r="AC405" i="3"/>
  <c r="A406" i="3"/>
  <c r="C406" i="3"/>
  <c r="F406" i="3"/>
  <c r="G406" i="3"/>
  <c r="N406" i="3"/>
  <c r="P406" i="3"/>
  <c r="S406" i="3"/>
  <c r="V406" i="3"/>
  <c r="X406" i="3" a="1"/>
  <c r="X406" i="3" s="1"/>
  <c r="Y406" i="3" a="1"/>
  <c r="Y406" i="3" s="1"/>
  <c r="Z406" i="3" a="1"/>
  <c r="Z406" i="3" s="1"/>
  <c r="AA406" i="3"/>
  <c r="AC406" i="3"/>
  <c r="A407" i="3"/>
  <c r="C407" i="3"/>
  <c r="F407" i="3"/>
  <c r="G407" i="3"/>
  <c r="N407" i="3"/>
  <c r="Q407" i="3"/>
  <c r="T407" i="3"/>
  <c r="V407" i="3"/>
  <c r="X407" i="3" a="1"/>
  <c r="X407" i="3" s="1"/>
  <c r="Y407" i="3" a="1"/>
  <c r="Y407" i="3" s="1"/>
  <c r="Z407" i="3" a="1"/>
  <c r="Z407" i="3" s="1"/>
  <c r="AA407" i="3"/>
  <c r="A408" i="3"/>
  <c r="C408" i="3"/>
  <c r="F408" i="3"/>
  <c r="G408" i="3"/>
  <c r="N408" i="3"/>
  <c r="P408" i="3"/>
  <c r="R408" i="3"/>
  <c r="S408" i="3"/>
  <c r="T408" i="3"/>
  <c r="V408" i="3"/>
  <c r="W408" i="3"/>
  <c r="X408" i="3" a="1"/>
  <c r="X408" i="3" s="1"/>
  <c r="Y408" i="3" a="1"/>
  <c r="Y408" i="3" s="1"/>
  <c r="Z408" i="3" a="1"/>
  <c r="Z408" i="3" s="1"/>
  <c r="AA408" i="3"/>
  <c r="AB408" i="3"/>
  <c r="AC408" i="3"/>
  <c r="A409" i="3"/>
  <c r="C409" i="3"/>
  <c r="N409" i="3" s="1"/>
  <c r="F409" i="3"/>
  <c r="G409" i="3"/>
  <c r="M409" i="3"/>
  <c r="P409" i="3"/>
  <c r="Q409" i="3"/>
  <c r="R409" i="3"/>
  <c r="U409" i="3"/>
  <c r="V409" i="3"/>
  <c r="X409" i="3" a="1"/>
  <c r="X409" i="3" s="1"/>
  <c r="Y409" i="3" a="1"/>
  <c r="Y409" i="3" s="1"/>
  <c r="Z409" i="3" a="1"/>
  <c r="Z409" i="3" s="1"/>
  <c r="AC409" i="3"/>
  <c r="A410" i="3"/>
  <c r="C410" i="3"/>
  <c r="O410" i="3" s="1"/>
  <c r="F410" i="3"/>
  <c r="G410" i="3"/>
  <c r="N410" i="3"/>
  <c r="S410" i="3"/>
  <c r="X410" i="3" a="1"/>
  <c r="X410" i="3" s="1"/>
  <c r="Y410" i="3" a="1"/>
  <c r="Y410" i="3" s="1"/>
  <c r="Z410" i="3" a="1"/>
  <c r="Z410" i="3" s="1"/>
  <c r="AA410" i="3"/>
  <c r="A411" i="3"/>
  <c r="C411" i="3"/>
  <c r="F411" i="3"/>
  <c r="G411" i="3"/>
  <c r="Q411" i="3"/>
  <c r="V411" i="3"/>
  <c r="X411" i="3" a="1"/>
  <c r="X411" i="3" s="1"/>
  <c r="Y411" i="3" a="1"/>
  <c r="Y411" i="3" s="1"/>
  <c r="Z411" i="3" a="1"/>
  <c r="Z411" i="3" s="1"/>
  <c r="A412" i="3"/>
  <c r="C412" i="3"/>
  <c r="F412" i="3"/>
  <c r="G412" i="3"/>
  <c r="N412" i="3"/>
  <c r="O412" i="3"/>
  <c r="P412" i="3"/>
  <c r="R412" i="3"/>
  <c r="S412" i="3"/>
  <c r="T412" i="3"/>
  <c r="V412" i="3"/>
  <c r="W412" i="3"/>
  <c r="X412" i="3" a="1"/>
  <c r="X412" i="3" s="1"/>
  <c r="Y412" i="3" a="1"/>
  <c r="Y412" i="3" s="1"/>
  <c r="Z412" i="3" a="1"/>
  <c r="Z412" i="3" s="1"/>
  <c r="AA412" i="3"/>
  <c r="AB412" i="3"/>
  <c r="AC412" i="3"/>
  <c r="A413" i="3"/>
  <c r="C413" i="3"/>
  <c r="F413" i="3"/>
  <c r="G413" i="3"/>
  <c r="M413" i="3"/>
  <c r="P413" i="3"/>
  <c r="Q413" i="3"/>
  <c r="R413" i="3"/>
  <c r="U413" i="3"/>
  <c r="V413" i="3"/>
  <c r="X413" i="3" a="1"/>
  <c r="X413" i="3" s="1"/>
  <c r="Y413" i="3" a="1"/>
  <c r="Y413" i="3" s="1"/>
  <c r="Z413" i="3" a="1"/>
  <c r="Z413" i="3" s="1"/>
  <c r="AC413" i="3"/>
  <c r="A414" i="3"/>
  <c r="C414" i="3"/>
  <c r="F414" i="3"/>
  <c r="G414" i="3"/>
  <c r="N414" i="3"/>
  <c r="P414" i="3"/>
  <c r="S414" i="3"/>
  <c r="V414" i="3"/>
  <c r="X414" i="3" a="1"/>
  <c r="X414" i="3" s="1"/>
  <c r="Y414" i="3" a="1"/>
  <c r="Y414" i="3" s="1"/>
  <c r="Z414" i="3" a="1"/>
  <c r="Z414" i="3" s="1"/>
  <c r="AA414" i="3"/>
  <c r="AC414" i="3"/>
  <c r="A415" i="3"/>
  <c r="C415" i="3"/>
  <c r="F415" i="3"/>
  <c r="G415" i="3"/>
  <c r="N415" i="3"/>
  <c r="Q415" i="3"/>
  <c r="T415" i="3"/>
  <c r="V415" i="3"/>
  <c r="X415" i="3" a="1"/>
  <c r="X415" i="3" s="1"/>
  <c r="Y415" i="3" a="1"/>
  <c r="Y415" i="3" s="1"/>
  <c r="Z415" i="3" a="1"/>
  <c r="Z415" i="3" s="1"/>
  <c r="AA415" i="3"/>
  <c r="A416" i="3"/>
  <c r="C416" i="3"/>
  <c r="P416" i="3" s="1"/>
  <c r="F416" i="3"/>
  <c r="G416" i="3"/>
  <c r="N416" i="3"/>
  <c r="O416" i="3"/>
  <c r="R416" i="3"/>
  <c r="S416" i="3"/>
  <c r="T416" i="3"/>
  <c r="W416" i="3"/>
  <c r="X416" i="3" a="1"/>
  <c r="X416" i="3" s="1"/>
  <c r="Y416" i="3" a="1"/>
  <c r="Y416" i="3" s="1"/>
  <c r="Z416" i="3" a="1"/>
  <c r="Z416" i="3" s="1"/>
  <c r="AA416" i="3"/>
  <c r="AB416" i="3"/>
  <c r="A417" i="3"/>
  <c r="C417" i="3"/>
  <c r="N417" i="3" s="1"/>
  <c r="F417" i="3"/>
  <c r="G417" i="3"/>
  <c r="M417" i="3"/>
  <c r="P417" i="3"/>
  <c r="Q417" i="3"/>
  <c r="R417" i="3"/>
  <c r="U417" i="3"/>
  <c r="V417" i="3"/>
  <c r="X417" i="3" a="1"/>
  <c r="X417" i="3" s="1"/>
  <c r="Y417" i="3" a="1"/>
  <c r="Y417" i="3" s="1"/>
  <c r="Z417" i="3" a="1"/>
  <c r="Z417" i="3" s="1"/>
  <c r="AC417" i="3"/>
  <c r="A418" i="3"/>
  <c r="C418" i="3"/>
  <c r="O418" i="3" s="1"/>
  <c r="F418" i="3"/>
  <c r="G418" i="3"/>
  <c r="N418" i="3"/>
  <c r="S418" i="3"/>
  <c r="X418" i="3" a="1"/>
  <c r="X418" i="3" s="1"/>
  <c r="Y418" i="3" a="1"/>
  <c r="Y418" i="3" s="1"/>
  <c r="Z418" i="3" a="1"/>
  <c r="Z418" i="3" s="1"/>
  <c r="AA418" i="3"/>
  <c r="A419" i="3"/>
  <c r="C419" i="3"/>
  <c r="F419" i="3"/>
  <c r="G419" i="3"/>
  <c r="Q419" i="3"/>
  <c r="V419" i="3"/>
  <c r="X419" i="3" a="1"/>
  <c r="X419" i="3" s="1"/>
  <c r="Y419" i="3" a="1"/>
  <c r="Y419" i="3" s="1"/>
  <c r="Z419" i="3" a="1"/>
  <c r="Z419" i="3" s="1"/>
  <c r="A420" i="3"/>
  <c r="C420" i="3"/>
  <c r="F420" i="3"/>
  <c r="G420" i="3"/>
  <c r="N420" i="3"/>
  <c r="O420" i="3"/>
  <c r="P420" i="3"/>
  <c r="R420" i="3"/>
  <c r="S420" i="3"/>
  <c r="T420" i="3"/>
  <c r="V420" i="3"/>
  <c r="W420" i="3"/>
  <c r="X420" i="3" a="1"/>
  <c r="X420" i="3" s="1"/>
  <c r="Y420" i="3" a="1"/>
  <c r="Y420" i="3" s="1"/>
  <c r="Z420" i="3" a="1"/>
  <c r="Z420" i="3" s="1"/>
  <c r="AA420" i="3"/>
  <c r="AB420" i="3"/>
  <c r="AC420" i="3"/>
  <c r="A421" i="3"/>
  <c r="C421" i="3"/>
  <c r="F421" i="3"/>
  <c r="G421" i="3"/>
  <c r="M421" i="3"/>
  <c r="P421" i="3"/>
  <c r="Q421" i="3"/>
  <c r="R421" i="3"/>
  <c r="U421" i="3"/>
  <c r="V421" i="3"/>
  <c r="X421" i="3" a="1"/>
  <c r="X421" i="3" s="1"/>
  <c r="Y421" i="3" a="1"/>
  <c r="Y421" i="3" s="1"/>
  <c r="Z421" i="3" a="1"/>
  <c r="Z421" i="3" s="1"/>
  <c r="AC421" i="3"/>
  <c r="A422" i="3"/>
  <c r="C422" i="3"/>
  <c r="F422" i="3"/>
  <c r="G422" i="3"/>
  <c r="N422" i="3"/>
  <c r="P422" i="3"/>
  <c r="S422" i="3"/>
  <c r="V422" i="3"/>
  <c r="X422" i="3" a="1"/>
  <c r="X422" i="3" s="1"/>
  <c r="Y422" i="3" a="1"/>
  <c r="Y422" i="3" s="1"/>
  <c r="Z422" i="3" a="1"/>
  <c r="Z422" i="3" s="1"/>
  <c r="AA422" i="3"/>
  <c r="AC422" i="3"/>
  <c r="A423" i="3"/>
  <c r="C423" i="3"/>
  <c r="F423" i="3"/>
  <c r="G423" i="3"/>
  <c r="Q423" i="3"/>
  <c r="V423" i="3"/>
  <c r="X423" i="3" a="1"/>
  <c r="X423" i="3" s="1"/>
  <c r="Y423" i="3" a="1"/>
  <c r="Y423" i="3" s="1"/>
  <c r="Z423" i="3" a="1"/>
  <c r="Z423" i="3" s="1"/>
  <c r="A424" i="3"/>
  <c r="C424" i="3"/>
  <c r="P424" i="3" s="1"/>
  <c r="F424" i="3"/>
  <c r="G424" i="3"/>
  <c r="N424" i="3"/>
  <c r="O424" i="3"/>
  <c r="R424" i="3"/>
  <c r="S424" i="3"/>
  <c r="T424" i="3"/>
  <c r="W424" i="3"/>
  <c r="X424" i="3" a="1"/>
  <c r="X424" i="3" s="1"/>
  <c r="Y424" i="3" a="1"/>
  <c r="Y424" i="3" s="1"/>
  <c r="Z424" i="3" a="1"/>
  <c r="Z424" i="3" s="1"/>
  <c r="AA424" i="3"/>
  <c r="AB424" i="3"/>
  <c r="A425" i="3"/>
  <c r="C425" i="3"/>
  <c r="N425" i="3" s="1"/>
  <c r="F425" i="3"/>
  <c r="G425" i="3"/>
  <c r="M425" i="3"/>
  <c r="P425" i="3"/>
  <c r="Q425" i="3"/>
  <c r="R425" i="3"/>
  <c r="U425" i="3"/>
  <c r="V425" i="3"/>
  <c r="X425" i="3" a="1"/>
  <c r="X425" i="3" s="1"/>
  <c r="Y425" i="3" a="1"/>
  <c r="Y425" i="3" s="1"/>
  <c r="Z425" i="3" a="1"/>
  <c r="Z425" i="3" s="1"/>
  <c r="AC425" i="3"/>
  <c r="A426" i="3"/>
  <c r="C426" i="3"/>
  <c r="O426" i="3" s="1"/>
  <c r="F426" i="3"/>
  <c r="G426" i="3"/>
  <c r="N426" i="3"/>
  <c r="P426" i="3"/>
  <c r="S426" i="3"/>
  <c r="V426" i="3"/>
  <c r="X426" i="3" a="1"/>
  <c r="X426" i="3" s="1"/>
  <c r="Y426" i="3" a="1"/>
  <c r="Y426" i="3" s="1"/>
  <c r="Z426" i="3" a="1"/>
  <c r="Z426" i="3" s="1"/>
  <c r="AA426" i="3"/>
  <c r="AC426" i="3"/>
  <c r="A427" i="3"/>
  <c r="C427" i="3"/>
  <c r="F427" i="3"/>
  <c r="G427" i="3"/>
  <c r="N427" i="3"/>
  <c r="Q427" i="3"/>
  <c r="T427" i="3"/>
  <c r="V427" i="3"/>
  <c r="X427" i="3" a="1"/>
  <c r="X427" i="3" s="1"/>
  <c r="Y427" i="3" a="1"/>
  <c r="Y427" i="3" s="1"/>
  <c r="Z427" i="3" a="1"/>
  <c r="Z427" i="3" s="1"/>
  <c r="AA427" i="3"/>
  <c r="A428" i="3"/>
  <c r="C428" i="3"/>
  <c r="F428" i="3"/>
  <c r="G428" i="3"/>
  <c r="N428" i="3"/>
  <c r="O428" i="3"/>
  <c r="P428" i="3"/>
  <c r="R428" i="3"/>
  <c r="S428" i="3"/>
  <c r="T428" i="3"/>
  <c r="V428" i="3"/>
  <c r="W428" i="3"/>
  <c r="X428" i="3" a="1"/>
  <c r="X428" i="3" s="1"/>
  <c r="Y428" i="3" a="1"/>
  <c r="Y428" i="3" s="1"/>
  <c r="Z428" i="3" a="1"/>
  <c r="Z428" i="3" s="1"/>
  <c r="AA428" i="3"/>
  <c r="AB428" i="3"/>
  <c r="AC428" i="3"/>
  <c r="A429" i="3"/>
  <c r="C429" i="3"/>
  <c r="F429" i="3"/>
  <c r="G429" i="3"/>
  <c r="M429" i="3"/>
  <c r="P429" i="3"/>
  <c r="Q429" i="3"/>
  <c r="R429" i="3"/>
  <c r="U429" i="3"/>
  <c r="V429" i="3"/>
  <c r="X429" i="3" a="1"/>
  <c r="X429" i="3" s="1"/>
  <c r="Y429" i="3" a="1"/>
  <c r="Y429" i="3" s="1"/>
  <c r="Z429" i="3" a="1"/>
  <c r="Z429" i="3" s="1"/>
  <c r="AC429" i="3"/>
  <c r="A430" i="3"/>
  <c r="C430" i="3"/>
  <c r="F430" i="3"/>
  <c r="G430" i="3"/>
  <c r="N430" i="3"/>
  <c r="S430" i="3"/>
  <c r="X430" i="3" a="1"/>
  <c r="X430" i="3" s="1"/>
  <c r="Y430" i="3" a="1"/>
  <c r="Y430" i="3" s="1"/>
  <c r="Z430" i="3" a="1"/>
  <c r="Z430" i="3" s="1"/>
  <c r="AA430" i="3"/>
  <c r="A431" i="3"/>
  <c r="C431" i="3"/>
  <c r="F431" i="3"/>
  <c r="G431" i="3"/>
  <c r="Q431" i="3"/>
  <c r="V431" i="3"/>
  <c r="X431" i="3" a="1"/>
  <c r="X431" i="3" s="1"/>
  <c r="Y431" i="3" a="1"/>
  <c r="Y431" i="3" s="1"/>
  <c r="Z431" i="3" a="1"/>
  <c r="Z431" i="3" s="1"/>
  <c r="A432" i="3"/>
  <c r="U437" i="3" s="1"/>
  <c r="C432" i="3"/>
  <c r="P432" i="3" s="1"/>
  <c r="F432" i="3"/>
  <c r="G432" i="3"/>
  <c r="N432" i="3"/>
  <c r="O432" i="3"/>
  <c r="R432" i="3"/>
  <c r="S432" i="3"/>
  <c r="T432" i="3"/>
  <c r="W432" i="3"/>
  <c r="X432" i="3" a="1"/>
  <c r="X432" i="3" s="1"/>
  <c r="Y432" i="3" a="1"/>
  <c r="Y432" i="3" s="1"/>
  <c r="Z432" i="3" a="1"/>
  <c r="Z432" i="3" s="1"/>
  <c r="AA432" i="3"/>
  <c r="AB432" i="3"/>
  <c r="A433" i="3"/>
  <c r="C433" i="3"/>
  <c r="N433" i="3" s="1"/>
  <c r="F433" i="3"/>
  <c r="G433" i="3"/>
  <c r="M433" i="3"/>
  <c r="P433" i="3"/>
  <c r="Q433" i="3"/>
  <c r="R433" i="3"/>
  <c r="U433" i="3"/>
  <c r="V433" i="3"/>
  <c r="X433" i="3" a="1"/>
  <c r="X433" i="3" s="1"/>
  <c r="Y433" i="3" a="1"/>
  <c r="Y433" i="3" s="1"/>
  <c r="Z433" i="3" a="1"/>
  <c r="Z433" i="3" s="1"/>
  <c r="AC433" i="3"/>
  <c r="A434" i="3"/>
  <c r="C434" i="3"/>
  <c r="O434" i="3" s="1"/>
  <c r="F434" i="3"/>
  <c r="G434" i="3"/>
  <c r="N434" i="3"/>
  <c r="P434" i="3"/>
  <c r="S434" i="3"/>
  <c r="V434" i="3"/>
  <c r="X434" i="3" a="1"/>
  <c r="X434" i="3" s="1"/>
  <c r="Y434" i="3" a="1"/>
  <c r="Y434" i="3" s="1"/>
  <c r="Z434" i="3" a="1"/>
  <c r="Z434" i="3" s="1"/>
  <c r="AA434" i="3"/>
  <c r="AC434" i="3"/>
  <c r="A435" i="3"/>
  <c r="C435" i="3"/>
  <c r="F435" i="3"/>
  <c r="G435" i="3"/>
  <c r="N435" i="3"/>
  <c r="Q435" i="3"/>
  <c r="T435" i="3"/>
  <c r="V435" i="3"/>
  <c r="X435" i="3" a="1"/>
  <c r="X435" i="3" s="1"/>
  <c r="Y435" i="3" a="1"/>
  <c r="Y435" i="3" s="1"/>
  <c r="Z435" i="3" a="1"/>
  <c r="Z435" i="3" s="1"/>
  <c r="AA435" i="3"/>
  <c r="A436" i="3"/>
  <c r="C436" i="3"/>
  <c r="F436" i="3"/>
  <c r="G436" i="3"/>
  <c r="N436" i="3"/>
  <c r="O436" i="3"/>
  <c r="P436" i="3"/>
  <c r="R436" i="3"/>
  <c r="S436" i="3"/>
  <c r="T436" i="3"/>
  <c r="V436" i="3"/>
  <c r="W436" i="3"/>
  <c r="X436" i="3" a="1"/>
  <c r="X436" i="3" s="1"/>
  <c r="Y436" i="3" a="1"/>
  <c r="Y436" i="3" s="1"/>
  <c r="Z436" i="3" a="1"/>
  <c r="Z436" i="3" s="1"/>
  <c r="AA436" i="3"/>
  <c r="AB436" i="3"/>
  <c r="AC436" i="3"/>
  <c r="A437" i="3"/>
  <c r="C437" i="3"/>
  <c r="F437" i="3"/>
  <c r="G437" i="3"/>
  <c r="M437" i="3"/>
  <c r="N437" i="3"/>
  <c r="P437" i="3"/>
  <c r="Q437" i="3"/>
  <c r="R437" i="3"/>
  <c r="T437" i="3"/>
  <c r="V437" i="3"/>
  <c r="X437" i="3" a="1"/>
  <c r="X437" i="3" s="1"/>
  <c r="Y437" i="3" a="1"/>
  <c r="Y437" i="3" s="1"/>
  <c r="Z437" i="3" a="1"/>
  <c r="Z437" i="3" s="1"/>
  <c r="AA437" i="3"/>
  <c r="AC437" i="3"/>
  <c r="A438" i="3"/>
  <c r="C438" i="3"/>
  <c r="F438" i="3"/>
  <c r="G438" i="3"/>
  <c r="N438" i="3"/>
  <c r="S438" i="3"/>
  <c r="X438" i="3" a="1"/>
  <c r="X438" i="3" s="1"/>
  <c r="Y438" i="3" a="1"/>
  <c r="Y438" i="3" s="1"/>
  <c r="Z438" i="3" a="1"/>
  <c r="Z438" i="3" s="1"/>
  <c r="AA438" i="3"/>
  <c r="A439" i="3"/>
  <c r="C439" i="3"/>
  <c r="F439" i="3"/>
  <c r="G439" i="3"/>
  <c r="Q439" i="3"/>
  <c r="V439" i="3"/>
  <c r="X439" i="3" a="1"/>
  <c r="X439" i="3" s="1"/>
  <c r="Y439" i="3" a="1"/>
  <c r="Y439" i="3" s="1"/>
  <c r="Z439" i="3" a="1"/>
  <c r="Z439" i="3" s="1"/>
  <c r="A440" i="3"/>
  <c r="C440" i="3"/>
  <c r="P440" i="3" s="1"/>
  <c r="F440" i="3"/>
  <c r="G440" i="3"/>
  <c r="N440" i="3"/>
  <c r="O440" i="3"/>
  <c r="R440" i="3"/>
  <c r="S440" i="3"/>
  <c r="T440" i="3"/>
  <c r="W440" i="3"/>
  <c r="X440" i="3" a="1"/>
  <c r="X440" i="3" s="1"/>
  <c r="Y440" i="3" a="1"/>
  <c r="Y440" i="3" s="1"/>
  <c r="Z440" i="3" a="1"/>
  <c r="Z440" i="3" s="1"/>
  <c r="AA440" i="3"/>
  <c r="AB440" i="3"/>
  <c r="A441" i="3"/>
  <c r="C441" i="3"/>
  <c r="N441" i="3" s="1"/>
  <c r="F441" i="3"/>
  <c r="G441" i="3"/>
  <c r="M441" i="3"/>
  <c r="P441" i="3"/>
  <c r="Q441" i="3"/>
  <c r="R441" i="3"/>
  <c r="U441" i="3"/>
  <c r="V441" i="3"/>
  <c r="X441" i="3" a="1"/>
  <c r="X441" i="3" s="1"/>
  <c r="Y441" i="3" a="1"/>
  <c r="Y441" i="3" s="1"/>
  <c r="Z441" i="3" a="1"/>
  <c r="Z441" i="3" s="1"/>
  <c r="AC441" i="3"/>
  <c r="A442" i="3"/>
  <c r="C442" i="3"/>
  <c r="O442" i="3" s="1"/>
  <c r="F442" i="3"/>
  <c r="G442" i="3"/>
  <c r="N442" i="3"/>
  <c r="P442" i="3"/>
  <c r="S442" i="3"/>
  <c r="V442" i="3"/>
  <c r="X442" i="3" a="1"/>
  <c r="X442" i="3" s="1"/>
  <c r="Y442" i="3" a="1"/>
  <c r="Y442" i="3" s="1"/>
  <c r="Z442" i="3" a="1"/>
  <c r="Z442" i="3" s="1"/>
  <c r="AA442" i="3"/>
  <c r="AC442" i="3"/>
  <c r="A443" i="3"/>
  <c r="C443" i="3"/>
  <c r="F443" i="3"/>
  <c r="G443" i="3"/>
  <c r="N443" i="3"/>
  <c r="Q443" i="3"/>
  <c r="T443" i="3"/>
  <c r="V443" i="3"/>
  <c r="X443" i="3" a="1"/>
  <c r="X443" i="3" s="1"/>
  <c r="Y443" i="3" a="1"/>
  <c r="Y443" i="3" s="1"/>
  <c r="Z443" i="3" a="1"/>
  <c r="Z443" i="3" s="1"/>
  <c r="AA443" i="3"/>
  <c r="A444" i="3"/>
  <c r="C444" i="3"/>
  <c r="F444" i="3"/>
  <c r="G444" i="3"/>
  <c r="N444" i="3"/>
  <c r="O444" i="3"/>
  <c r="P444" i="3"/>
  <c r="R444" i="3"/>
  <c r="S444" i="3"/>
  <c r="T444" i="3"/>
  <c r="V444" i="3"/>
  <c r="W444" i="3"/>
  <c r="X444" i="3" a="1"/>
  <c r="X444" i="3" s="1"/>
  <c r="Y444" i="3" a="1"/>
  <c r="Y444" i="3" s="1"/>
  <c r="Z444" i="3" a="1"/>
  <c r="Z444" i="3" s="1"/>
  <c r="AA444" i="3"/>
  <c r="AB444" i="3"/>
  <c r="AC444" i="3"/>
  <c r="A445" i="3"/>
  <c r="C445" i="3"/>
  <c r="F445" i="3"/>
  <c r="G445" i="3"/>
  <c r="M445" i="3"/>
  <c r="N445" i="3"/>
  <c r="P445" i="3"/>
  <c r="Q445" i="3"/>
  <c r="R445" i="3"/>
  <c r="T445" i="3"/>
  <c r="U445" i="3"/>
  <c r="V445" i="3"/>
  <c r="X445" i="3" a="1"/>
  <c r="X445" i="3" s="1"/>
  <c r="Y445" i="3" a="1"/>
  <c r="Y445" i="3" s="1"/>
  <c r="Z445" i="3" a="1"/>
  <c r="Z445" i="3" s="1"/>
  <c r="AA445" i="3"/>
  <c r="AC445" i="3"/>
  <c r="A446" i="3"/>
  <c r="C446" i="3"/>
  <c r="F446" i="3"/>
  <c r="G446" i="3"/>
  <c r="N446" i="3"/>
  <c r="S446" i="3"/>
  <c r="X446" i="3" a="1"/>
  <c r="X446" i="3" s="1"/>
  <c r="Y446" i="3" a="1"/>
  <c r="Y446" i="3" s="1"/>
  <c r="Z446" i="3" a="1"/>
  <c r="Z446" i="3" s="1"/>
  <c r="AA446" i="3"/>
  <c r="A447" i="3"/>
  <c r="C447" i="3"/>
  <c r="F447" i="3"/>
  <c r="G447" i="3"/>
  <c r="Q447" i="3"/>
  <c r="V447" i="3"/>
  <c r="X447" i="3" a="1"/>
  <c r="X447" i="3" s="1"/>
  <c r="Y447" i="3" a="1"/>
  <c r="Y447" i="3" s="1"/>
  <c r="Z447" i="3" a="1"/>
  <c r="Z447" i="3" s="1"/>
  <c r="A448" i="3"/>
  <c r="C448" i="3"/>
  <c r="P448" i="3" s="1"/>
  <c r="F448" i="3"/>
  <c r="G448" i="3"/>
  <c r="N448" i="3"/>
  <c r="O448" i="3"/>
  <c r="R448" i="3"/>
  <c r="S448" i="3"/>
  <c r="T448" i="3"/>
  <c r="W448" i="3"/>
  <c r="X448" i="3" a="1"/>
  <c r="X448" i="3" s="1"/>
  <c r="Y448" i="3" a="1"/>
  <c r="Y448" i="3" s="1"/>
  <c r="Z448" i="3" a="1"/>
  <c r="Z448" i="3" s="1"/>
  <c r="AA448" i="3"/>
  <c r="AB448" i="3"/>
  <c r="A449" i="3"/>
  <c r="C449" i="3"/>
  <c r="N449" i="3" s="1"/>
  <c r="F449" i="3"/>
  <c r="G449" i="3"/>
  <c r="M449" i="3"/>
  <c r="P449" i="3"/>
  <c r="Q449" i="3"/>
  <c r="R449" i="3"/>
  <c r="U449" i="3"/>
  <c r="V449" i="3"/>
  <c r="X449" i="3" a="1"/>
  <c r="X449" i="3" s="1"/>
  <c r="Y449" i="3" a="1"/>
  <c r="Y449" i="3" s="1"/>
  <c r="Z449" i="3" a="1"/>
  <c r="Z449" i="3" s="1"/>
  <c r="AC449" i="3"/>
  <c r="A450" i="3"/>
  <c r="C450" i="3"/>
  <c r="O450" i="3" s="1"/>
  <c r="F450" i="3"/>
  <c r="G450" i="3"/>
  <c r="N450" i="3"/>
  <c r="P450" i="3"/>
  <c r="S450" i="3"/>
  <c r="V450" i="3"/>
  <c r="X450" i="3" a="1"/>
  <c r="X450" i="3" s="1"/>
  <c r="Y450" i="3" a="1"/>
  <c r="Y450" i="3" s="1"/>
  <c r="Z450" i="3" a="1"/>
  <c r="Z450" i="3" s="1"/>
  <c r="AA450" i="3"/>
  <c r="AC450" i="3"/>
  <c r="A451" i="3"/>
  <c r="C451" i="3"/>
  <c r="F451" i="3"/>
  <c r="G451" i="3"/>
  <c r="N451" i="3"/>
  <c r="Q451" i="3"/>
  <c r="T451" i="3"/>
  <c r="V451" i="3"/>
  <c r="X451" i="3" a="1"/>
  <c r="X451" i="3" s="1"/>
  <c r="Y451" i="3" a="1"/>
  <c r="Y451" i="3" s="1"/>
  <c r="Z451" i="3" a="1"/>
  <c r="Z451" i="3" s="1"/>
  <c r="AA451" i="3"/>
  <c r="A452" i="3"/>
  <c r="C452" i="3"/>
  <c r="F452" i="3"/>
  <c r="G452" i="3"/>
  <c r="N452" i="3"/>
  <c r="O452" i="3"/>
  <c r="P452" i="3"/>
  <c r="R452" i="3"/>
  <c r="S452" i="3"/>
  <c r="T452" i="3"/>
  <c r="V452" i="3"/>
  <c r="W452" i="3"/>
  <c r="X452" i="3" a="1"/>
  <c r="X452" i="3" s="1"/>
  <c r="Y452" i="3" a="1"/>
  <c r="Y452" i="3" s="1"/>
  <c r="Z452" i="3" a="1"/>
  <c r="Z452" i="3" s="1"/>
  <c r="AA452" i="3"/>
  <c r="AB452" i="3"/>
  <c r="AC452" i="3"/>
  <c r="A453" i="3"/>
  <c r="C453" i="3"/>
  <c r="F453" i="3"/>
  <c r="G453" i="3"/>
  <c r="M453" i="3"/>
  <c r="N453" i="3"/>
  <c r="P453" i="3"/>
  <c r="Q453" i="3"/>
  <c r="R453" i="3"/>
  <c r="T453" i="3"/>
  <c r="U453" i="3"/>
  <c r="V453" i="3"/>
  <c r="X453" i="3" a="1"/>
  <c r="X453" i="3" s="1"/>
  <c r="Y453" i="3" a="1"/>
  <c r="Y453" i="3" s="1"/>
  <c r="Z453" i="3" a="1"/>
  <c r="Z453" i="3" s="1"/>
  <c r="AA453" i="3"/>
  <c r="AC453" i="3"/>
  <c r="A454" i="3"/>
  <c r="C454" i="3"/>
  <c r="F454" i="3"/>
  <c r="G454" i="3"/>
  <c r="N454" i="3"/>
  <c r="S454" i="3"/>
  <c r="X454" i="3" a="1"/>
  <c r="X454" i="3" s="1"/>
  <c r="Y454" i="3" a="1"/>
  <c r="Y454" i="3" s="1"/>
  <c r="Z454" i="3" a="1"/>
  <c r="Z454" i="3" s="1"/>
  <c r="AA454" i="3"/>
  <c r="A455" i="3"/>
  <c r="C455" i="3"/>
  <c r="F455" i="3"/>
  <c r="G455" i="3"/>
  <c r="Q455" i="3"/>
  <c r="V455" i="3"/>
  <c r="X455" i="3" a="1"/>
  <c r="X455" i="3" s="1"/>
  <c r="Y455" i="3" a="1"/>
  <c r="Y455" i="3" s="1"/>
  <c r="Z455" i="3" a="1"/>
  <c r="Z455" i="3" s="1"/>
  <c r="A456" i="3"/>
  <c r="U461" i="3" s="1"/>
  <c r="C456" i="3"/>
  <c r="P456" i="3" s="1"/>
  <c r="F456" i="3"/>
  <c r="G456" i="3"/>
  <c r="N456" i="3"/>
  <c r="O456" i="3"/>
  <c r="R456" i="3"/>
  <c r="S456" i="3"/>
  <c r="T456" i="3"/>
  <c r="W456" i="3"/>
  <c r="X456" i="3" a="1"/>
  <c r="X456" i="3" s="1"/>
  <c r="Y456" i="3" a="1"/>
  <c r="Y456" i="3" s="1"/>
  <c r="Z456" i="3" a="1"/>
  <c r="Z456" i="3" s="1"/>
  <c r="AA456" i="3"/>
  <c r="AB456" i="3"/>
  <c r="A457" i="3"/>
  <c r="C457" i="3"/>
  <c r="N457" i="3" s="1"/>
  <c r="F457" i="3"/>
  <c r="G457" i="3"/>
  <c r="M457" i="3"/>
  <c r="P457" i="3"/>
  <c r="Q457" i="3"/>
  <c r="R457" i="3"/>
  <c r="U457" i="3"/>
  <c r="V457" i="3"/>
  <c r="X457" i="3" a="1"/>
  <c r="X457" i="3" s="1"/>
  <c r="Y457" i="3" a="1"/>
  <c r="Y457" i="3" s="1"/>
  <c r="Z457" i="3" a="1"/>
  <c r="Z457" i="3" s="1"/>
  <c r="AC457" i="3"/>
  <c r="A458" i="3"/>
  <c r="C458" i="3"/>
  <c r="O458" i="3" s="1"/>
  <c r="F458" i="3"/>
  <c r="G458" i="3"/>
  <c r="N458" i="3"/>
  <c r="P458" i="3"/>
  <c r="S458" i="3"/>
  <c r="V458" i="3"/>
  <c r="X458" i="3" a="1"/>
  <c r="X458" i="3" s="1"/>
  <c r="Y458" i="3" a="1"/>
  <c r="Y458" i="3" s="1"/>
  <c r="Z458" i="3" a="1"/>
  <c r="Z458" i="3" s="1"/>
  <c r="AA458" i="3"/>
  <c r="AC458" i="3"/>
  <c r="A459" i="3"/>
  <c r="C459" i="3"/>
  <c r="F459" i="3"/>
  <c r="G459" i="3"/>
  <c r="N459" i="3"/>
  <c r="Q459" i="3"/>
  <c r="T459" i="3"/>
  <c r="V459" i="3"/>
  <c r="X459" i="3" a="1"/>
  <c r="X459" i="3" s="1"/>
  <c r="Y459" i="3" a="1"/>
  <c r="Y459" i="3" s="1"/>
  <c r="Z459" i="3" a="1"/>
  <c r="Z459" i="3" s="1"/>
  <c r="AA459" i="3"/>
  <c r="A460" i="3"/>
  <c r="C460" i="3"/>
  <c r="F460" i="3"/>
  <c r="G460" i="3"/>
  <c r="N460" i="3"/>
  <c r="P460" i="3"/>
  <c r="R460" i="3"/>
  <c r="S460" i="3"/>
  <c r="T460" i="3"/>
  <c r="V460" i="3"/>
  <c r="W460" i="3"/>
  <c r="X460" i="3" a="1"/>
  <c r="X460" i="3" s="1"/>
  <c r="Y460" i="3" a="1"/>
  <c r="Y460" i="3" s="1"/>
  <c r="Z460" i="3" a="1"/>
  <c r="Z460" i="3" s="1"/>
  <c r="AA460" i="3"/>
  <c r="AB460" i="3"/>
  <c r="AC460" i="3"/>
  <c r="A461" i="3"/>
  <c r="C461" i="3"/>
  <c r="F461" i="3"/>
  <c r="G461" i="3"/>
  <c r="M461" i="3"/>
  <c r="N461" i="3"/>
  <c r="P461" i="3"/>
  <c r="Q461" i="3"/>
  <c r="R461" i="3"/>
  <c r="T461" i="3"/>
  <c r="V461" i="3"/>
  <c r="X461" i="3" a="1"/>
  <c r="X461" i="3" s="1"/>
  <c r="Y461" i="3" a="1"/>
  <c r="Y461" i="3" s="1"/>
  <c r="Z461" i="3" a="1"/>
  <c r="Z461" i="3" s="1"/>
  <c r="AA461" i="3"/>
  <c r="AC461" i="3"/>
  <c r="A462" i="3"/>
  <c r="C462" i="3"/>
  <c r="F462" i="3"/>
  <c r="G462" i="3"/>
  <c r="N462" i="3"/>
  <c r="S462" i="3"/>
  <c r="X462" i="3" a="1"/>
  <c r="X462" i="3" s="1"/>
  <c r="Y462" i="3" a="1"/>
  <c r="Y462" i="3" s="1"/>
  <c r="Z462" i="3" a="1"/>
  <c r="Z462" i="3" s="1"/>
  <c r="AA462" i="3"/>
  <c r="A463" i="3"/>
  <c r="C463" i="3"/>
  <c r="F463" i="3"/>
  <c r="G463" i="3"/>
  <c r="Q463" i="3"/>
  <c r="V463" i="3"/>
  <c r="X463" i="3" a="1"/>
  <c r="X463" i="3" s="1"/>
  <c r="Y463" i="3" a="1"/>
  <c r="Y463" i="3" s="1"/>
  <c r="Z463" i="3" a="1"/>
  <c r="Z463" i="3" s="1"/>
  <c r="A464" i="3"/>
  <c r="U477" i="3" s="1"/>
  <c r="C464" i="3"/>
  <c r="P464" i="3" s="1"/>
  <c r="F464" i="3"/>
  <c r="G464" i="3"/>
  <c r="N464" i="3"/>
  <c r="O464" i="3"/>
  <c r="R464" i="3"/>
  <c r="S464" i="3"/>
  <c r="T464" i="3"/>
  <c r="W464" i="3"/>
  <c r="X464" i="3" a="1"/>
  <c r="X464" i="3" s="1"/>
  <c r="Y464" i="3" a="1"/>
  <c r="Y464" i="3" s="1"/>
  <c r="Z464" i="3" a="1"/>
  <c r="Z464" i="3" s="1"/>
  <c r="AA464" i="3"/>
  <c r="AB464" i="3"/>
  <c r="A465" i="3"/>
  <c r="C465" i="3"/>
  <c r="N465" i="3" s="1"/>
  <c r="F465" i="3"/>
  <c r="G465" i="3"/>
  <c r="M465" i="3"/>
  <c r="P465" i="3"/>
  <c r="Q465" i="3"/>
  <c r="R465" i="3"/>
  <c r="U465" i="3"/>
  <c r="V465" i="3"/>
  <c r="X465" i="3" a="1"/>
  <c r="X465" i="3" s="1"/>
  <c r="Y465" i="3" a="1"/>
  <c r="Y465" i="3" s="1"/>
  <c r="Z465" i="3" a="1"/>
  <c r="Z465" i="3" s="1"/>
  <c r="AC465" i="3"/>
  <c r="A466" i="3"/>
  <c r="C466" i="3"/>
  <c r="O466" i="3" s="1"/>
  <c r="F466" i="3"/>
  <c r="G466" i="3"/>
  <c r="N466" i="3"/>
  <c r="P466" i="3"/>
  <c r="S466" i="3"/>
  <c r="V466" i="3"/>
  <c r="X466" i="3" a="1"/>
  <c r="X466" i="3" s="1"/>
  <c r="Y466" i="3" a="1"/>
  <c r="Y466" i="3" s="1"/>
  <c r="Z466" i="3" a="1"/>
  <c r="Z466" i="3" s="1"/>
  <c r="AA466" i="3"/>
  <c r="AC466" i="3"/>
  <c r="A467" i="3"/>
  <c r="C467" i="3"/>
  <c r="F467" i="3"/>
  <c r="G467" i="3"/>
  <c r="N467" i="3"/>
  <c r="Q467" i="3"/>
  <c r="T467" i="3"/>
  <c r="V467" i="3"/>
  <c r="X467" i="3" a="1"/>
  <c r="X467" i="3" s="1"/>
  <c r="Y467" i="3" a="1"/>
  <c r="Y467" i="3" s="1"/>
  <c r="Z467" i="3" a="1"/>
  <c r="Z467" i="3" s="1"/>
  <c r="AA467" i="3"/>
  <c r="A468" i="3"/>
  <c r="C468" i="3"/>
  <c r="F468" i="3"/>
  <c r="G468" i="3"/>
  <c r="N468" i="3"/>
  <c r="O468" i="3"/>
  <c r="P468" i="3"/>
  <c r="R468" i="3"/>
  <c r="S468" i="3"/>
  <c r="T468" i="3"/>
  <c r="V468" i="3"/>
  <c r="W468" i="3"/>
  <c r="X468" i="3" a="1"/>
  <c r="X468" i="3" s="1"/>
  <c r="Y468" i="3" a="1"/>
  <c r="Y468" i="3" s="1"/>
  <c r="Z468" i="3" a="1"/>
  <c r="Z468" i="3" s="1"/>
  <c r="AA468" i="3"/>
  <c r="AB468" i="3"/>
  <c r="AC468" i="3"/>
  <c r="A469" i="3"/>
  <c r="C469" i="3"/>
  <c r="F469" i="3"/>
  <c r="G469" i="3"/>
  <c r="M469" i="3"/>
  <c r="N469" i="3"/>
  <c r="P469" i="3"/>
  <c r="Q469" i="3"/>
  <c r="R469" i="3"/>
  <c r="T469" i="3"/>
  <c r="U469" i="3"/>
  <c r="V469" i="3"/>
  <c r="X469" i="3" a="1"/>
  <c r="X469" i="3" s="1"/>
  <c r="Y469" i="3" a="1"/>
  <c r="Y469" i="3" s="1"/>
  <c r="Z469" i="3" a="1"/>
  <c r="Z469" i="3" s="1"/>
  <c r="AA469" i="3"/>
  <c r="AC469" i="3"/>
  <c r="A470" i="3"/>
  <c r="C470" i="3"/>
  <c r="F470" i="3"/>
  <c r="G470" i="3"/>
  <c r="N470" i="3"/>
  <c r="S470" i="3"/>
  <c r="X470" i="3" a="1"/>
  <c r="X470" i="3" s="1"/>
  <c r="Y470" i="3" a="1"/>
  <c r="Y470" i="3" s="1"/>
  <c r="Z470" i="3" a="1"/>
  <c r="Z470" i="3" s="1"/>
  <c r="AA470" i="3"/>
  <c r="A471" i="3"/>
  <c r="C471" i="3"/>
  <c r="F471" i="3"/>
  <c r="G471" i="3"/>
  <c r="Q471" i="3"/>
  <c r="V471" i="3"/>
  <c r="X471" i="3" a="1"/>
  <c r="X471" i="3" s="1"/>
  <c r="Y471" i="3" a="1"/>
  <c r="Y471" i="3" s="1"/>
  <c r="Z471" i="3" a="1"/>
  <c r="Z471" i="3" s="1"/>
  <c r="A472" i="3"/>
  <c r="U485" i="3" s="1"/>
  <c r="C472" i="3"/>
  <c r="P472" i="3" s="1"/>
  <c r="F472" i="3"/>
  <c r="G472" i="3"/>
  <c r="N472" i="3"/>
  <c r="O472" i="3"/>
  <c r="R472" i="3"/>
  <c r="S472" i="3"/>
  <c r="T472" i="3"/>
  <c r="W472" i="3"/>
  <c r="X472" i="3" a="1"/>
  <c r="X472" i="3" s="1"/>
  <c r="Y472" i="3" a="1"/>
  <c r="Y472" i="3" s="1"/>
  <c r="Z472" i="3" a="1"/>
  <c r="Z472" i="3" s="1"/>
  <c r="AA472" i="3"/>
  <c r="AB472" i="3"/>
  <c r="A473" i="3"/>
  <c r="C473" i="3"/>
  <c r="N473" i="3" s="1"/>
  <c r="F473" i="3"/>
  <c r="G473" i="3"/>
  <c r="M473" i="3"/>
  <c r="P473" i="3"/>
  <c r="Q473" i="3"/>
  <c r="R473" i="3"/>
  <c r="U473" i="3"/>
  <c r="V473" i="3"/>
  <c r="X473" i="3" a="1"/>
  <c r="X473" i="3" s="1"/>
  <c r="Y473" i="3" a="1"/>
  <c r="Y473" i="3" s="1"/>
  <c r="Z473" i="3" a="1"/>
  <c r="Z473" i="3" s="1"/>
  <c r="AC473" i="3"/>
  <c r="A474" i="3"/>
  <c r="C474" i="3"/>
  <c r="O474" i="3" s="1"/>
  <c r="F474" i="3"/>
  <c r="G474" i="3"/>
  <c r="N474" i="3"/>
  <c r="P474" i="3"/>
  <c r="S474" i="3"/>
  <c r="V474" i="3"/>
  <c r="X474" i="3" a="1"/>
  <c r="X474" i="3" s="1"/>
  <c r="Y474" i="3" a="1"/>
  <c r="Y474" i="3" s="1"/>
  <c r="Z474" i="3" a="1"/>
  <c r="Z474" i="3" s="1"/>
  <c r="AA474" i="3"/>
  <c r="AC474" i="3"/>
  <c r="A475" i="3"/>
  <c r="C475" i="3"/>
  <c r="F475" i="3"/>
  <c r="G475" i="3"/>
  <c r="N475" i="3"/>
  <c r="Q475" i="3"/>
  <c r="T475" i="3"/>
  <c r="V475" i="3"/>
  <c r="X475" i="3" a="1"/>
  <c r="X475" i="3" s="1"/>
  <c r="Y475" i="3" a="1"/>
  <c r="Y475" i="3" s="1"/>
  <c r="Z475" i="3" a="1"/>
  <c r="Z475" i="3" s="1"/>
  <c r="AA475" i="3"/>
  <c r="A476" i="3"/>
  <c r="C476" i="3"/>
  <c r="F476" i="3"/>
  <c r="G476" i="3"/>
  <c r="N476" i="3"/>
  <c r="P476" i="3"/>
  <c r="R476" i="3"/>
  <c r="S476" i="3"/>
  <c r="T476" i="3"/>
  <c r="V476" i="3"/>
  <c r="W476" i="3"/>
  <c r="X476" i="3" a="1"/>
  <c r="X476" i="3" s="1"/>
  <c r="Y476" i="3" a="1"/>
  <c r="Y476" i="3" s="1"/>
  <c r="Z476" i="3" a="1"/>
  <c r="Z476" i="3" s="1"/>
  <c r="AA476" i="3"/>
  <c r="AB476" i="3"/>
  <c r="AC476" i="3"/>
  <c r="A477" i="3"/>
  <c r="C477" i="3"/>
  <c r="F477" i="3"/>
  <c r="G477" i="3"/>
  <c r="M477" i="3"/>
  <c r="N477" i="3"/>
  <c r="P477" i="3"/>
  <c r="Q477" i="3"/>
  <c r="R477" i="3"/>
  <c r="T477" i="3"/>
  <c r="V477" i="3"/>
  <c r="X477" i="3" a="1"/>
  <c r="X477" i="3" s="1"/>
  <c r="Y477" i="3" a="1"/>
  <c r="Y477" i="3" s="1"/>
  <c r="Z477" i="3" a="1"/>
  <c r="Z477" i="3" s="1"/>
  <c r="AA477" i="3"/>
  <c r="AC477" i="3"/>
  <c r="A478" i="3"/>
  <c r="C478" i="3"/>
  <c r="F478" i="3"/>
  <c r="G478" i="3"/>
  <c r="N478" i="3"/>
  <c r="S478" i="3"/>
  <c r="X478" i="3" a="1"/>
  <c r="X478" i="3" s="1"/>
  <c r="Y478" i="3" a="1"/>
  <c r="Y478" i="3" s="1"/>
  <c r="Z478" i="3" a="1"/>
  <c r="Z478" i="3" s="1"/>
  <c r="AA478" i="3"/>
  <c r="A479" i="3"/>
  <c r="C479" i="3"/>
  <c r="F479" i="3"/>
  <c r="G479" i="3"/>
  <c r="Q479" i="3"/>
  <c r="V479" i="3"/>
  <c r="X479" i="3" a="1"/>
  <c r="X479" i="3" s="1"/>
  <c r="Y479" i="3" a="1"/>
  <c r="Y479" i="3" s="1"/>
  <c r="Z479" i="3" a="1"/>
  <c r="Z479" i="3" s="1"/>
  <c r="A480" i="3"/>
  <c r="U493" i="3" s="1"/>
  <c r="C480" i="3"/>
  <c r="P480" i="3" s="1"/>
  <c r="F480" i="3"/>
  <c r="G480" i="3"/>
  <c r="N480" i="3"/>
  <c r="O480" i="3"/>
  <c r="R480" i="3"/>
  <c r="S480" i="3"/>
  <c r="T480" i="3"/>
  <c r="W480" i="3"/>
  <c r="X480" i="3" a="1"/>
  <c r="X480" i="3" s="1"/>
  <c r="Y480" i="3" a="1"/>
  <c r="Y480" i="3" s="1"/>
  <c r="Z480" i="3" a="1"/>
  <c r="Z480" i="3" s="1"/>
  <c r="AA480" i="3"/>
  <c r="AB480" i="3"/>
  <c r="A481" i="3"/>
  <c r="C481" i="3"/>
  <c r="N481" i="3" s="1"/>
  <c r="F481" i="3"/>
  <c r="G481" i="3"/>
  <c r="M481" i="3"/>
  <c r="P481" i="3"/>
  <c r="Q481" i="3"/>
  <c r="R481" i="3"/>
  <c r="U481" i="3"/>
  <c r="V481" i="3"/>
  <c r="X481" i="3" a="1"/>
  <c r="X481" i="3" s="1"/>
  <c r="Y481" i="3" a="1"/>
  <c r="Y481" i="3" s="1"/>
  <c r="Z481" i="3" a="1"/>
  <c r="Z481" i="3" s="1"/>
  <c r="AC481" i="3"/>
  <c r="A482" i="3"/>
  <c r="C482" i="3"/>
  <c r="O482" i="3" s="1"/>
  <c r="F482" i="3"/>
  <c r="G482" i="3"/>
  <c r="N482" i="3"/>
  <c r="P482" i="3"/>
  <c r="S482" i="3"/>
  <c r="V482" i="3"/>
  <c r="X482" i="3" a="1"/>
  <c r="X482" i="3" s="1"/>
  <c r="Y482" i="3" a="1"/>
  <c r="Y482" i="3" s="1"/>
  <c r="Z482" i="3" a="1"/>
  <c r="Z482" i="3" s="1"/>
  <c r="AA482" i="3"/>
  <c r="AC482" i="3"/>
  <c r="A483" i="3"/>
  <c r="C483" i="3"/>
  <c r="F483" i="3"/>
  <c r="G483" i="3"/>
  <c r="N483" i="3"/>
  <c r="Q483" i="3"/>
  <c r="T483" i="3"/>
  <c r="V483" i="3"/>
  <c r="X483" i="3" a="1"/>
  <c r="X483" i="3" s="1"/>
  <c r="Y483" i="3" a="1"/>
  <c r="Y483" i="3" s="1"/>
  <c r="Z483" i="3" a="1"/>
  <c r="Z483" i="3" s="1"/>
  <c r="AA483" i="3"/>
  <c r="A484" i="3"/>
  <c r="C484" i="3"/>
  <c r="F484" i="3"/>
  <c r="G484" i="3"/>
  <c r="N484" i="3"/>
  <c r="O484" i="3"/>
  <c r="P484" i="3"/>
  <c r="R484" i="3"/>
  <c r="S484" i="3"/>
  <c r="T484" i="3"/>
  <c r="V484" i="3"/>
  <c r="W484" i="3"/>
  <c r="X484" i="3" a="1"/>
  <c r="X484" i="3" s="1"/>
  <c r="Y484" i="3" a="1"/>
  <c r="Y484" i="3" s="1"/>
  <c r="Z484" i="3" a="1"/>
  <c r="Z484" i="3" s="1"/>
  <c r="AA484" i="3"/>
  <c r="AB484" i="3"/>
  <c r="AC484" i="3"/>
  <c r="A485" i="3"/>
  <c r="C485" i="3"/>
  <c r="F485" i="3"/>
  <c r="G485" i="3"/>
  <c r="M485" i="3"/>
  <c r="N485" i="3"/>
  <c r="P485" i="3"/>
  <c r="Q485" i="3"/>
  <c r="R485" i="3"/>
  <c r="T485" i="3"/>
  <c r="V485" i="3"/>
  <c r="X485" i="3" a="1"/>
  <c r="X485" i="3" s="1"/>
  <c r="Y485" i="3" a="1"/>
  <c r="Y485" i="3" s="1"/>
  <c r="Z485" i="3" a="1"/>
  <c r="Z485" i="3" s="1"/>
  <c r="AA485" i="3"/>
  <c r="AC485" i="3"/>
  <c r="A486" i="3"/>
  <c r="C486" i="3"/>
  <c r="F486" i="3"/>
  <c r="G486" i="3"/>
  <c r="N486" i="3"/>
  <c r="S486" i="3"/>
  <c r="X486" i="3" a="1"/>
  <c r="X486" i="3" s="1"/>
  <c r="Y486" i="3" a="1"/>
  <c r="Y486" i="3" s="1"/>
  <c r="Z486" i="3" a="1"/>
  <c r="Z486" i="3" s="1"/>
  <c r="AA486" i="3"/>
  <c r="A487" i="3"/>
  <c r="C487" i="3"/>
  <c r="F487" i="3"/>
  <c r="G487" i="3"/>
  <c r="Q487" i="3"/>
  <c r="V487" i="3"/>
  <c r="X487" i="3" a="1"/>
  <c r="X487" i="3" s="1"/>
  <c r="Y487" i="3" a="1"/>
  <c r="Y487" i="3" s="1"/>
  <c r="Z487" i="3" a="1"/>
  <c r="Z487" i="3" s="1"/>
  <c r="A488" i="3"/>
  <c r="U498" i="3" s="1"/>
  <c r="C488" i="3"/>
  <c r="P488" i="3" s="1"/>
  <c r="F488" i="3"/>
  <c r="G488" i="3"/>
  <c r="N488" i="3"/>
  <c r="O488" i="3"/>
  <c r="R488" i="3"/>
  <c r="S488" i="3"/>
  <c r="T488" i="3"/>
  <c r="W488" i="3"/>
  <c r="X488" i="3" a="1"/>
  <c r="X488" i="3" s="1"/>
  <c r="Y488" i="3" a="1"/>
  <c r="Y488" i="3" s="1"/>
  <c r="Z488" i="3" a="1"/>
  <c r="Z488" i="3" s="1"/>
  <c r="AA488" i="3"/>
  <c r="AB488" i="3"/>
  <c r="A489" i="3"/>
  <c r="C489" i="3"/>
  <c r="N489" i="3" s="1"/>
  <c r="F489" i="3"/>
  <c r="G489" i="3"/>
  <c r="M489" i="3"/>
  <c r="P489" i="3"/>
  <c r="Q489" i="3"/>
  <c r="R489" i="3"/>
  <c r="U489" i="3"/>
  <c r="V489" i="3"/>
  <c r="X489" i="3" a="1"/>
  <c r="X489" i="3" s="1"/>
  <c r="Y489" i="3" a="1"/>
  <c r="Y489" i="3" s="1"/>
  <c r="Z489" i="3" a="1"/>
  <c r="Z489" i="3" s="1"/>
  <c r="AC489" i="3"/>
  <c r="A490" i="3"/>
  <c r="C490" i="3"/>
  <c r="O490" i="3" s="1"/>
  <c r="F490" i="3"/>
  <c r="G490" i="3"/>
  <c r="N490" i="3"/>
  <c r="P490" i="3"/>
  <c r="S490" i="3"/>
  <c r="V490" i="3"/>
  <c r="X490" i="3" a="1"/>
  <c r="X490" i="3" s="1"/>
  <c r="Y490" i="3" a="1"/>
  <c r="Y490" i="3" s="1"/>
  <c r="Z490" i="3" a="1"/>
  <c r="Z490" i="3" s="1"/>
  <c r="AA490" i="3"/>
  <c r="AC490" i="3"/>
  <c r="A491" i="3"/>
  <c r="C491" i="3"/>
  <c r="F491" i="3"/>
  <c r="G491" i="3"/>
  <c r="N491" i="3"/>
  <c r="Q491" i="3"/>
  <c r="T491" i="3"/>
  <c r="V491" i="3"/>
  <c r="X491" i="3" a="1"/>
  <c r="X491" i="3" s="1"/>
  <c r="Y491" i="3" a="1"/>
  <c r="Y491" i="3" s="1"/>
  <c r="Z491" i="3" a="1"/>
  <c r="Z491" i="3" s="1"/>
  <c r="AA491" i="3"/>
  <c r="A492" i="3"/>
  <c r="C492" i="3"/>
  <c r="F492" i="3"/>
  <c r="G492" i="3"/>
  <c r="N492" i="3"/>
  <c r="O492" i="3"/>
  <c r="P492" i="3"/>
  <c r="R492" i="3"/>
  <c r="S492" i="3"/>
  <c r="T492" i="3"/>
  <c r="V492" i="3"/>
  <c r="W492" i="3"/>
  <c r="X492" i="3" a="1"/>
  <c r="X492" i="3" s="1"/>
  <c r="Y492" i="3" a="1"/>
  <c r="Y492" i="3" s="1"/>
  <c r="Z492" i="3" a="1"/>
  <c r="Z492" i="3" s="1"/>
  <c r="AA492" i="3"/>
  <c r="AB492" i="3"/>
  <c r="AC492" i="3"/>
  <c r="A493" i="3"/>
  <c r="C493" i="3"/>
  <c r="F493" i="3"/>
  <c r="G493" i="3"/>
  <c r="M493" i="3"/>
  <c r="N493" i="3"/>
  <c r="P493" i="3"/>
  <c r="Q493" i="3"/>
  <c r="R493" i="3"/>
  <c r="T493" i="3"/>
  <c r="V493" i="3"/>
  <c r="X493" i="3" a="1"/>
  <c r="X493" i="3" s="1"/>
  <c r="Y493" i="3" a="1"/>
  <c r="Y493" i="3" s="1"/>
  <c r="Z493" i="3" a="1"/>
  <c r="Z493" i="3" s="1"/>
  <c r="AA493" i="3"/>
  <c r="AC493" i="3"/>
  <c r="A494" i="3"/>
  <c r="C494" i="3"/>
  <c r="F494" i="3"/>
  <c r="G494" i="3"/>
  <c r="N494" i="3"/>
  <c r="S494" i="3"/>
  <c r="X494" i="3" a="1"/>
  <c r="X494" i="3" s="1"/>
  <c r="Y494" i="3" a="1"/>
  <c r="Y494" i="3" s="1"/>
  <c r="Z494" i="3" a="1"/>
  <c r="Z494" i="3" s="1"/>
  <c r="AA494" i="3"/>
  <c r="A495" i="3"/>
  <c r="C495" i="3"/>
  <c r="O495" i="3" s="1"/>
  <c r="F495" i="3"/>
  <c r="G495" i="3"/>
  <c r="Q495" i="3"/>
  <c r="U495" i="3"/>
  <c r="X495" i="3" a="1"/>
  <c r="X495" i="3" s="1"/>
  <c r="Y495" i="3" a="1"/>
  <c r="Y495" i="3" s="1"/>
  <c r="Z495" i="3" a="1"/>
  <c r="Z495" i="3" s="1"/>
  <c r="A496" i="3"/>
  <c r="C496" i="3"/>
  <c r="N496" i="3" s="1"/>
  <c r="F496" i="3"/>
  <c r="G496" i="3"/>
  <c r="M496" i="3"/>
  <c r="O496" i="3"/>
  <c r="P496" i="3"/>
  <c r="Q496" i="3"/>
  <c r="S496" i="3"/>
  <c r="T496" i="3"/>
  <c r="U496" i="3"/>
  <c r="W496" i="3"/>
  <c r="X496" i="3" a="1"/>
  <c r="X496" i="3" s="1"/>
  <c r="Y496" i="3" a="1"/>
  <c r="Y496" i="3" s="1"/>
  <c r="Z496" i="3" a="1"/>
  <c r="Z496" i="3" s="1"/>
  <c r="AA496" i="3"/>
  <c r="AB496" i="3"/>
  <c r="AC496" i="3"/>
  <c r="A497" i="3"/>
  <c r="C497" i="3"/>
  <c r="F497" i="3"/>
  <c r="G497" i="3"/>
  <c r="M497" i="3"/>
  <c r="N497" i="3"/>
  <c r="P497" i="3"/>
  <c r="Q497" i="3"/>
  <c r="R497" i="3"/>
  <c r="S497" i="3"/>
  <c r="T497" i="3"/>
  <c r="U497" i="3"/>
  <c r="V497" i="3"/>
  <c r="W497" i="3"/>
  <c r="X497" i="3" a="1"/>
  <c r="X497" i="3" s="1"/>
  <c r="Y497" i="3" a="1"/>
  <c r="Y497" i="3" s="1"/>
  <c r="Z497" i="3" a="1"/>
  <c r="Z497" i="3" s="1"/>
  <c r="AA497" i="3"/>
  <c r="AC497" i="3"/>
  <c r="A498" i="3"/>
  <c r="C498" i="3"/>
  <c r="F498" i="3"/>
  <c r="G498" i="3"/>
  <c r="M498" i="3"/>
  <c r="N498" i="3"/>
  <c r="O498" i="3"/>
  <c r="P498" i="3"/>
  <c r="Q498" i="3"/>
  <c r="R498" i="3"/>
  <c r="S498" i="3"/>
  <c r="T498" i="3"/>
  <c r="V498" i="3"/>
  <c r="W498" i="3"/>
  <c r="X498" i="3" a="1"/>
  <c r="X498" i="3" s="1"/>
  <c r="Y498" i="3" a="1"/>
  <c r="Y498" i="3" s="1"/>
  <c r="Z498" i="3" a="1"/>
  <c r="Z498" i="3" s="1"/>
  <c r="AA498" i="3"/>
  <c r="AB498" i="3"/>
  <c r="AC498" i="3"/>
  <c r="A499" i="3"/>
  <c r="C499" i="3"/>
  <c r="F499" i="3"/>
  <c r="G499" i="3"/>
  <c r="M499" i="3"/>
  <c r="N499" i="3"/>
  <c r="O499" i="3"/>
  <c r="P499" i="3"/>
  <c r="Q499" i="3"/>
  <c r="R499" i="3"/>
  <c r="S499" i="3"/>
  <c r="T499" i="3"/>
  <c r="U499" i="3"/>
  <c r="V499" i="3"/>
  <c r="W499" i="3"/>
  <c r="X499" i="3" a="1"/>
  <c r="X499" i="3" s="1"/>
  <c r="Y499" i="3" a="1"/>
  <c r="Y499" i="3" s="1"/>
  <c r="Z499" i="3" a="1"/>
  <c r="Z499" i="3" s="1"/>
  <c r="AA499" i="3"/>
  <c r="AB499" i="3"/>
  <c r="AC499" i="3"/>
  <c r="A500" i="3"/>
  <c r="C500" i="3"/>
  <c r="F500" i="3"/>
  <c r="G500" i="3"/>
  <c r="M500" i="3"/>
  <c r="N500" i="3"/>
  <c r="O500" i="3"/>
  <c r="P500" i="3"/>
  <c r="Q500" i="3"/>
  <c r="R500" i="3"/>
  <c r="S500" i="3"/>
  <c r="T500" i="3"/>
  <c r="V500" i="3"/>
  <c r="W500" i="3"/>
  <c r="X500" i="3" a="1"/>
  <c r="X500" i="3" s="1"/>
  <c r="Y500" i="3" a="1"/>
  <c r="Y500" i="3" s="1"/>
  <c r="Z500" i="3" a="1"/>
  <c r="Z500" i="3"/>
  <c r="AA500" i="3"/>
  <c r="AB500" i="3"/>
  <c r="AC500" i="3"/>
  <c r="A501" i="3"/>
  <c r="C501" i="3"/>
  <c r="F501" i="3"/>
  <c r="E501" i="3" s="1"/>
  <c r="G501" i="3"/>
  <c r="M501" i="3"/>
  <c r="N501" i="3"/>
  <c r="O501" i="3"/>
  <c r="P501" i="3"/>
  <c r="Q501" i="3"/>
  <c r="R501" i="3"/>
  <c r="S501" i="3"/>
  <c r="T501" i="3"/>
  <c r="U501" i="3"/>
  <c r="V501" i="3"/>
  <c r="W501" i="3"/>
  <c r="X501" i="3" a="1"/>
  <c r="X501" i="3" s="1"/>
  <c r="Y501" i="3" a="1"/>
  <c r="Y501" i="3" s="1"/>
  <c r="Z501" i="3" a="1"/>
  <c r="Z501" i="3" s="1"/>
  <c r="AA501" i="3"/>
  <c r="AB501" i="3"/>
  <c r="AC501" i="3"/>
  <c r="A502" i="3"/>
  <c r="C502" i="3"/>
  <c r="F502" i="3"/>
  <c r="G502" i="3"/>
  <c r="M502" i="3"/>
  <c r="N502" i="3"/>
  <c r="O502" i="3"/>
  <c r="P502" i="3"/>
  <c r="Q502" i="3"/>
  <c r="R502" i="3"/>
  <c r="S502" i="3"/>
  <c r="T502" i="3"/>
  <c r="V502" i="3"/>
  <c r="W502" i="3"/>
  <c r="X502" i="3" a="1"/>
  <c r="X502" i="3" s="1"/>
  <c r="Y502" i="3" a="1"/>
  <c r="Y502" i="3" s="1"/>
  <c r="Z502" i="3" a="1"/>
  <c r="Z502" i="3" s="1"/>
  <c r="AA502" i="3"/>
  <c r="AB502" i="3"/>
  <c r="AC502" i="3"/>
  <c r="A503" i="3"/>
  <c r="C503" i="3"/>
  <c r="F503" i="3"/>
  <c r="G503" i="3"/>
  <c r="M503" i="3"/>
  <c r="N503" i="3"/>
  <c r="O503" i="3"/>
  <c r="P503" i="3"/>
  <c r="Q503" i="3"/>
  <c r="R503" i="3"/>
  <c r="S503" i="3"/>
  <c r="T503" i="3"/>
  <c r="U503" i="3"/>
  <c r="V503" i="3"/>
  <c r="W503" i="3"/>
  <c r="X503" i="3" a="1"/>
  <c r="X503" i="3" s="1"/>
  <c r="Y503" i="3" a="1"/>
  <c r="Y503" i="3" s="1"/>
  <c r="Z503" i="3" a="1"/>
  <c r="Z503" i="3" s="1"/>
  <c r="AA503" i="3"/>
  <c r="AC503" i="3"/>
  <c r="A504" i="3"/>
  <c r="C504" i="3"/>
  <c r="F504" i="3"/>
  <c r="G504" i="3"/>
  <c r="M504" i="3"/>
  <c r="N504" i="3"/>
  <c r="O504" i="3"/>
  <c r="P504" i="3"/>
  <c r="Q504" i="3"/>
  <c r="R504" i="3"/>
  <c r="S504" i="3"/>
  <c r="T504" i="3"/>
  <c r="V504" i="3"/>
  <c r="W504" i="3"/>
  <c r="X504" i="3" a="1"/>
  <c r="X504" i="3" s="1"/>
  <c r="Y504" i="3" a="1"/>
  <c r="Y504" i="3" s="1"/>
  <c r="Z504" i="3" a="1"/>
  <c r="Z504" i="3" s="1"/>
  <c r="AA504" i="3"/>
  <c r="AB504" i="3"/>
  <c r="AC504" i="3"/>
  <c r="A505" i="3"/>
  <c r="C505" i="3"/>
  <c r="F505" i="3"/>
  <c r="G505" i="3"/>
  <c r="M505" i="3"/>
  <c r="N505" i="3"/>
  <c r="O505" i="3"/>
  <c r="P505" i="3"/>
  <c r="Q505" i="3"/>
  <c r="R505" i="3"/>
  <c r="S505" i="3"/>
  <c r="T505" i="3"/>
  <c r="U505" i="3"/>
  <c r="V505" i="3"/>
  <c r="W505" i="3"/>
  <c r="X505" i="3" a="1"/>
  <c r="X505" i="3" s="1"/>
  <c r="Y505" i="3" a="1"/>
  <c r="Y505" i="3" s="1"/>
  <c r="Z505" i="3" a="1"/>
  <c r="Z505" i="3" s="1"/>
  <c r="AA505" i="3"/>
  <c r="AB505" i="3"/>
  <c r="AC505" i="3"/>
  <c r="A506" i="3"/>
  <c r="C506" i="3"/>
  <c r="F506" i="3"/>
  <c r="G506" i="3"/>
  <c r="M506" i="3"/>
  <c r="N506" i="3"/>
  <c r="O506" i="3"/>
  <c r="P506" i="3"/>
  <c r="Q506" i="3"/>
  <c r="R506" i="3"/>
  <c r="S506" i="3"/>
  <c r="T506" i="3"/>
  <c r="U506" i="3"/>
  <c r="V506" i="3"/>
  <c r="W506" i="3"/>
  <c r="X506" i="3" a="1"/>
  <c r="X506" i="3" s="1"/>
  <c r="Y506" i="3" a="1"/>
  <c r="Y506" i="3" s="1"/>
  <c r="Z506" i="3" a="1"/>
  <c r="Z506" i="3" s="1"/>
  <c r="AA506" i="3"/>
  <c r="AB506" i="3"/>
  <c r="AC506" i="3"/>
  <c r="A507" i="3"/>
  <c r="C507" i="3"/>
  <c r="N507" i="3" s="1"/>
  <c r="F507" i="3"/>
  <c r="G507" i="3"/>
  <c r="M507" i="3"/>
  <c r="P507" i="3"/>
  <c r="Q507" i="3"/>
  <c r="T507" i="3"/>
  <c r="U507" i="3"/>
  <c r="X507" i="3" a="1"/>
  <c r="X507" i="3" s="1"/>
  <c r="Y507" i="3" a="1"/>
  <c r="Y507" i="3" s="1"/>
  <c r="Z507" i="3" a="1"/>
  <c r="Z507" i="3" s="1"/>
  <c r="AC507" i="3"/>
  <c r="A508" i="3"/>
  <c r="C508" i="3"/>
  <c r="F508" i="3"/>
  <c r="G508" i="3"/>
  <c r="N508" i="3"/>
  <c r="O508" i="3"/>
  <c r="P508" i="3"/>
  <c r="R508" i="3"/>
  <c r="S508" i="3"/>
  <c r="T508" i="3"/>
  <c r="V508" i="3"/>
  <c r="W508" i="3"/>
  <c r="X508" i="3" a="1"/>
  <c r="X508" i="3" s="1"/>
  <c r="Y508" i="3" a="1"/>
  <c r="Y508" i="3" s="1"/>
  <c r="Z508" i="3" a="1"/>
  <c r="Z508" i="3" s="1"/>
  <c r="AA508" i="3"/>
  <c r="AB508" i="3"/>
  <c r="AC508" i="3"/>
  <c r="A509" i="3"/>
  <c r="C509" i="3"/>
  <c r="O509" i="3" s="1"/>
  <c r="F509" i="3"/>
  <c r="G509" i="3"/>
  <c r="M509" i="3"/>
  <c r="N509" i="3"/>
  <c r="P509" i="3"/>
  <c r="Q509" i="3"/>
  <c r="R509" i="3"/>
  <c r="T509" i="3"/>
  <c r="U509" i="3"/>
  <c r="V509" i="3"/>
  <c r="X509" i="3" a="1"/>
  <c r="X509" i="3" s="1"/>
  <c r="Y509" i="3" a="1"/>
  <c r="Y509" i="3" s="1"/>
  <c r="Z509" i="3" a="1"/>
  <c r="Z509" i="3" s="1"/>
  <c r="AA509" i="3"/>
  <c r="AC509" i="3"/>
  <c r="A510" i="3"/>
  <c r="C510" i="3"/>
  <c r="F510" i="3"/>
  <c r="G510" i="3"/>
  <c r="N510" i="3"/>
  <c r="O510" i="3"/>
  <c r="P510" i="3"/>
  <c r="R510" i="3"/>
  <c r="S510" i="3"/>
  <c r="T510" i="3"/>
  <c r="V510" i="3"/>
  <c r="W510" i="3"/>
  <c r="X510" i="3" a="1"/>
  <c r="X510" i="3" s="1"/>
  <c r="Y510" i="3" a="1"/>
  <c r="Y510" i="3" s="1"/>
  <c r="Z510" i="3" a="1"/>
  <c r="Z510" i="3" s="1"/>
  <c r="AA510" i="3"/>
  <c r="AB510" i="3"/>
  <c r="AC510" i="3"/>
  <c r="A511" i="3"/>
  <c r="C511" i="3"/>
  <c r="O511" i="3" s="1"/>
  <c r="F511" i="3"/>
  <c r="G511" i="3"/>
  <c r="M511" i="3"/>
  <c r="N511" i="3"/>
  <c r="P511" i="3"/>
  <c r="Q511" i="3"/>
  <c r="R511" i="3"/>
  <c r="T511" i="3"/>
  <c r="U511" i="3"/>
  <c r="V511" i="3"/>
  <c r="X511" i="3" a="1"/>
  <c r="X511" i="3" s="1"/>
  <c r="Y511" i="3" a="1"/>
  <c r="Y511" i="3" s="1"/>
  <c r="Z511" i="3" a="1"/>
  <c r="Z511" i="3" s="1"/>
  <c r="AA511" i="3"/>
  <c r="AC511" i="3"/>
  <c r="A512" i="3"/>
  <c r="C512" i="3"/>
  <c r="F512" i="3"/>
  <c r="G512" i="3"/>
  <c r="N512" i="3"/>
  <c r="P512" i="3"/>
  <c r="R512" i="3"/>
  <c r="S512" i="3"/>
  <c r="T512" i="3"/>
  <c r="V512" i="3"/>
  <c r="W512" i="3"/>
  <c r="X512" i="3" a="1"/>
  <c r="X512" i="3" s="1"/>
  <c r="Y512" i="3" a="1"/>
  <c r="Y512" i="3" s="1"/>
  <c r="Z512" i="3" a="1"/>
  <c r="Z512" i="3" s="1"/>
  <c r="AA512" i="3"/>
  <c r="AB512" i="3"/>
  <c r="AC512" i="3"/>
  <c r="A513" i="3"/>
  <c r="C513" i="3"/>
  <c r="O513" i="3" s="1"/>
  <c r="F513" i="3"/>
  <c r="G513" i="3"/>
  <c r="M513" i="3"/>
  <c r="N513" i="3"/>
  <c r="P513" i="3"/>
  <c r="Q513" i="3"/>
  <c r="R513" i="3"/>
  <c r="T513" i="3"/>
  <c r="U513" i="3"/>
  <c r="V513" i="3"/>
  <c r="X513" i="3" a="1"/>
  <c r="X513" i="3" s="1"/>
  <c r="Y513" i="3" a="1"/>
  <c r="Y513" i="3" s="1"/>
  <c r="Z513" i="3" a="1"/>
  <c r="Z513" i="3" s="1"/>
  <c r="AA513" i="3"/>
  <c r="AC513" i="3"/>
  <c r="A514" i="3"/>
  <c r="C514" i="3"/>
  <c r="F514" i="3"/>
  <c r="G514" i="3"/>
  <c r="N514" i="3"/>
  <c r="O514" i="3"/>
  <c r="P514" i="3"/>
  <c r="R514" i="3"/>
  <c r="S514" i="3"/>
  <c r="T514" i="3"/>
  <c r="V514" i="3"/>
  <c r="W514" i="3"/>
  <c r="X514" i="3" a="1"/>
  <c r="X514" i="3" s="1"/>
  <c r="Y514" i="3" a="1"/>
  <c r="Y514" i="3" s="1"/>
  <c r="Z514" i="3" a="1"/>
  <c r="Z514" i="3" s="1"/>
  <c r="AA514" i="3"/>
  <c r="AB514" i="3"/>
  <c r="AC514" i="3"/>
  <c r="A515" i="3"/>
  <c r="C515" i="3"/>
  <c r="O515" i="3" s="1"/>
  <c r="F515" i="3"/>
  <c r="G515" i="3"/>
  <c r="M515" i="3"/>
  <c r="N515" i="3"/>
  <c r="P515" i="3"/>
  <c r="Q515" i="3"/>
  <c r="R515" i="3"/>
  <c r="T515" i="3"/>
  <c r="U515" i="3"/>
  <c r="V515" i="3"/>
  <c r="X515" i="3" a="1"/>
  <c r="X515" i="3" s="1"/>
  <c r="Y515" i="3" a="1"/>
  <c r="Y515" i="3" s="1"/>
  <c r="Z515" i="3" a="1"/>
  <c r="Z515" i="3" s="1"/>
  <c r="AA515" i="3"/>
  <c r="AC515" i="3"/>
  <c r="A516" i="3"/>
  <c r="C516" i="3"/>
  <c r="F516" i="3"/>
  <c r="G516" i="3"/>
  <c r="O516" i="3"/>
  <c r="P516" i="3"/>
  <c r="S516" i="3"/>
  <c r="T516" i="3"/>
  <c r="W516" i="3"/>
  <c r="X516" i="3" a="1"/>
  <c r="X516" i="3" s="1"/>
  <c r="Y516" i="3" a="1"/>
  <c r="Y516" i="3" s="1"/>
  <c r="Z516" i="3" a="1"/>
  <c r="Z516" i="3" s="1"/>
  <c r="AB516" i="3"/>
  <c r="AC516" i="3"/>
  <c r="A517" i="3"/>
  <c r="C517" i="3"/>
  <c r="O517" i="3" s="1"/>
  <c r="F517" i="3"/>
  <c r="G517" i="3"/>
  <c r="M517" i="3"/>
  <c r="N517" i="3"/>
  <c r="P517" i="3"/>
  <c r="Q517" i="3"/>
  <c r="R517" i="3"/>
  <c r="T517" i="3"/>
  <c r="U517" i="3"/>
  <c r="V517" i="3"/>
  <c r="X517" i="3" a="1"/>
  <c r="X517" i="3" s="1"/>
  <c r="Y517" i="3" a="1"/>
  <c r="Y517" i="3" s="1"/>
  <c r="Z517" i="3" a="1"/>
  <c r="Z517" i="3" s="1"/>
  <c r="AA517" i="3"/>
  <c r="AC517" i="3"/>
  <c r="A518" i="3"/>
  <c r="C518" i="3"/>
  <c r="F518" i="3"/>
  <c r="G518" i="3"/>
  <c r="O518" i="3"/>
  <c r="P518" i="3"/>
  <c r="S518" i="3"/>
  <c r="T518" i="3"/>
  <c r="W518" i="3"/>
  <c r="X518" i="3" a="1"/>
  <c r="X518" i="3" s="1"/>
  <c r="Y518" i="3" a="1"/>
  <c r="Y518" i="3" s="1"/>
  <c r="Z518" i="3" a="1"/>
  <c r="Z518" i="3" s="1"/>
  <c r="AB518" i="3"/>
  <c r="AC518" i="3"/>
  <c r="A519" i="3"/>
  <c r="C519" i="3"/>
  <c r="O519" i="3" s="1"/>
  <c r="F519" i="3"/>
  <c r="G519" i="3"/>
  <c r="M519" i="3"/>
  <c r="N519" i="3"/>
  <c r="P519" i="3"/>
  <c r="Q519" i="3"/>
  <c r="R519" i="3"/>
  <c r="T519" i="3"/>
  <c r="U519" i="3"/>
  <c r="V519" i="3"/>
  <c r="X519" i="3" a="1"/>
  <c r="X519" i="3" s="1"/>
  <c r="Y519" i="3" a="1"/>
  <c r="Y519" i="3" s="1"/>
  <c r="Z519" i="3" a="1"/>
  <c r="Z519" i="3" s="1"/>
  <c r="AA519" i="3"/>
  <c r="AC519" i="3"/>
  <c r="A520" i="3"/>
  <c r="C520" i="3"/>
  <c r="F520" i="3"/>
  <c r="G520" i="3"/>
  <c r="P520" i="3"/>
  <c r="S520" i="3"/>
  <c r="T520" i="3"/>
  <c r="W520" i="3"/>
  <c r="X520" i="3" a="1"/>
  <c r="X520" i="3" s="1"/>
  <c r="Y520" i="3" a="1"/>
  <c r="Y520" i="3" s="1"/>
  <c r="Z520" i="3" a="1"/>
  <c r="Z520" i="3" s="1"/>
  <c r="AB520" i="3"/>
  <c r="AC520" i="3"/>
  <c r="A521" i="3"/>
  <c r="C521" i="3"/>
  <c r="O521" i="3" s="1"/>
  <c r="F521" i="3"/>
  <c r="E521" i="3" s="1"/>
  <c r="G521" i="3"/>
  <c r="M521" i="3"/>
  <c r="N521" i="3"/>
  <c r="P521" i="3"/>
  <c r="Q521" i="3"/>
  <c r="R521" i="3"/>
  <c r="T521" i="3"/>
  <c r="U521" i="3"/>
  <c r="V521" i="3"/>
  <c r="X521" i="3" a="1"/>
  <c r="X521" i="3" s="1"/>
  <c r="Y521" i="3" a="1"/>
  <c r="Y521" i="3" s="1"/>
  <c r="Z521" i="3" a="1"/>
  <c r="Z521" i="3" s="1"/>
  <c r="AA521" i="3"/>
  <c r="AC521" i="3"/>
  <c r="A522" i="3"/>
  <c r="C522" i="3"/>
  <c r="F522" i="3"/>
  <c r="G522" i="3"/>
  <c r="O522" i="3"/>
  <c r="P522" i="3"/>
  <c r="S522" i="3"/>
  <c r="T522" i="3"/>
  <c r="W522" i="3"/>
  <c r="X522" i="3" a="1"/>
  <c r="X522" i="3" s="1"/>
  <c r="Y522" i="3" a="1"/>
  <c r="Y522" i="3" s="1"/>
  <c r="Z522" i="3" a="1"/>
  <c r="Z522" i="3" s="1"/>
  <c r="AB522" i="3"/>
  <c r="AC522" i="3"/>
  <c r="A523" i="3"/>
  <c r="C523" i="3"/>
  <c r="O523" i="3" s="1"/>
  <c r="F523" i="3"/>
  <c r="G523" i="3"/>
  <c r="M523" i="3"/>
  <c r="N523" i="3"/>
  <c r="P523" i="3"/>
  <c r="Q523" i="3"/>
  <c r="R523" i="3"/>
  <c r="T523" i="3"/>
  <c r="U523" i="3"/>
  <c r="V523" i="3"/>
  <c r="X523" i="3" a="1"/>
  <c r="X523" i="3" s="1"/>
  <c r="Y523" i="3" a="1"/>
  <c r="Y523" i="3" s="1"/>
  <c r="Z523" i="3" a="1"/>
  <c r="Z523" i="3" s="1"/>
  <c r="AA523" i="3"/>
  <c r="AC523" i="3"/>
  <c r="A524" i="3"/>
  <c r="C524" i="3"/>
  <c r="F524" i="3"/>
  <c r="G524" i="3"/>
  <c r="O524" i="3"/>
  <c r="P524" i="3"/>
  <c r="S524" i="3"/>
  <c r="T524" i="3"/>
  <c r="W524" i="3"/>
  <c r="X524" i="3" a="1"/>
  <c r="X524" i="3" s="1"/>
  <c r="Y524" i="3" a="1"/>
  <c r="Y524" i="3" s="1"/>
  <c r="Z524" i="3" a="1"/>
  <c r="Z524" i="3" s="1"/>
  <c r="AB524" i="3"/>
  <c r="AC524" i="3"/>
  <c r="A525" i="3"/>
  <c r="C525" i="3"/>
  <c r="O525" i="3" s="1"/>
  <c r="F525" i="3"/>
  <c r="G525" i="3"/>
  <c r="M525" i="3"/>
  <c r="N525" i="3"/>
  <c r="P525" i="3"/>
  <c r="Q525" i="3"/>
  <c r="R525" i="3"/>
  <c r="T525" i="3"/>
  <c r="U525" i="3"/>
  <c r="V525" i="3"/>
  <c r="X525" i="3" a="1"/>
  <c r="X525" i="3" s="1"/>
  <c r="Y525" i="3" a="1"/>
  <c r="Y525" i="3" s="1"/>
  <c r="Z525" i="3" a="1"/>
  <c r="Z525" i="3" s="1"/>
  <c r="AA525" i="3"/>
  <c r="AC525" i="3"/>
  <c r="A526" i="3"/>
  <c r="C526" i="3"/>
  <c r="F526" i="3"/>
  <c r="G526" i="3"/>
  <c r="O526" i="3"/>
  <c r="P526" i="3"/>
  <c r="S526" i="3"/>
  <c r="T526" i="3"/>
  <c r="W526" i="3"/>
  <c r="X526" i="3" a="1"/>
  <c r="X526" i="3" s="1"/>
  <c r="Y526" i="3" a="1"/>
  <c r="Y526" i="3" s="1"/>
  <c r="Z526" i="3" a="1"/>
  <c r="Z526" i="3" s="1"/>
  <c r="AB526" i="3"/>
  <c r="AC526" i="3"/>
  <c r="A527" i="3"/>
  <c r="C527" i="3"/>
  <c r="O527" i="3" s="1"/>
  <c r="F527" i="3"/>
  <c r="G527" i="3"/>
  <c r="M527" i="3"/>
  <c r="N527" i="3"/>
  <c r="P527" i="3"/>
  <c r="Q527" i="3"/>
  <c r="R527" i="3"/>
  <c r="T527" i="3"/>
  <c r="U527" i="3"/>
  <c r="V527" i="3"/>
  <c r="X527" i="3" a="1"/>
  <c r="X527" i="3" s="1"/>
  <c r="Y527" i="3" a="1"/>
  <c r="Y527" i="3" s="1"/>
  <c r="Z527" i="3" a="1"/>
  <c r="Z527" i="3" s="1"/>
  <c r="AA527" i="3"/>
  <c r="AC527" i="3"/>
  <c r="A528" i="3"/>
  <c r="C528" i="3"/>
  <c r="F528" i="3"/>
  <c r="G528" i="3"/>
  <c r="O528" i="3"/>
  <c r="P528" i="3"/>
  <c r="S528" i="3"/>
  <c r="T528" i="3"/>
  <c r="W528" i="3"/>
  <c r="X528" i="3" a="1"/>
  <c r="X528" i="3" s="1"/>
  <c r="Y528" i="3" a="1"/>
  <c r="Y528" i="3" s="1"/>
  <c r="Z528" i="3" a="1"/>
  <c r="Z528" i="3" s="1"/>
  <c r="AB528" i="3"/>
  <c r="AC528" i="3"/>
  <c r="A529" i="3"/>
  <c r="C529" i="3"/>
  <c r="O529" i="3" s="1"/>
  <c r="F529" i="3"/>
  <c r="G529" i="3"/>
  <c r="M529" i="3"/>
  <c r="N529" i="3"/>
  <c r="P529" i="3"/>
  <c r="Q529" i="3"/>
  <c r="R529" i="3"/>
  <c r="T529" i="3"/>
  <c r="U529" i="3"/>
  <c r="V529" i="3"/>
  <c r="X529" i="3" a="1"/>
  <c r="X529" i="3" s="1"/>
  <c r="Y529" i="3" a="1"/>
  <c r="Y529" i="3" s="1"/>
  <c r="Z529" i="3" a="1"/>
  <c r="Z529" i="3" s="1"/>
  <c r="AA529" i="3"/>
  <c r="AC529" i="3"/>
  <c r="A530" i="3"/>
  <c r="C530" i="3"/>
  <c r="F530" i="3"/>
  <c r="G530" i="3"/>
  <c r="O530" i="3"/>
  <c r="P530" i="3"/>
  <c r="S530" i="3"/>
  <c r="T530" i="3"/>
  <c r="W530" i="3"/>
  <c r="X530" i="3" a="1"/>
  <c r="X530" i="3" s="1"/>
  <c r="Y530" i="3" a="1"/>
  <c r="Y530" i="3" s="1"/>
  <c r="Z530" i="3" a="1"/>
  <c r="Z530" i="3" s="1"/>
  <c r="AB530" i="3"/>
  <c r="AC530" i="3"/>
  <c r="A531" i="3"/>
  <c r="C531" i="3"/>
  <c r="O531" i="3" s="1"/>
  <c r="F531" i="3"/>
  <c r="G531" i="3"/>
  <c r="M531" i="3"/>
  <c r="N531" i="3"/>
  <c r="P531" i="3"/>
  <c r="Q531" i="3"/>
  <c r="R531" i="3"/>
  <c r="T531" i="3"/>
  <c r="U531" i="3"/>
  <c r="V531" i="3"/>
  <c r="X531" i="3" a="1"/>
  <c r="X531" i="3" s="1"/>
  <c r="Y531" i="3" a="1"/>
  <c r="Y531" i="3" s="1"/>
  <c r="Z531" i="3" a="1"/>
  <c r="Z531" i="3" s="1"/>
  <c r="AA531" i="3"/>
  <c r="AC531" i="3"/>
  <c r="A532" i="3"/>
  <c r="C532" i="3"/>
  <c r="F532" i="3"/>
  <c r="G532" i="3"/>
  <c r="O532" i="3"/>
  <c r="P532" i="3"/>
  <c r="S532" i="3"/>
  <c r="T532" i="3"/>
  <c r="W532" i="3"/>
  <c r="X532" i="3" a="1"/>
  <c r="X532" i="3" s="1"/>
  <c r="Y532" i="3" a="1"/>
  <c r="Y532" i="3" s="1"/>
  <c r="Z532" i="3" a="1"/>
  <c r="Z532" i="3" s="1"/>
  <c r="AB532" i="3"/>
  <c r="AC532" i="3"/>
  <c r="A533" i="3"/>
  <c r="C533" i="3"/>
  <c r="O533" i="3" s="1"/>
  <c r="F533" i="3"/>
  <c r="G533" i="3"/>
  <c r="M533" i="3"/>
  <c r="N533" i="3"/>
  <c r="P533" i="3"/>
  <c r="Q533" i="3"/>
  <c r="R533" i="3"/>
  <c r="T533" i="3"/>
  <c r="U533" i="3"/>
  <c r="V533" i="3"/>
  <c r="X533" i="3" a="1"/>
  <c r="X533" i="3" s="1"/>
  <c r="Y533" i="3" a="1"/>
  <c r="Y533" i="3" s="1"/>
  <c r="Z533" i="3" a="1"/>
  <c r="Z533" i="3" s="1"/>
  <c r="AA533" i="3"/>
  <c r="AC533" i="3"/>
  <c r="A534" i="3"/>
  <c r="C534" i="3"/>
  <c r="F534" i="3"/>
  <c r="G534" i="3"/>
  <c r="O534" i="3"/>
  <c r="P534" i="3"/>
  <c r="S534" i="3"/>
  <c r="T534" i="3"/>
  <c r="W534" i="3"/>
  <c r="X534" i="3" a="1"/>
  <c r="X534" i="3" s="1"/>
  <c r="Y534" i="3" a="1"/>
  <c r="Y534" i="3" s="1"/>
  <c r="Z534" i="3" a="1"/>
  <c r="Z534" i="3" s="1"/>
  <c r="AB534" i="3"/>
  <c r="AC534" i="3"/>
  <c r="A535" i="3"/>
  <c r="C535" i="3"/>
  <c r="F535" i="3"/>
  <c r="G535" i="3"/>
  <c r="M535" i="3"/>
  <c r="N535" i="3"/>
  <c r="P535" i="3"/>
  <c r="Q535" i="3"/>
  <c r="R535" i="3"/>
  <c r="T535" i="3"/>
  <c r="U535" i="3"/>
  <c r="V535" i="3"/>
  <c r="X535" i="3" a="1"/>
  <c r="X535" i="3" s="1"/>
  <c r="Y535" i="3" a="1"/>
  <c r="Y535" i="3" s="1"/>
  <c r="Z535" i="3" a="1"/>
  <c r="Z535" i="3" s="1"/>
  <c r="AA535" i="3"/>
  <c r="AC535" i="3"/>
  <c r="A536" i="3"/>
  <c r="C536" i="3"/>
  <c r="F536" i="3"/>
  <c r="G536" i="3"/>
  <c r="O536" i="3"/>
  <c r="P536" i="3"/>
  <c r="S536" i="3"/>
  <c r="T536" i="3"/>
  <c r="W536" i="3"/>
  <c r="X536" i="3" a="1"/>
  <c r="X536" i="3" s="1"/>
  <c r="Y536" i="3" a="1"/>
  <c r="Y536" i="3" s="1"/>
  <c r="Z536" i="3" a="1"/>
  <c r="Z536" i="3" s="1"/>
  <c r="AB536" i="3"/>
  <c r="AC536" i="3"/>
  <c r="A537" i="3"/>
  <c r="C537" i="3"/>
  <c r="O537" i="3" s="1"/>
  <c r="F537" i="3"/>
  <c r="G537" i="3"/>
  <c r="M537" i="3"/>
  <c r="N537" i="3"/>
  <c r="P537" i="3"/>
  <c r="Q537" i="3"/>
  <c r="R537" i="3"/>
  <c r="T537" i="3"/>
  <c r="U537" i="3"/>
  <c r="V537" i="3"/>
  <c r="X537" i="3" a="1"/>
  <c r="X537" i="3" s="1"/>
  <c r="Y537" i="3" a="1"/>
  <c r="Y537" i="3" s="1"/>
  <c r="Z537" i="3" a="1"/>
  <c r="Z537" i="3" s="1"/>
  <c r="AA537" i="3"/>
  <c r="AC537" i="3"/>
  <c r="A538" i="3"/>
  <c r="C538" i="3"/>
  <c r="F538" i="3"/>
  <c r="G538" i="3"/>
  <c r="O538" i="3"/>
  <c r="P538" i="3"/>
  <c r="S538" i="3"/>
  <c r="T538" i="3"/>
  <c r="W538" i="3"/>
  <c r="X538" i="3" a="1"/>
  <c r="X538" i="3" s="1"/>
  <c r="Y538" i="3" a="1"/>
  <c r="Y538" i="3" s="1"/>
  <c r="Z538" i="3" a="1"/>
  <c r="Z538" i="3" s="1"/>
  <c r="AB538" i="3"/>
  <c r="AC538" i="3"/>
  <c r="A539" i="3"/>
  <c r="C539" i="3"/>
  <c r="O539" i="3" s="1"/>
  <c r="F539" i="3"/>
  <c r="G539" i="3"/>
  <c r="M539" i="3"/>
  <c r="N539" i="3"/>
  <c r="P539" i="3"/>
  <c r="Q539" i="3"/>
  <c r="R539" i="3"/>
  <c r="T539" i="3"/>
  <c r="U539" i="3"/>
  <c r="V539" i="3"/>
  <c r="X539" i="3" a="1"/>
  <c r="X539" i="3" s="1"/>
  <c r="Y539" i="3" a="1"/>
  <c r="Y539" i="3" s="1"/>
  <c r="Z539" i="3" a="1"/>
  <c r="Z539" i="3" s="1"/>
  <c r="AA539" i="3"/>
  <c r="AC539" i="3"/>
  <c r="A540" i="3"/>
  <c r="C540" i="3"/>
  <c r="F540" i="3"/>
  <c r="G540" i="3"/>
  <c r="O540" i="3"/>
  <c r="P540" i="3"/>
  <c r="S540" i="3"/>
  <c r="T540" i="3"/>
  <c r="W540" i="3"/>
  <c r="X540" i="3" a="1"/>
  <c r="X540" i="3" s="1"/>
  <c r="Y540" i="3" a="1"/>
  <c r="Y540" i="3" s="1"/>
  <c r="Z540" i="3" a="1"/>
  <c r="Z540" i="3" s="1"/>
  <c r="AB540" i="3"/>
  <c r="AC540" i="3"/>
  <c r="A541" i="3"/>
  <c r="C541" i="3"/>
  <c r="O541" i="3" s="1"/>
  <c r="F541" i="3"/>
  <c r="G541" i="3"/>
  <c r="M541" i="3"/>
  <c r="N541" i="3"/>
  <c r="P541" i="3"/>
  <c r="Q541" i="3"/>
  <c r="R541" i="3"/>
  <c r="T541" i="3"/>
  <c r="U541" i="3"/>
  <c r="V541" i="3"/>
  <c r="X541" i="3" a="1"/>
  <c r="X541" i="3" s="1"/>
  <c r="Y541" i="3" a="1"/>
  <c r="Y541" i="3" s="1"/>
  <c r="Z541" i="3" a="1"/>
  <c r="Z541" i="3" s="1"/>
  <c r="AA541" i="3"/>
  <c r="AC541" i="3"/>
  <c r="A542" i="3"/>
  <c r="C542" i="3"/>
  <c r="F542" i="3"/>
  <c r="G542" i="3"/>
  <c r="O542" i="3"/>
  <c r="P542" i="3"/>
  <c r="S542" i="3"/>
  <c r="T542" i="3"/>
  <c r="W542" i="3"/>
  <c r="X542" i="3" a="1"/>
  <c r="X542" i="3" s="1"/>
  <c r="Y542" i="3" a="1"/>
  <c r="Y542" i="3" s="1"/>
  <c r="Z542" i="3" a="1"/>
  <c r="Z542" i="3" s="1"/>
  <c r="AB542" i="3"/>
  <c r="AC542" i="3"/>
  <c r="A543" i="3"/>
  <c r="C543" i="3"/>
  <c r="F543" i="3"/>
  <c r="G543" i="3"/>
  <c r="M543" i="3"/>
  <c r="N543" i="3"/>
  <c r="P543" i="3"/>
  <c r="Q543" i="3"/>
  <c r="R543" i="3"/>
  <c r="T543" i="3"/>
  <c r="U543" i="3"/>
  <c r="V543" i="3"/>
  <c r="X543" i="3" a="1"/>
  <c r="X543" i="3" s="1"/>
  <c r="Y543" i="3" a="1"/>
  <c r="Y543" i="3" s="1"/>
  <c r="Z543" i="3" a="1"/>
  <c r="Z543" i="3" s="1"/>
  <c r="AA543" i="3"/>
  <c r="AC543" i="3"/>
  <c r="A544" i="3"/>
  <c r="C544" i="3"/>
  <c r="F544" i="3"/>
  <c r="G544" i="3"/>
  <c r="O544" i="3"/>
  <c r="P544" i="3"/>
  <c r="S544" i="3"/>
  <c r="T544" i="3"/>
  <c r="W544" i="3"/>
  <c r="X544" i="3" a="1"/>
  <c r="X544" i="3" s="1"/>
  <c r="Y544" i="3" a="1"/>
  <c r="Y544" i="3" s="1"/>
  <c r="Z544" i="3" a="1"/>
  <c r="Z544" i="3" s="1"/>
  <c r="AB544" i="3"/>
  <c r="AC544" i="3"/>
  <c r="A545" i="3"/>
  <c r="C545" i="3"/>
  <c r="O545" i="3" s="1"/>
  <c r="F545" i="3"/>
  <c r="G545" i="3"/>
  <c r="M545" i="3"/>
  <c r="N545" i="3"/>
  <c r="P545" i="3"/>
  <c r="Q545" i="3"/>
  <c r="R545" i="3"/>
  <c r="T545" i="3"/>
  <c r="U545" i="3"/>
  <c r="V545" i="3"/>
  <c r="X545" i="3" a="1"/>
  <c r="X545" i="3" s="1"/>
  <c r="Y545" i="3" a="1"/>
  <c r="Y545" i="3" s="1"/>
  <c r="Z545" i="3" a="1"/>
  <c r="Z545" i="3" s="1"/>
  <c r="AA545" i="3"/>
  <c r="AC545" i="3"/>
  <c r="A546" i="3"/>
  <c r="C546" i="3"/>
  <c r="F546" i="3"/>
  <c r="G546" i="3"/>
  <c r="O546" i="3"/>
  <c r="P546" i="3"/>
  <c r="S546" i="3"/>
  <c r="T546" i="3"/>
  <c r="W546" i="3"/>
  <c r="X546" i="3" a="1"/>
  <c r="X546" i="3" s="1"/>
  <c r="Y546" i="3" a="1"/>
  <c r="Y546" i="3" s="1"/>
  <c r="Z546" i="3" a="1"/>
  <c r="Z546" i="3" s="1"/>
  <c r="AB546" i="3"/>
  <c r="AC546" i="3"/>
  <c r="A547" i="3"/>
  <c r="C547" i="3"/>
  <c r="O547" i="3" s="1"/>
  <c r="F547" i="3"/>
  <c r="G547" i="3"/>
  <c r="M547" i="3"/>
  <c r="N547" i="3"/>
  <c r="P547" i="3"/>
  <c r="Q547" i="3"/>
  <c r="R547" i="3"/>
  <c r="T547" i="3"/>
  <c r="U547" i="3"/>
  <c r="V547" i="3"/>
  <c r="X547" i="3" a="1"/>
  <c r="X547" i="3" s="1"/>
  <c r="Y547" i="3" a="1"/>
  <c r="Y547" i="3" s="1"/>
  <c r="Z547" i="3" a="1"/>
  <c r="Z547" i="3" s="1"/>
  <c r="AA547" i="3"/>
  <c r="AC547" i="3"/>
  <c r="A548" i="3"/>
  <c r="C548" i="3"/>
  <c r="F548" i="3"/>
  <c r="G548" i="3"/>
  <c r="O548" i="3"/>
  <c r="P548" i="3"/>
  <c r="S548" i="3"/>
  <c r="T548" i="3"/>
  <c r="W548" i="3"/>
  <c r="X548" i="3" a="1"/>
  <c r="X548" i="3" s="1"/>
  <c r="Y548" i="3" a="1"/>
  <c r="Y548" i="3" s="1"/>
  <c r="Z548" i="3" a="1"/>
  <c r="Z548" i="3" s="1"/>
  <c r="AB548" i="3"/>
  <c r="AC548" i="3"/>
  <c r="A549" i="3"/>
  <c r="C549" i="3"/>
  <c r="O549" i="3" s="1"/>
  <c r="F549" i="3"/>
  <c r="G549" i="3"/>
  <c r="M549" i="3"/>
  <c r="N549" i="3"/>
  <c r="P549" i="3"/>
  <c r="Q549" i="3"/>
  <c r="R549" i="3"/>
  <c r="T549" i="3"/>
  <c r="U549" i="3"/>
  <c r="V549" i="3"/>
  <c r="X549" i="3" a="1"/>
  <c r="X549" i="3" s="1"/>
  <c r="Y549" i="3" a="1"/>
  <c r="Y549" i="3" s="1"/>
  <c r="Z549" i="3" a="1"/>
  <c r="Z549" i="3" s="1"/>
  <c r="AA549" i="3"/>
  <c r="AC549" i="3"/>
  <c r="A550" i="3"/>
  <c r="C550" i="3"/>
  <c r="F550" i="3"/>
  <c r="G550" i="3"/>
  <c r="P550" i="3"/>
  <c r="T550" i="3"/>
  <c r="X550" i="3" a="1"/>
  <c r="X550" i="3" s="1"/>
  <c r="Y550" i="3" a="1"/>
  <c r="Y550" i="3" s="1"/>
  <c r="Z550" i="3" a="1"/>
  <c r="Z550" i="3" s="1"/>
  <c r="AC550" i="3"/>
  <c r="A551" i="3"/>
  <c r="C551" i="3"/>
  <c r="F551" i="3"/>
  <c r="G551" i="3"/>
  <c r="M551" i="3"/>
  <c r="N551" i="3"/>
  <c r="P551" i="3"/>
  <c r="Q551" i="3"/>
  <c r="R551" i="3"/>
  <c r="T551" i="3"/>
  <c r="U551" i="3"/>
  <c r="V551" i="3"/>
  <c r="X551" i="3" a="1"/>
  <c r="X551" i="3" s="1"/>
  <c r="Y551" i="3" a="1"/>
  <c r="Y551" i="3" s="1"/>
  <c r="Z551" i="3" a="1"/>
  <c r="Z551" i="3" s="1"/>
  <c r="AA551" i="3"/>
  <c r="AC551" i="3"/>
  <c r="A552" i="3"/>
  <c r="C552" i="3"/>
  <c r="F552" i="3"/>
  <c r="G552" i="3"/>
  <c r="P552" i="3"/>
  <c r="T552" i="3"/>
  <c r="X552" i="3" a="1"/>
  <c r="X552" i="3" s="1"/>
  <c r="Y552" i="3" a="1"/>
  <c r="Y552" i="3" s="1"/>
  <c r="Z552" i="3" a="1"/>
  <c r="Z552" i="3" s="1"/>
  <c r="AC552" i="3"/>
  <c r="A553" i="3"/>
  <c r="C553" i="3"/>
  <c r="O553" i="3" s="1"/>
  <c r="F553" i="3"/>
  <c r="G553" i="3"/>
  <c r="M553" i="3"/>
  <c r="N553" i="3"/>
  <c r="P553" i="3"/>
  <c r="Q553" i="3"/>
  <c r="R553" i="3"/>
  <c r="T553" i="3"/>
  <c r="U553" i="3"/>
  <c r="V553" i="3"/>
  <c r="X553" i="3" a="1"/>
  <c r="X553" i="3" s="1"/>
  <c r="Y553" i="3" a="1"/>
  <c r="Y553" i="3" s="1"/>
  <c r="Z553" i="3" a="1"/>
  <c r="Z553" i="3" s="1"/>
  <c r="AA553" i="3"/>
  <c r="AC553" i="3"/>
  <c r="A554" i="3"/>
  <c r="C554" i="3"/>
  <c r="F554" i="3"/>
  <c r="G554" i="3"/>
  <c r="P554" i="3"/>
  <c r="T554" i="3"/>
  <c r="X554" i="3" a="1"/>
  <c r="X554" i="3" s="1"/>
  <c r="Y554" i="3" a="1"/>
  <c r="Y554" i="3" s="1"/>
  <c r="Z554" i="3" a="1"/>
  <c r="Z554" i="3" s="1"/>
  <c r="AC554" i="3"/>
  <c r="A555" i="3"/>
  <c r="C555" i="3"/>
  <c r="O555" i="3" s="1"/>
  <c r="F555" i="3"/>
  <c r="G555" i="3"/>
  <c r="M555" i="3"/>
  <c r="N555" i="3"/>
  <c r="P555" i="3"/>
  <c r="Q555" i="3"/>
  <c r="R555" i="3"/>
  <c r="T555" i="3"/>
  <c r="U555" i="3"/>
  <c r="V555" i="3"/>
  <c r="X555" i="3" a="1"/>
  <c r="X555" i="3" s="1"/>
  <c r="Y555" i="3" a="1"/>
  <c r="Y555" i="3" s="1"/>
  <c r="Z555" i="3" a="1"/>
  <c r="Z555" i="3" s="1"/>
  <c r="AA555" i="3"/>
  <c r="AC555" i="3"/>
  <c r="A556" i="3"/>
  <c r="C556" i="3"/>
  <c r="F556" i="3"/>
  <c r="G556" i="3"/>
  <c r="P556" i="3"/>
  <c r="T556" i="3"/>
  <c r="X556" i="3" a="1"/>
  <c r="X556" i="3" s="1"/>
  <c r="Y556" i="3" a="1"/>
  <c r="Y556" i="3" s="1"/>
  <c r="Z556" i="3" a="1"/>
  <c r="Z556" i="3" s="1"/>
  <c r="AC556" i="3"/>
  <c r="A557" i="3"/>
  <c r="C557" i="3"/>
  <c r="O557" i="3" s="1"/>
  <c r="F557" i="3"/>
  <c r="G557" i="3"/>
  <c r="M557" i="3"/>
  <c r="N557" i="3"/>
  <c r="P557" i="3"/>
  <c r="Q557" i="3"/>
  <c r="R557" i="3"/>
  <c r="T557" i="3"/>
  <c r="U557" i="3"/>
  <c r="V557" i="3"/>
  <c r="X557" i="3" a="1"/>
  <c r="X557" i="3" s="1"/>
  <c r="Y557" i="3" a="1"/>
  <c r="Y557" i="3" s="1"/>
  <c r="Z557" i="3" a="1"/>
  <c r="Z557" i="3" s="1"/>
  <c r="AA557" i="3"/>
  <c r="AC557" i="3"/>
  <c r="A558" i="3"/>
  <c r="C558" i="3"/>
  <c r="F558" i="3"/>
  <c r="G558" i="3"/>
  <c r="P558" i="3"/>
  <c r="T558" i="3"/>
  <c r="X558" i="3" a="1"/>
  <c r="X558" i="3" s="1"/>
  <c r="Y558" i="3" a="1"/>
  <c r="Y558" i="3" s="1"/>
  <c r="Z558" i="3" a="1"/>
  <c r="Z558" i="3" s="1"/>
  <c r="AC558" i="3"/>
  <c r="A559" i="3"/>
  <c r="C559" i="3"/>
  <c r="O559" i="3" s="1"/>
  <c r="F559" i="3"/>
  <c r="G559" i="3"/>
  <c r="M559" i="3"/>
  <c r="N559" i="3"/>
  <c r="P559" i="3"/>
  <c r="Q559" i="3"/>
  <c r="R559" i="3"/>
  <c r="T559" i="3"/>
  <c r="U559" i="3"/>
  <c r="V559" i="3"/>
  <c r="X559" i="3" a="1"/>
  <c r="X559" i="3" s="1"/>
  <c r="Y559" i="3" a="1"/>
  <c r="Y559" i="3" s="1"/>
  <c r="Z559" i="3" a="1"/>
  <c r="Z559" i="3" s="1"/>
  <c r="AA559" i="3"/>
  <c r="AC559" i="3"/>
  <c r="A560" i="3"/>
  <c r="C560" i="3"/>
  <c r="F560" i="3"/>
  <c r="G560" i="3"/>
  <c r="P560" i="3"/>
  <c r="T560" i="3"/>
  <c r="X560" i="3" a="1"/>
  <c r="X560" i="3" s="1"/>
  <c r="Y560" i="3" a="1"/>
  <c r="Y560" i="3" s="1"/>
  <c r="Z560" i="3" a="1"/>
  <c r="Z560" i="3" s="1"/>
  <c r="AC560" i="3"/>
  <c r="A561" i="3"/>
  <c r="C561" i="3"/>
  <c r="O561" i="3" s="1"/>
  <c r="F561" i="3"/>
  <c r="G561" i="3"/>
  <c r="M561" i="3"/>
  <c r="N561" i="3"/>
  <c r="P561" i="3"/>
  <c r="Q561" i="3"/>
  <c r="R561" i="3"/>
  <c r="T561" i="3"/>
  <c r="U561" i="3"/>
  <c r="V561" i="3"/>
  <c r="X561" i="3" a="1"/>
  <c r="X561" i="3" s="1"/>
  <c r="Y561" i="3" a="1"/>
  <c r="Y561" i="3" s="1"/>
  <c r="Z561" i="3" a="1"/>
  <c r="Z561" i="3" s="1"/>
  <c r="AA561" i="3"/>
  <c r="AC561" i="3"/>
  <c r="A562" i="3"/>
  <c r="C562" i="3"/>
  <c r="F562" i="3"/>
  <c r="G562" i="3"/>
  <c r="P562" i="3"/>
  <c r="T562" i="3"/>
  <c r="X562" i="3" a="1"/>
  <c r="X562" i="3" s="1"/>
  <c r="Y562" i="3" a="1"/>
  <c r="Y562" i="3" s="1"/>
  <c r="Z562" i="3" a="1"/>
  <c r="Z562" i="3" s="1"/>
  <c r="AC562" i="3"/>
  <c r="A563" i="3"/>
  <c r="C563" i="3"/>
  <c r="O563" i="3" s="1"/>
  <c r="F563" i="3"/>
  <c r="G563" i="3"/>
  <c r="M563" i="3"/>
  <c r="N563" i="3"/>
  <c r="P563" i="3"/>
  <c r="Q563" i="3"/>
  <c r="R563" i="3"/>
  <c r="T563" i="3"/>
  <c r="U563" i="3"/>
  <c r="V563" i="3"/>
  <c r="X563" i="3" a="1"/>
  <c r="X563" i="3" s="1"/>
  <c r="Y563" i="3" a="1"/>
  <c r="Y563" i="3" s="1"/>
  <c r="Z563" i="3" a="1"/>
  <c r="Z563" i="3" s="1"/>
  <c r="AA563" i="3"/>
  <c r="AC563" i="3"/>
  <c r="A564" i="3"/>
  <c r="C564" i="3"/>
  <c r="T564" i="3" s="1"/>
  <c r="F564" i="3"/>
  <c r="G564" i="3"/>
  <c r="P564" i="3"/>
  <c r="X564" i="3" a="1"/>
  <c r="X564" i="3" s="1"/>
  <c r="Y564" i="3" a="1"/>
  <c r="Y564" i="3" s="1"/>
  <c r="Z564" i="3" a="1"/>
  <c r="Z564" i="3" s="1"/>
  <c r="AC564" i="3"/>
  <c r="A565" i="3"/>
  <c r="C565" i="3"/>
  <c r="O565" i="3" s="1"/>
  <c r="F565" i="3"/>
  <c r="G565" i="3"/>
  <c r="M565" i="3"/>
  <c r="N565" i="3"/>
  <c r="P565" i="3"/>
  <c r="Q565" i="3"/>
  <c r="R565" i="3"/>
  <c r="T565" i="3"/>
  <c r="U565" i="3"/>
  <c r="V565" i="3"/>
  <c r="X565" i="3" a="1"/>
  <c r="X565" i="3" s="1"/>
  <c r="Y565" i="3" a="1"/>
  <c r="Y565" i="3" s="1"/>
  <c r="Z565" i="3" a="1"/>
  <c r="Z565" i="3" s="1"/>
  <c r="AA565" i="3"/>
  <c r="AC565" i="3"/>
  <c r="A566" i="3"/>
  <c r="C566" i="3"/>
  <c r="F566" i="3"/>
  <c r="G566" i="3"/>
  <c r="P566" i="3"/>
  <c r="T566" i="3"/>
  <c r="X566" i="3" a="1"/>
  <c r="X566" i="3" s="1"/>
  <c r="Y566" i="3" a="1"/>
  <c r="Y566" i="3" s="1"/>
  <c r="Z566" i="3" a="1"/>
  <c r="Z566" i="3" s="1"/>
  <c r="AC566" i="3"/>
  <c r="A567" i="3"/>
  <c r="C567" i="3"/>
  <c r="O567" i="3" s="1"/>
  <c r="F567" i="3"/>
  <c r="G567" i="3"/>
  <c r="M567" i="3"/>
  <c r="N567" i="3"/>
  <c r="P567" i="3"/>
  <c r="Q567" i="3"/>
  <c r="R567" i="3"/>
  <c r="T567" i="3"/>
  <c r="U567" i="3"/>
  <c r="V567" i="3"/>
  <c r="X567" i="3" a="1"/>
  <c r="X567" i="3" s="1"/>
  <c r="Y567" i="3" a="1"/>
  <c r="Y567" i="3" s="1"/>
  <c r="Z567" i="3" a="1"/>
  <c r="Z567" i="3" s="1"/>
  <c r="AA567" i="3"/>
  <c r="AC567" i="3"/>
  <c r="A568" i="3"/>
  <c r="C568" i="3"/>
  <c r="F568" i="3"/>
  <c r="G568" i="3"/>
  <c r="P568" i="3"/>
  <c r="X568" i="3" a="1"/>
  <c r="X568" i="3" s="1"/>
  <c r="Y568" i="3" a="1"/>
  <c r="Y568" i="3" s="1"/>
  <c r="Z568" i="3" a="1"/>
  <c r="Z568" i="3" s="1"/>
  <c r="AC568" i="3"/>
  <c r="A569" i="3"/>
  <c r="C569" i="3"/>
  <c r="O569" i="3" s="1"/>
  <c r="F569" i="3"/>
  <c r="G569" i="3"/>
  <c r="M569" i="3"/>
  <c r="N569" i="3"/>
  <c r="P569" i="3"/>
  <c r="Q569" i="3"/>
  <c r="R569" i="3"/>
  <c r="T569" i="3"/>
  <c r="U569" i="3"/>
  <c r="V569" i="3"/>
  <c r="X569" i="3" a="1"/>
  <c r="X569" i="3" s="1"/>
  <c r="Y569" i="3" a="1"/>
  <c r="Y569" i="3" s="1"/>
  <c r="Z569" i="3" a="1"/>
  <c r="Z569" i="3" s="1"/>
  <c r="AA569" i="3"/>
  <c r="AC569" i="3"/>
  <c r="A570" i="3"/>
  <c r="C570" i="3"/>
  <c r="T570" i="3" s="1"/>
  <c r="F570" i="3"/>
  <c r="G570" i="3"/>
  <c r="P570" i="3"/>
  <c r="X570" i="3" a="1"/>
  <c r="X570" i="3" s="1"/>
  <c r="Y570" i="3" a="1"/>
  <c r="Y570" i="3" s="1"/>
  <c r="Z570" i="3" a="1"/>
  <c r="Z570" i="3" s="1"/>
  <c r="AC570" i="3"/>
  <c r="A571" i="3"/>
  <c r="C571" i="3"/>
  <c r="O571" i="3" s="1"/>
  <c r="F571" i="3"/>
  <c r="G571" i="3"/>
  <c r="M571" i="3"/>
  <c r="N571" i="3"/>
  <c r="P571" i="3"/>
  <c r="Q571" i="3"/>
  <c r="R571" i="3"/>
  <c r="T571" i="3"/>
  <c r="U571" i="3"/>
  <c r="V571" i="3"/>
  <c r="X571" i="3" a="1"/>
  <c r="X571" i="3" s="1"/>
  <c r="Y571" i="3" a="1"/>
  <c r="Y571" i="3" s="1"/>
  <c r="Z571" i="3" a="1"/>
  <c r="Z571" i="3" s="1"/>
  <c r="AA571" i="3"/>
  <c r="AC571" i="3"/>
  <c r="A572" i="3"/>
  <c r="C572" i="3"/>
  <c r="T572" i="3" s="1"/>
  <c r="F572" i="3"/>
  <c r="G572" i="3"/>
  <c r="P572" i="3"/>
  <c r="X572" i="3" a="1"/>
  <c r="X572" i="3" s="1"/>
  <c r="Y572" i="3" a="1"/>
  <c r="Y572" i="3" s="1"/>
  <c r="Z572" i="3" a="1"/>
  <c r="Z572" i="3" s="1"/>
  <c r="AC572" i="3"/>
  <c r="A573" i="3"/>
  <c r="C573" i="3"/>
  <c r="O573" i="3" s="1"/>
  <c r="F573" i="3"/>
  <c r="G573" i="3"/>
  <c r="M573" i="3"/>
  <c r="N573" i="3"/>
  <c r="P573" i="3"/>
  <c r="Q573" i="3"/>
  <c r="R573" i="3"/>
  <c r="T573" i="3"/>
  <c r="U573" i="3"/>
  <c r="V573" i="3"/>
  <c r="X573" i="3" a="1"/>
  <c r="X573" i="3" s="1"/>
  <c r="Y573" i="3" a="1"/>
  <c r="Y573" i="3" s="1"/>
  <c r="Z573" i="3" a="1"/>
  <c r="Z573" i="3" s="1"/>
  <c r="AA573" i="3"/>
  <c r="AC573" i="3"/>
  <c r="A574" i="3"/>
  <c r="C574" i="3"/>
  <c r="T574" i="3" s="1"/>
  <c r="F574" i="3"/>
  <c r="G574" i="3"/>
  <c r="P574" i="3"/>
  <c r="X574" i="3" a="1"/>
  <c r="X574" i="3" s="1"/>
  <c r="Y574" i="3" a="1"/>
  <c r="Y574" i="3" s="1"/>
  <c r="Z574" i="3" a="1"/>
  <c r="Z574" i="3" s="1"/>
  <c r="A575" i="3"/>
  <c r="C575" i="3"/>
  <c r="O575" i="3" s="1"/>
  <c r="F575" i="3"/>
  <c r="G575" i="3"/>
  <c r="M575" i="3"/>
  <c r="N575" i="3"/>
  <c r="P575" i="3"/>
  <c r="Q575" i="3"/>
  <c r="R575" i="3"/>
  <c r="T575" i="3"/>
  <c r="U575" i="3"/>
  <c r="V575" i="3"/>
  <c r="X575" i="3" a="1"/>
  <c r="X575" i="3" s="1"/>
  <c r="Y575" i="3" a="1"/>
  <c r="Y575" i="3" s="1"/>
  <c r="Z575" i="3" a="1"/>
  <c r="Z575" i="3" s="1"/>
  <c r="AA575" i="3"/>
  <c r="AC575" i="3"/>
  <c r="A576" i="3"/>
  <c r="C576" i="3"/>
  <c r="F576" i="3"/>
  <c r="G576" i="3"/>
  <c r="P576" i="3"/>
  <c r="T576" i="3"/>
  <c r="X576" i="3" a="1"/>
  <c r="X576" i="3" s="1"/>
  <c r="Y576" i="3" a="1"/>
  <c r="Y576" i="3" s="1"/>
  <c r="Z576" i="3" a="1"/>
  <c r="Z576" i="3" s="1"/>
  <c r="AC576" i="3"/>
  <c r="A577" i="3"/>
  <c r="C577" i="3"/>
  <c r="O577" i="3" s="1"/>
  <c r="F577" i="3"/>
  <c r="G577" i="3"/>
  <c r="M577" i="3"/>
  <c r="N577" i="3"/>
  <c r="P577" i="3"/>
  <c r="Q577" i="3"/>
  <c r="R577" i="3"/>
  <c r="T577" i="3"/>
  <c r="U577" i="3"/>
  <c r="V577" i="3"/>
  <c r="X577" i="3" a="1"/>
  <c r="X577" i="3" s="1"/>
  <c r="Y577" i="3" a="1"/>
  <c r="Y577" i="3" s="1"/>
  <c r="Z577" i="3" a="1"/>
  <c r="Z577" i="3" s="1"/>
  <c r="AA577" i="3"/>
  <c r="AC577" i="3"/>
  <c r="A578" i="3"/>
  <c r="C578" i="3"/>
  <c r="T578" i="3" s="1"/>
  <c r="F578" i="3"/>
  <c r="G578" i="3"/>
  <c r="P578" i="3"/>
  <c r="X578" i="3" a="1"/>
  <c r="X578" i="3" s="1"/>
  <c r="Y578" i="3" a="1"/>
  <c r="Y578" i="3" s="1"/>
  <c r="Z578" i="3" a="1"/>
  <c r="Z578" i="3" s="1"/>
  <c r="AC578" i="3"/>
  <c r="A579" i="3"/>
  <c r="C579" i="3"/>
  <c r="O579" i="3" s="1"/>
  <c r="F579" i="3"/>
  <c r="G579" i="3"/>
  <c r="M579" i="3"/>
  <c r="N579" i="3"/>
  <c r="P579" i="3"/>
  <c r="Q579" i="3"/>
  <c r="R579" i="3"/>
  <c r="T579" i="3"/>
  <c r="U579" i="3"/>
  <c r="V579" i="3"/>
  <c r="X579" i="3" a="1"/>
  <c r="X579" i="3" s="1"/>
  <c r="Y579" i="3" a="1"/>
  <c r="Y579" i="3" s="1"/>
  <c r="Z579" i="3" a="1"/>
  <c r="Z579" i="3" s="1"/>
  <c r="AA579" i="3"/>
  <c r="AC579" i="3"/>
  <c r="A580" i="3"/>
  <c r="C580" i="3"/>
  <c r="T580" i="3" s="1"/>
  <c r="F580" i="3"/>
  <c r="G580" i="3"/>
  <c r="P580" i="3"/>
  <c r="X580" i="3" a="1"/>
  <c r="X580" i="3" s="1"/>
  <c r="Y580" i="3" a="1"/>
  <c r="Y580" i="3" s="1"/>
  <c r="Z580" i="3" a="1"/>
  <c r="Z580" i="3" s="1"/>
  <c r="AC580" i="3"/>
  <c r="A581" i="3"/>
  <c r="C581" i="3"/>
  <c r="F581" i="3"/>
  <c r="G581" i="3"/>
  <c r="M581" i="3"/>
  <c r="N581" i="3"/>
  <c r="P581" i="3"/>
  <c r="Q581" i="3"/>
  <c r="R581" i="3"/>
  <c r="T581" i="3"/>
  <c r="U581" i="3"/>
  <c r="V581" i="3"/>
  <c r="X581" i="3" a="1"/>
  <c r="X581" i="3" s="1"/>
  <c r="Y581" i="3" a="1"/>
  <c r="Y581" i="3" s="1"/>
  <c r="Z581" i="3" a="1"/>
  <c r="Z581" i="3" s="1"/>
  <c r="AA581" i="3"/>
  <c r="AC581" i="3"/>
  <c r="A582" i="3"/>
  <c r="C582" i="3"/>
  <c r="T582" i="3" s="1"/>
  <c r="F582" i="3"/>
  <c r="G582" i="3"/>
  <c r="P582" i="3"/>
  <c r="X582" i="3" a="1"/>
  <c r="X582" i="3" s="1"/>
  <c r="Y582" i="3" a="1"/>
  <c r="Y582" i="3" s="1"/>
  <c r="Z582" i="3" a="1"/>
  <c r="Z582" i="3" s="1"/>
  <c r="A583" i="3"/>
  <c r="C583" i="3"/>
  <c r="O583" i="3" s="1"/>
  <c r="F583" i="3"/>
  <c r="G583" i="3"/>
  <c r="M583" i="3"/>
  <c r="N583" i="3"/>
  <c r="P583" i="3"/>
  <c r="Q583" i="3"/>
  <c r="R583" i="3"/>
  <c r="T583" i="3"/>
  <c r="U583" i="3"/>
  <c r="V583" i="3"/>
  <c r="X583" i="3" a="1"/>
  <c r="X583" i="3" s="1"/>
  <c r="Y583" i="3" a="1"/>
  <c r="Y583" i="3" s="1"/>
  <c r="Z583" i="3" a="1"/>
  <c r="Z583" i="3" s="1"/>
  <c r="AA583" i="3"/>
  <c r="AC583" i="3"/>
  <c r="A584" i="3"/>
  <c r="C584" i="3"/>
  <c r="F584" i="3"/>
  <c r="G584" i="3"/>
  <c r="P584" i="3"/>
  <c r="T584" i="3"/>
  <c r="X584" i="3" a="1"/>
  <c r="X584" i="3" s="1"/>
  <c r="Y584" i="3" a="1"/>
  <c r="Y584" i="3" s="1"/>
  <c r="Z584" i="3" a="1"/>
  <c r="Z584" i="3" s="1"/>
  <c r="AC584" i="3"/>
  <c r="A585" i="3"/>
  <c r="C585" i="3"/>
  <c r="O585" i="3" s="1"/>
  <c r="F585" i="3"/>
  <c r="G585" i="3"/>
  <c r="M585" i="3"/>
  <c r="N585" i="3"/>
  <c r="P585" i="3"/>
  <c r="Q585" i="3"/>
  <c r="R585" i="3"/>
  <c r="T585" i="3"/>
  <c r="U585" i="3"/>
  <c r="V585" i="3"/>
  <c r="X585" i="3" a="1"/>
  <c r="X585" i="3" s="1"/>
  <c r="Y585" i="3" a="1"/>
  <c r="Y585" i="3" s="1"/>
  <c r="Z585" i="3" a="1"/>
  <c r="Z585" i="3" s="1"/>
  <c r="AA585" i="3"/>
  <c r="AC585" i="3"/>
  <c r="A586" i="3"/>
  <c r="C586" i="3"/>
  <c r="T586" i="3" s="1"/>
  <c r="F586" i="3"/>
  <c r="G586" i="3"/>
  <c r="P586" i="3"/>
  <c r="X586" i="3" a="1"/>
  <c r="X586" i="3" s="1"/>
  <c r="Y586" i="3" a="1"/>
  <c r="Y586" i="3" s="1"/>
  <c r="Z586" i="3" a="1"/>
  <c r="Z586" i="3" s="1"/>
  <c r="AC586" i="3"/>
  <c r="A587" i="3"/>
  <c r="C587" i="3"/>
  <c r="F587" i="3"/>
  <c r="G587" i="3"/>
  <c r="M587" i="3"/>
  <c r="N587" i="3"/>
  <c r="P587" i="3"/>
  <c r="Q587" i="3"/>
  <c r="R587" i="3"/>
  <c r="T587" i="3"/>
  <c r="U587" i="3"/>
  <c r="V587" i="3"/>
  <c r="X587" i="3" a="1"/>
  <c r="X587" i="3" s="1"/>
  <c r="Y587" i="3" a="1"/>
  <c r="Y587" i="3" s="1"/>
  <c r="Z587" i="3" a="1"/>
  <c r="Z587" i="3" s="1"/>
  <c r="AA587" i="3"/>
  <c r="AC587" i="3"/>
  <c r="A588" i="3"/>
  <c r="C588" i="3"/>
  <c r="T588" i="3" s="1"/>
  <c r="F588" i="3"/>
  <c r="G588" i="3"/>
  <c r="P588" i="3"/>
  <c r="X588" i="3" a="1"/>
  <c r="X588" i="3" s="1"/>
  <c r="Y588" i="3" a="1"/>
  <c r="Y588" i="3" s="1"/>
  <c r="Z588" i="3" a="1"/>
  <c r="Z588" i="3" s="1"/>
  <c r="AC588" i="3"/>
  <c r="A589" i="3"/>
  <c r="C589" i="3"/>
  <c r="O589" i="3" s="1"/>
  <c r="F589" i="3"/>
  <c r="G589" i="3"/>
  <c r="M589" i="3"/>
  <c r="N589" i="3"/>
  <c r="P589" i="3"/>
  <c r="Q589" i="3"/>
  <c r="R589" i="3"/>
  <c r="T589" i="3"/>
  <c r="U589" i="3"/>
  <c r="V589" i="3"/>
  <c r="X589" i="3" a="1"/>
  <c r="X589" i="3" s="1"/>
  <c r="Y589" i="3" a="1"/>
  <c r="Y589" i="3" s="1"/>
  <c r="Z589" i="3" a="1"/>
  <c r="Z589" i="3" s="1"/>
  <c r="AA589" i="3"/>
  <c r="AC589" i="3"/>
  <c r="A590" i="3"/>
  <c r="C590" i="3"/>
  <c r="T590" i="3" s="1"/>
  <c r="F590" i="3"/>
  <c r="G590" i="3"/>
  <c r="P590" i="3"/>
  <c r="X590" i="3" a="1"/>
  <c r="X590" i="3" s="1"/>
  <c r="Y590" i="3" a="1"/>
  <c r="Y590" i="3" s="1"/>
  <c r="Z590" i="3" a="1"/>
  <c r="Z590" i="3" s="1"/>
  <c r="A591" i="3"/>
  <c r="C591" i="3"/>
  <c r="O591" i="3" s="1"/>
  <c r="F591" i="3"/>
  <c r="G591" i="3"/>
  <c r="M591" i="3"/>
  <c r="N591" i="3"/>
  <c r="P591" i="3"/>
  <c r="Q591" i="3"/>
  <c r="R591" i="3"/>
  <c r="T591" i="3"/>
  <c r="U591" i="3"/>
  <c r="V591" i="3"/>
  <c r="X591" i="3" a="1"/>
  <c r="X591" i="3" s="1"/>
  <c r="Y591" i="3" a="1"/>
  <c r="Y591" i="3" s="1"/>
  <c r="Z591" i="3" a="1"/>
  <c r="Z591" i="3" s="1"/>
  <c r="AA591" i="3"/>
  <c r="AC591" i="3"/>
  <c r="A592" i="3"/>
  <c r="C592" i="3"/>
  <c r="F592" i="3"/>
  <c r="G592" i="3"/>
  <c r="P592" i="3"/>
  <c r="T592" i="3"/>
  <c r="X592" i="3" a="1"/>
  <c r="X592" i="3" s="1"/>
  <c r="Y592" i="3" a="1"/>
  <c r="Y592" i="3" s="1"/>
  <c r="Z592" i="3" a="1"/>
  <c r="Z592" i="3" s="1"/>
  <c r="AC592" i="3"/>
  <c r="A593" i="3"/>
  <c r="C593" i="3"/>
  <c r="O593" i="3" s="1"/>
  <c r="F593" i="3"/>
  <c r="G593" i="3"/>
  <c r="M593" i="3"/>
  <c r="N593" i="3"/>
  <c r="P593" i="3"/>
  <c r="Q593" i="3"/>
  <c r="R593" i="3"/>
  <c r="T593" i="3"/>
  <c r="U593" i="3"/>
  <c r="V593" i="3"/>
  <c r="X593" i="3" a="1"/>
  <c r="X593" i="3" s="1"/>
  <c r="Y593" i="3" a="1"/>
  <c r="Y593" i="3" s="1"/>
  <c r="Z593" i="3" a="1"/>
  <c r="Z593" i="3" s="1"/>
  <c r="AA593" i="3"/>
  <c r="AC593" i="3"/>
  <c r="A594" i="3"/>
  <c r="C594" i="3"/>
  <c r="T594" i="3" s="1"/>
  <c r="F594" i="3"/>
  <c r="G594" i="3"/>
  <c r="P594" i="3"/>
  <c r="X594" i="3" a="1"/>
  <c r="X594" i="3" s="1"/>
  <c r="Y594" i="3" a="1"/>
  <c r="Y594" i="3" s="1"/>
  <c r="Z594" i="3" a="1"/>
  <c r="Z594" i="3" s="1"/>
  <c r="AC594" i="3"/>
  <c r="A595" i="3"/>
  <c r="C595" i="3"/>
  <c r="F595" i="3"/>
  <c r="G595" i="3"/>
  <c r="M595" i="3"/>
  <c r="N595" i="3"/>
  <c r="P595" i="3"/>
  <c r="Q595" i="3"/>
  <c r="R595" i="3"/>
  <c r="T595" i="3"/>
  <c r="U595" i="3"/>
  <c r="V595" i="3"/>
  <c r="X595" i="3" a="1"/>
  <c r="X595" i="3" s="1"/>
  <c r="Y595" i="3" a="1"/>
  <c r="Y595" i="3" s="1"/>
  <c r="Z595" i="3" a="1"/>
  <c r="Z595" i="3" s="1"/>
  <c r="AA595" i="3"/>
  <c r="AC595" i="3"/>
  <c r="A596" i="3"/>
  <c r="C596" i="3"/>
  <c r="T596" i="3" s="1"/>
  <c r="F596" i="3"/>
  <c r="G596" i="3"/>
  <c r="P596" i="3"/>
  <c r="X596" i="3" a="1"/>
  <c r="X596" i="3" s="1"/>
  <c r="Y596" i="3" a="1"/>
  <c r="Y596" i="3" s="1"/>
  <c r="Z596" i="3" a="1"/>
  <c r="Z596" i="3" s="1"/>
  <c r="AC596" i="3"/>
  <c r="A597" i="3"/>
  <c r="C597" i="3"/>
  <c r="O597" i="3" s="1"/>
  <c r="F597" i="3"/>
  <c r="E597" i="3" s="1"/>
  <c r="G597" i="3"/>
  <c r="M597" i="3"/>
  <c r="N597" i="3"/>
  <c r="P597" i="3"/>
  <c r="Q597" i="3"/>
  <c r="R597" i="3"/>
  <c r="T597" i="3"/>
  <c r="U597" i="3"/>
  <c r="V597" i="3"/>
  <c r="X597" i="3" a="1"/>
  <c r="X597" i="3" s="1"/>
  <c r="Y597" i="3" a="1"/>
  <c r="Y597" i="3" s="1"/>
  <c r="Z597" i="3" a="1"/>
  <c r="Z597" i="3" s="1"/>
  <c r="AA597" i="3"/>
  <c r="AC597" i="3"/>
  <c r="A598" i="3"/>
  <c r="C598" i="3"/>
  <c r="T598" i="3" s="1"/>
  <c r="F598" i="3"/>
  <c r="G598" i="3"/>
  <c r="P598" i="3"/>
  <c r="X598" i="3" a="1"/>
  <c r="X598" i="3" s="1"/>
  <c r="Y598" i="3" a="1"/>
  <c r="Y598" i="3" s="1"/>
  <c r="Z598" i="3" a="1"/>
  <c r="Z598" i="3" s="1"/>
  <c r="A599" i="3"/>
  <c r="C599" i="3"/>
  <c r="O599" i="3" s="1"/>
  <c r="F599" i="3"/>
  <c r="G599" i="3"/>
  <c r="M599" i="3"/>
  <c r="N599" i="3"/>
  <c r="P599" i="3"/>
  <c r="Q599" i="3"/>
  <c r="R599" i="3"/>
  <c r="T599" i="3"/>
  <c r="U599" i="3"/>
  <c r="V599" i="3"/>
  <c r="X599" i="3" a="1"/>
  <c r="X599" i="3" s="1"/>
  <c r="Y599" i="3" a="1"/>
  <c r="Y599" i="3" s="1"/>
  <c r="Z599" i="3" a="1"/>
  <c r="Z599" i="3" s="1"/>
  <c r="AA599" i="3"/>
  <c r="AC599" i="3"/>
  <c r="A600" i="3"/>
  <c r="C600" i="3"/>
  <c r="F600" i="3"/>
  <c r="G600" i="3"/>
  <c r="P600" i="3"/>
  <c r="T600" i="3"/>
  <c r="X600" i="3" a="1"/>
  <c r="X600" i="3" s="1"/>
  <c r="Y600" i="3" a="1"/>
  <c r="Y600" i="3" s="1"/>
  <c r="Z600" i="3" a="1"/>
  <c r="Z600" i="3" s="1"/>
  <c r="AC600" i="3"/>
  <c r="A601" i="3"/>
  <c r="C601" i="3"/>
  <c r="O601" i="3" s="1"/>
  <c r="F601" i="3"/>
  <c r="E601" i="3" s="1"/>
  <c r="G601" i="3"/>
  <c r="M601" i="3"/>
  <c r="N601" i="3"/>
  <c r="P601" i="3"/>
  <c r="Q601" i="3"/>
  <c r="R601" i="3"/>
  <c r="T601" i="3"/>
  <c r="U601" i="3"/>
  <c r="V601" i="3"/>
  <c r="X601" i="3" a="1"/>
  <c r="X601" i="3" s="1"/>
  <c r="Y601" i="3" a="1"/>
  <c r="Y601" i="3" s="1"/>
  <c r="Z601" i="3" a="1"/>
  <c r="Z601" i="3" s="1"/>
  <c r="AA601" i="3"/>
  <c r="AC601" i="3"/>
  <c r="A602" i="3"/>
  <c r="C602" i="3"/>
  <c r="T602" i="3" s="1"/>
  <c r="F602" i="3"/>
  <c r="G602" i="3"/>
  <c r="P602" i="3"/>
  <c r="X602" i="3" a="1"/>
  <c r="X602" i="3" s="1"/>
  <c r="Y602" i="3" a="1"/>
  <c r="Y602" i="3" s="1"/>
  <c r="Z602" i="3" a="1"/>
  <c r="Z602" i="3" s="1"/>
  <c r="AC602" i="3"/>
  <c r="A603" i="3"/>
  <c r="C603" i="3"/>
  <c r="O603" i="3" s="1"/>
  <c r="F603" i="3"/>
  <c r="G603" i="3"/>
  <c r="M603" i="3"/>
  <c r="N603" i="3"/>
  <c r="P603" i="3"/>
  <c r="Q603" i="3"/>
  <c r="R603" i="3"/>
  <c r="T603" i="3"/>
  <c r="U603" i="3"/>
  <c r="V603" i="3"/>
  <c r="X603" i="3" a="1"/>
  <c r="X603" i="3" s="1"/>
  <c r="Y603" i="3" a="1"/>
  <c r="Y603" i="3" s="1"/>
  <c r="Z603" i="3" a="1"/>
  <c r="Z603" i="3" s="1"/>
  <c r="AA603" i="3"/>
  <c r="AC603" i="3"/>
  <c r="A604" i="3"/>
  <c r="C604" i="3"/>
  <c r="T604" i="3" s="1"/>
  <c r="F604" i="3"/>
  <c r="G604" i="3"/>
  <c r="P604" i="3"/>
  <c r="X604" i="3" a="1"/>
  <c r="X604" i="3" s="1"/>
  <c r="Y604" i="3" a="1"/>
  <c r="Y604" i="3" s="1"/>
  <c r="Z604" i="3" a="1"/>
  <c r="Z604" i="3" s="1"/>
  <c r="AC604" i="3"/>
  <c r="A605" i="3"/>
  <c r="C605" i="3"/>
  <c r="O605" i="3" s="1"/>
  <c r="F605" i="3"/>
  <c r="G605" i="3"/>
  <c r="M605" i="3"/>
  <c r="N605" i="3"/>
  <c r="P605" i="3"/>
  <c r="Q605" i="3"/>
  <c r="R605" i="3"/>
  <c r="T605" i="3"/>
  <c r="U605" i="3"/>
  <c r="V605" i="3"/>
  <c r="X605" i="3" a="1"/>
  <c r="X605" i="3" s="1"/>
  <c r="Y605" i="3" a="1"/>
  <c r="Y605" i="3" s="1"/>
  <c r="Z605" i="3" a="1"/>
  <c r="Z605" i="3" s="1"/>
  <c r="AA605" i="3"/>
  <c r="AC605" i="3"/>
  <c r="A606" i="3"/>
  <c r="C606" i="3"/>
  <c r="T606" i="3" s="1"/>
  <c r="F606" i="3"/>
  <c r="G606" i="3"/>
  <c r="P606" i="3"/>
  <c r="X606" i="3" a="1"/>
  <c r="X606" i="3" s="1"/>
  <c r="Y606" i="3" a="1"/>
  <c r="Y606" i="3" s="1"/>
  <c r="Z606" i="3" a="1"/>
  <c r="Z606" i="3" s="1"/>
  <c r="A607" i="3"/>
  <c r="C607" i="3"/>
  <c r="O607" i="3" s="1"/>
  <c r="F607" i="3"/>
  <c r="G607" i="3"/>
  <c r="M607" i="3"/>
  <c r="N607" i="3"/>
  <c r="P607" i="3"/>
  <c r="Q607" i="3"/>
  <c r="R607" i="3"/>
  <c r="T607" i="3"/>
  <c r="U607" i="3"/>
  <c r="V607" i="3"/>
  <c r="X607" i="3" a="1"/>
  <c r="X607" i="3" s="1"/>
  <c r="Y607" i="3" a="1"/>
  <c r="Y607" i="3" s="1"/>
  <c r="Z607" i="3" a="1"/>
  <c r="Z607" i="3" s="1"/>
  <c r="AA607" i="3"/>
  <c r="AC607" i="3"/>
  <c r="A608" i="3"/>
  <c r="C608" i="3"/>
  <c r="F608" i="3"/>
  <c r="G608" i="3"/>
  <c r="P608" i="3"/>
  <c r="T608" i="3"/>
  <c r="X608" i="3" a="1"/>
  <c r="X608" i="3" s="1"/>
  <c r="Y608" i="3" a="1"/>
  <c r="Y608" i="3" s="1"/>
  <c r="Z608" i="3" a="1"/>
  <c r="Z608" i="3" s="1"/>
  <c r="AC608" i="3"/>
  <c r="A609" i="3"/>
  <c r="C609" i="3"/>
  <c r="F609" i="3"/>
  <c r="E609" i="3" s="1"/>
  <c r="G609" i="3"/>
  <c r="M609" i="3"/>
  <c r="N609" i="3"/>
  <c r="P609" i="3"/>
  <c r="Q609" i="3"/>
  <c r="R609" i="3"/>
  <c r="T609" i="3"/>
  <c r="U609" i="3"/>
  <c r="V609" i="3"/>
  <c r="X609" i="3" a="1"/>
  <c r="X609" i="3" s="1"/>
  <c r="Y609" i="3" a="1"/>
  <c r="Y609" i="3" s="1"/>
  <c r="Z609" i="3" a="1"/>
  <c r="Z609" i="3" s="1"/>
  <c r="AA609" i="3"/>
  <c r="AC609" i="3"/>
  <c r="A610" i="3"/>
  <c r="C610" i="3"/>
  <c r="T610" i="3" s="1"/>
  <c r="F610" i="3"/>
  <c r="G610" i="3"/>
  <c r="P610" i="3"/>
  <c r="X610" i="3" a="1"/>
  <c r="X610" i="3" s="1"/>
  <c r="Y610" i="3" a="1"/>
  <c r="Y610" i="3" s="1"/>
  <c r="Z610" i="3" a="1"/>
  <c r="Z610" i="3" s="1"/>
  <c r="AC610" i="3"/>
  <c r="A611" i="3"/>
  <c r="C611" i="3"/>
  <c r="O611" i="3" s="1"/>
  <c r="F611" i="3"/>
  <c r="G611" i="3"/>
  <c r="M611" i="3"/>
  <c r="N611" i="3"/>
  <c r="P611" i="3"/>
  <c r="Q611" i="3"/>
  <c r="R611" i="3"/>
  <c r="T611" i="3"/>
  <c r="U611" i="3"/>
  <c r="V611" i="3"/>
  <c r="X611" i="3" a="1"/>
  <c r="X611" i="3" s="1"/>
  <c r="Y611" i="3" a="1"/>
  <c r="Y611" i="3" s="1"/>
  <c r="Z611" i="3" a="1"/>
  <c r="Z611" i="3" s="1"/>
  <c r="AA611" i="3"/>
  <c r="AC611" i="3"/>
  <c r="A612" i="3"/>
  <c r="C612" i="3"/>
  <c r="T612" i="3" s="1"/>
  <c r="F612" i="3"/>
  <c r="G612" i="3"/>
  <c r="P612" i="3"/>
  <c r="X612" i="3" a="1"/>
  <c r="X612" i="3" s="1"/>
  <c r="Y612" i="3" a="1"/>
  <c r="Y612" i="3" s="1"/>
  <c r="Z612" i="3" a="1"/>
  <c r="Z612" i="3" s="1"/>
  <c r="AC612" i="3"/>
  <c r="A613" i="3"/>
  <c r="C613" i="3"/>
  <c r="O613" i="3" s="1"/>
  <c r="F613" i="3"/>
  <c r="G613" i="3"/>
  <c r="M613" i="3"/>
  <c r="N613" i="3"/>
  <c r="P613" i="3"/>
  <c r="Q613" i="3"/>
  <c r="R613" i="3"/>
  <c r="T613" i="3"/>
  <c r="U613" i="3"/>
  <c r="V613" i="3"/>
  <c r="X613" i="3" a="1"/>
  <c r="X613" i="3" s="1"/>
  <c r="Y613" i="3" a="1"/>
  <c r="Y613" i="3" s="1"/>
  <c r="Z613" i="3" a="1"/>
  <c r="Z613" i="3" s="1"/>
  <c r="AA613" i="3"/>
  <c r="AC613" i="3"/>
  <c r="A614" i="3"/>
  <c r="C614" i="3"/>
  <c r="T614" i="3" s="1"/>
  <c r="F614" i="3"/>
  <c r="G614" i="3"/>
  <c r="P614" i="3"/>
  <c r="X614" i="3" a="1"/>
  <c r="X614" i="3" s="1"/>
  <c r="Y614" i="3" a="1"/>
  <c r="Y614" i="3" s="1"/>
  <c r="Z614" i="3" a="1"/>
  <c r="Z614" i="3" s="1"/>
  <c r="A615" i="3"/>
  <c r="C615" i="3"/>
  <c r="O615" i="3" s="1"/>
  <c r="F615" i="3"/>
  <c r="G615" i="3"/>
  <c r="M615" i="3"/>
  <c r="N615" i="3"/>
  <c r="P615" i="3"/>
  <c r="Q615" i="3"/>
  <c r="R615" i="3"/>
  <c r="T615" i="3"/>
  <c r="U615" i="3"/>
  <c r="V615" i="3"/>
  <c r="X615" i="3" a="1"/>
  <c r="X615" i="3" s="1"/>
  <c r="Y615" i="3" a="1"/>
  <c r="Y615" i="3" s="1"/>
  <c r="Z615" i="3" a="1"/>
  <c r="Z615" i="3" s="1"/>
  <c r="AA615" i="3"/>
  <c r="AC615" i="3"/>
  <c r="A616" i="3"/>
  <c r="C616" i="3"/>
  <c r="F616" i="3"/>
  <c r="G616" i="3"/>
  <c r="P616" i="3"/>
  <c r="T616" i="3"/>
  <c r="X616" i="3" a="1"/>
  <c r="X616" i="3" s="1"/>
  <c r="Y616" i="3" a="1"/>
  <c r="Y616" i="3" s="1"/>
  <c r="Z616" i="3" a="1"/>
  <c r="Z616" i="3" s="1"/>
  <c r="AC616" i="3"/>
  <c r="A617" i="3"/>
  <c r="C617" i="3"/>
  <c r="F617" i="3"/>
  <c r="G617" i="3"/>
  <c r="M617" i="3"/>
  <c r="N617" i="3"/>
  <c r="P617" i="3"/>
  <c r="Q617" i="3"/>
  <c r="R617" i="3"/>
  <c r="T617" i="3"/>
  <c r="U617" i="3"/>
  <c r="V617" i="3"/>
  <c r="X617" i="3" a="1"/>
  <c r="X617" i="3" s="1"/>
  <c r="Y617" i="3" a="1"/>
  <c r="Y617" i="3" s="1"/>
  <c r="Z617" i="3" a="1"/>
  <c r="Z617" i="3" s="1"/>
  <c r="AA617" i="3"/>
  <c r="AC617" i="3"/>
  <c r="A618" i="3"/>
  <c r="C618" i="3"/>
  <c r="T618" i="3" s="1"/>
  <c r="F618" i="3"/>
  <c r="G618" i="3"/>
  <c r="P618" i="3"/>
  <c r="X618" i="3" a="1"/>
  <c r="X618" i="3" s="1"/>
  <c r="Y618" i="3" a="1"/>
  <c r="Y618" i="3" s="1"/>
  <c r="Z618" i="3" a="1"/>
  <c r="Z618" i="3" s="1"/>
  <c r="A619" i="3"/>
  <c r="C619" i="3"/>
  <c r="O619" i="3" s="1"/>
  <c r="F619" i="3"/>
  <c r="G619" i="3"/>
  <c r="M619" i="3"/>
  <c r="N619" i="3"/>
  <c r="P619" i="3"/>
  <c r="Q619" i="3"/>
  <c r="R619" i="3"/>
  <c r="T619" i="3"/>
  <c r="U619" i="3"/>
  <c r="V619" i="3"/>
  <c r="X619" i="3" a="1"/>
  <c r="X619" i="3" s="1"/>
  <c r="Y619" i="3" a="1"/>
  <c r="Y619" i="3" s="1"/>
  <c r="Z619" i="3" a="1"/>
  <c r="Z619" i="3" s="1"/>
  <c r="AA619" i="3"/>
  <c r="AC619" i="3"/>
  <c r="A620" i="3"/>
  <c r="C620" i="3"/>
  <c r="F620" i="3"/>
  <c r="G620" i="3"/>
  <c r="P620" i="3"/>
  <c r="T620" i="3"/>
  <c r="X620" i="3" a="1"/>
  <c r="X620" i="3" s="1"/>
  <c r="Y620" i="3" a="1"/>
  <c r="Y620" i="3" s="1"/>
  <c r="Z620" i="3" a="1"/>
  <c r="Z620" i="3" s="1"/>
  <c r="AC620" i="3"/>
  <c r="A621" i="3"/>
  <c r="C621" i="3"/>
  <c r="O621" i="3" s="1"/>
  <c r="F621" i="3"/>
  <c r="G621" i="3"/>
  <c r="N621" i="3"/>
  <c r="P621" i="3"/>
  <c r="R621" i="3"/>
  <c r="T621" i="3"/>
  <c r="V621" i="3"/>
  <c r="X621" i="3" a="1"/>
  <c r="X621" i="3" s="1"/>
  <c r="Y621" i="3" a="1"/>
  <c r="Y621" i="3" s="1"/>
  <c r="Z621" i="3" a="1"/>
  <c r="Z621" i="3" s="1"/>
  <c r="AA621" i="3"/>
  <c r="AC621" i="3"/>
  <c r="A622" i="3"/>
  <c r="C622" i="3"/>
  <c r="P622" i="3" s="1"/>
  <c r="F622" i="3"/>
  <c r="G622" i="3"/>
  <c r="N622" i="3"/>
  <c r="R622" i="3"/>
  <c r="V622" i="3"/>
  <c r="X622" i="3" a="1"/>
  <c r="X622" i="3" s="1"/>
  <c r="Y622" i="3" a="1"/>
  <c r="Y622" i="3" s="1"/>
  <c r="Z622" i="3" a="1"/>
  <c r="Z622" i="3" s="1"/>
  <c r="AA622" i="3"/>
  <c r="AC622" i="3"/>
  <c r="A623" i="3"/>
  <c r="C623" i="3"/>
  <c r="F623" i="3"/>
  <c r="G623" i="3"/>
  <c r="N623" i="3"/>
  <c r="P623" i="3"/>
  <c r="R623" i="3"/>
  <c r="T623" i="3"/>
  <c r="V623" i="3"/>
  <c r="X623" i="3" a="1"/>
  <c r="X623" i="3" s="1"/>
  <c r="Y623" i="3" a="1"/>
  <c r="Y623" i="3" s="1"/>
  <c r="Z623" i="3" a="1"/>
  <c r="Z623" i="3" s="1"/>
  <c r="AA623" i="3"/>
  <c r="AC623" i="3"/>
  <c r="A624" i="3"/>
  <c r="C624" i="3"/>
  <c r="P624" i="3" s="1"/>
  <c r="F624" i="3"/>
  <c r="G624" i="3"/>
  <c r="N624" i="3"/>
  <c r="V624" i="3"/>
  <c r="X624" i="3" a="1"/>
  <c r="X624" i="3" s="1"/>
  <c r="Y624" i="3" a="1"/>
  <c r="Y624" i="3" s="1"/>
  <c r="Z624" i="3" a="1"/>
  <c r="Z624" i="3" s="1"/>
  <c r="AA624" i="3"/>
  <c r="A625" i="3"/>
  <c r="C625" i="3"/>
  <c r="F625" i="3"/>
  <c r="G625" i="3"/>
  <c r="N625" i="3"/>
  <c r="P625" i="3"/>
  <c r="T625" i="3"/>
  <c r="V625" i="3"/>
  <c r="X625" i="3" a="1"/>
  <c r="X625" i="3" s="1"/>
  <c r="Y625" i="3" a="1"/>
  <c r="Y625" i="3" s="1"/>
  <c r="Z625" i="3" a="1"/>
  <c r="Z625" i="3" s="1"/>
  <c r="AA625" i="3"/>
  <c r="AC625" i="3"/>
  <c r="A626" i="3"/>
  <c r="C626" i="3"/>
  <c r="P626" i="3" s="1"/>
  <c r="F626" i="3"/>
  <c r="G626" i="3"/>
  <c r="N626" i="3"/>
  <c r="R626" i="3"/>
  <c r="V626" i="3"/>
  <c r="X626" i="3" a="1"/>
  <c r="X626" i="3" s="1"/>
  <c r="Y626" i="3" a="1"/>
  <c r="Y626" i="3" s="1"/>
  <c r="Z626" i="3" a="1"/>
  <c r="Z626" i="3" s="1"/>
  <c r="AA626" i="3"/>
  <c r="AC626" i="3"/>
  <c r="A627" i="3"/>
  <c r="C627" i="3"/>
  <c r="F627" i="3"/>
  <c r="G627" i="3"/>
  <c r="N627" i="3"/>
  <c r="P627" i="3"/>
  <c r="R627" i="3"/>
  <c r="T627" i="3"/>
  <c r="V627" i="3"/>
  <c r="X627" i="3" a="1"/>
  <c r="X627" i="3" s="1"/>
  <c r="Y627" i="3" a="1"/>
  <c r="Y627" i="3" s="1"/>
  <c r="Z627" i="3" a="1"/>
  <c r="Z627" i="3" s="1"/>
  <c r="AA627" i="3"/>
  <c r="AC627" i="3"/>
  <c r="A628" i="3"/>
  <c r="C628" i="3"/>
  <c r="P628" i="3" s="1"/>
  <c r="F628" i="3"/>
  <c r="G628" i="3"/>
  <c r="N628" i="3"/>
  <c r="V628" i="3"/>
  <c r="X628" i="3" a="1"/>
  <c r="X628" i="3" s="1"/>
  <c r="Y628" i="3" a="1"/>
  <c r="Y628" i="3" s="1"/>
  <c r="Z628" i="3" a="1"/>
  <c r="Z628" i="3" s="1"/>
  <c r="AA628" i="3"/>
  <c r="A629" i="3"/>
  <c r="C629" i="3"/>
  <c r="F629" i="3"/>
  <c r="G629" i="3"/>
  <c r="N629" i="3"/>
  <c r="P629" i="3"/>
  <c r="T629" i="3"/>
  <c r="V629" i="3"/>
  <c r="X629" i="3" a="1"/>
  <c r="X629" i="3" s="1"/>
  <c r="Y629" i="3" a="1"/>
  <c r="Y629" i="3" s="1"/>
  <c r="Z629" i="3" a="1"/>
  <c r="Z629" i="3" s="1"/>
  <c r="AA629" i="3"/>
  <c r="AC629" i="3"/>
  <c r="A630" i="3"/>
  <c r="C630" i="3"/>
  <c r="P630" i="3" s="1"/>
  <c r="F630" i="3"/>
  <c r="G630" i="3"/>
  <c r="N630" i="3"/>
  <c r="R630" i="3"/>
  <c r="V630" i="3"/>
  <c r="X630" i="3" a="1"/>
  <c r="X630" i="3" s="1"/>
  <c r="Y630" i="3" a="1"/>
  <c r="Y630" i="3" s="1"/>
  <c r="Z630" i="3" a="1"/>
  <c r="Z630" i="3" s="1"/>
  <c r="AA630" i="3"/>
  <c r="AC630" i="3"/>
  <c r="A631" i="3"/>
  <c r="C631" i="3"/>
  <c r="F631" i="3"/>
  <c r="G631" i="3"/>
  <c r="N631" i="3"/>
  <c r="P631" i="3"/>
  <c r="R631" i="3"/>
  <c r="T631" i="3"/>
  <c r="V631" i="3"/>
  <c r="X631" i="3" a="1"/>
  <c r="X631" i="3" s="1"/>
  <c r="Y631" i="3" a="1"/>
  <c r="Y631" i="3" s="1"/>
  <c r="Z631" i="3" a="1"/>
  <c r="Z631" i="3" s="1"/>
  <c r="AA631" i="3"/>
  <c r="AC631" i="3"/>
  <c r="A632" i="3"/>
  <c r="C632" i="3"/>
  <c r="P632" i="3" s="1"/>
  <c r="F632" i="3"/>
  <c r="G632" i="3"/>
  <c r="N632" i="3"/>
  <c r="V632" i="3"/>
  <c r="X632" i="3" a="1"/>
  <c r="X632" i="3" s="1"/>
  <c r="Y632" i="3" a="1"/>
  <c r="Y632" i="3" s="1"/>
  <c r="Z632" i="3" a="1"/>
  <c r="Z632" i="3" s="1"/>
  <c r="AA632" i="3"/>
  <c r="A633" i="3"/>
  <c r="C633" i="3"/>
  <c r="F633" i="3"/>
  <c r="G633" i="3"/>
  <c r="N633" i="3"/>
  <c r="P633" i="3"/>
  <c r="T633" i="3"/>
  <c r="V633" i="3"/>
  <c r="X633" i="3" a="1"/>
  <c r="X633" i="3" s="1"/>
  <c r="Y633" i="3" a="1"/>
  <c r="Y633" i="3" s="1"/>
  <c r="Z633" i="3" a="1"/>
  <c r="Z633" i="3" s="1"/>
  <c r="AA633" i="3"/>
  <c r="AC633" i="3"/>
  <c r="A634" i="3"/>
  <c r="C634" i="3"/>
  <c r="P634" i="3" s="1"/>
  <c r="F634" i="3"/>
  <c r="G634" i="3"/>
  <c r="N634" i="3"/>
  <c r="R634" i="3"/>
  <c r="V634" i="3"/>
  <c r="X634" i="3" a="1"/>
  <c r="X634" i="3" s="1"/>
  <c r="Y634" i="3" a="1"/>
  <c r="Y634" i="3" s="1"/>
  <c r="Z634" i="3" a="1"/>
  <c r="Z634" i="3" s="1"/>
  <c r="AA634" i="3"/>
  <c r="AC634" i="3"/>
  <c r="A635" i="3"/>
  <c r="C635" i="3"/>
  <c r="F635" i="3"/>
  <c r="G635" i="3"/>
  <c r="N635" i="3"/>
  <c r="P635" i="3"/>
  <c r="R635" i="3"/>
  <c r="T635" i="3"/>
  <c r="V635" i="3"/>
  <c r="X635" i="3" a="1"/>
  <c r="X635" i="3" s="1"/>
  <c r="Y635" i="3" a="1"/>
  <c r="Y635" i="3" s="1"/>
  <c r="Z635" i="3" a="1"/>
  <c r="Z635" i="3" s="1"/>
  <c r="AA635" i="3"/>
  <c r="AC635" i="3"/>
  <c r="A636" i="3"/>
  <c r="C636" i="3"/>
  <c r="P636" i="3" s="1"/>
  <c r="F636" i="3"/>
  <c r="G636" i="3"/>
  <c r="N636" i="3"/>
  <c r="V636" i="3"/>
  <c r="X636" i="3" a="1"/>
  <c r="X636" i="3" s="1"/>
  <c r="Y636" i="3" a="1"/>
  <c r="Y636" i="3" s="1"/>
  <c r="Z636" i="3" a="1"/>
  <c r="Z636" i="3" s="1"/>
  <c r="AA636" i="3"/>
  <c r="A637" i="3"/>
  <c r="C637" i="3"/>
  <c r="F637" i="3"/>
  <c r="G637" i="3"/>
  <c r="N637" i="3"/>
  <c r="P637" i="3"/>
  <c r="R637" i="3"/>
  <c r="T637" i="3"/>
  <c r="U637" i="3"/>
  <c r="X637" i="3" a="1"/>
  <c r="X637" i="3" s="1"/>
  <c r="Y637" i="3" a="1"/>
  <c r="Y637" i="3" s="1"/>
  <c r="Z637" i="3" a="1"/>
  <c r="Z637" i="3" s="1"/>
  <c r="AA637" i="3"/>
  <c r="AC637" i="3"/>
  <c r="A638" i="3"/>
  <c r="C638" i="3"/>
  <c r="O638" i="3" s="1"/>
  <c r="F638" i="3"/>
  <c r="G638" i="3"/>
  <c r="N638" i="3"/>
  <c r="P638" i="3"/>
  <c r="S638" i="3"/>
  <c r="V638" i="3"/>
  <c r="X638" i="3" a="1"/>
  <c r="X638" i="3" s="1"/>
  <c r="Y638" i="3" a="1"/>
  <c r="Y638" i="3" s="1"/>
  <c r="Z638" i="3" a="1"/>
  <c r="Z638" i="3" s="1"/>
  <c r="AA638" i="3"/>
  <c r="AC638" i="3"/>
  <c r="A639" i="3"/>
  <c r="C639" i="3"/>
  <c r="F639" i="3"/>
  <c r="G639" i="3"/>
  <c r="N639" i="3"/>
  <c r="Q639" i="3"/>
  <c r="T639" i="3"/>
  <c r="V639" i="3"/>
  <c r="X639" i="3" a="1"/>
  <c r="X639" i="3" s="1"/>
  <c r="Y639" i="3" a="1"/>
  <c r="Y639" i="3" s="1"/>
  <c r="Z639" i="3" a="1"/>
  <c r="Z639" i="3" s="1"/>
  <c r="AA639" i="3"/>
  <c r="A640" i="3"/>
  <c r="C640" i="3"/>
  <c r="F640" i="3"/>
  <c r="G640" i="3"/>
  <c r="N640" i="3"/>
  <c r="O640" i="3"/>
  <c r="R640" i="3"/>
  <c r="S640" i="3"/>
  <c r="T640" i="3"/>
  <c r="W640" i="3"/>
  <c r="X640" i="3" a="1"/>
  <c r="X640" i="3" s="1"/>
  <c r="Y640" i="3" a="1"/>
  <c r="Y640" i="3" s="1"/>
  <c r="Z640" i="3" a="1"/>
  <c r="Z640" i="3" s="1"/>
  <c r="AA640" i="3"/>
  <c r="AB640" i="3"/>
  <c r="A641" i="3"/>
  <c r="C641" i="3"/>
  <c r="F641" i="3"/>
  <c r="G641" i="3"/>
  <c r="M641" i="3"/>
  <c r="P641" i="3"/>
  <c r="Q641" i="3"/>
  <c r="R641" i="3"/>
  <c r="U641" i="3"/>
  <c r="V641" i="3"/>
  <c r="X641" i="3" a="1"/>
  <c r="X641" i="3" s="1"/>
  <c r="Y641" i="3" a="1"/>
  <c r="Y641" i="3" s="1"/>
  <c r="Z641" i="3" a="1"/>
  <c r="Z641" i="3" s="1"/>
  <c r="AC641" i="3"/>
  <c r="A642" i="3"/>
  <c r="C642" i="3"/>
  <c r="P642" i="3" s="1"/>
  <c r="F642" i="3"/>
  <c r="G642" i="3"/>
  <c r="N642" i="3"/>
  <c r="S642" i="3"/>
  <c r="X642" i="3" a="1"/>
  <c r="X642" i="3" s="1"/>
  <c r="Y642" i="3" a="1"/>
  <c r="Y642" i="3" s="1"/>
  <c r="Z642" i="3" a="1"/>
  <c r="Z642" i="3" s="1"/>
  <c r="AA642" i="3"/>
  <c r="A643" i="3"/>
  <c r="C643" i="3"/>
  <c r="P643" i="3" s="1"/>
  <c r="F643" i="3"/>
  <c r="G643" i="3"/>
  <c r="Q643" i="3"/>
  <c r="V643" i="3"/>
  <c r="X643" i="3" a="1"/>
  <c r="X643" i="3" s="1"/>
  <c r="Y643" i="3" a="1"/>
  <c r="Y643" i="3" s="1"/>
  <c r="Z643" i="3" a="1"/>
  <c r="Z643" i="3" s="1"/>
  <c r="A644" i="3"/>
  <c r="U649" i="3" s="1"/>
  <c r="C644" i="3"/>
  <c r="F644" i="3"/>
  <c r="G644" i="3"/>
  <c r="N644" i="3"/>
  <c r="O644" i="3"/>
  <c r="P644" i="3"/>
  <c r="R644" i="3"/>
  <c r="S644" i="3"/>
  <c r="T644" i="3"/>
  <c r="V644" i="3"/>
  <c r="W644" i="3"/>
  <c r="X644" i="3" a="1"/>
  <c r="X644" i="3" s="1"/>
  <c r="Y644" i="3" a="1"/>
  <c r="Y644" i="3" s="1"/>
  <c r="Z644" i="3" a="1"/>
  <c r="Z644" i="3" s="1"/>
  <c r="AA644" i="3"/>
  <c r="AB644" i="3"/>
  <c r="AC644" i="3"/>
  <c r="A645" i="3"/>
  <c r="C645" i="3"/>
  <c r="F645" i="3"/>
  <c r="G645" i="3"/>
  <c r="M645" i="3"/>
  <c r="N645" i="3"/>
  <c r="P645" i="3"/>
  <c r="Q645" i="3"/>
  <c r="R645" i="3"/>
  <c r="T645" i="3"/>
  <c r="U645" i="3"/>
  <c r="V645" i="3"/>
  <c r="X645" i="3" a="1"/>
  <c r="X645" i="3" s="1"/>
  <c r="Y645" i="3" a="1"/>
  <c r="Y645" i="3" s="1"/>
  <c r="Z645" i="3" a="1"/>
  <c r="Z645" i="3" s="1"/>
  <c r="AA645" i="3"/>
  <c r="AC645" i="3"/>
  <c r="A646" i="3"/>
  <c r="C646" i="3"/>
  <c r="F646" i="3"/>
  <c r="G646" i="3"/>
  <c r="N646" i="3"/>
  <c r="P646" i="3"/>
  <c r="S646" i="3"/>
  <c r="V646" i="3"/>
  <c r="X646" i="3" a="1"/>
  <c r="X646" i="3" s="1"/>
  <c r="Y646" i="3" a="1"/>
  <c r="Y646" i="3" s="1"/>
  <c r="Z646" i="3" a="1"/>
  <c r="Z646" i="3" s="1"/>
  <c r="AA646" i="3"/>
  <c r="AC646" i="3"/>
  <c r="A647" i="3"/>
  <c r="C647" i="3"/>
  <c r="F647" i="3"/>
  <c r="G647" i="3"/>
  <c r="N647" i="3"/>
  <c r="T647" i="3"/>
  <c r="X647" i="3" a="1"/>
  <c r="X647" i="3" s="1"/>
  <c r="Y647" i="3" a="1"/>
  <c r="Y647" i="3" s="1"/>
  <c r="Z647" i="3" a="1"/>
  <c r="Z647" i="3" s="1"/>
  <c r="AA647" i="3"/>
  <c r="A648" i="3"/>
  <c r="C648" i="3"/>
  <c r="F648" i="3"/>
  <c r="G648" i="3"/>
  <c r="N648" i="3"/>
  <c r="O648" i="3"/>
  <c r="R648" i="3"/>
  <c r="S648" i="3"/>
  <c r="T648" i="3"/>
  <c r="W648" i="3"/>
  <c r="X648" i="3" a="1"/>
  <c r="X648" i="3" s="1"/>
  <c r="Y648" i="3" a="1"/>
  <c r="Y648" i="3" s="1"/>
  <c r="Z648" i="3" a="1"/>
  <c r="Z648" i="3" s="1"/>
  <c r="AA648" i="3"/>
  <c r="AB648" i="3"/>
  <c r="A649" i="3"/>
  <c r="C649" i="3"/>
  <c r="F649" i="3"/>
  <c r="G649" i="3"/>
  <c r="M649" i="3"/>
  <c r="P649" i="3"/>
  <c r="Q649" i="3"/>
  <c r="R649" i="3"/>
  <c r="V649" i="3"/>
  <c r="X649" i="3" a="1"/>
  <c r="X649" i="3" s="1"/>
  <c r="Y649" i="3" a="1"/>
  <c r="Y649" i="3" s="1"/>
  <c r="Z649" i="3" a="1"/>
  <c r="Z649" i="3" s="1"/>
  <c r="AC649" i="3"/>
  <c r="A650" i="3"/>
  <c r="C650" i="3"/>
  <c r="F650" i="3"/>
  <c r="G650" i="3"/>
  <c r="N650" i="3"/>
  <c r="S650" i="3"/>
  <c r="X650" i="3" a="1"/>
  <c r="X650" i="3" s="1"/>
  <c r="Y650" i="3" a="1"/>
  <c r="Y650" i="3" s="1"/>
  <c r="Z650" i="3" a="1"/>
  <c r="Z650" i="3" s="1"/>
  <c r="AA650" i="3"/>
  <c r="A651" i="3"/>
  <c r="C651" i="3"/>
  <c r="N651" i="3" s="1"/>
  <c r="F651" i="3"/>
  <c r="G651" i="3"/>
  <c r="Q651" i="3"/>
  <c r="V651" i="3"/>
  <c r="X651" i="3" a="1"/>
  <c r="X651" i="3" s="1"/>
  <c r="Y651" i="3" a="1"/>
  <c r="Y651" i="3" s="1"/>
  <c r="Z651" i="3" a="1"/>
  <c r="Z651" i="3" s="1"/>
  <c r="A652" i="3"/>
  <c r="C652" i="3"/>
  <c r="F652" i="3"/>
  <c r="G652" i="3"/>
  <c r="N652" i="3"/>
  <c r="O652" i="3"/>
  <c r="P652" i="3"/>
  <c r="R652" i="3"/>
  <c r="S652" i="3"/>
  <c r="T652" i="3"/>
  <c r="V652" i="3"/>
  <c r="W652" i="3"/>
  <c r="X652" i="3" a="1"/>
  <c r="X652" i="3" s="1"/>
  <c r="Y652" i="3" a="1"/>
  <c r="Y652" i="3" s="1"/>
  <c r="Z652" i="3" a="1"/>
  <c r="Z652" i="3" s="1"/>
  <c r="AA652" i="3"/>
  <c r="AB652" i="3"/>
  <c r="AC652" i="3"/>
  <c r="A653" i="3"/>
  <c r="C653" i="3"/>
  <c r="F653" i="3"/>
  <c r="G653" i="3"/>
  <c r="M653" i="3"/>
  <c r="N653" i="3"/>
  <c r="P653" i="3"/>
  <c r="Q653" i="3"/>
  <c r="R653" i="3"/>
  <c r="T653" i="3"/>
  <c r="U653" i="3"/>
  <c r="V653" i="3"/>
  <c r="X653" i="3" a="1"/>
  <c r="X653" i="3" s="1"/>
  <c r="Y653" i="3" a="1"/>
  <c r="Y653" i="3" s="1"/>
  <c r="Z653" i="3" a="1"/>
  <c r="Z653" i="3" s="1"/>
  <c r="AA653" i="3"/>
  <c r="AC653" i="3"/>
  <c r="A654" i="3"/>
  <c r="C654" i="3"/>
  <c r="O654" i="3" s="1"/>
  <c r="F654" i="3"/>
  <c r="G654" i="3"/>
  <c r="N654" i="3"/>
  <c r="P654" i="3"/>
  <c r="S654" i="3"/>
  <c r="V654" i="3"/>
  <c r="X654" i="3" a="1"/>
  <c r="X654" i="3" s="1"/>
  <c r="Y654" i="3" a="1"/>
  <c r="Y654" i="3" s="1"/>
  <c r="Z654" i="3" a="1"/>
  <c r="Z654" i="3" s="1"/>
  <c r="AA654" i="3"/>
  <c r="AC654" i="3"/>
  <c r="A655" i="3"/>
  <c r="C655" i="3"/>
  <c r="F655" i="3"/>
  <c r="G655" i="3"/>
  <c r="N655" i="3"/>
  <c r="Q655" i="3"/>
  <c r="T655" i="3"/>
  <c r="V655" i="3"/>
  <c r="X655" i="3" a="1"/>
  <c r="X655" i="3" s="1"/>
  <c r="Y655" i="3" a="1"/>
  <c r="Y655" i="3" s="1"/>
  <c r="Z655" i="3" a="1"/>
  <c r="Z655" i="3" s="1"/>
  <c r="AA655" i="3"/>
  <c r="A656" i="3"/>
  <c r="C656" i="3"/>
  <c r="F656" i="3"/>
  <c r="G656" i="3"/>
  <c r="N656" i="3"/>
  <c r="O656" i="3"/>
  <c r="R656" i="3"/>
  <c r="S656" i="3"/>
  <c r="T656" i="3"/>
  <c r="W656" i="3"/>
  <c r="X656" i="3" a="1"/>
  <c r="X656" i="3" s="1"/>
  <c r="Y656" i="3" a="1"/>
  <c r="Y656" i="3" s="1"/>
  <c r="Z656" i="3" a="1"/>
  <c r="Z656" i="3" s="1"/>
  <c r="AA656" i="3"/>
  <c r="AB656" i="3"/>
  <c r="A657" i="3"/>
  <c r="C657" i="3"/>
  <c r="F657" i="3"/>
  <c r="G657" i="3"/>
  <c r="M657" i="3"/>
  <c r="P657" i="3"/>
  <c r="Q657" i="3"/>
  <c r="R657" i="3"/>
  <c r="V657" i="3"/>
  <c r="X657" i="3" a="1"/>
  <c r="X657" i="3" s="1"/>
  <c r="Y657" i="3" a="1"/>
  <c r="Y657" i="3" s="1"/>
  <c r="Z657" i="3" a="1"/>
  <c r="Z657" i="3" s="1"/>
  <c r="AC657" i="3"/>
  <c r="A658" i="3"/>
  <c r="C658" i="3"/>
  <c r="F658" i="3"/>
  <c r="G658" i="3"/>
  <c r="N658" i="3"/>
  <c r="S658" i="3"/>
  <c r="X658" i="3" a="1"/>
  <c r="X658" i="3" s="1"/>
  <c r="Y658" i="3" a="1"/>
  <c r="Y658" i="3" s="1"/>
  <c r="Z658" i="3" a="1"/>
  <c r="Z658" i="3" s="1"/>
  <c r="AA658" i="3"/>
  <c r="A659" i="3"/>
  <c r="C659" i="3"/>
  <c r="P659" i="3" s="1"/>
  <c r="F659" i="3"/>
  <c r="G659" i="3"/>
  <c r="Q659" i="3"/>
  <c r="V659" i="3"/>
  <c r="X659" i="3" a="1"/>
  <c r="X659" i="3" s="1"/>
  <c r="Y659" i="3" a="1"/>
  <c r="Y659" i="3" s="1"/>
  <c r="Z659" i="3" a="1"/>
  <c r="Z659" i="3" s="1"/>
  <c r="O42" i="3"/>
  <c r="O38" i="3"/>
  <c r="O66" i="3"/>
  <c r="O89" i="3"/>
  <c r="O79" i="3"/>
  <c r="O85" i="3"/>
  <c r="O94" i="3"/>
  <c r="O113" i="3"/>
  <c r="O117" i="3"/>
  <c r="O167" i="3"/>
  <c r="O145" i="3"/>
  <c r="O190" i="3"/>
  <c r="O333" i="3"/>
  <c r="O235" i="3"/>
  <c r="O241" i="3"/>
  <c r="O337" i="3"/>
  <c r="O327" i="3"/>
  <c r="O377" i="3"/>
  <c r="O281" i="3"/>
  <c r="O269" i="3"/>
  <c r="O287" i="3"/>
  <c r="O408" i="3"/>
  <c r="O497" i="3"/>
  <c r="O387" i="3"/>
  <c r="O460" i="3"/>
  <c r="O476" i="3"/>
  <c r="O512" i="3"/>
  <c r="O520" i="3"/>
  <c r="O581" i="3"/>
  <c r="O551" i="3"/>
  <c r="O587" i="3"/>
  <c r="O595" i="3"/>
  <c r="O617" i="3"/>
  <c r="O535" i="3"/>
  <c r="O543" i="3"/>
  <c r="O609" i="3"/>
  <c r="O646" i="3"/>
  <c r="E507" i="3" l="1"/>
  <c r="E310" i="3"/>
  <c r="E23" i="3"/>
  <c r="E535" i="3"/>
  <c r="E527" i="3"/>
  <c r="E513" i="3"/>
  <c r="E499" i="3"/>
  <c r="E493" i="3"/>
  <c r="E441" i="3"/>
  <c r="E417" i="3"/>
  <c r="E238" i="3"/>
  <c r="E543" i="3"/>
  <c r="E529" i="3"/>
  <c r="E613" i="3"/>
  <c r="E561" i="3"/>
  <c r="E553" i="3"/>
  <c r="E545" i="3"/>
  <c r="E503" i="3"/>
  <c r="E437" i="3"/>
  <c r="E421" i="3"/>
  <c r="E346" i="3"/>
  <c r="E334" i="3"/>
  <c r="E322" i="3"/>
  <c r="E296" i="3"/>
  <c r="E294" i="3"/>
  <c r="E244" i="3"/>
  <c r="E138" i="3"/>
  <c r="E128" i="3"/>
  <c r="E122" i="3"/>
  <c r="E74" i="3"/>
  <c r="E59" i="3"/>
  <c r="E96" i="3"/>
  <c r="E90" i="3"/>
  <c r="E385" i="3"/>
  <c r="E515" i="3"/>
  <c r="E94" i="3"/>
  <c r="E47" i="3"/>
  <c r="E581" i="3"/>
  <c r="E577" i="3"/>
  <c r="E591" i="3"/>
  <c r="E565" i="3"/>
  <c r="E453" i="3"/>
  <c r="E330" i="3"/>
  <c r="E314" i="3"/>
  <c r="E264" i="3"/>
  <c r="E217" i="3"/>
  <c r="E37" i="3"/>
  <c r="E542" i="3"/>
  <c r="E473" i="3"/>
  <c r="E457" i="3"/>
  <c r="E378" i="3"/>
  <c r="E595" i="3"/>
  <c r="E583" i="3"/>
  <c r="E525" i="3"/>
  <c r="E234" i="3"/>
  <c r="E182" i="3"/>
  <c r="E657" i="3"/>
  <c r="E649" i="3"/>
  <c r="E619" i="3"/>
  <c r="E615" i="3"/>
  <c r="E573" i="3"/>
  <c r="E539" i="3"/>
  <c r="E517" i="3"/>
  <c r="E500" i="3"/>
  <c r="E498" i="3"/>
  <c r="E497" i="3"/>
  <c r="E485" i="3"/>
  <c r="E477" i="3"/>
  <c r="E465" i="3"/>
  <c r="E435" i="3"/>
  <c r="E433" i="3"/>
  <c r="E80" i="3"/>
  <c r="E384" i="3"/>
  <c r="E383" i="3"/>
  <c r="E326" i="3"/>
  <c r="E304" i="3"/>
  <c r="E290" i="3"/>
  <c r="E280" i="3"/>
  <c r="E236" i="3"/>
  <c r="E166" i="3"/>
  <c r="E645" i="3"/>
  <c r="E607" i="3"/>
  <c r="E589" i="3"/>
  <c r="E571" i="3"/>
  <c r="E533" i="3"/>
  <c r="E496" i="3"/>
  <c r="E469" i="3"/>
  <c r="E425" i="3"/>
  <c r="E312" i="3"/>
  <c r="E242" i="3"/>
  <c r="E174" i="3"/>
  <c r="E108" i="3"/>
  <c r="E98" i="3"/>
  <c r="E31" i="3"/>
  <c r="E21" i="3"/>
  <c r="E526" i="3"/>
  <c r="E641" i="3"/>
  <c r="E653" i="3"/>
  <c r="E605" i="3"/>
  <c r="E603" i="3"/>
  <c r="E599" i="3"/>
  <c r="E587" i="3"/>
  <c r="E579" i="3"/>
  <c r="E575" i="3"/>
  <c r="E549" i="3"/>
  <c r="E547" i="3"/>
  <c r="E537" i="3"/>
  <c r="E534" i="3"/>
  <c r="E611" i="3"/>
  <c r="E557" i="3"/>
  <c r="E541" i="3"/>
  <c r="E511" i="3"/>
  <c r="E449" i="3"/>
  <c r="E445" i="3"/>
  <c r="E429" i="3"/>
  <c r="E413" i="3"/>
  <c r="E405" i="3"/>
  <c r="E391" i="3"/>
  <c r="E382" i="3"/>
  <c r="E318" i="3"/>
  <c r="E268" i="3"/>
  <c r="E229" i="3"/>
  <c r="E221" i="3"/>
  <c r="E213" i="3"/>
  <c r="E144" i="3"/>
  <c r="E43" i="3"/>
  <c r="E35" i="3"/>
  <c r="E15" i="3"/>
  <c r="E531" i="3"/>
  <c r="E523" i="3"/>
  <c r="E520" i="3"/>
  <c r="E519" i="3"/>
  <c r="E509" i="3"/>
  <c r="E481" i="3"/>
  <c r="E461" i="3"/>
  <c r="E409" i="3"/>
  <c r="E397" i="3"/>
  <c r="E395" i="3"/>
  <c r="E393" i="3"/>
  <c r="E389" i="3"/>
  <c r="E274" i="3"/>
  <c r="E256" i="3"/>
  <c r="E240" i="3"/>
  <c r="E162" i="3"/>
  <c r="E146" i="3"/>
  <c r="E132" i="3"/>
  <c r="E130" i="3"/>
  <c r="E120" i="3"/>
  <c r="E82" i="3"/>
  <c r="E55" i="3"/>
  <c r="E505" i="3"/>
  <c r="E489" i="3"/>
  <c r="E158" i="3"/>
  <c r="E140" i="3"/>
  <c r="E78" i="3"/>
  <c r="E502" i="3"/>
  <c r="E655" i="3"/>
  <c r="E593" i="3"/>
  <c r="E585" i="3"/>
  <c r="L506" i="3"/>
  <c r="L505" i="3"/>
  <c r="E320" i="3"/>
  <c r="E569" i="3"/>
  <c r="E563" i="3"/>
  <c r="E562" i="3"/>
  <c r="E559" i="3"/>
  <c r="E558" i="3"/>
  <c r="E555" i="3"/>
  <c r="E554" i="3"/>
  <c r="E551" i="3"/>
  <c r="E550" i="3"/>
  <c r="E544" i="3"/>
  <c r="E536" i="3"/>
  <c r="E528" i="3"/>
  <c r="E514" i="3"/>
  <c r="E508" i="3"/>
  <c r="E483" i="3"/>
  <c r="E459" i="3"/>
  <c r="E451" i="3"/>
  <c r="E443" i="3"/>
  <c r="E427" i="3"/>
  <c r="E387" i="3"/>
  <c r="E386" i="3"/>
  <c r="E380" i="3"/>
  <c r="E328" i="3"/>
  <c r="E306" i="3"/>
  <c r="E302" i="3"/>
  <c r="E617" i="3"/>
  <c r="E567" i="3"/>
  <c r="E546" i="3"/>
  <c r="E538" i="3"/>
  <c r="E530" i="3"/>
  <c r="E522" i="3"/>
  <c r="E516" i="3"/>
  <c r="E510" i="3"/>
  <c r="E506" i="3"/>
  <c r="E504" i="3"/>
  <c r="E491" i="3"/>
  <c r="E419" i="3"/>
  <c r="E403" i="3"/>
  <c r="E639" i="3"/>
  <c r="E560" i="3"/>
  <c r="E556" i="3"/>
  <c r="E552" i="3"/>
  <c r="E548" i="3"/>
  <c r="E540" i="3"/>
  <c r="E532" i="3"/>
  <c r="E524" i="3"/>
  <c r="E518" i="3"/>
  <c r="E512" i="3"/>
  <c r="L501" i="3"/>
  <c r="L499" i="3"/>
  <c r="L498" i="3"/>
  <c r="E475" i="3"/>
  <c r="E467" i="3"/>
  <c r="E411" i="3"/>
  <c r="E278" i="3"/>
  <c r="E276" i="3"/>
  <c r="E225" i="3"/>
  <c r="E211" i="3"/>
  <c r="E202" i="3"/>
  <c r="E176" i="3"/>
  <c r="E168" i="3"/>
  <c r="E150" i="3"/>
  <c r="E118" i="3"/>
  <c r="E112" i="3"/>
  <c r="E104" i="3"/>
  <c r="E88" i="3"/>
  <c r="E86" i="3"/>
  <c r="E65" i="3"/>
  <c r="E57" i="3"/>
  <c r="E29" i="3"/>
  <c r="E11" i="3"/>
  <c r="E288" i="3"/>
  <c r="E272" i="3"/>
  <c r="E254" i="3"/>
  <c r="E252" i="3"/>
  <c r="E250" i="3"/>
  <c r="E219" i="3"/>
  <c r="E170" i="3"/>
  <c r="E154" i="3"/>
  <c r="E152" i="3"/>
  <c r="E114" i="3"/>
  <c r="E110" i="3"/>
  <c r="E106" i="3"/>
  <c r="E102" i="3"/>
  <c r="E95" i="3"/>
  <c r="E72" i="3"/>
  <c r="E70" i="3"/>
  <c r="E63" i="3"/>
  <c r="E298" i="3"/>
  <c r="E286" i="3"/>
  <c r="E284" i="3"/>
  <c r="E282" i="3"/>
  <c r="E262" i="3"/>
  <c r="E260" i="3"/>
  <c r="E258" i="3"/>
  <c r="E248" i="3"/>
  <c r="E237" i="3"/>
  <c r="E209" i="3"/>
  <c r="E207" i="3"/>
  <c r="E188" i="3"/>
  <c r="E178" i="3"/>
  <c r="E19" i="3"/>
  <c r="E270" i="3"/>
  <c r="E266" i="3"/>
  <c r="E246" i="3"/>
  <c r="E160" i="3"/>
  <c r="E27" i="3"/>
  <c r="E658" i="3"/>
  <c r="M658" i="3"/>
  <c r="Q658" i="3"/>
  <c r="U658" i="3"/>
  <c r="AC659" i="3"/>
  <c r="U659" i="3"/>
  <c r="W658" i="3"/>
  <c r="R658" i="3"/>
  <c r="O657" i="3"/>
  <c r="S657" i="3"/>
  <c r="W657" i="3"/>
  <c r="AB657" i="3"/>
  <c r="E656" i="3"/>
  <c r="M656" i="3"/>
  <c r="Q656" i="3"/>
  <c r="U656" i="3"/>
  <c r="R655" i="3"/>
  <c r="M655" i="3"/>
  <c r="AB654" i="3"/>
  <c r="T654" i="3"/>
  <c r="AC651" i="3"/>
  <c r="U651" i="3"/>
  <c r="P651" i="3"/>
  <c r="W650" i="3"/>
  <c r="R650" i="3"/>
  <c r="O649" i="3"/>
  <c r="S649" i="3"/>
  <c r="W649" i="3"/>
  <c r="AB649" i="3"/>
  <c r="E648" i="3"/>
  <c r="M648" i="3"/>
  <c r="Q648" i="3"/>
  <c r="U648" i="3"/>
  <c r="R647" i="3"/>
  <c r="M647" i="3"/>
  <c r="E647" i="3"/>
  <c r="AB646" i="3"/>
  <c r="L646" i="3" s="1"/>
  <c r="T646" i="3"/>
  <c r="AC643" i="3"/>
  <c r="U643" i="3"/>
  <c r="W642" i="3"/>
  <c r="R642" i="3"/>
  <c r="O641" i="3"/>
  <c r="S641" i="3"/>
  <c r="W641" i="3"/>
  <c r="AB641" i="3"/>
  <c r="E640" i="3"/>
  <c r="M640" i="3"/>
  <c r="Q640" i="3"/>
  <c r="U640" i="3"/>
  <c r="R639" i="3"/>
  <c r="M639" i="3"/>
  <c r="AB638" i="3"/>
  <c r="T638" i="3"/>
  <c r="O637" i="3"/>
  <c r="S637" i="3"/>
  <c r="W637" i="3"/>
  <c r="AB637" i="3"/>
  <c r="E637" i="3"/>
  <c r="M637" i="3"/>
  <c r="T636" i="3"/>
  <c r="O633" i="3"/>
  <c r="S633" i="3"/>
  <c r="W633" i="3"/>
  <c r="AB633" i="3"/>
  <c r="E633" i="3"/>
  <c r="M633" i="3"/>
  <c r="Q633" i="3"/>
  <c r="U633" i="3"/>
  <c r="T632" i="3"/>
  <c r="O629" i="3"/>
  <c r="S629" i="3"/>
  <c r="W629" i="3"/>
  <c r="AB629" i="3"/>
  <c r="E629" i="3"/>
  <c r="M629" i="3"/>
  <c r="Q629" i="3"/>
  <c r="U629" i="3"/>
  <c r="T628" i="3"/>
  <c r="O625" i="3"/>
  <c r="S625" i="3"/>
  <c r="W625" i="3"/>
  <c r="AB625" i="3"/>
  <c r="E625" i="3"/>
  <c r="M625" i="3"/>
  <c r="Q625" i="3"/>
  <c r="U625" i="3"/>
  <c r="T624" i="3"/>
  <c r="E616" i="3"/>
  <c r="M616" i="3"/>
  <c r="Q616" i="3"/>
  <c r="U616" i="3"/>
  <c r="AA616" i="3"/>
  <c r="N616" i="3"/>
  <c r="R616" i="3"/>
  <c r="V616" i="3"/>
  <c r="O616" i="3"/>
  <c r="S616" i="3"/>
  <c r="W616" i="3"/>
  <c r="AB616" i="3"/>
  <c r="E608" i="3"/>
  <c r="M608" i="3"/>
  <c r="Q608" i="3"/>
  <c r="U608" i="3"/>
  <c r="N608" i="3"/>
  <c r="R608" i="3"/>
  <c r="V608" i="3"/>
  <c r="AA608" i="3"/>
  <c r="O608" i="3"/>
  <c r="S608" i="3"/>
  <c r="W608" i="3"/>
  <c r="AB608" i="3"/>
  <c r="E600" i="3"/>
  <c r="M600" i="3"/>
  <c r="Q600" i="3"/>
  <c r="U600" i="3"/>
  <c r="N600" i="3"/>
  <c r="R600" i="3"/>
  <c r="V600" i="3"/>
  <c r="AA600" i="3"/>
  <c r="O600" i="3"/>
  <c r="S600" i="3"/>
  <c r="W600" i="3"/>
  <c r="AB600" i="3"/>
  <c r="E592" i="3"/>
  <c r="M592" i="3"/>
  <c r="Q592" i="3"/>
  <c r="U592" i="3"/>
  <c r="N592" i="3"/>
  <c r="R592" i="3"/>
  <c r="V592" i="3"/>
  <c r="AA592" i="3"/>
  <c r="O592" i="3"/>
  <c r="S592" i="3"/>
  <c r="W592" i="3"/>
  <c r="AB592" i="3"/>
  <c r="E584" i="3"/>
  <c r="M584" i="3"/>
  <c r="Q584" i="3"/>
  <c r="U584" i="3"/>
  <c r="N584" i="3"/>
  <c r="R584" i="3"/>
  <c r="V584" i="3"/>
  <c r="AA584" i="3"/>
  <c r="O584" i="3"/>
  <c r="S584" i="3"/>
  <c r="W584" i="3"/>
  <c r="AB584" i="3"/>
  <c r="E576" i="3"/>
  <c r="M576" i="3"/>
  <c r="Q576" i="3"/>
  <c r="U576" i="3"/>
  <c r="N576" i="3"/>
  <c r="R576" i="3"/>
  <c r="V576" i="3"/>
  <c r="AA576" i="3"/>
  <c r="O576" i="3"/>
  <c r="S576" i="3"/>
  <c r="W576" i="3"/>
  <c r="AB576" i="3"/>
  <c r="E568" i="3"/>
  <c r="M568" i="3"/>
  <c r="Q568" i="3"/>
  <c r="U568" i="3"/>
  <c r="N568" i="3"/>
  <c r="R568" i="3"/>
  <c r="V568" i="3"/>
  <c r="AA568" i="3"/>
  <c r="O568" i="3"/>
  <c r="S568" i="3"/>
  <c r="W568" i="3"/>
  <c r="AB568" i="3"/>
  <c r="L527" i="3"/>
  <c r="O659" i="3"/>
  <c r="S659" i="3"/>
  <c r="W659" i="3"/>
  <c r="AB659" i="3"/>
  <c r="E650" i="3"/>
  <c r="M650" i="3"/>
  <c r="Q650" i="3"/>
  <c r="U650" i="3"/>
  <c r="O643" i="3"/>
  <c r="S643" i="3"/>
  <c r="W643" i="3"/>
  <c r="AB643" i="3"/>
  <c r="U657" i="3"/>
  <c r="O655" i="3"/>
  <c r="S655" i="3"/>
  <c r="W655" i="3"/>
  <c r="AB655" i="3"/>
  <c r="AA651" i="3"/>
  <c r="T651" i="3"/>
  <c r="AC650" i="3"/>
  <c r="V650" i="3"/>
  <c r="P650" i="3"/>
  <c r="V647" i="3"/>
  <c r="Q647" i="3"/>
  <c r="E646" i="3"/>
  <c r="M646" i="3"/>
  <c r="Q646" i="3"/>
  <c r="U646" i="3"/>
  <c r="AA643" i="3"/>
  <c r="T643" i="3"/>
  <c r="N643" i="3"/>
  <c r="AC642" i="3"/>
  <c r="V642" i="3"/>
  <c r="O639" i="3"/>
  <c r="S639" i="3"/>
  <c r="W639" i="3"/>
  <c r="AB639" i="3"/>
  <c r="E638" i="3"/>
  <c r="M638" i="3"/>
  <c r="Q638" i="3"/>
  <c r="U638" i="3"/>
  <c r="R636" i="3"/>
  <c r="E634" i="3"/>
  <c r="M634" i="3"/>
  <c r="Q634" i="3"/>
  <c r="U634" i="3"/>
  <c r="O634" i="3"/>
  <c r="S634" i="3"/>
  <c r="W634" i="3"/>
  <c r="AB634" i="3"/>
  <c r="R632" i="3"/>
  <c r="E630" i="3"/>
  <c r="M630" i="3"/>
  <c r="Q630" i="3"/>
  <c r="U630" i="3"/>
  <c r="O630" i="3"/>
  <c r="S630" i="3"/>
  <c r="W630" i="3"/>
  <c r="AB630" i="3"/>
  <c r="R628" i="3"/>
  <c r="E626" i="3"/>
  <c r="M626" i="3"/>
  <c r="Q626" i="3"/>
  <c r="U626" i="3"/>
  <c r="O626" i="3"/>
  <c r="S626" i="3"/>
  <c r="W626" i="3"/>
  <c r="AB626" i="3"/>
  <c r="R624" i="3"/>
  <c r="E622" i="3"/>
  <c r="M622" i="3"/>
  <c r="Q622" i="3"/>
  <c r="U622" i="3"/>
  <c r="O622" i="3"/>
  <c r="S622" i="3"/>
  <c r="W622" i="3"/>
  <c r="AB622" i="3"/>
  <c r="AC618" i="3"/>
  <c r="AC614" i="3"/>
  <c r="E610" i="3"/>
  <c r="M610" i="3"/>
  <c r="Q610" i="3"/>
  <c r="U610" i="3"/>
  <c r="N610" i="3"/>
  <c r="R610" i="3"/>
  <c r="V610" i="3"/>
  <c r="AA610" i="3"/>
  <c r="O610" i="3"/>
  <c r="S610" i="3"/>
  <c r="W610" i="3"/>
  <c r="AB610" i="3"/>
  <c r="AC606" i="3"/>
  <c r="E602" i="3"/>
  <c r="M602" i="3"/>
  <c r="Q602" i="3"/>
  <c r="U602" i="3"/>
  <c r="N602" i="3"/>
  <c r="R602" i="3"/>
  <c r="V602" i="3"/>
  <c r="AA602" i="3"/>
  <c r="O602" i="3"/>
  <c r="S602" i="3"/>
  <c r="W602" i="3"/>
  <c r="AB602" i="3"/>
  <c r="AC598" i="3"/>
  <c r="E594" i="3"/>
  <c r="M594" i="3"/>
  <c r="Q594" i="3"/>
  <c r="U594" i="3"/>
  <c r="N594" i="3"/>
  <c r="R594" i="3"/>
  <c r="V594" i="3"/>
  <c r="AA594" i="3"/>
  <c r="O594" i="3"/>
  <c r="S594" i="3"/>
  <c r="W594" i="3"/>
  <c r="AB594" i="3"/>
  <c r="AC590" i="3"/>
  <c r="E586" i="3"/>
  <c r="M586" i="3"/>
  <c r="Q586" i="3"/>
  <c r="U586" i="3"/>
  <c r="N586" i="3"/>
  <c r="R586" i="3"/>
  <c r="V586" i="3"/>
  <c r="AA586" i="3"/>
  <c r="O586" i="3"/>
  <c r="S586" i="3"/>
  <c r="W586" i="3"/>
  <c r="AB586" i="3"/>
  <c r="AC582" i="3"/>
  <c r="E578" i="3"/>
  <c r="M578" i="3"/>
  <c r="Q578" i="3"/>
  <c r="U578" i="3"/>
  <c r="N578" i="3"/>
  <c r="R578" i="3"/>
  <c r="V578" i="3"/>
  <c r="AA578" i="3"/>
  <c r="O578" i="3"/>
  <c r="S578" i="3"/>
  <c r="W578" i="3"/>
  <c r="AB578" i="3"/>
  <c r="AC574" i="3"/>
  <c r="E570" i="3"/>
  <c r="M570" i="3"/>
  <c r="Q570" i="3"/>
  <c r="U570" i="3"/>
  <c r="N570" i="3"/>
  <c r="R570" i="3"/>
  <c r="V570" i="3"/>
  <c r="AA570" i="3"/>
  <c r="O570" i="3"/>
  <c r="S570" i="3"/>
  <c r="W570" i="3"/>
  <c r="AB570" i="3"/>
  <c r="L515" i="3"/>
  <c r="O651" i="3"/>
  <c r="S651" i="3"/>
  <c r="W651" i="3"/>
  <c r="AB651" i="3"/>
  <c r="E642" i="3"/>
  <c r="M642" i="3"/>
  <c r="Q642" i="3"/>
  <c r="U642" i="3"/>
  <c r="AA659" i="3"/>
  <c r="T659" i="3"/>
  <c r="N659" i="3"/>
  <c r="AC658" i="3"/>
  <c r="V658" i="3"/>
  <c r="P658" i="3"/>
  <c r="E654" i="3"/>
  <c r="M654" i="3"/>
  <c r="Q654" i="3"/>
  <c r="U654" i="3"/>
  <c r="O647" i="3"/>
  <c r="S647" i="3"/>
  <c r="W647" i="3"/>
  <c r="AB647" i="3"/>
  <c r="R659" i="3"/>
  <c r="M659" i="3"/>
  <c r="E659" i="3"/>
  <c r="AB658" i="3"/>
  <c r="T658" i="3"/>
  <c r="O658" i="3"/>
  <c r="AA657" i="3"/>
  <c r="T657" i="3"/>
  <c r="N657" i="3"/>
  <c r="AC656" i="3"/>
  <c r="V656" i="3"/>
  <c r="P656" i="3"/>
  <c r="AC655" i="3"/>
  <c r="U655" i="3"/>
  <c r="P655" i="3"/>
  <c r="W654" i="3"/>
  <c r="R654" i="3"/>
  <c r="O653" i="3"/>
  <c r="L653" i="3" s="1"/>
  <c r="S653" i="3"/>
  <c r="W653" i="3"/>
  <c r="AB653" i="3"/>
  <c r="E652" i="3"/>
  <c r="M652" i="3"/>
  <c r="Q652" i="3"/>
  <c r="U652" i="3"/>
  <c r="R651" i="3"/>
  <c r="M651" i="3"/>
  <c r="E651" i="3"/>
  <c r="AB650" i="3"/>
  <c r="T650" i="3"/>
  <c r="O650" i="3"/>
  <c r="AA649" i="3"/>
  <c r="T649" i="3"/>
  <c r="N649" i="3"/>
  <c r="L649" i="3" s="1"/>
  <c r="AC648" i="3"/>
  <c r="V648" i="3"/>
  <c r="P648" i="3"/>
  <c r="AC647" i="3"/>
  <c r="U647" i="3"/>
  <c r="P647" i="3"/>
  <c r="W646" i="3"/>
  <c r="R646" i="3"/>
  <c r="O645" i="3"/>
  <c r="L645" i="3" s="1"/>
  <c r="S645" i="3"/>
  <c r="W645" i="3"/>
  <c r="AB645" i="3"/>
  <c r="E644" i="3"/>
  <c r="M644" i="3"/>
  <c r="Q644" i="3"/>
  <c r="U644" i="3"/>
  <c r="R643" i="3"/>
  <c r="M643" i="3"/>
  <c r="E643" i="3"/>
  <c r="AB642" i="3"/>
  <c r="T642" i="3"/>
  <c r="AA641" i="3"/>
  <c r="T641" i="3"/>
  <c r="N641" i="3"/>
  <c r="L641" i="3" s="1"/>
  <c r="AC640" i="3"/>
  <c r="V640" i="3"/>
  <c r="P640" i="3"/>
  <c r="AC639" i="3"/>
  <c r="U639" i="3"/>
  <c r="P639" i="3"/>
  <c r="W638" i="3"/>
  <c r="R638" i="3"/>
  <c r="V637" i="3"/>
  <c r="Q637" i="3"/>
  <c r="AC636" i="3"/>
  <c r="O635" i="3"/>
  <c r="S635" i="3"/>
  <c r="W635" i="3"/>
  <c r="AB635" i="3"/>
  <c r="E635" i="3"/>
  <c r="M635" i="3"/>
  <c r="Q635" i="3"/>
  <c r="U635" i="3"/>
  <c r="T634" i="3"/>
  <c r="R633" i="3"/>
  <c r="AC632" i="3"/>
  <c r="O631" i="3"/>
  <c r="S631" i="3"/>
  <c r="W631" i="3"/>
  <c r="AB631" i="3"/>
  <c r="E631" i="3"/>
  <c r="M631" i="3"/>
  <c r="Q631" i="3"/>
  <c r="U631" i="3"/>
  <c r="T630" i="3"/>
  <c r="R629" i="3"/>
  <c r="AC628" i="3"/>
  <c r="S627" i="3"/>
  <c r="W627" i="3"/>
  <c r="AB627" i="3"/>
  <c r="E627" i="3"/>
  <c r="M627" i="3"/>
  <c r="Q627" i="3"/>
  <c r="U627" i="3"/>
  <c r="T626" i="3"/>
  <c r="R625" i="3"/>
  <c r="AC624" i="3"/>
  <c r="S623" i="3"/>
  <c r="W623" i="3"/>
  <c r="AB623" i="3"/>
  <c r="E623" i="3"/>
  <c r="M623" i="3"/>
  <c r="Q623" i="3"/>
  <c r="U623" i="3"/>
  <c r="T622" i="3"/>
  <c r="E620" i="3"/>
  <c r="M620" i="3"/>
  <c r="Q620" i="3"/>
  <c r="U620" i="3"/>
  <c r="N620" i="3"/>
  <c r="R620" i="3"/>
  <c r="V620" i="3"/>
  <c r="AA620" i="3"/>
  <c r="O620" i="3"/>
  <c r="S620" i="3"/>
  <c r="W620" i="3"/>
  <c r="AB620" i="3"/>
  <c r="E612" i="3"/>
  <c r="M612" i="3"/>
  <c r="Q612" i="3"/>
  <c r="U612" i="3"/>
  <c r="N612" i="3"/>
  <c r="R612" i="3"/>
  <c r="V612" i="3"/>
  <c r="AA612" i="3"/>
  <c r="O612" i="3"/>
  <c r="S612" i="3"/>
  <c r="W612" i="3"/>
  <c r="AB612" i="3"/>
  <c r="E604" i="3"/>
  <c r="M604" i="3"/>
  <c r="Q604" i="3"/>
  <c r="U604" i="3"/>
  <c r="N604" i="3"/>
  <c r="R604" i="3"/>
  <c r="V604" i="3"/>
  <c r="AA604" i="3"/>
  <c r="O604" i="3"/>
  <c r="S604" i="3"/>
  <c r="W604" i="3"/>
  <c r="AB604" i="3"/>
  <c r="E596" i="3"/>
  <c r="M596" i="3"/>
  <c r="Q596" i="3"/>
  <c r="U596" i="3"/>
  <c r="N596" i="3"/>
  <c r="R596" i="3"/>
  <c r="V596" i="3"/>
  <c r="AA596" i="3"/>
  <c r="O596" i="3"/>
  <c r="S596" i="3"/>
  <c r="W596" i="3"/>
  <c r="AB596" i="3"/>
  <c r="E588" i="3"/>
  <c r="M588" i="3"/>
  <c r="Q588" i="3"/>
  <c r="U588" i="3"/>
  <c r="N588" i="3"/>
  <c r="R588" i="3"/>
  <c r="V588" i="3"/>
  <c r="AA588" i="3"/>
  <c r="O588" i="3"/>
  <c r="S588" i="3"/>
  <c r="W588" i="3"/>
  <c r="AB588" i="3"/>
  <c r="E580" i="3"/>
  <c r="M580" i="3"/>
  <c r="Q580" i="3"/>
  <c r="U580" i="3"/>
  <c r="N580" i="3"/>
  <c r="R580" i="3"/>
  <c r="V580" i="3"/>
  <c r="AA580" i="3"/>
  <c r="O580" i="3"/>
  <c r="S580" i="3"/>
  <c r="W580" i="3"/>
  <c r="AB580" i="3"/>
  <c r="E572" i="3"/>
  <c r="M572" i="3"/>
  <c r="Q572" i="3"/>
  <c r="U572" i="3"/>
  <c r="N572" i="3"/>
  <c r="R572" i="3"/>
  <c r="V572" i="3"/>
  <c r="AA572" i="3"/>
  <c r="O572" i="3"/>
  <c r="S572" i="3"/>
  <c r="W572" i="3"/>
  <c r="AB572" i="3"/>
  <c r="E564" i="3"/>
  <c r="M564" i="3"/>
  <c r="Q564" i="3"/>
  <c r="U564" i="3"/>
  <c r="N564" i="3"/>
  <c r="R564" i="3"/>
  <c r="V564" i="3"/>
  <c r="AA564" i="3"/>
  <c r="S564" i="3"/>
  <c r="W564" i="3"/>
  <c r="AB564" i="3"/>
  <c r="L559" i="3"/>
  <c r="L539" i="3"/>
  <c r="L511" i="3"/>
  <c r="E636" i="3"/>
  <c r="M636" i="3"/>
  <c r="Q636" i="3"/>
  <c r="U636" i="3"/>
  <c r="O636" i="3"/>
  <c r="S636" i="3"/>
  <c r="W636" i="3"/>
  <c r="AB636" i="3"/>
  <c r="E632" i="3"/>
  <c r="M632" i="3"/>
  <c r="Q632" i="3"/>
  <c r="U632" i="3"/>
  <c r="O632" i="3"/>
  <c r="S632" i="3"/>
  <c r="W632" i="3"/>
  <c r="AB632" i="3"/>
  <c r="E628" i="3"/>
  <c r="M628" i="3"/>
  <c r="Q628" i="3"/>
  <c r="U628" i="3"/>
  <c r="O628" i="3"/>
  <c r="S628" i="3"/>
  <c r="W628" i="3"/>
  <c r="AB628" i="3"/>
  <c r="E624" i="3"/>
  <c r="M624" i="3"/>
  <c r="Q624" i="3"/>
  <c r="U624" i="3"/>
  <c r="O624" i="3"/>
  <c r="S624" i="3"/>
  <c r="W624" i="3"/>
  <c r="AB624" i="3"/>
  <c r="E618" i="3"/>
  <c r="M618" i="3"/>
  <c r="Q618" i="3"/>
  <c r="U618" i="3"/>
  <c r="L618" i="3" s="1"/>
  <c r="N618" i="3"/>
  <c r="R618" i="3"/>
  <c r="V618" i="3"/>
  <c r="AA618" i="3"/>
  <c r="O618" i="3"/>
  <c r="S618" i="3"/>
  <c r="W618" i="3"/>
  <c r="AB618" i="3"/>
  <c r="E614" i="3"/>
  <c r="M614" i="3"/>
  <c r="Q614" i="3"/>
  <c r="U614" i="3"/>
  <c r="N614" i="3"/>
  <c r="R614" i="3"/>
  <c r="V614" i="3"/>
  <c r="AA614" i="3"/>
  <c r="O614" i="3"/>
  <c r="S614" i="3"/>
  <c r="W614" i="3"/>
  <c r="AB614" i="3"/>
  <c r="E606" i="3"/>
  <c r="M606" i="3"/>
  <c r="Q606" i="3"/>
  <c r="U606" i="3"/>
  <c r="N606" i="3"/>
  <c r="R606" i="3"/>
  <c r="V606" i="3"/>
  <c r="AA606" i="3"/>
  <c r="O606" i="3"/>
  <c r="S606" i="3"/>
  <c r="W606" i="3"/>
  <c r="AB606" i="3"/>
  <c r="E598" i="3"/>
  <c r="M598" i="3"/>
  <c r="Q598" i="3"/>
  <c r="U598" i="3"/>
  <c r="N598" i="3"/>
  <c r="R598" i="3"/>
  <c r="V598" i="3"/>
  <c r="AA598" i="3"/>
  <c r="O598" i="3"/>
  <c r="S598" i="3"/>
  <c r="W598" i="3"/>
  <c r="AB598" i="3"/>
  <c r="E590" i="3"/>
  <c r="M590" i="3"/>
  <c r="Q590" i="3"/>
  <c r="U590" i="3"/>
  <c r="N590" i="3"/>
  <c r="R590" i="3"/>
  <c r="V590" i="3"/>
  <c r="AA590" i="3"/>
  <c r="O590" i="3"/>
  <c r="S590" i="3"/>
  <c r="W590" i="3"/>
  <c r="AB590" i="3"/>
  <c r="E582" i="3"/>
  <c r="M582" i="3"/>
  <c r="Q582" i="3"/>
  <c r="U582" i="3"/>
  <c r="N582" i="3"/>
  <c r="R582" i="3"/>
  <c r="V582" i="3"/>
  <c r="AA582" i="3"/>
  <c r="O582" i="3"/>
  <c r="S582" i="3"/>
  <c r="W582" i="3"/>
  <c r="AB582" i="3"/>
  <c r="E574" i="3"/>
  <c r="M574" i="3"/>
  <c r="Q574" i="3"/>
  <c r="U574" i="3"/>
  <c r="N574" i="3"/>
  <c r="R574" i="3"/>
  <c r="V574" i="3"/>
  <c r="AA574" i="3"/>
  <c r="O574" i="3"/>
  <c r="S574" i="3"/>
  <c r="W574" i="3"/>
  <c r="AB574" i="3"/>
  <c r="T568" i="3"/>
  <c r="E566" i="3"/>
  <c r="M566" i="3"/>
  <c r="Q566" i="3"/>
  <c r="U566" i="3"/>
  <c r="N566" i="3"/>
  <c r="R566" i="3"/>
  <c r="V566" i="3"/>
  <c r="AA566" i="3"/>
  <c r="O566" i="3"/>
  <c r="S566" i="3"/>
  <c r="W566" i="3"/>
  <c r="AB566" i="3"/>
  <c r="U621" i="3"/>
  <c r="Q621" i="3"/>
  <c r="M621" i="3"/>
  <c r="E621" i="3"/>
  <c r="AB562" i="3"/>
  <c r="W562" i="3"/>
  <c r="S562" i="3"/>
  <c r="O562" i="3"/>
  <c r="AB560" i="3"/>
  <c r="W560" i="3"/>
  <c r="S560" i="3"/>
  <c r="O560" i="3"/>
  <c r="AB558" i="3"/>
  <c r="W558" i="3"/>
  <c r="S558" i="3"/>
  <c r="O558" i="3"/>
  <c r="AB556" i="3"/>
  <c r="W556" i="3"/>
  <c r="S556" i="3"/>
  <c r="AB554" i="3"/>
  <c r="W554" i="3"/>
  <c r="S554" i="3"/>
  <c r="O554" i="3"/>
  <c r="AB552" i="3"/>
  <c r="W552" i="3"/>
  <c r="S552" i="3"/>
  <c r="O552" i="3"/>
  <c r="AB550" i="3"/>
  <c r="W550" i="3"/>
  <c r="S550" i="3"/>
  <c r="O550" i="3"/>
  <c r="E494" i="3"/>
  <c r="M494" i="3"/>
  <c r="Q494" i="3"/>
  <c r="U494" i="3"/>
  <c r="O487" i="3"/>
  <c r="S487" i="3"/>
  <c r="W487" i="3"/>
  <c r="AB487" i="3"/>
  <c r="E486" i="3"/>
  <c r="M486" i="3"/>
  <c r="Q486" i="3"/>
  <c r="U486" i="3"/>
  <c r="O479" i="3"/>
  <c r="S479" i="3"/>
  <c r="W479" i="3"/>
  <c r="AB479" i="3"/>
  <c r="E478" i="3"/>
  <c r="M478" i="3"/>
  <c r="Q478" i="3"/>
  <c r="U478" i="3"/>
  <c r="O471" i="3"/>
  <c r="S471" i="3"/>
  <c r="W471" i="3"/>
  <c r="AB471" i="3"/>
  <c r="E470" i="3"/>
  <c r="M470" i="3"/>
  <c r="Q470" i="3"/>
  <c r="U470" i="3"/>
  <c r="O463" i="3"/>
  <c r="S463" i="3"/>
  <c r="W463" i="3"/>
  <c r="AB463" i="3"/>
  <c r="E462" i="3"/>
  <c r="M462" i="3"/>
  <c r="Q462" i="3"/>
  <c r="U462" i="3"/>
  <c r="S455" i="3"/>
  <c r="W455" i="3"/>
  <c r="AB455" i="3"/>
  <c r="E454" i="3"/>
  <c r="M454" i="3"/>
  <c r="Q454" i="3"/>
  <c r="U454" i="3"/>
  <c r="O447" i="3"/>
  <c r="S447" i="3"/>
  <c r="W447" i="3"/>
  <c r="AB447" i="3"/>
  <c r="E446" i="3"/>
  <c r="M446" i="3"/>
  <c r="Q446" i="3"/>
  <c r="U446" i="3"/>
  <c r="S439" i="3"/>
  <c r="W439" i="3"/>
  <c r="AB439" i="3"/>
  <c r="E438" i="3"/>
  <c r="M438" i="3"/>
  <c r="Q438" i="3"/>
  <c r="U438" i="3"/>
  <c r="O431" i="3"/>
  <c r="S431" i="3"/>
  <c r="W431" i="3"/>
  <c r="AB431" i="3"/>
  <c r="E430" i="3"/>
  <c r="M430" i="3"/>
  <c r="Q430" i="3"/>
  <c r="U430" i="3"/>
  <c r="O423" i="3"/>
  <c r="S423" i="3"/>
  <c r="W423" i="3"/>
  <c r="AB423" i="3"/>
  <c r="E422" i="3"/>
  <c r="M422" i="3"/>
  <c r="Q422" i="3"/>
  <c r="U422" i="3"/>
  <c r="AA419" i="3"/>
  <c r="T419" i="3"/>
  <c r="N419" i="3"/>
  <c r="AC418" i="3"/>
  <c r="V418" i="3"/>
  <c r="P418" i="3"/>
  <c r="O415" i="3"/>
  <c r="S415" i="3"/>
  <c r="W415" i="3"/>
  <c r="AB415" i="3"/>
  <c r="E414" i="3"/>
  <c r="M414" i="3"/>
  <c r="Q414" i="3"/>
  <c r="U414" i="3"/>
  <c r="AA411" i="3"/>
  <c r="T411" i="3"/>
  <c r="N411" i="3"/>
  <c r="AC410" i="3"/>
  <c r="V410" i="3"/>
  <c r="P410" i="3"/>
  <c r="O407" i="3"/>
  <c r="S407" i="3"/>
  <c r="W407" i="3"/>
  <c r="AB407" i="3"/>
  <c r="E406" i="3"/>
  <c r="M406" i="3"/>
  <c r="Q406" i="3"/>
  <c r="U406" i="3"/>
  <c r="AA403" i="3"/>
  <c r="T403" i="3"/>
  <c r="N403" i="3"/>
  <c r="AC402" i="3"/>
  <c r="V402" i="3"/>
  <c r="P402" i="3"/>
  <c r="O399" i="3"/>
  <c r="S399" i="3"/>
  <c r="W399" i="3"/>
  <c r="AB399" i="3"/>
  <c r="E398" i="3"/>
  <c r="M398" i="3"/>
  <c r="Q398" i="3"/>
  <c r="U398" i="3"/>
  <c r="R397" i="3"/>
  <c r="M397" i="3"/>
  <c r="AA395" i="3"/>
  <c r="T395" i="3"/>
  <c r="N395" i="3"/>
  <c r="AC394" i="3"/>
  <c r="V394" i="3"/>
  <c r="P394" i="3"/>
  <c r="AA560" i="3"/>
  <c r="V560" i="3"/>
  <c r="R560" i="3"/>
  <c r="N560" i="3"/>
  <c r="AA556" i="3"/>
  <c r="V556" i="3"/>
  <c r="R556" i="3"/>
  <c r="N556" i="3"/>
  <c r="AA552" i="3"/>
  <c r="V552" i="3"/>
  <c r="R552" i="3"/>
  <c r="N552" i="3"/>
  <c r="AA548" i="3"/>
  <c r="V548" i="3"/>
  <c r="R548" i="3"/>
  <c r="N548" i="3"/>
  <c r="AA544" i="3"/>
  <c r="V544" i="3"/>
  <c r="R544" i="3"/>
  <c r="N544" i="3"/>
  <c r="V542" i="3"/>
  <c r="R542" i="3"/>
  <c r="N542" i="3"/>
  <c r="AA540" i="3"/>
  <c r="V540" i="3"/>
  <c r="R540" i="3"/>
  <c r="N540" i="3"/>
  <c r="AA536" i="3"/>
  <c r="V536" i="3"/>
  <c r="R536" i="3"/>
  <c r="N536" i="3"/>
  <c r="AA532" i="3"/>
  <c r="V532" i="3"/>
  <c r="R532" i="3"/>
  <c r="N532" i="3"/>
  <c r="AA530" i="3"/>
  <c r="V530" i="3"/>
  <c r="R530" i="3"/>
  <c r="N530" i="3"/>
  <c r="AA526" i="3"/>
  <c r="V526" i="3"/>
  <c r="R526" i="3"/>
  <c r="N526" i="3"/>
  <c r="AA524" i="3"/>
  <c r="V524" i="3"/>
  <c r="R524" i="3"/>
  <c r="N524" i="3"/>
  <c r="AA520" i="3"/>
  <c r="V520" i="3"/>
  <c r="R520" i="3"/>
  <c r="N520" i="3"/>
  <c r="AA516" i="3"/>
  <c r="V516" i="3"/>
  <c r="R516" i="3"/>
  <c r="N516" i="3"/>
  <c r="V496" i="3"/>
  <c r="R496" i="3"/>
  <c r="L496" i="3" s="1"/>
  <c r="AC495" i="3"/>
  <c r="T495" i="3"/>
  <c r="P495" i="3"/>
  <c r="W494" i="3"/>
  <c r="R494" i="3"/>
  <c r="O493" i="3"/>
  <c r="S493" i="3"/>
  <c r="L493" i="3" s="1"/>
  <c r="W493" i="3"/>
  <c r="AB493" i="3"/>
  <c r="E492" i="3"/>
  <c r="M492" i="3"/>
  <c r="Q492" i="3"/>
  <c r="U492" i="3"/>
  <c r="R491" i="3"/>
  <c r="M491" i="3"/>
  <c r="AB490" i="3"/>
  <c r="T490" i="3"/>
  <c r="AA489" i="3"/>
  <c r="T489" i="3"/>
  <c r="AC488" i="3"/>
  <c r="V488" i="3"/>
  <c r="AC487" i="3"/>
  <c r="U487" i="3"/>
  <c r="P487" i="3"/>
  <c r="W486" i="3"/>
  <c r="R486" i="3"/>
  <c r="O485" i="3"/>
  <c r="L485" i="3" s="1"/>
  <c r="S485" i="3"/>
  <c r="W485" i="3"/>
  <c r="AB485" i="3"/>
  <c r="E484" i="3"/>
  <c r="M484" i="3"/>
  <c r="Q484" i="3"/>
  <c r="U484" i="3"/>
  <c r="R483" i="3"/>
  <c r="M483" i="3"/>
  <c r="AB482" i="3"/>
  <c r="T482" i="3"/>
  <c r="AA481" i="3"/>
  <c r="T481" i="3"/>
  <c r="AC480" i="3"/>
  <c r="V480" i="3"/>
  <c r="AC479" i="3"/>
  <c r="U479" i="3"/>
  <c r="P479" i="3"/>
  <c r="W478" i="3"/>
  <c r="R478" i="3"/>
  <c r="O477" i="3"/>
  <c r="S477" i="3"/>
  <c r="L477" i="3" s="1"/>
  <c r="W477" i="3"/>
  <c r="AB477" i="3"/>
  <c r="E476" i="3"/>
  <c r="M476" i="3"/>
  <c r="L476" i="3" s="1"/>
  <c r="Q476" i="3"/>
  <c r="U476" i="3"/>
  <c r="R475" i="3"/>
  <c r="M475" i="3"/>
  <c r="AB474" i="3"/>
  <c r="T474" i="3"/>
  <c r="AA473" i="3"/>
  <c r="T473" i="3"/>
  <c r="AC472" i="3"/>
  <c r="V472" i="3"/>
  <c r="AC471" i="3"/>
  <c r="U471" i="3"/>
  <c r="P471" i="3"/>
  <c r="W470" i="3"/>
  <c r="R470" i="3"/>
  <c r="O469" i="3"/>
  <c r="S469" i="3"/>
  <c r="W469" i="3"/>
  <c r="AB469" i="3"/>
  <c r="L469" i="3" s="1"/>
  <c r="E468" i="3"/>
  <c r="M468" i="3"/>
  <c r="Q468" i="3"/>
  <c r="U468" i="3"/>
  <c r="R467" i="3"/>
  <c r="M467" i="3"/>
  <c r="AB466" i="3"/>
  <c r="T466" i="3"/>
  <c r="AA465" i="3"/>
  <c r="T465" i="3"/>
  <c r="AC464" i="3"/>
  <c r="V464" i="3"/>
  <c r="AC463" i="3"/>
  <c r="U463" i="3"/>
  <c r="P463" i="3"/>
  <c r="W462" i="3"/>
  <c r="R462" i="3"/>
  <c r="O461" i="3"/>
  <c r="L461" i="3" s="1"/>
  <c r="S461" i="3"/>
  <c r="W461" i="3"/>
  <c r="AB461" i="3"/>
  <c r="E460" i="3"/>
  <c r="M460" i="3"/>
  <c r="L460" i="3" s="1"/>
  <c r="Q460" i="3"/>
  <c r="U460" i="3"/>
  <c r="R459" i="3"/>
  <c r="M459" i="3"/>
  <c r="AB458" i="3"/>
  <c r="T458" i="3"/>
  <c r="AA457" i="3"/>
  <c r="T457" i="3"/>
  <c r="L457" i="3" s="1"/>
  <c r="AC456" i="3"/>
  <c r="V456" i="3"/>
  <c r="AC455" i="3"/>
  <c r="U455" i="3"/>
  <c r="P455" i="3"/>
  <c r="W454" i="3"/>
  <c r="R454" i="3"/>
  <c r="O453" i="3"/>
  <c r="S453" i="3"/>
  <c r="W453" i="3"/>
  <c r="AB453" i="3"/>
  <c r="E452" i="3"/>
  <c r="M452" i="3"/>
  <c r="Q452" i="3"/>
  <c r="U452" i="3"/>
  <c r="R451" i="3"/>
  <c r="M451" i="3"/>
  <c r="AB450" i="3"/>
  <c r="T450" i="3"/>
  <c r="AA449" i="3"/>
  <c r="T449" i="3"/>
  <c r="AC448" i="3"/>
  <c r="V448" i="3"/>
  <c r="AC447" i="3"/>
  <c r="U447" i="3"/>
  <c r="P447" i="3"/>
  <c r="W446" i="3"/>
  <c r="R446" i="3"/>
  <c r="O445" i="3"/>
  <c r="S445" i="3"/>
  <c r="L445" i="3" s="1"/>
  <c r="W445" i="3"/>
  <c r="AB445" i="3"/>
  <c r="E444" i="3"/>
  <c r="M444" i="3"/>
  <c r="Q444" i="3"/>
  <c r="U444" i="3"/>
  <c r="R443" i="3"/>
  <c r="M443" i="3"/>
  <c r="AB442" i="3"/>
  <c r="T442" i="3"/>
  <c r="AA441" i="3"/>
  <c r="T441" i="3"/>
  <c r="AC440" i="3"/>
  <c r="V440" i="3"/>
  <c r="AC439" i="3"/>
  <c r="U439" i="3"/>
  <c r="P439" i="3"/>
  <c r="W438" i="3"/>
  <c r="R438" i="3"/>
  <c r="O437" i="3"/>
  <c r="L437" i="3" s="1"/>
  <c r="S437" i="3"/>
  <c r="W437" i="3"/>
  <c r="AB437" i="3"/>
  <c r="E436" i="3"/>
  <c r="M436" i="3"/>
  <c r="Q436" i="3"/>
  <c r="U436" i="3"/>
  <c r="R435" i="3"/>
  <c r="M435" i="3"/>
  <c r="AB434" i="3"/>
  <c r="T434" i="3"/>
  <c r="AA433" i="3"/>
  <c r="T433" i="3"/>
  <c r="AC432" i="3"/>
  <c r="V432" i="3"/>
  <c r="AC431" i="3"/>
  <c r="U431" i="3"/>
  <c r="P431" i="3"/>
  <c r="W430" i="3"/>
  <c r="R430" i="3"/>
  <c r="S429" i="3"/>
  <c r="W429" i="3"/>
  <c r="AB429" i="3"/>
  <c r="E428" i="3"/>
  <c r="M428" i="3"/>
  <c r="Q428" i="3"/>
  <c r="U428" i="3"/>
  <c r="R427" i="3"/>
  <c r="M427" i="3"/>
  <c r="AB426" i="3"/>
  <c r="T426" i="3"/>
  <c r="AA425" i="3"/>
  <c r="T425" i="3"/>
  <c r="AC424" i="3"/>
  <c r="V424" i="3"/>
  <c r="AC423" i="3"/>
  <c r="U423" i="3"/>
  <c r="P423" i="3"/>
  <c r="W422" i="3"/>
  <c r="R422" i="3"/>
  <c r="O421" i="3"/>
  <c r="S421" i="3"/>
  <c r="W421" i="3"/>
  <c r="AB421" i="3"/>
  <c r="E420" i="3"/>
  <c r="M420" i="3"/>
  <c r="Q420" i="3"/>
  <c r="U420" i="3"/>
  <c r="R419" i="3"/>
  <c r="M419" i="3"/>
  <c r="AB418" i="3"/>
  <c r="T418" i="3"/>
  <c r="AA417" i="3"/>
  <c r="T417" i="3"/>
  <c r="AC416" i="3"/>
  <c r="V416" i="3"/>
  <c r="AC415" i="3"/>
  <c r="U415" i="3"/>
  <c r="P415" i="3"/>
  <c r="W414" i="3"/>
  <c r="R414" i="3"/>
  <c r="O413" i="3"/>
  <c r="S413" i="3"/>
  <c r="W413" i="3"/>
  <c r="AB413" i="3"/>
  <c r="E412" i="3"/>
  <c r="M412" i="3"/>
  <c r="L412" i="3" s="1"/>
  <c r="Q412" i="3"/>
  <c r="U412" i="3"/>
  <c r="R411" i="3"/>
  <c r="M411" i="3"/>
  <c r="AB410" i="3"/>
  <c r="T410" i="3"/>
  <c r="AA409" i="3"/>
  <c r="T409" i="3"/>
  <c r="AC407" i="3"/>
  <c r="U407" i="3"/>
  <c r="P407" i="3"/>
  <c r="W406" i="3"/>
  <c r="R406" i="3"/>
  <c r="O405" i="3"/>
  <c r="S405" i="3"/>
  <c r="W405" i="3"/>
  <c r="AB405" i="3"/>
  <c r="E404" i="3"/>
  <c r="M404" i="3"/>
  <c r="Q404" i="3"/>
  <c r="U404" i="3"/>
  <c r="R403" i="3"/>
  <c r="M403" i="3"/>
  <c r="AB402" i="3"/>
  <c r="T402" i="3"/>
  <c r="AA401" i="3"/>
  <c r="T401" i="3"/>
  <c r="AC399" i="3"/>
  <c r="U399" i="3"/>
  <c r="P399" i="3"/>
  <c r="W398" i="3"/>
  <c r="R398" i="3"/>
  <c r="O397" i="3"/>
  <c r="S397" i="3"/>
  <c r="W397" i="3"/>
  <c r="AB397" i="3"/>
  <c r="E396" i="3"/>
  <c r="M396" i="3"/>
  <c r="Q396" i="3"/>
  <c r="U396" i="3"/>
  <c r="R395" i="3"/>
  <c r="M395" i="3"/>
  <c r="AB394" i="3"/>
  <c r="T394" i="3"/>
  <c r="AA393" i="3"/>
  <c r="T393" i="3"/>
  <c r="AA562" i="3"/>
  <c r="V562" i="3"/>
  <c r="R562" i="3"/>
  <c r="N562" i="3"/>
  <c r="AA558" i="3"/>
  <c r="V558" i="3"/>
  <c r="R558" i="3"/>
  <c r="N558" i="3"/>
  <c r="AA554" i="3"/>
  <c r="V554" i="3"/>
  <c r="R554" i="3"/>
  <c r="N554" i="3"/>
  <c r="AA550" i="3"/>
  <c r="V550" i="3"/>
  <c r="R550" i="3"/>
  <c r="N550" i="3"/>
  <c r="AA546" i="3"/>
  <c r="V546" i="3"/>
  <c r="R546" i="3"/>
  <c r="N546" i="3"/>
  <c r="AA542" i="3"/>
  <c r="AA538" i="3"/>
  <c r="V538" i="3"/>
  <c r="R538" i="3"/>
  <c r="N538" i="3"/>
  <c r="AA534" i="3"/>
  <c r="V534" i="3"/>
  <c r="R534" i="3"/>
  <c r="N534" i="3"/>
  <c r="AA528" i="3"/>
  <c r="V528" i="3"/>
  <c r="R528" i="3"/>
  <c r="N528" i="3"/>
  <c r="AA522" i="3"/>
  <c r="V522" i="3"/>
  <c r="R522" i="3"/>
  <c r="N522" i="3"/>
  <c r="AA518" i="3"/>
  <c r="V518" i="3"/>
  <c r="R518" i="3"/>
  <c r="N518" i="3"/>
  <c r="AB621" i="3"/>
  <c r="W621" i="3"/>
  <c r="S621" i="3"/>
  <c r="AB619" i="3"/>
  <c r="W619" i="3"/>
  <c r="S619" i="3"/>
  <c r="L619" i="3" s="1"/>
  <c r="AB617" i="3"/>
  <c r="L617" i="3" s="1"/>
  <c r="W617" i="3"/>
  <c r="S617" i="3"/>
  <c r="AB615" i="3"/>
  <c r="W615" i="3"/>
  <c r="S615" i="3"/>
  <c r="AB613" i="3"/>
  <c r="W613" i="3"/>
  <c r="S613" i="3"/>
  <c r="L613" i="3" s="1"/>
  <c r="AB611" i="3"/>
  <c r="W611" i="3"/>
  <c r="S611" i="3"/>
  <c r="L611" i="3" s="1"/>
  <c r="AB609" i="3"/>
  <c r="W609" i="3"/>
  <c r="S609" i="3"/>
  <c r="AB607" i="3"/>
  <c r="W607" i="3"/>
  <c r="S607" i="3"/>
  <c r="AB605" i="3"/>
  <c r="W605" i="3"/>
  <c r="S605" i="3"/>
  <c r="AB603" i="3"/>
  <c r="W603" i="3"/>
  <c r="S603" i="3"/>
  <c r="AB601" i="3"/>
  <c r="W601" i="3"/>
  <c r="S601" i="3"/>
  <c r="AB599" i="3"/>
  <c r="W599" i="3"/>
  <c r="S599" i="3"/>
  <c r="L599" i="3" s="1"/>
  <c r="AB597" i="3"/>
  <c r="W597" i="3"/>
  <c r="S597" i="3"/>
  <c r="L597" i="3" s="1"/>
  <c r="AB595" i="3"/>
  <c r="W595" i="3"/>
  <c r="S595" i="3"/>
  <c r="AB593" i="3"/>
  <c r="W593" i="3"/>
  <c r="S593" i="3"/>
  <c r="AB591" i="3"/>
  <c r="W591" i="3"/>
  <c r="S591" i="3"/>
  <c r="L591" i="3" s="1"/>
  <c r="AB589" i="3"/>
  <c r="W589" i="3"/>
  <c r="S589" i="3"/>
  <c r="L589" i="3" s="1"/>
  <c r="AB587" i="3"/>
  <c r="L587" i="3" s="1"/>
  <c r="W587" i="3"/>
  <c r="S587" i="3"/>
  <c r="AB585" i="3"/>
  <c r="W585" i="3"/>
  <c r="S585" i="3"/>
  <c r="AB583" i="3"/>
  <c r="W583" i="3"/>
  <c r="S583" i="3"/>
  <c r="L583" i="3" s="1"/>
  <c r="AB581" i="3"/>
  <c r="W581" i="3"/>
  <c r="S581" i="3"/>
  <c r="AB579" i="3"/>
  <c r="W579" i="3"/>
  <c r="S579" i="3"/>
  <c r="AB577" i="3"/>
  <c r="W577" i="3"/>
  <c r="S577" i="3"/>
  <c r="L577" i="3" s="1"/>
  <c r="AB575" i="3"/>
  <c r="W575" i="3"/>
  <c r="S575" i="3"/>
  <c r="L575" i="3" s="1"/>
  <c r="AB573" i="3"/>
  <c r="W573" i="3"/>
  <c r="S573" i="3"/>
  <c r="L573" i="3" s="1"/>
  <c r="AB571" i="3"/>
  <c r="W571" i="3"/>
  <c r="S571" i="3"/>
  <c r="L571" i="3" s="1"/>
  <c r="AB569" i="3"/>
  <c r="W569" i="3"/>
  <c r="S569" i="3"/>
  <c r="L569" i="3" s="1"/>
  <c r="AB567" i="3"/>
  <c r="W567" i="3"/>
  <c r="S567" i="3"/>
  <c r="L567" i="3" s="1"/>
  <c r="AB565" i="3"/>
  <c r="W565" i="3"/>
  <c r="S565" i="3"/>
  <c r="L565" i="3" s="1"/>
  <c r="AB563" i="3"/>
  <c r="W563" i="3"/>
  <c r="S563" i="3"/>
  <c r="L563" i="3" s="1"/>
  <c r="U562" i="3"/>
  <c r="Q562" i="3"/>
  <c r="M562" i="3"/>
  <c r="AB561" i="3"/>
  <c r="W561" i="3"/>
  <c r="S561" i="3"/>
  <c r="L561" i="3" s="1"/>
  <c r="U560" i="3"/>
  <c r="Q560" i="3"/>
  <c r="M560" i="3"/>
  <c r="AB559" i="3"/>
  <c r="W559" i="3"/>
  <c r="S559" i="3"/>
  <c r="U558" i="3"/>
  <c r="Q558" i="3"/>
  <c r="M558" i="3"/>
  <c r="AB557" i="3"/>
  <c r="W557" i="3"/>
  <c r="S557" i="3"/>
  <c r="L557" i="3" s="1"/>
  <c r="U556" i="3"/>
  <c r="Q556" i="3"/>
  <c r="M556" i="3"/>
  <c r="AB555" i="3"/>
  <c r="W555" i="3"/>
  <c r="S555" i="3"/>
  <c r="L555" i="3" s="1"/>
  <c r="U554" i="3"/>
  <c r="Q554" i="3"/>
  <c r="M554" i="3"/>
  <c r="AB553" i="3"/>
  <c r="W553" i="3"/>
  <c r="L553" i="3" s="1"/>
  <c r="S553" i="3"/>
  <c r="U552" i="3"/>
  <c r="Q552" i="3"/>
  <c r="M552" i="3"/>
  <c r="AB551" i="3"/>
  <c r="W551" i="3"/>
  <c r="S551" i="3"/>
  <c r="U550" i="3"/>
  <c r="Q550" i="3"/>
  <c r="M550" i="3"/>
  <c r="AB549" i="3"/>
  <c r="W549" i="3"/>
  <c r="S549" i="3"/>
  <c r="L549" i="3" s="1"/>
  <c r="U548" i="3"/>
  <c r="Q548" i="3"/>
  <c r="M548" i="3"/>
  <c r="AB547" i="3"/>
  <c r="W547" i="3"/>
  <c r="S547" i="3"/>
  <c r="L547" i="3" s="1"/>
  <c r="U546" i="3"/>
  <c r="Q546" i="3"/>
  <c r="M546" i="3"/>
  <c r="AB545" i="3"/>
  <c r="W545" i="3"/>
  <c r="L545" i="3" s="1"/>
  <c r="S545" i="3"/>
  <c r="U544" i="3"/>
  <c r="Q544" i="3"/>
  <c r="M544" i="3"/>
  <c r="AB543" i="3"/>
  <c r="W543" i="3"/>
  <c r="S543" i="3"/>
  <c r="U542" i="3"/>
  <c r="Q542" i="3"/>
  <c r="M542" i="3"/>
  <c r="AB541" i="3"/>
  <c r="W541" i="3"/>
  <c r="S541" i="3"/>
  <c r="U540" i="3"/>
  <c r="Q540" i="3"/>
  <c r="M540" i="3"/>
  <c r="AB539" i="3"/>
  <c r="W539" i="3"/>
  <c r="S539" i="3"/>
  <c r="U538" i="3"/>
  <c r="Q538" i="3"/>
  <c r="M538" i="3"/>
  <c r="AB537" i="3"/>
  <c r="W537" i="3"/>
  <c r="S537" i="3"/>
  <c r="L537" i="3" s="1"/>
  <c r="U536" i="3"/>
  <c r="Q536" i="3"/>
  <c r="M536" i="3"/>
  <c r="AB535" i="3"/>
  <c r="W535" i="3"/>
  <c r="S535" i="3"/>
  <c r="U534" i="3"/>
  <c r="Q534" i="3"/>
  <c r="M534" i="3"/>
  <c r="AB533" i="3"/>
  <c r="W533" i="3"/>
  <c r="S533" i="3"/>
  <c r="L533" i="3" s="1"/>
  <c r="U532" i="3"/>
  <c r="Q532" i="3"/>
  <c r="M532" i="3"/>
  <c r="L532" i="3" s="1"/>
  <c r="AB531" i="3"/>
  <c r="W531" i="3"/>
  <c r="S531" i="3"/>
  <c r="L531" i="3" s="1"/>
  <c r="U530" i="3"/>
  <c r="Q530" i="3"/>
  <c r="M530" i="3"/>
  <c r="AB529" i="3"/>
  <c r="W529" i="3"/>
  <c r="S529" i="3"/>
  <c r="U528" i="3"/>
  <c r="Q528" i="3"/>
  <c r="M528" i="3"/>
  <c r="AB527" i="3"/>
  <c r="W527" i="3"/>
  <c r="S527" i="3"/>
  <c r="U526" i="3"/>
  <c r="Q526" i="3"/>
  <c r="M526" i="3"/>
  <c r="AB525" i="3"/>
  <c r="W525" i="3"/>
  <c r="L525" i="3" s="1"/>
  <c r="S525" i="3"/>
  <c r="U524" i="3"/>
  <c r="Q524" i="3"/>
  <c r="M524" i="3"/>
  <c r="AB523" i="3"/>
  <c r="W523" i="3"/>
  <c r="S523" i="3"/>
  <c r="L523" i="3" s="1"/>
  <c r="U522" i="3"/>
  <c r="Q522" i="3"/>
  <c r="M522" i="3"/>
  <c r="AB521" i="3"/>
  <c r="W521" i="3"/>
  <c r="S521" i="3"/>
  <c r="L521" i="3" s="1"/>
  <c r="U520" i="3"/>
  <c r="Q520" i="3"/>
  <c r="M520" i="3"/>
  <c r="L520" i="3" s="1"/>
  <c r="AB519" i="3"/>
  <c r="W519" i="3"/>
  <c r="S519" i="3"/>
  <c r="L519" i="3" s="1"/>
  <c r="U518" i="3"/>
  <c r="Q518" i="3"/>
  <c r="M518" i="3"/>
  <c r="AB517" i="3"/>
  <c r="W517" i="3"/>
  <c r="S517" i="3"/>
  <c r="L517" i="3" s="1"/>
  <c r="U516" i="3"/>
  <c r="Q516" i="3"/>
  <c r="M516" i="3"/>
  <c r="AB515" i="3"/>
  <c r="W515" i="3"/>
  <c r="S515" i="3"/>
  <c r="U514" i="3"/>
  <c r="Q514" i="3"/>
  <c r="M514" i="3"/>
  <c r="AB513" i="3"/>
  <c r="W513" i="3"/>
  <c r="S513" i="3"/>
  <c r="L513" i="3" s="1"/>
  <c r="U512" i="3"/>
  <c r="Q512" i="3"/>
  <c r="M512" i="3"/>
  <c r="L512" i="3" s="1"/>
  <c r="AB511" i="3"/>
  <c r="W511" i="3"/>
  <c r="S511" i="3"/>
  <c r="U510" i="3"/>
  <c r="Q510" i="3"/>
  <c r="M510" i="3"/>
  <c r="AB509" i="3"/>
  <c r="W509" i="3"/>
  <c r="S509" i="3"/>
  <c r="U508" i="3"/>
  <c r="Q508" i="3"/>
  <c r="M508" i="3"/>
  <c r="AB507" i="3"/>
  <c r="W507" i="3"/>
  <c r="S507" i="3"/>
  <c r="O507" i="3"/>
  <c r="L507" i="3" s="1"/>
  <c r="U504" i="3"/>
  <c r="L504" i="3" s="1"/>
  <c r="AB503" i="3"/>
  <c r="L503" i="3" s="1"/>
  <c r="U502" i="3"/>
  <c r="L502" i="3" s="1"/>
  <c r="U500" i="3"/>
  <c r="L500" i="3" s="1"/>
  <c r="AB497" i="3"/>
  <c r="L497" i="3" s="1"/>
  <c r="AB495" i="3"/>
  <c r="W495" i="3"/>
  <c r="S495" i="3"/>
  <c r="N495" i="3"/>
  <c r="AC494" i="3"/>
  <c r="V494" i="3"/>
  <c r="P494" i="3"/>
  <c r="S491" i="3"/>
  <c r="W491" i="3"/>
  <c r="AB491" i="3"/>
  <c r="E490" i="3"/>
  <c r="M490" i="3"/>
  <c r="Q490" i="3"/>
  <c r="U490" i="3"/>
  <c r="AA487" i="3"/>
  <c r="T487" i="3"/>
  <c r="N487" i="3"/>
  <c r="AC486" i="3"/>
  <c r="V486" i="3"/>
  <c r="P486" i="3"/>
  <c r="O483" i="3"/>
  <c r="S483" i="3"/>
  <c r="W483" i="3"/>
  <c r="AB483" i="3"/>
  <c r="E482" i="3"/>
  <c r="M482" i="3"/>
  <c r="Q482" i="3"/>
  <c r="U482" i="3"/>
  <c r="AA479" i="3"/>
  <c r="T479" i="3"/>
  <c r="N479" i="3"/>
  <c r="AC478" i="3"/>
  <c r="V478" i="3"/>
  <c r="P478" i="3"/>
  <c r="O475" i="3"/>
  <c r="S475" i="3"/>
  <c r="W475" i="3"/>
  <c r="AB475" i="3"/>
  <c r="E474" i="3"/>
  <c r="M474" i="3"/>
  <c r="Q474" i="3"/>
  <c r="U474" i="3"/>
  <c r="AA471" i="3"/>
  <c r="T471" i="3"/>
  <c r="N471" i="3"/>
  <c r="AC470" i="3"/>
  <c r="V470" i="3"/>
  <c r="P470" i="3"/>
  <c r="O467" i="3"/>
  <c r="S467" i="3"/>
  <c r="W467" i="3"/>
  <c r="AB467" i="3"/>
  <c r="E466" i="3"/>
  <c r="M466" i="3"/>
  <c r="Q466" i="3"/>
  <c r="U466" i="3"/>
  <c r="AA463" i="3"/>
  <c r="T463" i="3"/>
  <c r="N463" i="3"/>
  <c r="AC462" i="3"/>
  <c r="V462" i="3"/>
  <c r="P462" i="3"/>
  <c r="O459" i="3"/>
  <c r="S459" i="3"/>
  <c r="W459" i="3"/>
  <c r="AB459" i="3"/>
  <c r="E458" i="3"/>
  <c r="M458" i="3"/>
  <c r="Q458" i="3"/>
  <c r="U458" i="3"/>
  <c r="AA455" i="3"/>
  <c r="T455" i="3"/>
  <c r="N455" i="3"/>
  <c r="AC454" i="3"/>
  <c r="L454" i="3" s="1"/>
  <c r="V454" i="3"/>
  <c r="P454" i="3"/>
  <c r="O451" i="3"/>
  <c r="S451" i="3"/>
  <c r="W451" i="3"/>
  <c r="AB451" i="3"/>
  <c r="E450" i="3"/>
  <c r="M450" i="3"/>
  <c r="Q450" i="3"/>
  <c r="U450" i="3"/>
  <c r="AA447" i="3"/>
  <c r="T447" i="3"/>
  <c r="N447" i="3"/>
  <c r="AC446" i="3"/>
  <c r="V446" i="3"/>
  <c r="P446" i="3"/>
  <c r="O443" i="3"/>
  <c r="S443" i="3"/>
  <c r="W443" i="3"/>
  <c r="AB443" i="3"/>
  <c r="E442" i="3"/>
  <c r="M442" i="3"/>
  <c r="Q442" i="3"/>
  <c r="U442" i="3"/>
  <c r="AA439" i="3"/>
  <c r="T439" i="3"/>
  <c r="N439" i="3"/>
  <c r="AC438" i="3"/>
  <c r="L438" i="3" s="1"/>
  <c r="V438" i="3"/>
  <c r="P438" i="3"/>
  <c r="S435" i="3"/>
  <c r="W435" i="3"/>
  <c r="AB435" i="3"/>
  <c r="E434" i="3"/>
  <c r="M434" i="3"/>
  <c r="L434" i="3" s="1"/>
  <c r="Q434" i="3"/>
  <c r="U434" i="3"/>
  <c r="AA431" i="3"/>
  <c r="T431" i="3"/>
  <c r="N431" i="3"/>
  <c r="AC430" i="3"/>
  <c r="V430" i="3"/>
  <c r="P430" i="3"/>
  <c r="O427" i="3"/>
  <c r="S427" i="3"/>
  <c r="W427" i="3"/>
  <c r="AB427" i="3"/>
  <c r="E426" i="3"/>
  <c r="M426" i="3"/>
  <c r="Q426" i="3"/>
  <c r="U426" i="3"/>
  <c r="AA423" i="3"/>
  <c r="T423" i="3"/>
  <c r="N423" i="3"/>
  <c r="S419" i="3"/>
  <c r="W419" i="3"/>
  <c r="AB419" i="3"/>
  <c r="E418" i="3"/>
  <c r="M418" i="3"/>
  <c r="Q418" i="3"/>
  <c r="U418" i="3"/>
  <c r="O411" i="3"/>
  <c r="S411" i="3"/>
  <c r="W411" i="3"/>
  <c r="AB411" i="3"/>
  <c r="E410" i="3"/>
  <c r="M410" i="3"/>
  <c r="Q410" i="3"/>
  <c r="U410" i="3"/>
  <c r="O403" i="3"/>
  <c r="S403" i="3"/>
  <c r="W403" i="3"/>
  <c r="AB403" i="3"/>
  <c r="E402" i="3"/>
  <c r="M402" i="3"/>
  <c r="Q402" i="3"/>
  <c r="U402" i="3"/>
  <c r="O395" i="3"/>
  <c r="S395" i="3"/>
  <c r="W395" i="3"/>
  <c r="AB395" i="3"/>
  <c r="E394" i="3"/>
  <c r="M394" i="3"/>
  <c r="Q394" i="3"/>
  <c r="U394" i="3"/>
  <c r="O388" i="3"/>
  <c r="S388" i="3"/>
  <c r="W388" i="3"/>
  <c r="AB388" i="3"/>
  <c r="E388" i="3"/>
  <c r="M388" i="3"/>
  <c r="Q388" i="3"/>
  <c r="U388" i="3"/>
  <c r="N388" i="3"/>
  <c r="R388" i="3"/>
  <c r="V388" i="3"/>
  <c r="AA388" i="3"/>
  <c r="AA507" i="3"/>
  <c r="V507" i="3"/>
  <c r="R507" i="3"/>
  <c r="AA495" i="3"/>
  <c r="V495" i="3"/>
  <c r="R495" i="3"/>
  <c r="M495" i="3"/>
  <c r="E495" i="3"/>
  <c r="AB494" i="3"/>
  <c r="T494" i="3"/>
  <c r="O494" i="3"/>
  <c r="AC491" i="3"/>
  <c r="U491" i="3"/>
  <c r="P491" i="3"/>
  <c r="W490" i="3"/>
  <c r="R490" i="3"/>
  <c r="O489" i="3"/>
  <c r="L489" i="3" s="1"/>
  <c r="S489" i="3"/>
  <c r="W489" i="3"/>
  <c r="AB489" i="3"/>
  <c r="E488" i="3"/>
  <c r="M488" i="3"/>
  <c r="Q488" i="3"/>
  <c r="U488" i="3"/>
  <c r="R487" i="3"/>
  <c r="M487" i="3"/>
  <c r="E487" i="3"/>
  <c r="AB486" i="3"/>
  <c r="T486" i="3"/>
  <c r="O486" i="3"/>
  <c r="AC483" i="3"/>
  <c r="U483" i="3"/>
  <c r="P483" i="3"/>
  <c r="W482" i="3"/>
  <c r="R482" i="3"/>
  <c r="S481" i="3"/>
  <c r="W481" i="3"/>
  <c r="AB481" i="3"/>
  <c r="E480" i="3"/>
  <c r="M480" i="3"/>
  <c r="Q480" i="3"/>
  <c r="U480" i="3"/>
  <c r="R479" i="3"/>
  <c r="M479" i="3"/>
  <c r="E479" i="3"/>
  <c r="AB478" i="3"/>
  <c r="T478" i="3"/>
  <c r="O478" i="3"/>
  <c r="AC475" i="3"/>
  <c r="U475" i="3"/>
  <c r="P475" i="3"/>
  <c r="W474" i="3"/>
  <c r="R474" i="3"/>
  <c r="L474" i="3" s="1"/>
  <c r="O473" i="3"/>
  <c r="L473" i="3" s="1"/>
  <c r="S473" i="3"/>
  <c r="W473" i="3"/>
  <c r="AB473" i="3"/>
  <c r="E472" i="3"/>
  <c r="M472" i="3"/>
  <c r="Q472" i="3"/>
  <c r="U472" i="3"/>
  <c r="R471" i="3"/>
  <c r="M471" i="3"/>
  <c r="E471" i="3"/>
  <c r="AB470" i="3"/>
  <c r="T470" i="3"/>
  <c r="AC467" i="3"/>
  <c r="U467" i="3"/>
  <c r="P467" i="3"/>
  <c r="W466" i="3"/>
  <c r="R466" i="3"/>
  <c r="O465" i="3"/>
  <c r="L465" i="3" s="1"/>
  <c r="S465" i="3"/>
  <c r="W465" i="3"/>
  <c r="AB465" i="3"/>
  <c r="E464" i="3"/>
  <c r="M464" i="3"/>
  <c r="Q464" i="3"/>
  <c r="U464" i="3"/>
  <c r="R463" i="3"/>
  <c r="M463" i="3"/>
  <c r="E463" i="3"/>
  <c r="AB462" i="3"/>
  <c r="T462" i="3"/>
  <c r="O462" i="3"/>
  <c r="L462" i="3" s="1"/>
  <c r="AC459" i="3"/>
  <c r="U459" i="3"/>
  <c r="P459" i="3"/>
  <c r="W458" i="3"/>
  <c r="R458" i="3"/>
  <c r="O457" i="3"/>
  <c r="S457" i="3"/>
  <c r="W457" i="3"/>
  <c r="AB457" i="3"/>
  <c r="E456" i="3"/>
  <c r="M456" i="3"/>
  <c r="Q456" i="3"/>
  <c r="U456" i="3"/>
  <c r="R455" i="3"/>
  <c r="M455" i="3"/>
  <c r="E455" i="3"/>
  <c r="AB454" i="3"/>
  <c r="T454" i="3"/>
  <c r="O454" i="3"/>
  <c r="AC451" i="3"/>
  <c r="U451" i="3"/>
  <c r="P451" i="3"/>
  <c r="W450" i="3"/>
  <c r="R450" i="3"/>
  <c r="S449" i="3"/>
  <c r="W449" i="3"/>
  <c r="AB449" i="3"/>
  <c r="E448" i="3"/>
  <c r="M448" i="3"/>
  <c r="Q448" i="3"/>
  <c r="U448" i="3"/>
  <c r="R447" i="3"/>
  <c r="M447" i="3"/>
  <c r="E447" i="3"/>
  <c r="AB446" i="3"/>
  <c r="T446" i="3"/>
  <c r="O446" i="3"/>
  <c r="AC443" i="3"/>
  <c r="U443" i="3"/>
  <c r="P443" i="3"/>
  <c r="W442" i="3"/>
  <c r="R442" i="3"/>
  <c r="L442" i="3" s="1"/>
  <c r="O441" i="3"/>
  <c r="L441" i="3" s="1"/>
  <c r="S441" i="3"/>
  <c r="W441" i="3"/>
  <c r="AB441" i="3"/>
  <c r="E440" i="3"/>
  <c r="M440" i="3"/>
  <c r="Q440" i="3"/>
  <c r="U440" i="3"/>
  <c r="R439" i="3"/>
  <c r="M439" i="3"/>
  <c r="E439" i="3"/>
  <c r="AB438" i="3"/>
  <c r="T438" i="3"/>
  <c r="O438" i="3"/>
  <c r="AC435" i="3"/>
  <c r="U435" i="3"/>
  <c r="P435" i="3"/>
  <c r="W434" i="3"/>
  <c r="R434" i="3"/>
  <c r="O433" i="3"/>
  <c r="S433" i="3"/>
  <c r="W433" i="3"/>
  <c r="AB433" i="3"/>
  <c r="E432" i="3"/>
  <c r="M432" i="3"/>
  <c r="Q432" i="3"/>
  <c r="U432" i="3"/>
  <c r="R431" i="3"/>
  <c r="M431" i="3"/>
  <c r="E431" i="3"/>
  <c r="AB430" i="3"/>
  <c r="T430" i="3"/>
  <c r="O430" i="3"/>
  <c r="L430" i="3" s="1"/>
  <c r="AA429" i="3"/>
  <c r="T429" i="3"/>
  <c r="N429" i="3"/>
  <c r="AC427" i="3"/>
  <c r="U427" i="3"/>
  <c r="P427" i="3"/>
  <c r="W426" i="3"/>
  <c r="R426" i="3"/>
  <c r="L426" i="3"/>
  <c r="O425" i="3"/>
  <c r="L425" i="3" s="1"/>
  <c r="S425" i="3"/>
  <c r="W425" i="3"/>
  <c r="AB425" i="3"/>
  <c r="E424" i="3"/>
  <c r="M424" i="3"/>
  <c r="Q424" i="3"/>
  <c r="U424" i="3"/>
  <c r="R423" i="3"/>
  <c r="M423" i="3"/>
  <c r="E423" i="3"/>
  <c r="AB422" i="3"/>
  <c r="L422" i="3" s="1"/>
  <c r="T422" i="3"/>
  <c r="O422" i="3"/>
  <c r="AA421" i="3"/>
  <c r="T421" i="3"/>
  <c r="N421" i="3"/>
  <c r="L421" i="3" s="1"/>
  <c r="AC419" i="3"/>
  <c r="U419" i="3"/>
  <c r="P419" i="3"/>
  <c r="W418" i="3"/>
  <c r="R418" i="3"/>
  <c r="O417" i="3"/>
  <c r="L417" i="3" s="1"/>
  <c r="S417" i="3"/>
  <c r="W417" i="3"/>
  <c r="AB417" i="3"/>
  <c r="E416" i="3"/>
  <c r="M416" i="3"/>
  <c r="Q416" i="3"/>
  <c r="U416" i="3"/>
  <c r="R415" i="3"/>
  <c r="M415" i="3"/>
  <c r="E415" i="3"/>
  <c r="AB414" i="3"/>
  <c r="T414" i="3"/>
  <c r="AA413" i="3"/>
  <c r="T413" i="3"/>
  <c r="N413" i="3"/>
  <c r="L413" i="3" s="1"/>
  <c r="AC411" i="3"/>
  <c r="U411" i="3"/>
  <c r="P411" i="3"/>
  <c r="W410" i="3"/>
  <c r="R410" i="3"/>
  <c r="O409" i="3"/>
  <c r="S409" i="3"/>
  <c r="L409" i="3" s="1"/>
  <c r="W409" i="3"/>
  <c r="AB409" i="3"/>
  <c r="E408" i="3"/>
  <c r="M408" i="3"/>
  <c r="L408" i="3" s="1"/>
  <c r="Q408" i="3"/>
  <c r="U408" i="3"/>
  <c r="R407" i="3"/>
  <c r="M407" i="3"/>
  <c r="E407" i="3"/>
  <c r="AB406" i="3"/>
  <c r="T406" i="3"/>
  <c r="O406" i="3"/>
  <c r="AA405" i="3"/>
  <c r="T405" i="3"/>
  <c r="N405" i="3"/>
  <c r="L405" i="3" s="1"/>
  <c r="AC403" i="3"/>
  <c r="U403" i="3"/>
  <c r="P403" i="3"/>
  <c r="W402" i="3"/>
  <c r="R402" i="3"/>
  <c r="O401" i="3"/>
  <c r="L401" i="3" s="1"/>
  <c r="S401" i="3"/>
  <c r="W401" i="3"/>
  <c r="AB401" i="3"/>
  <c r="E400" i="3"/>
  <c r="M400" i="3"/>
  <c r="Q400" i="3"/>
  <c r="U400" i="3"/>
  <c r="R399" i="3"/>
  <c r="M399" i="3"/>
  <c r="E399" i="3"/>
  <c r="AB398" i="3"/>
  <c r="T398" i="3"/>
  <c r="AA397" i="3"/>
  <c r="T397" i="3"/>
  <c r="N397" i="3"/>
  <c r="AC395" i="3"/>
  <c r="U395" i="3"/>
  <c r="P395" i="3"/>
  <c r="W394" i="3"/>
  <c r="R394" i="3"/>
  <c r="L394" i="3"/>
  <c r="S393" i="3"/>
  <c r="W393" i="3"/>
  <c r="AB393" i="3"/>
  <c r="E392" i="3"/>
  <c r="M392" i="3"/>
  <c r="Q392" i="3"/>
  <c r="U392" i="3"/>
  <c r="E390" i="3"/>
  <c r="M390" i="3"/>
  <c r="Q390" i="3"/>
  <c r="U390" i="3"/>
  <c r="N390" i="3"/>
  <c r="R390" i="3"/>
  <c r="V390" i="3"/>
  <c r="AA390" i="3"/>
  <c r="AA386" i="3"/>
  <c r="V386" i="3"/>
  <c r="R386" i="3"/>
  <c r="N386" i="3"/>
  <c r="AA384" i="3"/>
  <c r="V384" i="3"/>
  <c r="R384" i="3"/>
  <c r="N384" i="3"/>
  <c r="AA382" i="3"/>
  <c r="V382" i="3"/>
  <c r="R382" i="3"/>
  <c r="N382" i="3"/>
  <c r="AC381" i="3"/>
  <c r="V381" i="3"/>
  <c r="P381" i="3"/>
  <c r="AC380" i="3"/>
  <c r="U380" i="3"/>
  <c r="P380" i="3"/>
  <c r="W379" i="3"/>
  <c r="R379" i="3"/>
  <c r="O378" i="3"/>
  <c r="S378" i="3"/>
  <c r="W378" i="3"/>
  <c r="AB378" i="3"/>
  <c r="E377" i="3"/>
  <c r="M377" i="3"/>
  <c r="Q377" i="3"/>
  <c r="U377" i="3"/>
  <c r="T376" i="3"/>
  <c r="S373" i="3"/>
  <c r="W373" i="3"/>
  <c r="AB373" i="3"/>
  <c r="E373" i="3"/>
  <c r="M373" i="3"/>
  <c r="Q373" i="3"/>
  <c r="U373" i="3"/>
  <c r="T372" i="3"/>
  <c r="O369" i="3"/>
  <c r="S369" i="3"/>
  <c r="W369" i="3"/>
  <c r="AB369" i="3"/>
  <c r="E369" i="3"/>
  <c r="M369" i="3"/>
  <c r="Q369" i="3"/>
  <c r="U369" i="3"/>
  <c r="T368" i="3"/>
  <c r="O365" i="3"/>
  <c r="S365" i="3"/>
  <c r="W365" i="3"/>
  <c r="AB365" i="3"/>
  <c r="E365" i="3"/>
  <c r="M365" i="3"/>
  <c r="Q365" i="3"/>
  <c r="U365" i="3"/>
  <c r="T364" i="3"/>
  <c r="O361" i="3"/>
  <c r="S361" i="3"/>
  <c r="W361" i="3"/>
  <c r="AB361" i="3"/>
  <c r="E361" i="3"/>
  <c r="M361" i="3"/>
  <c r="Q361" i="3"/>
  <c r="U361" i="3"/>
  <c r="T360" i="3"/>
  <c r="O357" i="3"/>
  <c r="S357" i="3"/>
  <c r="W357" i="3"/>
  <c r="AB357" i="3"/>
  <c r="E357" i="3"/>
  <c r="M357" i="3"/>
  <c r="Q357" i="3"/>
  <c r="U357" i="3"/>
  <c r="T356" i="3"/>
  <c r="O353" i="3"/>
  <c r="S353" i="3"/>
  <c r="W353" i="3"/>
  <c r="AB353" i="3"/>
  <c r="E353" i="3"/>
  <c r="M353" i="3"/>
  <c r="Q353" i="3"/>
  <c r="U353" i="3"/>
  <c r="T352" i="3"/>
  <c r="O349" i="3"/>
  <c r="S349" i="3"/>
  <c r="W349" i="3"/>
  <c r="AB349" i="3"/>
  <c r="E349" i="3"/>
  <c r="M349" i="3"/>
  <c r="Q349" i="3"/>
  <c r="U349" i="3"/>
  <c r="V348" i="3"/>
  <c r="U342" i="3"/>
  <c r="AB345" i="3"/>
  <c r="AB391" i="3"/>
  <c r="W391" i="3"/>
  <c r="S391" i="3"/>
  <c r="AB389" i="3"/>
  <c r="W389" i="3"/>
  <c r="S389" i="3"/>
  <c r="L389" i="3" s="1"/>
  <c r="AB387" i="3"/>
  <c r="W387" i="3"/>
  <c r="S387" i="3"/>
  <c r="U386" i="3"/>
  <c r="Q386" i="3"/>
  <c r="M386" i="3"/>
  <c r="AB385" i="3"/>
  <c r="W385" i="3"/>
  <c r="S385" i="3"/>
  <c r="L385" i="3" s="1"/>
  <c r="U384" i="3"/>
  <c r="Q384" i="3"/>
  <c r="M384" i="3"/>
  <c r="AB383" i="3"/>
  <c r="W383" i="3"/>
  <c r="S383" i="3"/>
  <c r="L383" i="3" s="1"/>
  <c r="U382" i="3"/>
  <c r="Q382" i="3"/>
  <c r="M382" i="3"/>
  <c r="AB381" i="3"/>
  <c r="T381" i="3"/>
  <c r="AA380" i="3"/>
  <c r="T380" i="3"/>
  <c r="N380" i="3"/>
  <c r="AC379" i="3"/>
  <c r="V379" i="3"/>
  <c r="P379" i="3"/>
  <c r="AC378" i="3"/>
  <c r="U378" i="3"/>
  <c r="P378" i="3"/>
  <c r="R376" i="3"/>
  <c r="E374" i="3"/>
  <c r="M374" i="3"/>
  <c r="Q374" i="3"/>
  <c r="U374" i="3"/>
  <c r="O374" i="3"/>
  <c r="S374" i="3"/>
  <c r="W374" i="3"/>
  <c r="AB374" i="3"/>
  <c r="R372" i="3"/>
  <c r="AC371" i="3"/>
  <c r="E370" i="3"/>
  <c r="M370" i="3"/>
  <c r="Q370" i="3"/>
  <c r="U370" i="3"/>
  <c r="O370" i="3"/>
  <c r="S370" i="3"/>
  <c r="W370" i="3"/>
  <c r="AB370" i="3"/>
  <c r="T369" i="3"/>
  <c r="R368" i="3"/>
  <c r="AC367" i="3"/>
  <c r="E366" i="3"/>
  <c r="M366" i="3"/>
  <c r="Q366" i="3"/>
  <c r="U366" i="3"/>
  <c r="O366" i="3"/>
  <c r="S366" i="3"/>
  <c r="W366" i="3"/>
  <c r="AB366" i="3"/>
  <c r="T365" i="3"/>
  <c r="R364" i="3"/>
  <c r="AC363" i="3"/>
  <c r="E362" i="3"/>
  <c r="M362" i="3"/>
  <c r="Q362" i="3"/>
  <c r="U362" i="3"/>
  <c r="O362" i="3"/>
  <c r="S362" i="3"/>
  <c r="W362" i="3"/>
  <c r="AB362" i="3"/>
  <c r="T361" i="3"/>
  <c r="R360" i="3"/>
  <c r="AC359" i="3"/>
  <c r="E358" i="3"/>
  <c r="M358" i="3"/>
  <c r="Q358" i="3"/>
  <c r="U358" i="3"/>
  <c r="O358" i="3"/>
  <c r="S358" i="3"/>
  <c r="W358" i="3"/>
  <c r="AB358" i="3"/>
  <c r="T357" i="3"/>
  <c r="R356" i="3"/>
  <c r="AC355" i="3"/>
  <c r="E354" i="3"/>
  <c r="M354" i="3"/>
  <c r="Q354" i="3"/>
  <c r="U354" i="3"/>
  <c r="O354" i="3"/>
  <c r="S354" i="3"/>
  <c r="W354" i="3"/>
  <c r="AB354" i="3"/>
  <c r="T353" i="3"/>
  <c r="R352" i="3"/>
  <c r="AC351" i="3"/>
  <c r="E350" i="3"/>
  <c r="M350" i="3"/>
  <c r="Q350" i="3"/>
  <c r="U350" i="3"/>
  <c r="O350" i="3"/>
  <c r="S350" i="3"/>
  <c r="W350" i="3"/>
  <c r="AB350" i="3"/>
  <c r="T349" i="3"/>
  <c r="T348" i="3"/>
  <c r="E347" i="3"/>
  <c r="M347" i="3"/>
  <c r="Q347" i="3"/>
  <c r="U347" i="3"/>
  <c r="L347" i="3" s="1"/>
  <c r="O347" i="3"/>
  <c r="T347" i="3"/>
  <c r="AB347" i="3"/>
  <c r="R347" i="3"/>
  <c r="W347" i="3"/>
  <c r="E343" i="3"/>
  <c r="M343" i="3"/>
  <c r="Q343" i="3"/>
  <c r="U343" i="3"/>
  <c r="R343" i="3"/>
  <c r="W343" i="3"/>
  <c r="O343" i="3"/>
  <c r="T343" i="3"/>
  <c r="L343" i="3" s="1"/>
  <c r="AB343" i="3"/>
  <c r="P343" i="3"/>
  <c r="V343" i="3"/>
  <c r="AC343" i="3"/>
  <c r="E381" i="3"/>
  <c r="M381" i="3"/>
  <c r="Q381" i="3"/>
  <c r="U381" i="3"/>
  <c r="R380" i="3"/>
  <c r="M380" i="3"/>
  <c r="AB379" i="3"/>
  <c r="T379" i="3"/>
  <c r="AA378" i="3"/>
  <c r="T378" i="3"/>
  <c r="N378" i="3"/>
  <c r="AC376" i="3"/>
  <c r="O375" i="3"/>
  <c r="S375" i="3"/>
  <c r="W375" i="3"/>
  <c r="AB375" i="3"/>
  <c r="E375" i="3"/>
  <c r="M375" i="3"/>
  <c r="Q375" i="3"/>
  <c r="U375" i="3"/>
  <c r="AC372" i="3"/>
  <c r="O371" i="3"/>
  <c r="S371" i="3"/>
  <c r="W371" i="3"/>
  <c r="AB371" i="3"/>
  <c r="E371" i="3"/>
  <c r="M371" i="3"/>
  <c r="Q371" i="3"/>
  <c r="U371" i="3"/>
  <c r="AC368" i="3"/>
  <c r="O367" i="3"/>
  <c r="S367" i="3"/>
  <c r="W367" i="3"/>
  <c r="AB367" i="3"/>
  <c r="E367" i="3"/>
  <c r="M367" i="3"/>
  <c r="Q367" i="3"/>
  <c r="U367" i="3"/>
  <c r="AC364" i="3"/>
  <c r="O363" i="3"/>
  <c r="S363" i="3"/>
  <c r="W363" i="3"/>
  <c r="AB363" i="3"/>
  <c r="E363" i="3"/>
  <c r="M363" i="3"/>
  <c r="Q363" i="3"/>
  <c r="U363" i="3"/>
  <c r="AC360" i="3"/>
  <c r="O359" i="3"/>
  <c r="S359" i="3"/>
  <c r="W359" i="3"/>
  <c r="AB359" i="3"/>
  <c r="E359" i="3"/>
  <c r="M359" i="3"/>
  <c r="Q359" i="3"/>
  <c r="U359" i="3"/>
  <c r="AC356" i="3"/>
  <c r="O355" i="3"/>
  <c r="S355" i="3"/>
  <c r="W355" i="3"/>
  <c r="AB355" i="3"/>
  <c r="E355" i="3"/>
  <c r="M355" i="3"/>
  <c r="Q355" i="3"/>
  <c r="U355" i="3"/>
  <c r="AC352" i="3"/>
  <c r="O351" i="3"/>
  <c r="S351" i="3"/>
  <c r="W351" i="3"/>
  <c r="AB351" i="3"/>
  <c r="E351" i="3"/>
  <c r="M351" i="3"/>
  <c r="Q351" i="3"/>
  <c r="U351" i="3"/>
  <c r="AC348" i="3"/>
  <c r="O344" i="3"/>
  <c r="S344" i="3"/>
  <c r="W344" i="3"/>
  <c r="AB344" i="3"/>
  <c r="P344" i="3"/>
  <c r="U344" i="3"/>
  <c r="AC344" i="3"/>
  <c r="E344" i="3"/>
  <c r="M344" i="3"/>
  <c r="R344" i="3"/>
  <c r="N344" i="3"/>
  <c r="T344" i="3"/>
  <c r="AA344" i="3"/>
  <c r="O336" i="3"/>
  <c r="S336" i="3"/>
  <c r="W336" i="3"/>
  <c r="AB336" i="3"/>
  <c r="P336" i="3"/>
  <c r="U336" i="3"/>
  <c r="AC336" i="3"/>
  <c r="E336" i="3"/>
  <c r="M336" i="3"/>
  <c r="R336" i="3"/>
  <c r="N336" i="3"/>
  <c r="T336" i="3"/>
  <c r="AA336" i="3"/>
  <c r="O380" i="3"/>
  <c r="S380" i="3"/>
  <c r="W380" i="3"/>
  <c r="AB380" i="3"/>
  <c r="E379" i="3"/>
  <c r="M379" i="3"/>
  <c r="Q379" i="3"/>
  <c r="U379" i="3"/>
  <c r="E376" i="3"/>
  <c r="M376" i="3"/>
  <c r="Q376" i="3"/>
  <c r="U376" i="3"/>
  <c r="O376" i="3"/>
  <c r="S376" i="3"/>
  <c r="W376" i="3"/>
  <c r="AB376" i="3"/>
  <c r="E372" i="3"/>
  <c r="M372" i="3"/>
  <c r="Q372" i="3"/>
  <c r="U372" i="3"/>
  <c r="O372" i="3"/>
  <c r="L372" i="3" s="1"/>
  <c r="S372" i="3"/>
  <c r="W372" i="3"/>
  <c r="AB372" i="3"/>
  <c r="E368" i="3"/>
  <c r="M368" i="3"/>
  <c r="Q368" i="3"/>
  <c r="U368" i="3"/>
  <c r="O368" i="3"/>
  <c r="S368" i="3"/>
  <c r="W368" i="3"/>
  <c r="AB368" i="3"/>
  <c r="E364" i="3"/>
  <c r="M364" i="3"/>
  <c r="Q364" i="3"/>
  <c r="U364" i="3"/>
  <c r="O364" i="3"/>
  <c r="S364" i="3"/>
  <c r="W364" i="3"/>
  <c r="AB364" i="3"/>
  <c r="E360" i="3"/>
  <c r="M360" i="3"/>
  <c r="Q360" i="3"/>
  <c r="U360" i="3"/>
  <c r="S360" i="3"/>
  <c r="W360" i="3"/>
  <c r="AB360" i="3"/>
  <c r="E356" i="3"/>
  <c r="M356" i="3"/>
  <c r="Q356" i="3"/>
  <c r="U356" i="3"/>
  <c r="O356" i="3"/>
  <c r="S356" i="3"/>
  <c r="W356" i="3"/>
  <c r="AB356" i="3"/>
  <c r="E352" i="3"/>
  <c r="M352" i="3"/>
  <c r="Q352" i="3"/>
  <c r="U352" i="3"/>
  <c r="O352" i="3"/>
  <c r="S352" i="3"/>
  <c r="W352" i="3"/>
  <c r="AB352" i="3"/>
  <c r="O348" i="3"/>
  <c r="S348" i="3"/>
  <c r="W348" i="3"/>
  <c r="E348" i="3"/>
  <c r="M348" i="3"/>
  <c r="R348" i="3"/>
  <c r="P348" i="3"/>
  <c r="U348" i="3"/>
  <c r="AB348" i="3"/>
  <c r="O340" i="3"/>
  <c r="S340" i="3"/>
  <c r="W340" i="3"/>
  <c r="AB340" i="3"/>
  <c r="E339" i="3"/>
  <c r="M339" i="3"/>
  <c r="Q339" i="3"/>
  <c r="U339" i="3"/>
  <c r="AB337" i="3"/>
  <c r="AC335" i="3"/>
  <c r="V335" i="3"/>
  <c r="P335" i="3"/>
  <c r="O332" i="3"/>
  <c r="S332" i="3"/>
  <c r="W332" i="3"/>
  <c r="AB332" i="3"/>
  <c r="E331" i="3"/>
  <c r="M331" i="3"/>
  <c r="Q331" i="3"/>
  <c r="U331" i="3"/>
  <c r="AA328" i="3"/>
  <c r="T328" i="3"/>
  <c r="N328" i="3"/>
  <c r="AC327" i="3"/>
  <c r="V327" i="3"/>
  <c r="P327" i="3"/>
  <c r="O324" i="3"/>
  <c r="S324" i="3"/>
  <c r="W324" i="3"/>
  <c r="AB324" i="3"/>
  <c r="E323" i="3"/>
  <c r="M323" i="3"/>
  <c r="Q323" i="3"/>
  <c r="U323" i="3"/>
  <c r="AA320" i="3"/>
  <c r="T320" i="3"/>
  <c r="N320" i="3"/>
  <c r="AC319" i="3"/>
  <c r="V319" i="3"/>
  <c r="P319" i="3"/>
  <c r="O316" i="3"/>
  <c r="S316" i="3"/>
  <c r="W316" i="3"/>
  <c r="AB316" i="3"/>
  <c r="E315" i="3"/>
  <c r="M315" i="3"/>
  <c r="Q315" i="3"/>
  <c r="U315" i="3"/>
  <c r="AA312" i="3"/>
  <c r="T312" i="3"/>
  <c r="N312" i="3"/>
  <c r="AC311" i="3"/>
  <c r="V311" i="3"/>
  <c r="P311" i="3"/>
  <c r="O308" i="3"/>
  <c r="S308" i="3"/>
  <c r="W308" i="3"/>
  <c r="AB308" i="3"/>
  <c r="E307" i="3"/>
  <c r="M307" i="3"/>
  <c r="Q307" i="3"/>
  <c r="U307" i="3"/>
  <c r="AA304" i="3"/>
  <c r="T304" i="3"/>
  <c r="N304" i="3"/>
  <c r="AC303" i="3"/>
  <c r="V303" i="3"/>
  <c r="P303" i="3"/>
  <c r="AC302" i="3"/>
  <c r="U302" i="3"/>
  <c r="P302" i="3"/>
  <c r="O300" i="3"/>
  <c r="S300" i="3"/>
  <c r="W300" i="3"/>
  <c r="AB300" i="3"/>
  <c r="E299" i="3"/>
  <c r="M299" i="3"/>
  <c r="Q299" i="3"/>
  <c r="U299" i="3"/>
  <c r="AA296" i="3"/>
  <c r="T296" i="3"/>
  <c r="N296" i="3"/>
  <c r="AC295" i="3"/>
  <c r="V295" i="3"/>
  <c r="P295" i="3"/>
  <c r="AC294" i="3"/>
  <c r="U294" i="3"/>
  <c r="P294" i="3"/>
  <c r="S292" i="3"/>
  <c r="W292" i="3"/>
  <c r="AB292" i="3"/>
  <c r="E291" i="3"/>
  <c r="M291" i="3"/>
  <c r="Q291" i="3"/>
  <c r="U291" i="3"/>
  <c r="AA288" i="3"/>
  <c r="T288" i="3"/>
  <c r="N288" i="3"/>
  <c r="AC287" i="3"/>
  <c r="V287" i="3"/>
  <c r="P287" i="3"/>
  <c r="AC286" i="3"/>
  <c r="U286" i="3"/>
  <c r="P286" i="3"/>
  <c r="W285" i="3"/>
  <c r="R285" i="3"/>
  <c r="O284" i="3"/>
  <c r="S284" i="3"/>
  <c r="W284" i="3"/>
  <c r="AB284" i="3"/>
  <c r="E283" i="3"/>
  <c r="M283" i="3"/>
  <c r="Q283" i="3"/>
  <c r="U283" i="3"/>
  <c r="R282" i="3"/>
  <c r="M282" i="3"/>
  <c r="AB281" i="3"/>
  <c r="T281" i="3"/>
  <c r="AA280" i="3"/>
  <c r="T280" i="3"/>
  <c r="N280" i="3"/>
  <c r="AC279" i="3"/>
  <c r="V279" i="3"/>
  <c r="P279" i="3"/>
  <c r="AC278" i="3"/>
  <c r="U278" i="3"/>
  <c r="P278" i="3"/>
  <c r="W277" i="3"/>
  <c r="R277" i="3"/>
  <c r="O276" i="3"/>
  <c r="S276" i="3"/>
  <c r="W276" i="3"/>
  <c r="AB276" i="3"/>
  <c r="E275" i="3"/>
  <c r="M275" i="3"/>
  <c r="Q275" i="3"/>
  <c r="U275" i="3"/>
  <c r="R274" i="3"/>
  <c r="M274" i="3"/>
  <c r="AB273" i="3"/>
  <c r="T273" i="3"/>
  <c r="AA272" i="3"/>
  <c r="T272" i="3"/>
  <c r="N272" i="3"/>
  <c r="AC271" i="3"/>
  <c r="V271" i="3"/>
  <c r="P271" i="3"/>
  <c r="AC270" i="3"/>
  <c r="U270" i="3"/>
  <c r="P270" i="3"/>
  <c r="W269" i="3"/>
  <c r="R269" i="3"/>
  <c r="O268" i="3"/>
  <c r="S268" i="3"/>
  <c r="W268" i="3"/>
  <c r="AB268" i="3"/>
  <c r="E267" i="3"/>
  <c r="M267" i="3"/>
  <c r="Q267" i="3"/>
  <c r="U267" i="3"/>
  <c r="R266" i="3"/>
  <c r="M266" i="3"/>
  <c r="AB265" i="3"/>
  <c r="T265" i="3"/>
  <c r="AA264" i="3"/>
  <c r="T264" i="3"/>
  <c r="N264" i="3"/>
  <c r="AC263" i="3"/>
  <c r="V263" i="3"/>
  <c r="P263" i="3"/>
  <c r="AC262" i="3"/>
  <c r="U262" i="3"/>
  <c r="P262" i="3"/>
  <c r="W261" i="3"/>
  <c r="R261" i="3"/>
  <c r="O260" i="3"/>
  <c r="S260" i="3"/>
  <c r="W260" i="3"/>
  <c r="AB260" i="3"/>
  <c r="E259" i="3"/>
  <c r="M259" i="3"/>
  <c r="Q259" i="3"/>
  <c r="U259" i="3"/>
  <c r="R258" i="3"/>
  <c r="M258" i="3"/>
  <c r="T257" i="3"/>
  <c r="AA256" i="3"/>
  <c r="T256" i="3"/>
  <c r="N256" i="3"/>
  <c r="AC255" i="3"/>
  <c r="V255" i="3"/>
  <c r="P255" i="3"/>
  <c r="AC254" i="3"/>
  <c r="U254" i="3"/>
  <c r="P254" i="3"/>
  <c r="W253" i="3"/>
  <c r="R253" i="3"/>
  <c r="O252" i="3"/>
  <c r="S252" i="3"/>
  <c r="W252" i="3"/>
  <c r="AB252" i="3"/>
  <c r="E251" i="3"/>
  <c r="M251" i="3"/>
  <c r="Q251" i="3"/>
  <c r="U251" i="3"/>
  <c r="R250" i="3"/>
  <c r="M250" i="3"/>
  <c r="AB249" i="3"/>
  <c r="T249" i="3"/>
  <c r="AA248" i="3"/>
  <c r="T248" i="3"/>
  <c r="N248" i="3"/>
  <c r="AC247" i="3"/>
  <c r="V247" i="3"/>
  <c r="P247" i="3"/>
  <c r="AC246" i="3"/>
  <c r="U246" i="3"/>
  <c r="P246" i="3"/>
  <c r="W245" i="3"/>
  <c r="R245" i="3"/>
  <c r="O244" i="3"/>
  <c r="S244" i="3"/>
  <c r="W244" i="3"/>
  <c r="AB244" i="3"/>
  <c r="E243" i="3"/>
  <c r="M243" i="3"/>
  <c r="Q243" i="3"/>
  <c r="U243" i="3"/>
  <c r="L242" i="3"/>
  <c r="E241" i="3"/>
  <c r="M241" i="3"/>
  <c r="Q241" i="3"/>
  <c r="U241" i="3"/>
  <c r="N241" i="3"/>
  <c r="R241" i="3"/>
  <c r="V241" i="3"/>
  <c r="AA241" i="3"/>
  <c r="U236" i="3"/>
  <c r="E233" i="3"/>
  <c r="O215" i="3"/>
  <c r="S215" i="3"/>
  <c r="W215" i="3"/>
  <c r="AB215" i="3"/>
  <c r="E215" i="3"/>
  <c r="M215" i="3"/>
  <c r="R215" i="3"/>
  <c r="N215" i="3"/>
  <c r="L215" i="3" s="1"/>
  <c r="T215" i="3"/>
  <c r="AA215" i="3"/>
  <c r="P215" i="3"/>
  <c r="U215" i="3"/>
  <c r="AC215" i="3"/>
  <c r="O346" i="3"/>
  <c r="S346" i="3"/>
  <c r="W346" i="3"/>
  <c r="AB346" i="3"/>
  <c r="E345" i="3"/>
  <c r="M345" i="3"/>
  <c r="Q345" i="3"/>
  <c r="U345" i="3"/>
  <c r="AA342" i="3"/>
  <c r="T342" i="3"/>
  <c r="AC341" i="3"/>
  <c r="V341" i="3"/>
  <c r="AC340" i="3"/>
  <c r="U340" i="3"/>
  <c r="P340" i="3"/>
  <c r="W339" i="3"/>
  <c r="R339" i="3"/>
  <c r="O338" i="3"/>
  <c r="L338" i="3" s="1"/>
  <c r="S338" i="3"/>
  <c r="W338" i="3"/>
  <c r="AB338" i="3"/>
  <c r="E337" i="3"/>
  <c r="M337" i="3"/>
  <c r="Q337" i="3"/>
  <c r="U337" i="3"/>
  <c r="AB335" i="3"/>
  <c r="T335" i="3"/>
  <c r="AA334" i="3"/>
  <c r="T334" i="3"/>
  <c r="AC333" i="3"/>
  <c r="V333" i="3"/>
  <c r="AC332" i="3"/>
  <c r="U332" i="3"/>
  <c r="P332" i="3"/>
  <c r="W331" i="3"/>
  <c r="R331" i="3"/>
  <c r="O330" i="3"/>
  <c r="L330" i="3" s="1"/>
  <c r="S330" i="3"/>
  <c r="W330" i="3"/>
  <c r="AB330" i="3"/>
  <c r="E329" i="3"/>
  <c r="M329" i="3"/>
  <c r="Q329" i="3"/>
  <c r="U329" i="3"/>
  <c r="R328" i="3"/>
  <c r="M328" i="3"/>
  <c r="AB327" i="3"/>
  <c r="T327" i="3"/>
  <c r="AA326" i="3"/>
  <c r="T326" i="3"/>
  <c r="AC325" i="3"/>
  <c r="V325" i="3"/>
  <c r="AC324" i="3"/>
  <c r="U324" i="3"/>
  <c r="P324" i="3"/>
  <c r="W323" i="3"/>
  <c r="R323" i="3"/>
  <c r="O322" i="3"/>
  <c r="L322" i="3" s="1"/>
  <c r="S322" i="3"/>
  <c r="W322" i="3"/>
  <c r="AB322" i="3"/>
  <c r="E321" i="3"/>
  <c r="M321" i="3"/>
  <c r="Q321" i="3"/>
  <c r="U321" i="3"/>
  <c r="R320" i="3"/>
  <c r="M320" i="3"/>
  <c r="AB319" i="3"/>
  <c r="T319" i="3"/>
  <c r="AA318" i="3"/>
  <c r="T318" i="3"/>
  <c r="AC317" i="3"/>
  <c r="V317" i="3"/>
  <c r="AC316" i="3"/>
  <c r="U316" i="3"/>
  <c r="P316" i="3"/>
  <c r="W315" i="3"/>
  <c r="R315" i="3"/>
  <c r="O314" i="3"/>
  <c r="L314" i="3" s="1"/>
  <c r="S314" i="3"/>
  <c r="W314" i="3"/>
  <c r="AB314" i="3"/>
  <c r="E313" i="3"/>
  <c r="M313" i="3"/>
  <c r="Q313" i="3"/>
  <c r="U313" i="3"/>
  <c r="R312" i="3"/>
  <c r="M312" i="3"/>
  <c r="AB311" i="3"/>
  <c r="T311" i="3"/>
  <c r="AA310" i="3"/>
  <c r="T310" i="3"/>
  <c r="AC309" i="3"/>
  <c r="V309" i="3"/>
  <c r="AC308" i="3"/>
  <c r="U308" i="3"/>
  <c r="P308" i="3"/>
  <c r="W307" i="3"/>
  <c r="R307" i="3"/>
  <c r="O306" i="3"/>
  <c r="S306" i="3"/>
  <c r="W306" i="3"/>
  <c r="L306" i="3" s="1"/>
  <c r="AB306" i="3"/>
  <c r="E305" i="3"/>
  <c r="M305" i="3"/>
  <c r="Q305" i="3"/>
  <c r="U305" i="3"/>
  <c r="R304" i="3"/>
  <c r="M304" i="3"/>
  <c r="AB303" i="3"/>
  <c r="T303" i="3"/>
  <c r="AA302" i="3"/>
  <c r="T302" i="3"/>
  <c r="AC301" i="3"/>
  <c r="V301" i="3"/>
  <c r="AC300" i="3"/>
  <c r="U300" i="3"/>
  <c r="P300" i="3"/>
  <c r="W299" i="3"/>
  <c r="R299" i="3"/>
  <c r="O298" i="3"/>
  <c r="L298" i="3" s="1"/>
  <c r="S298" i="3"/>
  <c r="W298" i="3"/>
  <c r="AB298" i="3"/>
  <c r="E297" i="3"/>
  <c r="M297" i="3"/>
  <c r="Q297" i="3"/>
  <c r="U297" i="3"/>
  <c r="R296" i="3"/>
  <c r="M296" i="3"/>
  <c r="AB295" i="3"/>
  <c r="T295" i="3"/>
  <c r="AA294" i="3"/>
  <c r="T294" i="3"/>
  <c r="AC293" i="3"/>
  <c r="V293" i="3"/>
  <c r="AC292" i="3"/>
  <c r="U292" i="3"/>
  <c r="P292" i="3"/>
  <c r="W291" i="3"/>
  <c r="R291" i="3"/>
  <c r="O290" i="3"/>
  <c r="S290" i="3"/>
  <c r="L290" i="3" s="1"/>
  <c r="W290" i="3"/>
  <c r="AB290" i="3"/>
  <c r="E289" i="3"/>
  <c r="M289" i="3"/>
  <c r="Q289" i="3"/>
  <c r="U289" i="3"/>
  <c r="R288" i="3"/>
  <c r="M288" i="3"/>
  <c r="AB287" i="3"/>
  <c r="T287" i="3"/>
  <c r="AA286" i="3"/>
  <c r="T286" i="3"/>
  <c r="N286" i="3"/>
  <c r="AC285" i="3"/>
  <c r="V285" i="3"/>
  <c r="AC284" i="3"/>
  <c r="U284" i="3"/>
  <c r="P284" i="3"/>
  <c r="O282" i="3"/>
  <c r="S282" i="3"/>
  <c r="W282" i="3"/>
  <c r="AB282" i="3"/>
  <c r="E281" i="3"/>
  <c r="M281" i="3"/>
  <c r="Q281" i="3"/>
  <c r="U281" i="3"/>
  <c r="R280" i="3"/>
  <c r="M280" i="3"/>
  <c r="AB279" i="3"/>
  <c r="T279" i="3"/>
  <c r="AA278" i="3"/>
  <c r="T278" i="3"/>
  <c r="N278" i="3"/>
  <c r="AC277" i="3"/>
  <c r="V277" i="3"/>
  <c r="AC276" i="3"/>
  <c r="U276" i="3"/>
  <c r="L276" i="3" s="1"/>
  <c r="P276" i="3"/>
  <c r="O274" i="3"/>
  <c r="S274" i="3"/>
  <c r="W274" i="3"/>
  <c r="AB274" i="3"/>
  <c r="E273" i="3"/>
  <c r="M273" i="3"/>
  <c r="Q273" i="3"/>
  <c r="U273" i="3"/>
  <c r="R272" i="3"/>
  <c r="M272" i="3"/>
  <c r="AB271" i="3"/>
  <c r="T271" i="3"/>
  <c r="AA270" i="3"/>
  <c r="T270" i="3"/>
  <c r="N270" i="3"/>
  <c r="AC269" i="3"/>
  <c r="V269" i="3"/>
  <c r="P269" i="3"/>
  <c r="AC268" i="3"/>
  <c r="U268" i="3"/>
  <c r="P268" i="3"/>
  <c r="O266" i="3"/>
  <c r="S266" i="3"/>
  <c r="W266" i="3"/>
  <c r="AB266" i="3"/>
  <c r="E265" i="3"/>
  <c r="M265" i="3"/>
  <c r="Q265" i="3"/>
  <c r="U265" i="3"/>
  <c r="R264" i="3"/>
  <c r="M264" i="3"/>
  <c r="AB263" i="3"/>
  <c r="T263" i="3"/>
  <c r="AA262" i="3"/>
  <c r="T262" i="3"/>
  <c r="N262" i="3"/>
  <c r="AC261" i="3"/>
  <c r="V261" i="3"/>
  <c r="AC260" i="3"/>
  <c r="U260" i="3"/>
  <c r="P260" i="3"/>
  <c r="S258" i="3"/>
  <c r="W258" i="3"/>
  <c r="AB258" i="3"/>
  <c r="E257" i="3"/>
  <c r="M257" i="3"/>
  <c r="Q257" i="3"/>
  <c r="U257" i="3"/>
  <c r="R256" i="3"/>
  <c r="M256" i="3"/>
  <c r="AB255" i="3"/>
  <c r="T255" i="3"/>
  <c r="AA254" i="3"/>
  <c r="T254" i="3"/>
  <c r="N254" i="3"/>
  <c r="AC253" i="3"/>
  <c r="V253" i="3"/>
  <c r="AC252" i="3"/>
  <c r="U252" i="3"/>
  <c r="P252" i="3"/>
  <c r="O250" i="3"/>
  <c r="S250" i="3"/>
  <c r="W250" i="3"/>
  <c r="AB250" i="3"/>
  <c r="E249" i="3"/>
  <c r="M249" i="3"/>
  <c r="Q249" i="3"/>
  <c r="U249" i="3"/>
  <c r="R248" i="3"/>
  <c r="M248" i="3"/>
  <c r="AB247" i="3"/>
  <c r="T247" i="3"/>
  <c r="AA246" i="3"/>
  <c r="T246" i="3"/>
  <c r="N246" i="3"/>
  <c r="AC245" i="3"/>
  <c r="V245" i="3"/>
  <c r="AC244" i="3"/>
  <c r="U244" i="3"/>
  <c r="P244" i="3"/>
  <c r="U238" i="3"/>
  <c r="E235" i="3"/>
  <c r="E222" i="3"/>
  <c r="M222" i="3"/>
  <c r="Q222" i="3"/>
  <c r="U222" i="3"/>
  <c r="O222" i="3"/>
  <c r="T222" i="3"/>
  <c r="AB222" i="3"/>
  <c r="P222" i="3"/>
  <c r="V222" i="3"/>
  <c r="AC222" i="3"/>
  <c r="R222" i="3"/>
  <c r="W222" i="3"/>
  <c r="E335" i="3"/>
  <c r="M335" i="3"/>
  <c r="Q335" i="3"/>
  <c r="U335" i="3"/>
  <c r="O328" i="3"/>
  <c r="S328" i="3"/>
  <c r="W328" i="3"/>
  <c r="AB328" i="3"/>
  <c r="E327" i="3"/>
  <c r="M327" i="3"/>
  <c r="Q327" i="3"/>
  <c r="U327" i="3"/>
  <c r="O320" i="3"/>
  <c r="S320" i="3"/>
  <c r="W320" i="3"/>
  <c r="AB320" i="3"/>
  <c r="E319" i="3"/>
  <c r="M319" i="3"/>
  <c r="Q319" i="3"/>
  <c r="U319" i="3"/>
  <c r="O312" i="3"/>
  <c r="S312" i="3"/>
  <c r="W312" i="3"/>
  <c r="AB312" i="3"/>
  <c r="E311" i="3"/>
  <c r="M311" i="3"/>
  <c r="Q311" i="3"/>
  <c r="U311" i="3"/>
  <c r="S304" i="3"/>
  <c r="W304" i="3"/>
  <c r="AB304" i="3"/>
  <c r="E303" i="3"/>
  <c r="M303" i="3"/>
  <c r="Q303" i="3"/>
  <c r="U303" i="3"/>
  <c r="O296" i="3"/>
  <c r="S296" i="3"/>
  <c r="W296" i="3"/>
  <c r="AB296" i="3"/>
  <c r="E295" i="3"/>
  <c r="M295" i="3"/>
  <c r="Q295" i="3"/>
  <c r="U295" i="3"/>
  <c r="O288" i="3"/>
  <c r="S288" i="3"/>
  <c r="W288" i="3"/>
  <c r="AB288" i="3"/>
  <c r="E287" i="3"/>
  <c r="M287" i="3"/>
  <c r="Q287" i="3"/>
  <c r="U287" i="3"/>
  <c r="R286" i="3"/>
  <c r="M286" i="3"/>
  <c r="O280" i="3"/>
  <c r="S280" i="3"/>
  <c r="W280" i="3"/>
  <c r="AB280" i="3"/>
  <c r="E279" i="3"/>
  <c r="M279" i="3"/>
  <c r="Q279" i="3"/>
  <c r="U279" i="3"/>
  <c r="R278" i="3"/>
  <c r="M278" i="3"/>
  <c r="O272" i="3"/>
  <c r="S272" i="3"/>
  <c r="W272" i="3"/>
  <c r="AB272" i="3"/>
  <c r="E271" i="3"/>
  <c r="M271" i="3"/>
  <c r="Q271" i="3"/>
  <c r="U271" i="3"/>
  <c r="R270" i="3"/>
  <c r="M270" i="3"/>
  <c r="AB269" i="3"/>
  <c r="T269" i="3"/>
  <c r="S264" i="3"/>
  <c r="W264" i="3"/>
  <c r="AB264" i="3"/>
  <c r="E263" i="3"/>
  <c r="M263" i="3"/>
  <c r="Q263" i="3"/>
  <c r="U263" i="3"/>
  <c r="R262" i="3"/>
  <c r="M262" i="3"/>
  <c r="O256" i="3"/>
  <c r="S256" i="3"/>
  <c r="W256" i="3"/>
  <c r="AB256" i="3"/>
  <c r="E255" i="3"/>
  <c r="M255" i="3"/>
  <c r="Q255" i="3"/>
  <c r="U255" i="3"/>
  <c r="R254" i="3"/>
  <c r="M254" i="3"/>
  <c r="O248" i="3"/>
  <c r="S248" i="3"/>
  <c r="W248" i="3"/>
  <c r="AB248" i="3"/>
  <c r="E247" i="3"/>
  <c r="M247" i="3"/>
  <c r="Q247" i="3"/>
  <c r="U247" i="3"/>
  <c r="R246" i="3"/>
  <c r="M246" i="3"/>
  <c r="E230" i="3"/>
  <c r="M230" i="3"/>
  <c r="Q230" i="3"/>
  <c r="U230" i="3"/>
  <c r="O230" i="3"/>
  <c r="T230" i="3"/>
  <c r="AB230" i="3"/>
  <c r="P230" i="3"/>
  <c r="V230" i="3"/>
  <c r="AC230" i="3"/>
  <c r="R230" i="3"/>
  <c r="W230" i="3"/>
  <c r="S223" i="3"/>
  <c r="W223" i="3"/>
  <c r="AB223" i="3"/>
  <c r="E223" i="3"/>
  <c r="M223" i="3"/>
  <c r="R223" i="3"/>
  <c r="N223" i="3"/>
  <c r="T223" i="3"/>
  <c r="AA223" i="3"/>
  <c r="P223" i="3"/>
  <c r="U223" i="3"/>
  <c r="AC223" i="3"/>
  <c r="AA346" i="3"/>
  <c r="T346" i="3"/>
  <c r="N346" i="3"/>
  <c r="L346" i="3" s="1"/>
  <c r="O342" i="3"/>
  <c r="L342" i="3" s="1"/>
  <c r="S342" i="3"/>
  <c r="W342" i="3"/>
  <c r="AB342" i="3"/>
  <c r="E341" i="3"/>
  <c r="M341" i="3"/>
  <c r="Q341" i="3"/>
  <c r="U341" i="3"/>
  <c r="R340" i="3"/>
  <c r="M340" i="3"/>
  <c r="E340" i="3"/>
  <c r="AB339" i="3"/>
  <c r="T339" i="3"/>
  <c r="O339" i="3"/>
  <c r="L339" i="3" s="1"/>
  <c r="AA338" i="3"/>
  <c r="T338" i="3"/>
  <c r="N338" i="3"/>
  <c r="W335" i="3"/>
  <c r="R335" i="3"/>
  <c r="O334" i="3"/>
  <c r="L334" i="3" s="1"/>
  <c r="S334" i="3"/>
  <c r="W334" i="3"/>
  <c r="AB334" i="3"/>
  <c r="E333" i="3"/>
  <c r="M333" i="3"/>
  <c r="Q333" i="3"/>
  <c r="U333" i="3"/>
  <c r="R332" i="3"/>
  <c r="M332" i="3"/>
  <c r="E332" i="3"/>
  <c r="AB331" i="3"/>
  <c r="T331" i="3"/>
  <c r="O331" i="3"/>
  <c r="AC328" i="3"/>
  <c r="U328" i="3"/>
  <c r="P328" i="3"/>
  <c r="W327" i="3"/>
  <c r="R327" i="3"/>
  <c r="L327" i="3" s="1"/>
  <c r="O326" i="3"/>
  <c r="L326" i="3" s="1"/>
  <c r="S326" i="3"/>
  <c r="W326" i="3"/>
  <c r="AB326" i="3"/>
  <c r="E325" i="3"/>
  <c r="M325" i="3"/>
  <c r="Q325" i="3"/>
  <c r="U325" i="3"/>
  <c r="R324" i="3"/>
  <c r="M324" i="3"/>
  <c r="E324" i="3"/>
  <c r="AB323" i="3"/>
  <c r="T323" i="3"/>
  <c r="O323" i="3"/>
  <c r="AC320" i="3"/>
  <c r="U320" i="3"/>
  <c r="P320" i="3"/>
  <c r="W319" i="3"/>
  <c r="R319" i="3"/>
  <c r="O318" i="3"/>
  <c r="L318" i="3" s="1"/>
  <c r="S318" i="3"/>
  <c r="W318" i="3"/>
  <c r="AB318" i="3"/>
  <c r="E317" i="3"/>
  <c r="M317" i="3"/>
  <c r="Q317" i="3"/>
  <c r="U317" i="3"/>
  <c r="R316" i="3"/>
  <c r="M316" i="3"/>
  <c r="E316" i="3"/>
  <c r="AB315" i="3"/>
  <c r="T315" i="3"/>
  <c r="AC312" i="3"/>
  <c r="U312" i="3"/>
  <c r="P312" i="3"/>
  <c r="W311" i="3"/>
  <c r="R311" i="3"/>
  <c r="S310" i="3"/>
  <c r="W310" i="3"/>
  <c r="AB310" i="3"/>
  <c r="E309" i="3"/>
  <c r="M309" i="3"/>
  <c r="Q309" i="3"/>
  <c r="U309" i="3"/>
  <c r="R308" i="3"/>
  <c r="M308" i="3"/>
  <c r="E308" i="3"/>
  <c r="AB307" i="3"/>
  <c r="T307" i="3"/>
  <c r="O307" i="3"/>
  <c r="AC304" i="3"/>
  <c r="U304" i="3"/>
  <c r="P304" i="3"/>
  <c r="W303" i="3"/>
  <c r="R303" i="3"/>
  <c r="O302" i="3"/>
  <c r="L302" i="3" s="1"/>
  <c r="S302" i="3"/>
  <c r="W302" i="3"/>
  <c r="AB302" i="3"/>
  <c r="E301" i="3"/>
  <c r="M301" i="3"/>
  <c r="Q301" i="3"/>
  <c r="U301" i="3"/>
  <c r="R300" i="3"/>
  <c r="M300" i="3"/>
  <c r="E300" i="3"/>
  <c r="AB299" i="3"/>
  <c r="T299" i="3"/>
  <c r="O299" i="3"/>
  <c r="AC296" i="3"/>
  <c r="U296" i="3"/>
  <c r="P296" i="3"/>
  <c r="W295" i="3"/>
  <c r="R295" i="3"/>
  <c r="L295" i="3" s="1"/>
  <c r="O294" i="3"/>
  <c r="S294" i="3"/>
  <c r="W294" i="3"/>
  <c r="AB294" i="3"/>
  <c r="E293" i="3"/>
  <c r="M293" i="3"/>
  <c r="Q293" i="3"/>
  <c r="U293" i="3"/>
  <c r="R292" i="3"/>
  <c r="M292" i="3"/>
  <c r="E292" i="3"/>
  <c r="AB291" i="3"/>
  <c r="T291" i="3"/>
  <c r="O291" i="3"/>
  <c r="AC288" i="3"/>
  <c r="U288" i="3"/>
  <c r="P288" i="3"/>
  <c r="W287" i="3"/>
  <c r="R287" i="3"/>
  <c r="O286" i="3"/>
  <c r="S286" i="3"/>
  <c r="W286" i="3"/>
  <c r="AB286" i="3"/>
  <c r="E285" i="3"/>
  <c r="M285" i="3"/>
  <c r="Q285" i="3"/>
  <c r="L285" i="3" s="1"/>
  <c r="U285" i="3"/>
  <c r="AC280" i="3"/>
  <c r="U280" i="3"/>
  <c r="P280" i="3"/>
  <c r="W279" i="3"/>
  <c r="R279" i="3"/>
  <c r="O278" i="3"/>
  <c r="S278" i="3"/>
  <c r="W278" i="3"/>
  <c r="AB278" i="3"/>
  <c r="E277" i="3"/>
  <c r="M277" i="3"/>
  <c r="Q277" i="3"/>
  <c r="U277" i="3"/>
  <c r="L277" i="3" s="1"/>
  <c r="AC272" i="3"/>
  <c r="U272" i="3"/>
  <c r="P272" i="3"/>
  <c r="O270" i="3"/>
  <c r="S270" i="3"/>
  <c r="W270" i="3"/>
  <c r="AB270" i="3"/>
  <c r="E269" i="3"/>
  <c r="M269" i="3"/>
  <c r="Q269" i="3"/>
  <c r="U269" i="3"/>
  <c r="AC264" i="3"/>
  <c r="U264" i="3"/>
  <c r="P264" i="3"/>
  <c r="O262" i="3"/>
  <c r="S262" i="3"/>
  <c r="W262" i="3"/>
  <c r="AB262" i="3"/>
  <c r="E261" i="3"/>
  <c r="M261" i="3"/>
  <c r="Q261" i="3"/>
  <c r="U261" i="3"/>
  <c r="AC256" i="3"/>
  <c r="U256" i="3"/>
  <c r="P256" i="3"/>
  <c r="W255" i="3"/>
  <c r="R255" i="3"/>
  <c r="O254" i="3"/>
  <c r="S254" i="3"/>
  <c r="W254" i="3"/>
  <c r="AB254" i="3"/>
  <c r="E253" i="3"/>
  <c r="M253" i="3"/>
  <c r="Q253" i="3"/>
  <c r="U253" i="3"/>
  <c r="AC248" i="3"/>
  <c r="U248" i="3"/>
  <c r="P248" i="3"/>
  <c r="W247" i="3"/>
  <c r="R247" i="3"/>
  <c r="S246" i="3"/>
  <c r="W246" i="3"/>
  <c r="AB246" i="3"/>
  <c r="E245" i="3"/>
  <c r="M245" i="3"/>
  <c r="Q245" i="3"/>
  <c r="U245" i="3"/>
  <c r="E239" i="3"/>
  <c r="O231" i="3"/>
  <c r="S231" i="3"/>
  <c r="W231" i="3"/>
  <c r="AB231" i="3"/>
  <c r="E231" i="3"/>
  <c r="M231" i="3"/>
  <c r="R231" i="3"/>
  <c r="N231" i="3"/>
  <c r="T231" i="3"/>
  <c r="AA231" i="3"/>
  <c r="P231" i="3"/>
  <c r="U231" i="3"/>
  <c r="AC231" i="3"/>
  <c r="N230" i="3"/>
  <c r="E227" i="3"/>
  <c r="E214" i="3"/>
  <c r="M214" i="3"/>
  <c r="Q214" i="3"/>
  <c r="U214" i="3"/>
  <c r="O214" i="3"/>
  <c r="T214" i="3"/>
  <c r="AB214" i="3"/>
  <c r="P214" i="3"/>
  <c r="V214" i="3"/>
  <c r="AC214" i="3"/>
  <c r="R214" i="3"/>
  <c r="W214" i="3"/>
  <c r="O204" i="3"/>
  <c r="S204" i="3"/>
  <c r="W204" i="3"/>
  <c r="AB204" i="3"/>
  <c r="P204" i="3"/>
  <c r="U204" i="3"/>
  <c r="AC204" i="3"/>
  <c r="E204" i="3"/>
  <c r="M204" i="3"/>
  <c r="R204" i="3"/>
  <c r="N204" i="3"/>
  <c r="T204" i="3"/>
  <c r="AA204" i="3"/>
  <c r="AA239" i="3"/>
  <c r="V239" i="3"/>
  <c r="R239" i="3"/>
  <c r="N239" i="3"/>
  <c r="AA237" i="3"/>
  <c r="V237" i="3"/>
  <c r="R237" i="3"/>
  <c r="N237" i="3"/>
  <c r="O229" i="3"/>
  <c r="S229" i="3"/>
  <c r="W229" i="3"/>
  <c r="AB229" i="3"/>
  <c r="E228" i="3"/>
  <c r="M228" i="3"/>
  <c r="Q228" i="3"/>
  <c r="U228" i="3"/>
  <c r="R227" i="3"/>
  <c r="M227" i="3"/>
  <c r="AB226" i="3"/>
  <c r="T226" i="3"/>
  <c r="O221" i="3"/>
  <c r="S221" i="3"/>
  <c r="W221" i="3"/>
  <c r="AB221" i="3"/>
  <c r="E220" i="3"/>
  <c r="M220" i="3"/>
  <c r="Q220" i="3"/>
  <c r="U220" i="3"/>
  <c r="R219" i="3"/>
  <c r="M219" i="3"/>
  <c r="AB218" i="3"/>
  <c r="T218" i="3"/>
  <c r="O213" i="3"/>
  <c r="L213" i="3" s="1"/>
  <c r="S213" i="3"/>
  <c r="W213" i="3"/>
  <c r="AB213" i="3"/>
  <c r="E212" i="3"/>
  <c r="M212" i="3"/>
  <c r="L212" i="3" s="1"/>
  <c r="Q212" i="3"/>
  <c r="U212" i="3"/>
  <c r="R211" i="3"/>
  <c r="M211" i="3"/>
  <c r="E205" i="3"/>
  <c r="M205" i="3"/>
  <c r="Q205" i="3"/>
  <c r="U205" i="3"/>
  <c r="P205" i="3"/>
  <c r="V205" i="3"/>
  <c r="AC205" i="3"/>
  <c r="O205" i="3"/>
  <c r="T205" i="3"/>
  <c r="AB205" i="3"/>
  <c r="L204" i="3"/>
  <c r="AB242" i="3"/>
  <c r="W242" i="3"/>
  <c r="S242" i="3"/>
  <c r="AB240" i="3"/>
  <c r="W240" i="3"/>
  <c r="S240" i="3"/>
  <c r="L240" i="3" s="1"/>
  <c r="U239" i="3"/>
  <c r="Q239" i="3"/>
  <c r="M239" i="3"/>
  <c r="AB238" i="3"/>
  <c r="W238" i="3"/>
  <c r="S238" i="3"/>
  <c r="U237" i="3"/>
  <c r="Q237" i="3"/>
  <c r="M237" i="3"/>
  <c r="AB236" i="3"/>
  <c r="W236" i="3"/>
  <c r="S236" i="3"/>
  <c r="U235" i="3"/>
  <c r="Q235" i="3"/>
  <c r="M235" i="3"/>
  <c r="AB234" i="3"/>
  <c r="W234" i="3"/>
  <c r="S234" i="3"/>
  <c r="L234" i="3" s="1"/>
  <c r="U233" i="3"/>
  <c r="Q233" i="3"/>
  <c r="M233" i="3"/>
  <c r="AC229" i="3"/>
  <c r="U229" i="3"/>
  <c r="P229" i="3"/>
  <c r="O227" i="3"/>
  <c r="S227" i="3"/>
  <c r="W227" i="3"/>
  <c r="AB227" i="3"/>
  <c r="E226" i="3"/>
  <c r="M226" i="3"/>
  <c r="Q226" i="3"/>
  <c r="U226" i="3"/>
  <c r="L226" i="3" s="1"/>
  <c r="AC221" i="3"/>
  <c r="U221" i="3"/>
  <c r="P221" i="3"/>
  <c r="S219" i="3"/>
  <c r="W219" i="3"/>
  <c r="AB219" i="3"/>
  <c r="E218" i="3"/>
  <c r="M218" i="3"/>
  <c r="Q218" i="3"/>
  <c r="U218" i="3"/>
  <c r="U213" i="3"/>
  <c r="P213" i="3"/>
  <c r="W212" i="3"/>
  <c r="R212" i="3"/>
  <c r="O211" i="3"/>
  <c r="S211" i="3"/>
  <c r="W211" i="3"/>
  <c r="AB211" i="3"/>
  <c r="E210" i="3"/>
  <c r="M210" i="3"/>
  <c r="Q210" i="3"/>
  <c r="U210" i="3"/>
  <c r="L210" i="3" s="1"/>
  <c r="R209" i="3"/>
  <c r="M209" i="3"/>
  <c r="W205" i="3"/>
  <c r="E203" i="3"/>
  <c r="M203" i="3"/>
  <c r="Q203" i="3"/>
  <c r="U203" i="3"/>
  <c r="R203" i="3"/>
  <c r="W203" i="3"/>
  <c r="O203" i="3"/>
  <c r="T203" i="3"/>
  <c r="AB203" i="3"/>
  <c r="P203" i="3"/>
  <c r="V203" i="3"/>
  <c r="AC203" i="3"/>
  <c r="E232" i="3"/>
  <c r="M232" i="3"/>
  <c r="Q232" i="3"/>
  <c r="U232" i="3"/>
  <c r="AA229" i="3"/>
  <c r="T229" i="3"/>
  <c r="N229" i="3"/>
  <c r="AC228" i="3"/>
  <c r="V228" i="3"/>
  <c r="P228" i="3"/>
  <c r="AC227" i="3"/>
  <c r="U227" i="3"/>
  <c r="P227" i="3"/>
  <c r="W226" i="3"/>
  <c r="R226" i="3"/>
  <c r="O225" i="3"/>
  <c r="S225" i="3"/>
  <c r="W225" i="3"/>
  <c r="AB225" i="3"/>
  <c r="L225" i="3" s="1"/>
  <c r="E224" i="3"/>
  <c r="M224" i="3"/>
  <c r="Q224" i="3"/>
  <c r="U224" i="3"/>
  <c r="AA221" i="3"/>
  <c r="T221" i="3"/>
  <c r="N221" i="3"/>
  <c r="AC220" i="3"/>
  <c r="V220" i="3"/>
  <c r="P220" i="3"/>
  <c r="AC219" i="3"/>
  <c r="U219" i="3"/>
  <c r="P219" i="3"/>
  <c r="W218" i="3"/>
  <c r="R218" i="3"/>
  <c r="L218" i="3"/>
  <c r="O217" i="3"/>
  <c r="S217" i="3"/>
  <c r="W217" i="3"/>
  <c r="AB217" i="3"/>
  <c r="E216" i="3"/>
  <c r="M216" i="3"/>
  <c r="Q216" i="3"/>
  <c r="U216" i="3"/>
  <c r="AA213" i="3"/>
  <c r="T213" i="3"/>
  <c r="N213" i="3"/>
  <c r="AC212" i="3"/>
  <c r="V212" i="3"/>
  <c r="P212" i="3"/>
  <c r="AC211" i="3"/>
  <c r="U211" i="3"/>
  <c r="P211" i="3"/>
  <c r="W210" i="3"/>
  <c r="R210" i="3"/>
  <c r="O209" i="3"/>
  <c r="S209" i="3"/>
  <c r="W209" i="3"/>
  <c r="AB209" i="3"/>
  <c r="E208" i="3"/>
  <c r="M208" i="3"/>
  <c r="Q208" i="3"/>
  <c r="U208" i="3"/>
  <c r="N206" i="3"/>
  <c r="R206" i="3"/>
  <c r="V206" i="3"/>
  <c r="AA206" i="3"/>
  <c r="E206" i="3"/>
  <c r="M206" i="3"/>
  <c r="Q206" i="3"/>
  <c r="U206" i="3"/>
  <c r="S205" i="3"/>
  <c r="V204" i="3"/>
  <c r="N203" i="3"/>
  <c r="AB207" i="3"/>
  <c r="L207" i="3" s="1"/>
  <c r="W207" i="3"/>
  <c r="S207" i="3"/>
  <c r="AC202" i="3"/>
  <c r="U202" i="3"/>
  <c r="E197" i="3"/>
  <c r="M197" i="3"/>
  <c r="Q197" i="3"/>
  <c r="U197" i="3"/>
  <c r="O197" i="3"/>
  <c r="S197" i="3"/>
  <c r="W197" i="3"/>
  <c r="AB197" i="3"/>
  <c r="E193" i="3"/>
  <c r="M193" i="3"/>
  <c r="Q193" i="3"/>
  <c r="U193" i="3"/>
  <c r="O193" i="3"/>
  <c r="S193" i="3"/>
  <c r="W193" i="3"/>
  <c r="AB193" i="3"/>
  <c r="O198" i="3"/>
  <c r="S198" i="3"/>
  <c r="W198" i="3"/>
  <c r="AB198" i="3"/>
  <c r="E198" i="3"/>
  <c r="M198" i="3"/>
  <c r="Q198" i="3"/>
  <c r="U198" i="3"/>
  <c r="S194" i="3"/>
  <c r="W194" i="3"/>
  <c r="AB194" i="3"/>
  <c r="E194" i="3"/>
  <c r="M194" i="3"/>
  <c r="Q194" i="3"/>
  <c r="U194" i="3"/>
  <c r="E199" i="3"/>
  <c r="M199" i="3"/>
  <c r="Q199" i="3"/>
  <c r="U199" i="3"/>
  <c r="L199" i="3" s="1"/>
  <c r="O199" i="3"/>
  <c r="S199" i="3"/>
  <c r="W199" i="3"/>
  <c r="AB199" i="3"/>
  <c r="T198" i="3"/>
  <c r="E195" i="3"/>
  <c r="M195" i="3"/>
  <c r="Q195" i="3"/>
  <c r="U195" i="3"/>
  <c r="L195" i="3" s="1"/>
  <c r="O195" i="3"/>
  <c r="S195" i="3"/>
  <c r="W195" i="3"/>
  <c r="AB195" i="3"/>
  <c r="T194" i="3"/>
  <c r="E191" i="3"/>
  <c r="M191" i="3"/>
  <c r="Q191" i="3"/>
  <c r="U191" i="3"/>
  <c r="L191" i="3" s="1"/>
  <c r="O191" i="3"/>
  <c r="S191" i="3"/>
  <c r="W191" i="3"/>
  <c r="AB191" i="3"/>
  <c r="O186" i="3"/>
  <c r="S186" i="3"/>
  <c r="W186" i="3"/>
  <c r="AB186" i="3"/>
  <c r="E186" i="3"/>
  <c r="M186" i="3"/>
  <c r="R186" i="3"/>
  <c r="N186" i="3"/>
  <c r="T186" i="3"/>
  <c r="AA186" i="3"/>
  <c r="P186" i="3"/>
  <c r="L186" i="3" s="1"/>
  <c r="U186" i="3"/>
  <c r="AC186" i="3"/>
  <c r="O202" i="3"/>
  <c r="S202" i="3"/>
  <c r="L202" i="3" s="1"/>
  <c r="W202" i="3"/>
  <c r="AB202" i="3"/>
  <c r="E201" i="3"/>
  <c r="M201" i="3"/>
  <c r="Q201" i="3"/>
  <c r="U201" i="3"/>
  <c r="O200" i="3"/>
  <c r="S200" i="3"/>
  <c r="W200" i="3"/>
  <c r="AB200" i="3"/>
  <c r="E200" i="3"/>
  <c r="M200" i="3"/>
  <c r="Q200" i="3"/>
  <c r="U200" i="3"/>
  <c r="T199" i="3"/>
  <c r="R198" i="3"/>
  <c r="P197" i="3"/>
  <c r="O196" i="3"/>
  <c r="S196" i="3"/>
  <c r="W196" i="3"/>
  <c r="AB196" i="3"/>
  <c r="E196" i="3"/>
  <c r="M196" i="3"/>
  <c r="Q196" i="3"/>
  <c r="U196" i="3"/>
  <c r="T195" i="3"/>
  <c r="R194" i="3"/>
  <c r="P193" i="3"/>
  <c r="O192" i="3"/>
  <c r="S192" i="3"/>
  <c r="W192" i="3"/>
  <c r="AB192" i="3"/>
  <c r="E192" i="3"/>
  <c r="M192" i="3"/>
  <c r="Q192" i="3"/>
  <c r="U192" i="3"/>
  <c r="T191" i="3"/>
  <c r="U190" i="3"/>
  <c r="Q190" i="3"/>
  <c r="M190" i="3"/>
  <c r="E190" i="3"/>
  <c r="O184" i="3"/>
  <c r="S184" i="3"/>
  <c r="W184" i="3"/>
  <c r="AB184" i="3"/>
  <c r="E183" i="3"/>
  <c r="M183" i="3"/>
  <c r="Q183" i="3"/>
  <c r="U183" i="3"/>
  <c r="V180" i="3"/>
  <c r="AA179" i="3"/>
  <c r="AC178" i="3"/>
  <c r="Q178" i="3"/>
  <c r="S177" i="3"/>
  <c r="T176" i="3"/>
  <c r="M176" i="3"/>
  <c r="V172" i="3"/>
  <c r="R170" i="3"/>
  <c r="E169" i="3"/>
  <c r="M169" i="3"/>
  <c r="Q169" i="3"/>
  <c r="U169" i="3"/>
  <c r="P169" i="3"/>
  <c r="V169" i="3"/>
  <c r="AC169" i="3"/>
  <c r="R169" i="3"/>
  <c r="W169" i="3"/>
  <c r="E163" i="3"/>
  <c r="M163" i="3"/>
  <c r="Q163" i="3"/>
  <c r="U163" i="3"/>
  <c r="O163" i="3"/>
  <c r="T163" i="3"/>
  <c r="AB163" i="3"/>
  <c r="P163" i="3"/>
  <c r="V163" i="3"/>
  <c r="AC163" i="3"/>
  <c r="R163" i="3"/>
  <c r="W163" i="3"/>
  <c r="E189" i="3"/>
  <c r="M189" i="3"/>
  <c r="Q189" i="3"/>
  <c r="U189" i="3"/>
  <c r="R188" i="3"/>
  <c r="M188" i="3"/>
  <c r="AB187" i="3"/>
  <c r="T187" i="3"/>
  <c r="AC185" i="3"/>
  <c r="V185" i="3"/>
  <c r="P185" i="3"/>
  <c r="AC184" i="3"/>
  <c r="U184" i="3"/>
  <c r="P184" i="3"/>
  <c r="W183" i="3"/>
  <c r="R183" i="3"/>
  <c r="O180" i="3"/>
  <c r="S180" i="3"/>
  <c r="W180" i="3"/>
  <c r="AB180" i="3"/>
  <c r="E180" i="3"/>
  <c r="M180" i="3"/>
  <c r="R180" i="3"/>
  <c r="R177" i="3"/>
  <c r="O176" i="3"/>
  <c r="S176" i="3"/>
  <c r="W176" i="3"/>
  <c r="AB176" i="3"/>
  <c r="P176" i="3"/>
  <c r="U176" i="3"/>
  <c r="AC176" i="3"/>
  <c r="U172" i="3"/>
  <c r="E171" i="3"/>
  <c r="M171" i="3"/>
  <c r="Q171" i="3"/>
  <c r="U171" i="3"/>
  <c r="O171" i="3"/>
  <c r="T171" i="3"/>
  <c r="AB171" i="3"/>
  <c r="P171" i="3"/>
  <c r="V171" i="3"/>
  <c r="AC171" i="3"/>
  <c r="Q170" i="3"/>
  <c r="O164" i="3"/>
  <c r="S164" i="3"/>
  <c r="W164" i="3"/>
  <c r="AB164" i="3"/>
  <c r="E164" i="3"/>
  <c r="M164" i="3"/>
  <c r="R164" i="3"/>
  <c r="N164" i="3"/>
  <c r="T164" i="3"/>
  <c r="AA164" i="3"/>
  <c r="P164" i="3"/>
  <c r="U164" i="3"/>
  <c r="AC164" i="3"/>
  <c r="AB182" i="3"/>
  <c r="AB190" i="3"/>
  <c r="W190" i="3"/>
  <c r="S190" i="3"/>
  <c r="O188" i="3"/>
  <c r="S188" i="3"/>
  <c r="W188" i="3"/>
  <c r="AB188" i="3"/>
  <c r="E187" i="3"/>
  <c r="M187" i="3"/>
  <c r="Q187" i="3"/>
  <c r="U187" i="3"/>
  <c r="AB185" i="3"/>
  <c r="T185" i="3"/>
  <c r="AA184" i="3"/>
  <c r="T184" i="3"/>
  <c r="N184" i="3"/>
  <c r="AC183" i="3"/>
  <c r="V183" i="3"/>
  <c r="P183" i="3"/>
  <c r="AC180" i="3"/>
  <c r="T180" i="3"/>
  <c r="E179" i="3"/>
  <c r="M179" i="3"/>
  <c r="Q179" i="3"/>
  <c r="U179" i="3"/>
  <c r="O179" i="3"/>
  <c r="T179" i="3"/>
  <c r="AB179" i="3"/>
  <c r="U178" i="3"/>
  <c r="M178" i="3"/>
  <c r="AA177" i="3"/>
  <c r="W177" i="3"/>
  <c r="Q176" i="3"/>
  <c r="W171" i="3"/>
  <c r="M170" i="3"/>
  <c r="U166" i="3"/>
  <c r="E185" i="3"/>
  <c r="M185" i="3"/>
  <c r="Q185" i="3"/>
  <c r="U185" i="3"/>
  <c r="R184" i="3"/>
  <c r="M184" i="3"/>
  <c r="E184" i="3"/>
  <c r="AB183" i="3"/>
  <c r="T183" i="3"/>
  <c r="O183" i="3"/>
  <c r="AA180" i="3"/>
  <c r="Q180" i="3"/>
  <c r="O178" i="3"/>
  <c r="S178" i="3"/>
  <c r="W178" i="3"/>
  <c r="AB178" i="3"/>
  <c r="N178" i="3"/>
  <c r="T178" i="3"/>
  <c r="AA178" i="3"/>
  <c r="E177" i="3"/>
  <c r="M177" i="3"/>
  <c r="Q177" i="3"/>
  <c r="U177" i="3"/>
  <c r="P177" i="3"/>
  <c r="V177" i="3"/>
  <c r="AC177" i="3"/>
  <c r="O172" i="3"/>
  <c r="S172" i="3"/>
  <c r="W172" i="3"/>
  <c r="AB172" i="3"/>
  <c r="E172" i="3"/>
  <c r="M172" i="3"/>
  <c r="R172" i="3"/>
  <c r="N172" i="3"/>
  <c r="T172" i="3"/>
  <c r="AA172" i="3"/>
  <c r="O170" i="3"/>
  <c r="S170" i="3"/>
  <c r="W170" i="3"/>
  <c r="AB170" i="3"/>
  <c r="N170" i="3"/>
  <c r="T170" i="3"/>
  <c r="AA170" i="3"/>
  <c r="P170" i="3"/>
  <c r="U170" i="3"/>
  <c r="AC170" i="3"/>
  <c r="R162" i="3"/>
  <c r="M162" i="3"/>
  <c r="T161" i="3"/>
  <c r="O156" i="3"/>
  <c r="S156" i="3"/>
  <c r="W156" i="3"/>
  <c r="AB156" i="3"/>
  <c r="E155" i="3"/>
  <c r="M155" i="3"/>
  <c r="Q155" i="3"/>
  <c r="U155" i="3"/>
  <c r="R154" i="3"/>
  <c r="M154" i="3"/>
  <c r="AB153" i="3"/>
  <c r="T153" i="3"/>
  <c r="O148" i="3"/>
  <c r="S148" i="3"/>
  <c r="W148" i="3"/>
  <c r="AB148" i="3"/>
  <c r="E147" i="3"/>
  <c r="M147" i="3"/>
  <c r="Q147" i="3"/>
  <c r="U147" i="3"/>
  <c r="R146" i="3"/>
  <c r="M146" i="3"/>
  <c r="AB145" i="3"/>
  <c r="T145" i="3"/>
  <c r="O142" i="3"/>
  <c r="E142" i="3"/>
  <c r="M142" i="3"/>
  <c r="R142" i="3"/>
  <c r="V142" i="3"/>
  <c r="AA142" i="3"/>
  <c r="N142" i="3"/>
  <c r="S142" i="3"/>
  <c r="W142" i="3"/>
  <c r="AB142" i="3"/>
  <c r="E139" i="3"/>
  <c r="M139" i="3"/>
  <c r="Q139" i="3"/>
  <c r="U139" i="3"/>
  <c r="L139" i="3" s="1"/>
  <c r="P139" i="3"/>
  <c r="V139" i="3"/>
  <c r="AC139" i="3"/>
  <c r="R139" i="3"/>
  <c r="W139" i="3"/>
  <c r="S134" i="3"/>
  <c r="W134" i="3"/>
  <c r="AB134" i="3"/>
  <c r="E134" i="3"/>
  <c r="M134" i="3"/>
  <c r="R134" i="3"/>
  <c r="N134" i="3"/>
  <c r="T134" i="3"/>
  <c r="AA134" i="3"/>
  <c r="E131" i="3"/>
  <c r="M131" i="3"/>
  <c r="Q131" i="3"/>
  <c r="U131" i="3"/>
  <c r="L131" i="3" s="1"/>
  <c r="P131" i="3"/>
  <c r="V131" i="3"/>
  <c r="AC131" i="3"/>
  <c r="R131" i="3"/>
  <c r="W131" i="3"/>
  <c r="O162" i="3"/>
  <c r="S162" i="3"/>
  <c r="W162" i="3"/>
  <c r="AB162" i="3"/>
  <c r="E161" i="3"/>
  <c r="M161" i="3"/>
  <c r="L161" i="3" s="1"/>
  <c r="Q161" i="3"/>
  <c r="U161" i="3"/>
  <c r="AC156" i="3"/>
  <c r="U156" i="3"/>
  <c r="P156" i="3"/>
  <c r="O154" i="3"/>
  <c r="S154" i="3"/>
  <c r="W154" i="3"/>
  <c r="AB154" i="3"/>
  <c r="E153" i="3"/>
  <c r="M153" i="3"/>
  <c r="Q153" i="3"/>
  <c r="U153" i="3"/>
  <c r="AC148" i="3"/>
  <c r="U148" i="3"/>
  <c r="P148" i="3"/>
  <c r="O146" i="3"/>
  <c r="S146" i="3"/>
  <c r="W146" i="3"/>
  <c r="AB146" i="3"/>
  <c r="E145" i="3"/>
  <c r="M145" i="3"/>
  <c r="Q145" i="3"/>
  <c r="U145" i="3"/>
  <c r="E143" i="3"/>
  <c r="E141" i="3"/>
  <c r="M141" i="3"/>
  <c r="Q141" i="3"/>
  <c r="U141" i="3"/>
  <c r="O141" i="3"/>
  <c r="T141" i="3"/>
  <c r="AB141" i="3"/>
  <c r="P141" i="3"/>
  <c r="V141" i="3"/>
  <c r="AC141" i="3"/>
  <c r="AB139" i="3"/>
  <c r="N139" i="3"/>
  <c r="AC134" i="3"/>
  <c r="V134" i="3"/>
  <c r="E133" i="3"/>
  <c r="M133" i="3"/>
  <c r="Q133" i="3"/>
  <c r="U133" i="3"/>
  <c r="O133" i="3"/>
  <c r="T133" i="3"/>
  <c r="AB133" i="3"/>
  <c r="P133" i="3"/>
  <c r="V133" i="3"/>
  <c r="AC133" i="3"/>
  <c r="N131" i="3"/>
  <c r="E125" i="3"/>
  <c r="M125" i="3"/>
  <c r="Q125" i="3"/>
  <c r="U125" i="3"/>
  <c r="O125" i="3"/>
  <c r="T125" i="3"/>
  <c r="AB125" i="3"/>
  <c r="P125" i="3"/>
  <c r="V125" i="3"/>
  <c r="AC125" i="3"/>
  <c r="R125" i="3"/>
  <c r="W125" i="3"/>
  <c r="E175" i="3"/>
  <c r="M175" i="3"/>
  <c r="Q175" i="3"/>
  <c r="U175" i="3"/>
  <c r="L175" i="3" s="1"/>
  <c r="O168" i="3"/>
  <c r="S168" i="3"/>
  <c r="W168" i="3"/>
  <c r="AB168" i="3"/>
  <c r="E167" i="3"/>
  <c r="M167" i="3"/>
  <c r="L167" i="3" s="1"/>
  <c r="Q167" i="3"/>
  <c r="U167" i="3"/>
  <c r="AC162" i="3"/>
  <c r="U162" i="3"/>
  <c r="P162" i="3"/>
  <c r="W161" i="3"/>
  <c r="R161" i="3"/>
  <c r="O160" i="3"/>
  <c r="S160" i="3"/>
  <c r="W160" i="3"/>
  <c r="AB160" i="3"/>
  <c r="E159" i="3"/>
  <c r="M159" i="3"/>
  <c r="Q159" i="3"/>
  <c r="U159" i="3"/>
  <c r="R158" i="3"/>
  <c r="M158" i="3"/>
  <c r="AA156" i="3"/>
  <c r="T156" i="3"/>
  <c r="N156" i="3"/>
  <c r="AC155" i="3"/>
  <c r="V155" i="3"/>
  <c r="P155" i="3"/>
  <c r="AC154" i="3"/>
  <c r="U154" i="3"/>
  <c r="P154" i="3"/>
  <c r="W153" i="3"/>
  <c r="R153" i="3"/>
  <c r="O152" i="3"/>
  <c r="S152" i="3"/>
  <c r="W152" i="3"/>
  <c r="AB152" i="3"/>
  <c r="E151" i="3"/>
  <c r="M151" i="3"/>
  <c r="Q151" i="3"/>
  <c r="U151" i="3"/>
  <c r="L151" i="3" s="1"/>
  <c r="R150" i="3"/>
  <c r="M150" i="3"/>
  <c r="AA148" i="3"/>
  <c r="T148" i="3"/>
  <c r="N148" i="3"/>
  <c r="AC147" i="3"/>
  <c r="V147" i="3"/>
  <c r="P147" i="3"/>
  <c r="AC146" i="3"/>
  <c r="U146" i="3"/>
  <c r="P146" i="3"/>
  <c r="W145" i="3"/>
  <c r="R145" i="3"/>
  <c r="O144" i="3"/>
  <c r="S144" i="3"/>
  <c r="W144" i="3"/>
  <c r="AB144" i="3"/>
  <c r="T142" i="3"/>
  <c r="AA141" i="3"/>
  <c r="W141" i="3"/>
  <c r="AA139" i="3"/>
  <c r="T139" i="3"/>
  <c r="E136" i="3"/>
  <c r="U134" i="3"/>
  <c r="AA133" i="3"/>
  <c r="W133" i="3"/>
  <c r="AA131" i="3"/>
  <c r="T131" i="3"/>
  <c r="S126" i="3"/>
  <c r="W126" i="3"/>
  <c r="AB126" i="3"/>
  <c r="E126" i="3"/>
  <c r="M126" i="3"/>
  <c r="R126" i="3"/>
  <c r="N126" i="3"/>
  <c r="T126" i="3"/>
  <c r="AA126" i="3"/>
  <c r="P126" i="3"/>
  <c r="U126" i="3"/>
  <c r="AC126" i="3"/>
  <c r="N125" i="3"/>
  <c r="U138" i="3"/>
  <c r="S182" i="3"/>
  <c r="W182" i="3"/>
  <c r="E181" i="3"/>
  <c r="M181" i="3"/>
  <c r="Q181" i="3"/>
  <c r="U181" i="3"/>
  <c r="W175" i="3"/>
  <c r="R175" i="3"/>
  <c r="S174" i="3"/>
  <c r="W174" i="3"/>
  <c r="AB174" i="3"/>
  <c r="E173" i="3"/>
  <c r="M173" i="3"/>
  <c r="Q173" i="3"/>
  <c r="U173" i="3"/>
  <c r="AC168" i="3"/>
  <c r="U168" i="3"/>
  <c r="P168" i="3"/>
  <c r="W167" i="3"/>
  <c r="R167" i="3"/>
  <c r="O166" i="3"/>
  <c r="S166" i="3"/>
  <c r="L166" i="3" s="1"/>
  <c r="W166" i="3"/>
  <c r="AB166" i="3"/>
  <c r="E165" i="3"/>
  <c r="M165" i="3"/>
  <c r="L165" i="3" s="1"/>
  <c r="Q165" i="3"/>
  <c r="U165" i="3"/>
  <c r="AA162" i="3"/>
  <c r="T162" i="3"/>
  <c r="N162" i="3"/>
  <c r="AC161" i="3"/>
  <c r="V161" i="3"/>
  <c r="P161" i="3"/>
  <c r="AC160" i="3"/>
  <c r="U160" i="3"/>
  <c r="P160" i="3"/>
  <c r="W159" i="3"/>
  <c r="R159" i="3"/>
  <c r="O158" i="3"/>
  <c r="S158" i="3"/>
  <c r="W158" i="3"/>
  <c r="AB158" i="3"/>
  <c r="E157" i="3"/>
  <c r="M157" i="3"/>
  <c r="Q157" i="3"/>
  <c r="U157" i="3"/>
  <c r="R156" i="3"/>
  <c r="M156" i="3"/>
  <c r="E156" i="3"/>
  <c r="AB155" i="3"/>
  <c r="T155" i="3"/>
  <c r="O155" i="3"/>
  <c r="AA154" i="3"/>
  <c r="T154" i="3"/>
  <c r="N154" i="3"/>
  <c r="AC153" i="3"/>
  <c r="V153" i="3"/>
  <c r="P153" i="3"/>
  <c r="AC152" i="3"/>
  <c r="U152" i="3"/>
  <c r="P152" i="3"/>
  <c r="W151" i="3"/>
  <c r="R151" i="3"/>
  <c r="O150" i="3"/>
  <c r="S150" i="3"/>
  <c r="W150" i="3"/>
  <c r="AB150" i="3"/>
  <c r="E149" i="3"/>
  <c r="M149" i="3"/>
  <c r="Q149" i="3"/>
  <c r="U149" i="3"/>
  <c r="R148" i="3"/>
  <c r="M148" i="3"/>
  <c r="E148" i="3"/>
  <c r="AB147" i="3"/>
  <c r="T147" i="3"/>
  <c r="O147" i="3"/>
  <c r="AA146" i="3"/>
  <c r="T146" i="3"/>
  <c r="N146" i="3"/>
  <c r="AC145" i="3"/>
  <c r="V145" i="3"/>
  <c r="P145" i="3"/>
  <c r="AC144" i="3"/>
  <c r="U144" i="3"/>
  <c r="P144" i="3"/>
  <c r="AC142" i="3"/>
  <c r="Q142" i="3"/>
  <c r="S141" i="3"/>
  <c r="O140" i="3"/>
  <c r="S140" i="3"/>
  <c r="W140" i="3"/>
  <c r="AB140" i="3"/>
  <c r="N140" i="3"/>
  <c r="T140" i="3"/>
  <c r="AA140" i="3"/>
  <c r="P140" i="3"/>
  <c r="U140" i="3"/>
  <c r="AC140" i="3"/>
  <c r="S139" i="3"/>
  <c r="Q134" i="3"/>
  <c r="S133" i="3"/>
  <c r="L133" i="3" s="1"/>
  <c r="O132" i="3"/>
  <c r="S132" i="3"/>
  <c r="W132" i="3"/>
  <c r="AB132" i="3"/>
  <c r="N132" i="3"/>
  <c r="T132" i="3"/>
  <c r="AA132" i="3"/>
  <c r="P132" i="3"/>
  <c r="U132" i="3"/>
  <c r="AC132" i="3"/>
  <c r="S131" i="3"/>
  <c r="O124" i="3"/>
  <c r="S124" i="3"/>
  <c r="W124" i="3"/>
  <c r="AB124" i="3"/>
  <c r="E123" i="3"/>
  <c r="M123" i="3"/>
  <c r="Q123" i="3"/>
  <c r="U123" i="3"/>
  <c r="AC118" i="3"/>
  <c r="U118" i="3"/>
  <c r="P118" i="3"/>
  <c r="W117" i="3"/>
  <c r="R117" i="3"/>
  <c r="O116" i="3"/>
  <c r="S116" i="3"/>
  <c r="W116" i="3"/>
  <c r="AB116" i="3"/>
  <c r="E115" i="3"/>
  <c r="M115" i="3"/>
  <c r="Q115" i="3"/>
  <c r="U115" i="3"/>
  <c r="AC110" i="3"/>
  <c r="U110" i="3"/>
  <c r="P110" i="3"/>
  <c r="W109" i="3"/>
  <c r="R109" i="3"/>
  <c r="O108" i="3"/>
  <c r="S108" i="3"/>
  <c r="W108" i="3"/>
  <c r="AB108" i="3"/>
  <c r="E107" i="3"/>
  <c r="M107" i="3"/>
  <c r="Q107" i="3"/>
  <c r="U107" i="3"/>
  <c r="AC102" i="3"/>
  <c r="U102" i="3"/>
  <c r="P102" i="3"/>
  <c r="W101" i="3"/>
  <c r="R101" i="3"/>
  <c r="O100" i="3"/>
  <c r="S100" i="3"/>
  <c r="W100" i="3"/>
  <c r="AB100" i="3"/>
  <c r="E99" i="3"/>
  <c r="M99" i="3"/>
  <c r="Q99" i="3"/>
  <c r="U99" i="3"/>
  <c r="U143" i="3"/>
  <c r="Q143" i="3"/>
  <c r="M143" i="3"/>
  <c r="O138" i="3"/>
  <c r="S138" i="3"/>
  <c r="W138" i="3"/>
  <c r="AB138" i="3"/>
  <c r="E137" i="3"/>
  <c r="M137" i="3"/>
  <c r="Q137" i="3"/>
  <c r="U137" i="3"/>
  <c r="R136" i="3"/>
  <c r="M136" i="3"/>
  <c r="AB135" i="3"/>
  <c r="T135" i="3"/>
  <c r="O130" i="3"/>
  <c r="S130" i="3"/>
  <c r="W130" i="3"/>
  <c r="AB130" i="3"/>
  <c r="E129" i="3"/>
  <c r="M129" i="3"/>
  <c r="Q129" i="3"/>
  <c r="U129" i="3"/>
  <c r="R128" i="3"/>
  <c r="M128" i="3"/>
  <c r="AB127" i="3"/>
  <c r="T127" i="3"/>
  <c r="AC124" i="3"/>
  <c r="U124" i="3"/>
  <c r="P124" i="3"/>
  <c r="W123" i="3"/>
  <c r="R123" i="3"/>
  <c r="S122" i="3"/>
  <c r="W122" i="3"/>
  <c r="AB122" i="3"/>
  <c r="E121" i="3"/>
  <c r="M121" i="3"/>
  <c r="Q121" i="3"/>
  <c r="U121" i="3"/>
  <c r="R120" i="3"/>
  <c r="M120" i="3"/>
  <c r="AB119" i="3"/>
  <c r="T119" i="3"/>
  <c r="AA118" i="3"/>
  <c r="T118" i="3"/>
  <c r="N118" i="3"/>
  <c r="AC117" i="3"/>
  <c r="V117" i="3"/>
  <c r="P117" i="3"/>
  <c r="AC116" i="3"/>
  <c r="U116" i="3"/>
  <c r="P116" i="3"/>
  <c r="W115" i="3"/>
  <c r="R115" i="3"/>
  <c r="O114" i="3"/>
  <c r="S114" i="3"/>
  <c r="W114" i="3"/>
  <c r="AB114" i="3"/>
  <c r="E113" i="3"/>
  <c r="M113" i="3"/>
  <c r="L113" i="3" s="1"/>
  <c r="Q113" i="3"/>
  <c r="U113" i="3"/>
  <c r="R112" i="3"/>
  <c r="M112" i="3"/>
  <c r="AB111" i="3"/>
  <c r="T111" i="3"/>
  <c r="AA110" i="3"/>
  <c r="T110" i="3"/>
  <c r="N110" i="3"/>
  <c r="AC109" i="3"/>
  <c r="V109" i="3"/>
  <c r="P109" i="3"/>
  <c r="AC108" i="3"/>
  <c r="U108" i="3"/>
  <c r="P108" i="3"/>
  <c r="W107" i="3"/>
  <c r="R107" i="3"/>
  <c r="O106" i="3"/>
  <c r="S106" i="3"/>
  <c r="W106" i="3"/>
  <c r="AB106" i="3"/>
  <c r="E105" i="3"/>
  <c r="M105" i="3"/>
  <c r="Q105" i="3"/>
  <c r="U105" i="3"/>
  <c r="L105" i="3" s="1"/>
  <c r="R104" i="3"/>
  <c r="M104" i="3"/>
  <c r="AA102" i="3"/>
  <c r="T102" i="3"/>
  <c r="N102" i="3"/>
  <c r="AC101" i="3"/>
  <c r="V101" i="3"/>
  <c r="P101" i="3"/>
  <c r="AC100" i="3"/>
  <c r="U100" i="3"/>
  <c r="P100" i="3"/>
  <c r="W99" i="3"/>
  <c r="R99" i="3"/>
  <c r="O98" i="3"/>
  <c r="S98" i="3"/>
  <c r="W98" i="3"/>
  <c r="AB98" i="3"/>
  <c r="E97" i="3"/>
  <c r="M97" i="3"/>
  <c r="Q97" i="3"/>
  <c r="U97" i="3"/>
  <c r="O136" i="3"/>
  <c r="S136" i="3"/>
  <c r="W136" i="3"/>
  <c r="AB136" i="3"/>
  <c r="E135" i="3"/>
  <c r="M135" i="3"/>
  <c r="Q135" i="3"/>
  <c r="U135" i="3"/>
  <c r="AC130" i="3"/>
  <c r="U130" i="3"/>
  <c r="P130" i="3"/>
  <c r="O128" i="3"/>
  <c r="S128" i="3"/>
  <c r="W128" i="3"/>
  <c r="AB128" i="3"/>
  <c r="E127" i="3"/>
  <c r="M127" i="3"/>
  <c r="Q127" i="3"/>
  <c r="U127" i="3"/>
  <c r="AA124" i="3"/>
  <c r="T124" i="3"/>
  <c r="N124" i="3"/>
  <c r="AC123" i="3"/>
  <c r="V123" i="3"/>
  <c r="P123" i="3"/>
  <c r="AC122" i="3"/>
  <c r="U122" i="3"/>
  <c r="P122" i="3"/>
  <c r="O120" i="3"/>
  <c r="S120" i="3"/>
  <c r="W120" i="3"/>
  <c r="AB120" i="3"/>
  <c r="E119" i="3"/>
  <c r="M119" i="3"/>
  <c r="Q119" i="3"/>
  <c r="U119" i="3"/>
  <c r="R118" i="3"/>
  <c r="M118" i="3"/>
  <c r="AB117" i="3"/>
  <c r="T117" i="3"/>
  <c r="AA116" i="3"/>
  <c r="T116" i="3"/>
  <c r="N116" i="3"/>
  <c r="AC115" i="3"/>
  <c r="V115" i="3"/>
  <c r="P115" i="3"/>
  <c r="AC114" i="3"/>
  <c r="U114" i="3"/>
  <c r="P114" i="3"/>
  <c r="O112" i="3"/>
  <c r="S112" i="3"/>
  <c r="W112" i="3"/>
  <c r="AB112" i="3"/>
  <c r="E111" i="3"/>
  <c r="M111" i="3"/>
  <c r="Q111" i="3"/>
  <c r="U111" i="3"/>
  <c r="R110" i="3"/>
  <c r="M110" i="3"/>
  <c r="AB109" i="3"/>
  <c r="T109" i="3"/>
  <c r="AA108" i="3"/>
  <c r="T108" i="3"/>
  <c r="N108" i="3"/>
  <c r="AC107" i="3"/>
  <c r="V107" i="3"/>
  <c r="P107" i="3"/>
  <c r="AC106" i="3"/>
  <c r="U106" i="3"/>
  <c r="P106" i="3"/>
  <c r="W105" i="3"/>
  <c r="R105" i="3"/>
  <c r="S104" i="3"/>
  <c r="W104" i="3"/>
  <c r="AB104" i="3"/>
  <c r="E103" i="3"/>
  <c r="M103" i="3"/>
  <c r="Q103" i="3"/>
  <c r="U103" i="3"/>
  <c r="R102" i="3"/>
  <c r="M102" i="3"/>
  <c r="AB101" i="3"/>
  <c r="T101" i="3"/>
  <c r="AA100" i="3"/>
  <c r="T100" i="3"/>
  <c r="N100" i="3"/>
  <c r="AC99" i="3"/>
  <c r="V99" i="3"/>
  <c r="P99" i="3"/>
  <c r="AC98" i="3"/>
  <c r="U98" i="3"/>
  <c r="P98" i="3"/>
  <c r="W97" i="3"/>
  <c r="R97" i="3"/>
  <c r="R124" i="3"/>
  <c r="M124" i="3"/>
  <c r="E124" i="3"/>
  <c r="O118" i="3"/>
  <c r="S118" i="3"/>
  <c r="W118" i="3"/>
  <c r="AB118" i="3"/>
  <c r="E117" i="3"/>
  <c r="M117" i="3"/>
  <c r="Q117" i="3"/>
  <c r="U117" i="3"/>
  <c r="R116" i="3"/>
  <c r="M116" i="3"/>
  <c r="E116" i="3"/>
  <c r="S110" i="3"/>
  <c r="W110" i="3"/>
  <c r="AB110" i="3"/>
  <c r="E109" i="3"/>
  <c r="M109" i="3"/>
  <c r="L109" i="3" s="1"/>
  <c r="Q109" i="3"/>
  <c r="U109" i="3"/>
  <c r="O102" i="3"/>
  <c r="S102" i="3"/>
  <c r="W102" i="3"/>
  <c r="AB102" i="3"/>
  <c r="E101" i="3"/>
  <c r="M101" i="3"/>
  <c r="Q101" i="3"/>
  <c r="U101" i="3"/>
  <c r="R100" i="3"/>
  <c r="M100" i="3"/>
  <c r="L100" i="3" s="1"/>
  <c r="E100" i="3"/>
  <c r="AB99" i="3"/>
  <c r="T99" i="3"/>
  <c r="O99" i="3"/>
  <c r="AA98" i="3"/>
  <c r="T98" i="3"/>
  <c r="N98" i="3"/>
  <c r="AC97" i="3"/>
  <c r="V97" i="3"/>
  <c r="P97" i="3"/>
  <c r="E93" i="3"/>
  <c r="O92" i="3"/>
  <c r="E92" i="3"/>
  <c r="M92" i="3"/>
  <c r="R92" i="3"/>
  <c r="V92" i="3"/>
  <c r="AA92" i="3"/>
  <c r="N92" i="3"/>
  <c r="S92" i="3"/>
  <c r="W92" i="3"/>
  <c r="AB92" i="3"/>
  <c r="P92" i="3"/>
  <c r="T92" i="3"/>
  <c r="AC92" i="3"/>
  <c r="E91" i="3"/>
  <c r="M91" i="3"/>
  <c r="Q91" i="3"/>
  <c r="U91" i="3"/>
  <c r="O84" i="3"/>
  <c r="S84" i="3"/>
  <c r="W84" i="3"/>
  <c r="AB84" i="3"/>
  <c r="E83" i="3"/>
  <c r="M83" i="3"/>
  <c r="Q83" i="3"/>
  <c r="U83" i="3"/>
  <c r="O76" i="3"/>
  <c r="S76" i="3"/>
  <c r="W76" i="3"/>
  <c r="AB76" i="3"/>
  <c r="E75" i="3"/>
  <c r="M75" i="3"/>
  <c r="Q75" i="3"/>
  <c r="U75" i="3"/>
  <c r="O68" i="3"/>
  <c r="S68" i="3"/>
  <c r="W68" i="3"/>
  <c r="AB68" i="3"/>
  <c r="O67" i="3"/>
  <c r="S67" i="3"/>
  <c r="P67" i="3"/>
  <c r="U67" i="3"/>
  <c r="O45" i="3"/>
  <c r="S45" i="3"/>
  <c r="W45" i="3"/>
  <c r="AB45" i="3"/>
  <c r="P45" i="3"/>
  <c r="U45" i="3"/>
  <c r="AC45" i="3"/>
  <c r="E45" i="3"/>
  <c r="M45" i="3"/>
  <c r="R45" i="3"/>
  <c r="T45" i="3"/>
  <c r="V45" i="3"/>
  <c r="Q45" i="3"/>
  <c r="N45" i="3"/>
  <c r="W91" i="3"/>
  <c r="R91" i="3"/>
  <c r="O90" i="3"/>
  <c r="L90" i="3" s="1"/>
  <c r="S90" i="3"/>
  <c r="W90" i="3"/>
  <c r="AB90" i="3"/>
  <c r="E89" i="3"/>
  <c r="M89" i="3"/>
  <c r="Q89" i="3"/>
  <c r="U89" i="3"/>
  <c r="R88" i="3"/>
  <c r="M88" i="3"/>
  <c r="AB87" i="3"/>
  <c r="T87" i="3"/>
  <c r="AA86" i="3"/>
  <c r="T86" i="3"/>
  <c r="N86" i="3"/>
  <c r="AC85" i="3"/>
  <c r="V85" i="3"/>
  <c r="P85" i="3"/>
  <c r="AC84" i="3"/>
  <c r="U84" i="3"/>
  <c r="P84" i="3"/>
  <c r="W83" i="3"/>
  <c r="R83" i="3"/>
  <c r="O82" i="3"/>
  <c r="L82" i="3" s="1"/>
  <c r="S82" i="3"/>
  <c r="W82" i="3"/>
  <c r="AB82" i="3"/>
  <c r="E81" i="3"/>
  <c r="M81" i="3"/>
  <c r="Q81" i="3"/>
  <c r="U81" i="3"/>
  <c r="R80" i="3"/>
  <c r="M80" i="3"/>
  <c r="AB79" i="3"/>
  <c r="T79" i="3"/>
  <c r="AA78" i="3"/>
  <c r="T78" i="3"/>
  <c r="N78" i="3"/>
  <c r="AC77" i="3"/>
  <c r="V77" i="3"/>
  <c r="P77" i="3"/>
  <c r="AC76" i="3"/>
  <c r="U76" i="3"/>
  <c r="P76" i="3"/>
  <c r="W75" i="3"/>
  <c r="R75" i="3"/>
  <c r="O74" i="3"/>
  <c r="S74" i="3"/>
  <c r="W74" i="3"/>
  <c r="AB74" i="3"/>
  <c r="E73" i="3"/>
  <c r="M73" i="3"/>
  <c r="Q73" i="3"/>
  <c r="U73" i="3"/>
  <c r="R72" i="3"/>
  <c r="M72" i="3"/>
  <c r="AB71" i="3"/>
  <c r="T71" i="3"/>
  <c r="AA70" i="3"/>
  <c r="T70" i="3"/>
  <c r="N70" i="3"/>
  <c r="AC69" i="3"/>
  <c r="V69" i="3"/>
  <c r="P69" i="3"/>
  <c r="AC68" i="3"/>
  <c r="U68" i="3"/>
  <c r="P68" i="3"/>
  <c r="W67" i="3"/>
  <c r="Q67" i="3"/>
  <c r="E66" i="3"/>
  <c r="M66" i="3"/>
  <c r="Q66" i="3"/>
  <c r="U66" i="3"/>
  <c r="L66" i="3"/>
  <c r="R66" i="3"/>
  <c r="W66" i="3"/>
  <c r="E60" i="3"/>
  <c r="M60" i="3"/>
  <c r="Q60" i="3"/>
  <c r="U60" i="3"/>
  <c r="O60" i="3"/>
  <c r="T60" i="3"/>
  <c r="AB60" i="3"/>
  <c r="P60" i="3"/>
  <c r="V60" i="3"/>
  <c r="AC60" i="3"/>
  <c r="R60" i="3"/>
  <c r="W60" i="3"/>
  <c r="AA45" i="3"/>
  <c r="AB96" i="3"/>
  <c r="W96" i="3"/>
  <c r="S96" i="3"/>
  <c r="L96" i="3" s="1"/>
  <c r="U95" i="3"/>
  <c r="Q95" i="3"/>
  <c r="M95" i="3"/>
  <c r="AB94" i="3"/>
  <c r="W94" i="3"/>
  <c r="S94" i="3"/>
  <c r="U93" i="3"/>
  <c r="Q93" i="3"/>
  <c r="M93" i="3"/>
  <c r="AC91" i="3"/>
  <c r="V91" i="3"/>
  <c r="P91" i="3"/>
  <c r="L91" i="3" s="1"/>
  <c r="O88" i="3"/>
  <c r="S88" i="3"/>
  <c r="W88" i="3"/>
  <c r="AB88" i="3"/>
  <c r="E87" i="3"/>
  <c r="M87" i="3"/>
  <c r="Q87" i="3"/>
  <c r="U87" i="3"/>
  <c r="R86" i="3"/>
  <c r="M86" i="3"/>
  <c r="AB85" i="3"/>
  <c r="T85" i="3"/>
  <c r="AA84" i="3"/>
  <c r="T84" i="3"/>
  <c r="N84" i="3"/>
  <c r="AC83" i="3"/>
  <c r="V83" i="3"/>
  <c r="P83" i="3"/>
  <c r="O80" i="3"/>
  <c r="S80" i="3"/>
  <c r="W80" i="3"/>
  <c r="AB80" i="3"/>
  <c r="E79" i="3"/>
  <c r="M79" i="3"/>
  <c r="Q79" i="3"/>
  <c r="U79" i="3"/>
  <c r="R78" i="3"/>
  <c r="M78" i="3"/>
  <c r="AB77" i="3"/>
  <c r="T77" i="3"/>
  <c r="AA76" i="3"/>
  <c r="T76" i="3"/>
  <c r="N76" i="3"/>
  <c r="AC75" i="3"/>
  <c r="V75" i="3"/>
  <c r="P75" i="3"/>
  <c r="L75" i="3" s="1"/>
  <c r="U74" i="3"/>
  <c r="O72" i="3"/>
  <c r="S72" i="3"/>
  <c r="W72" i="3"/>
  <c r="AB72" i="3"/>
  <c r="E71" i="3"/>
  <c r="M71" i="3"/>
  <c r="Q71" i="3"/>
  <c r="U71" i="3"/>
  <c r="R70" i="3"/>
  <c r="M70" i="3"/>
  <c r="AB69" i="3"/>
  <c r="T69" i="3"/>
  <c r="AA68" i="3"/>
  <c r="T68" i="3"/>
  <c r="N68" i="3"/>
  <c r="AC67" i="3"/>
  <c r="V67" i="3"/>
  <c r="N67" i="3"/>
  <c r="AB91" i="3"/>
  <c r="T91" i="3"/>
  <c r="O91" i="3"/>
  <c r="O86" i="3"/>
  <c r="S86" i="3"/>
  <c r="W86" i="3"/>
  <c r="AB86" i="3"/>
  <c r="E85" i="3"/>
  <c r="M85" i="3"/>
  <c r="Q85" i="3"/>
  <c r="U85" i="3"/>
  <c r="R84" i="3"/>
  <c r="M84" i="3"/>
  <c r="E84" i="3"/>
  <c r="AB83" i="3"/>
  <c r="T83" i="3"/>
  <c r="O83" i="3"/>
  <c r="O78" i="3"/>
  <c r="S78" i="3"/>
  <c r="W78" i="3"/>
  <c r="AB78" i="3"/>
  <c r="E77" i="3"/>
  <c r="M77" i="3"/>
  <c r="Q77" i="3"/>
  <c r="U77" i="3"/>
  <c r="R76" i="3"/>
  <c r="M76" i="3"/>
  <c r="E76" i="3"/>
  <c r="AB75" i="3"/>
  <c r="T75" i="3"/>
  <c r="O75" i="3"/>
  <c r="S70" i="3"/>
  <c r="W70" i="3"/>
  <c r="AB70" i="3"/>
  <c r="E69" i="3"/>
  <c r="M69" i="3"/>
  <c r="Q69" i="3"/>
  <c r="U69" i="3"/>
  <c r="R68" i="3"/>
  <c r="M68" i="3"/>
  <c r="E68" i="3"/>
  <c r="AB67" i="3"/>
  <c r="T67" i="3"/>
  <c r="M67" i="3"/>
  <c r="E67" i="3"/>
  <c r="O61" i="3"/>
  <c r="S61" i="3"/>
  <c r="W61" i="3"/>
  <c r="AB61" i="3"/>
  <c r="E61" i="3"/>
  <c r="M61" i="3"/>
  <c r="R61" i="3"/>
  <c r="N61" i="3"/>
  <c r="T61" i="3"/>
  <c r="AA61" i="3"/>
  <c r="P61" i="3"/>
  <c r="U61" i="3"/>
  <c r="AC61" i="3"/>
  <c r="AA63" i="3"/>
  <c r="T63" i="3"/>
  <c r="N63" i="3"/>
  <c r="S59" i="3"/>
  <c r="W59" i="3"/>
  <c r="AB59" i="3"/>
  <c r="E58" i="3"/>
  <c r="M58" i="3"/>
  <c r="L58" i="3" s="1"/>
  <c r="Q58" i="3"/>
  <c r="U58" i="3"/>
  <c r="E56" i="3"/>
  <c r="AA54" i="3"/>
  <c r="T54" i="3"/>
  <c r="E51" i="3"/>
  <c r="M51" i="3"/>
  <c r="Q51" i="3"/>
  <c r="U51" i="3"/>
  <c r="O51" i="3"/>
  <c r="S51" i="3"/>
  <c r="W51" i="3"/>
  <c r="AB51" i="3"/>
  <c r="R51" i="3"/>
  <c r="T51" i="3"/>
  <c r="O50" i="3"/>
  <c r="S50" i="3"/>
  <c r="W50" i="3"/>
  <c r="AB50" i="3"/>
  <c r="E50" i="3"/>
  <c r="M50" i="3"/>
  <c r="Q50" i="3"/>
  <c r="U50" i="3"/>
  <c r="P50" i="3"/>
  <c r="AC50" i="3"/>
  <c r="R50" i="3"/>
  <c r="E48" i="3"/>
  <c r="M48" i="3"/>
  <c r="O48" i="3"/>
  <c r="S48" i="3"/>
  <c r="W48" i="3"/>
  <c r="AB48" i="3"/>
  <c r="Q48" i="3"/>
  <c r="U48" i="3"/>
  <c r="T48" i="3"/>
  <c r="N48" i="3"/>
  <c r="V48" i="3"/>
  <c r="AA48" i="3"/>
  <c r="O65" i="3"/>
  <c r="L65" i="3" s="1"/>
  <c r="S65" i="3"/>
  <c r="W65" i="3"/>
  <c r="AB65" i="3"/>
  <c r="E64" i="3"/>
  <c r="M64" i="3"/>
  <c r="Q64" i="3"/>
  <c r="U64" i="3"/>
  <c r="R63" i="3"/>
  <c r="M63" i="3"/>
  <c r="AB62" i="3"/>
  <c r="T62" i="3"/>
  <c r="AC59" i="3"/>
  <c r="U59" i="3"/>
  <c r="P59" i="3"/>
  <c r="W58" i="3"/>
  <c r="R58" i="3"/>
  <c r="O57" i="3"/>
  <c r="S57" i="3"/>
  <c r="W57" i="3"/>
  <c r="AB57" i="3"/>
  <c r="N55" i="3"/>
  <c r="L55" i="3" s="1"/>
  <c r="R55" i="3"/>
  <c r="V55" i="3"/>
  <c r="AA55" i="3"/>
  <c r="O55" i="3"/>
  <c r="S55" i="3"/>
  <c r="W55" i="3"/>
  <c r="AB55" i="3"/>
  <c r="N51" i="3"/>
  <c r="P48" i="3"/>
  <c r="O63" i="3"/>
  <c r="S63" i="3"/>
  <c r="W63" i="3"/>
  <c r="AB63" i="3"/>
  <c r="E62" i="3"/>
  <c r="M62" i="3"/>
  <c r="Q62" i="3"/>
  <c r="U62" i="3"/>
  <c r="AA59" i="3"/>
  <c r="T59" i="3"/>
  <c r="N59" i="3"/>
  <c r="AC58" i="3"/>
  <c r="V58" i="3"/>
  <c r="P58" i="3"/>
  <c r="E54" i="3"/>
  <c r="M54" i="3"/>
  <c r="Q54" i="3"/>
  <c r="U54" i="3"/>
  <c r="L54" i="3" s="1"/>
  <c r="P54" i="3"/>
  <c r="V54" i="3"/>
  <c r="AC54" i="3"/>
  <c r="R54" i="3"/>
  <c r="W54" i="3"/>
  <c r="AA50" i="3"/>
  <c r="V50" i="3"/>
  <c r="O41" i="3"/>
  <c r="S41" i="3"/>
  <c r="W41" i="3"/>
  <c r="AB41" i="3"/>
  <c r="E41" i="3"/>
  <c r="M41" i="3"/>
  <c r="R41" i="3"/>
  <c r="N41" i="3"/>
  <c r="T41" i="3"/>
  <c r="AA41" i="3"/>
  <c r="P41" i="3"/>
  <c r="U41" i="3"/>
  <c r="AC41" i="3"/>
  <c r="U56" i="3"/>
  <c r="Q56" i="3"/>
  <c r="M56" i="3"/>
  <c r="V53" i="3"/>
  <c r="O52" i="3"/>
  <c r="S52" i="3"/>
  <c r="W52" i="3"/>
  <c r="AB52" i="3"/>
  <c r="E52" i="3"/>
  <c r="M52" i="3"/>
  <c r="Q52" i="3"/>
  <c r="U52" i="3"/>
  <c r="E53" i="3"/>
  <c r="M53" i="3"/>
  <c r="Q53" i="3"/>
  <c r="S53" i="3"/>
  <c r="W53" i="3"/>
  <c r="AB53" i="3"/>
  <c r="E49" i="3"/>
  <c r="M49" i="3"/>
  <c r="Q49" i="3"/>
  <c r="U49" i="3"/>
  <c r="S49" i="3"/>
  <c r="W49" i="3"/>
  <c r="AB49" i="3"/>
  <c r="E44" i="3"/>
  <c r="M44" i="3"/>
  <c r="Q44" i="3"/>
  <c r="U44" i="3"/>
  <c r="R44" i="3"/>
  <c r="W44" i="3"/>
  <c r="O44" i="3"/>
  <c r="T44" i="3"/>
  <c r="AB44" i="3"/>
  <c r="E40" i="3"/>
  <c r="M40" i="3"/>
  <c r="Q40" i="3"/>
  <c r="U40" i="3"/>
  <c r="AA37" i="3"/>
  <c r="T37" i="3"/>
  <c r="N37" i="3"/>
  <c r="AC36" i="3"/>
  <c r="V36" i="3"/>
  <c r="P36" i="3"/>
  <c r="O33" i="3"/>
  <c r="S33" i="3"/>
  <c r="W33" i="3"/>
  <c r="AB33" i="3"/>
  <c r="E32" i="3"/>
  <c r="M32" i="3"/>
  <c r="Q32" i="3"/>
  <c r="U32" i="3"/>
  <c r="AA29" i="3"/>
  <c r="T29" i="3"/>
  <c r="N29" i="3"/>
  <c r="O25" i="3"/>
  <c r="S25" i="3"/>
  <c r="W25" i="3"/>
  <c r="AB25" i="3"/>
  <c r="E24" i="3"/>
  <c r="M24" i="3"/>
  <c r="Q24" i="3"/>
  <c r="U24" i="3"/>
  <c r="E22" i="3"/>
  <c r="E7" i="3"/>
  <c r="M7" i="3"/>
  <c r="Q7" i="3"/>
  <c r="U7" i="3"/>
  <c r="L7" i="3" s="1"/>
  <c r="O7" i="3"/>
  <c r="S7" i="3"/>
  <c r="W7" i="3"/>
  <c r="AB7" i="3"/>
  <c r="P7" i="3"/>
  <c r="AC7" i="3"/>
  <c r="R7" i="3"/>
  <c r="T7" i="3"/>
  <c r="O47" i="3"/>
  <c r="S47" i="3"/>
  <c r="W47" i="3"/>
  <c r="L47" i="3" s="1"/>
  <c r="AB47" i="3"/>
  <c r="E46" i="3"/>
  <c r="M46" i="3"/>
  <c r="Q46" i="3"/>
  <c r="U46" i="3"/>
  <c r="AA43" i="3"/>
  <c r="T43" i="3"/>
  <c r="AC42" i="3"/>
  <c r="V42" i="3"/>
  <c r="W40" i="3"/>
  <c r="R40" i="3"/>
  <c r="O39" i="3"/>
  <c r="S39" i="3"/>
  <c r="W39" i="3"/>
  <c r="AB39" i="3"/>
  <c r="E38" i="3"/>
  <c r="M38" i="3"/>
  <c r="Q38" i="3"/>
  <c r="U38" i="3"/>
  <c r="R37" i="3"/>
  <c r="M37" i="3"/>
  <c r="AB36" i="3"/>
  <c r="T36" i="3"/>
  <c r="AA35" i="3"/>
  <c r="T35" i="3"/>
  <c r="AC34" i="3"/>
  <c r="V34" i="3"/>
  <c r="AC33" i="3"/>
  <c r="U33" i="3"/>
  <c r="P33" i="3"/>
  <c r="W32" i="3"/>
  <c r="R32" i="3"/>
  <c r="O31" i="3"/>
  <c r="L31" i="3" s="1"/>
  <c r="S31" i="3"/>
  <c r="W31" i="3"/>
  <c r="AB31" i="3"/>
  <c r="E30" i="3"/>
  <c r="M30" i="3"/>
  <c r="Q30" i="3"/>
  <c r="U30" i="3"/>
  <c r="R29" i="3"/>
  <c r="M29" i="3"/>
  <c r="AB28" i="3"/>
  <c r="T28" i="3"/>
  <c r="AA27" i="3"/>
  <c r="T27" i="3"/>
  <c r="N27" i="3"/>
  <c r="AC26" i="3"/>
  <c r="V26" i="3"/>
  <c r="AC25" i="3"/>
  <c r="U25" i="3"/>
  <c r="P25" i="3"/>
  <c r="W24" i="3"/>
  <c r="R24" i="3"/>
  <c r="O23" i="3"/>
  <c r="L23" i="3" s="1"/>
  <c r="S23" i="3"/>
  <c r="W23" i="3"/>
  <c r="AB23" i="3"/>
  <c r="O17" i="3"/>
  <c r="S17" i="3"/>
  <c r="W17" i="3"/>
  <c r="AB17" i="3"/>
  <c r="E17" i="3"/>
  <c r="M17" i="3"/>
  <c r="R17" i="3"/>
  <c r="N17" i="3"/>
  <c r="T17" i="3"/>
  <c r="AA17" i="3"/>
  <c r="P17" i="3"/>
  <c r="U17" i="3"/>
  <c r="AC17" i="3"/>
  <c r="N7" i="3"/>
  <c r="O37" i="3"/>
  <c r="S37" i="3"/>
  <c r="W37" i="3"/>
  <c r="AB37" i="3"/>
  <c r="E36" i="3"/>
  <c r="M36" i="3"/>
  <c r="Q36" i="3"/>
  <c r="U36" i="3"/>
  <c r="AA33" i="3"/>
  <c r="T33" i="3"/>
  <c r="N33" i="3"/>
  <c r="AC32" i="3"/>
  <c r="V32" i="3"/>
  <c r="P32" i="3"/>
  <c r="O29" i="3"/>
  <c r="S29" i="3"/>
  <c r="W29" i="3"/>
  <c r="AB29" i="3"/>
  <c r="E28" i="3"/>
  <c r="M28" i="3"/>
  <c r="Q28" i="3"/>
  <c r="U28" i="3"/>
  <c r="R27" i="3"/>
  <c r="M27" i="3"/>
  <c r="AA25" i="3"/>
  <c r="T25" i="3"/>
  <c r="N25" i="3"/>
  <c r="AC24" i="3"/>
  <c r="V24" i="3"/>
  <c r="P24" i="3"/>
  <c r="E13" i="3"/>
  <c r="O43" i="3"/>
  <c r="S43" i="3"/>
  <c r="L43" i="3" s="1"/>
  <c r="W43" i="3"/>
  <c r="AB43" i="3"/>
  <c r="E42" i="3"/>
  <c r="M42" i="3"/>
  <c r="L42" i="3" s="1"/>
  <c r="Q42" i="3"/>
  <c r="U42" i="3"/>
  <c r="AB40" i="3"/>
  <c r="T40" i="3"/>
  <c r="O40" i="3"/>
  <c r="AA39" i="3"/>
  <c r="T39" i="3"/>
  <c r="N39" i="3"/>
  <c r="L39" i="3" s="1"/>
  <c r="AC37" i="3"/>
  <c r="U37" i="3"/>
  <c r="P37" i="3"/>
  <c r="W36" i="3"/>
  <c r="R36" i="3"/>
  <c r="S35" i="3"/>
  <c r="W35" i="3"/>
  <c r="AB35" i="3"/>
  <c r="E34" i="3"/>
  <c r="M34" i="3"/>
  <c r="L34" i="3" s="1"/>
  <c r="Q34" i="3"/>
  <c r="U34" i="3"/>
  <c r="R33" i="3"/>
  <c r="M33" i="3"/>
  <c r="E33" i="3"/>
  <c r="AB32" i="3"/>
  <c r="T32" i="3"/>
  <c r="O32" i="3"/>
  <c r="AC29" i="3"/>
  <c r="U29" i="3"/>
  <c r="P29" i="3"/>
  <c r="W28" i="3"/>
  <c r="R28" i="3"/>
  <c r="S27" i="3"/>
  <c r="W27" i="3"/>
  <c r="AB27" i="3"/>
  <c r="E26" i="3"/>
  <c r="M26" i="3"/>
  <c r="Q26" i="3"/>
  <c r="U26" i="3"/>
  <c r="R25" i="3"/>
  <c r="M25" i="3"/>
  <c r="E25" i="3"/>
  <c r="AB24" i="3"/>
  <c r="T24" i="3"/>
  <c r="O24" i="3"/>
  <c r="E16" i="3"/>
  <c r="M16" i="3"/>
  <c r="Q16" i="3"/>
  <c r="U16" i="3"/>
  <c r="O16" i="3"/>
  <c r="T16" i="3"/>
  <c r="AB16" i="3"/>
  <c r="P16" i="3"/>
  <c r="V16" i="3"/>
  <c r="AC16" i="3"/>
  <c r="R16" i="3"/>
  <c r="W16" i="3"/>
  <c r="U22" i="3"/>
  <c r="Q22" i="3"/>
  <c r="M22" i="3"/>
  <c r="AB21" i="3"/>
  <c r="W21" i="3"/>
  <c r="R21" i="3"/>
  <c r="M21" i="3"/>
  <c r="L21" i="3" s="1"/>
  <c r="AA19" i="3"/>
  <c r="T19" i="3"/>
  <c r="N19" i="3"/>
  <c r="O15" i="3"/>
  <c r="S15" i="3"/>
  <c r="W15" i="3"/>
  <c r="AB15" i="3"/>
  <c r="E14" i="3"/>
  <c r="M14" i="3"/>
  <c r="Q14" i="3"/>
  <c r="U14" i="3"/>
  <c r="R13" i="3"/>
  <c r="M13" i="3"/>
  <c r="AA11" i="3"/>
  <c r="T11" i="3"/>
  <c r="N11" i="3"/>
  <c r="O8" i="3"/>
  <c r="S8" i="3"/>
  <c r="W8" i="3"/>
  <c r="AB8" i="3"/>
  <c r="E8" i="3"/>
  <c r="M8" i="3"/>
  <c r="Q8" i="3"/>
  <c r="U8" i="3"/>
  <c r="O21" i="3"/>
  <c r="S21" i="3"/>
  <c r="E20" i="3"/>
  <c r="M20" i="3"/>
  <c r="Q20" i="3"/>
  <c r="U20" i="3"/>
  <c r="R19" i="3"/>
  <c r="M19" i="3"/>
  <c r="AB18" i="3"/>
  <c r="T18" i="3"/>
  <c r="AC15" i="3"/>
  <c r="U15" i="3"/>
  <c r="P15" i="3"/>
  <c r="W14" i="3"/>
  <c r="R14" i="3"/>
  <c r="O13" i="3"/>
  <c r="S13" i="3"/>
  <c r="W13" i="3"/>
  <c r="AB13" i="3"/>
  <c r="E12" i="3"/>
  <c r="M12" i="3"/>
  <c r="Q12" i="3"/>
  <c r="U12" i="3"/>
  <c r="R11" i="3"/>
  <c r="M11" i="3"/>
  <c r="AB10" i="3"/>
  <c r="T10" i="3"/>
  <c r="E9" i="3"/>
  <c r="M9" i="3"/>
  <c r="Q9" i="3"/>
  <c r="U9" i="3"/>
  <c r="O9" i="3"/>
  <c r="S9" i="3"/>
  <c r="W9" i="3"/>
  <c r="AB9" i="3"/>
  <c r="T8" i="3"/>
  <c r="E6" i="3"/>
  <c r="S19" i="3"/>
  <c r="W19" i="3"/>
  <c r="AB19" i="3"/>
  <c r="E18" i="3"/>
  <c r="M18" i="3"/>
  <c r="Q18" i="3"/>
  <c r="U18" i="3"/>
  <c r="AA15" i="3"/>
  <c r="T15" i="3"/>
  <c r="N15" i="3"/>
  <c r="AC14" i="3"/>
  <c r="V14" i="3"/>
  <c r="P14" i="3"/>
  <c r="O11" i="3"/>
  <c r="S11" i="3"/>
  <c r="W11" i="3"/>
  <c r="AB11" i="3"/>
  <c r="E10" i="3"/>
  <c r="M10" i="3"/>
  <c r="Q10" i="3"/>
  <c r="U10" i="3"/>
  <c r="U6" i="3"/>
  <c r="Q6" i="3"/>
  <c r="M6" i="3"/>
  <c r="L6" i="3" s="1"/>
  <c r="A5" i="3"/>
  <c r="O642" i="3"/>
  <c r="O627" i="3"/>
  <c r="O623" i="3"/>
  <c r="O481" i="3"/>
  <c r="O449" i="3"/>
  <c r="O310" i="3"/>
  <c r="O246" i="3"/>
  <c r="O219" i="3"/>
  <c r="O194" i="3"/>
  <c r="O53" i="3"/>
  <c r="O49" i="3"/>
  <c r="O122" i="3"/>
  <c r="O19" i="3"/>
  <c r="O564" i="3"/>
  <c r="O429" i="3"/>
  <c r="O435" i="3"/>
  <c r="O470" i="3"/>
  <c r="O398" i="3"/>
  <c r="O258" i="3"/>
  <c r="O315" i="3"/>
  <c r="O134" i="3"/>
  <c r="O126" i="3"/>
  <c r="O182" i="3"/>
  <c r="O110" i="3"/>
  <c r="O35" i="3"/>
  <c r="O27" i="3"/>
  <c r="O556" i="3"/>
  <c r="O455" i="3"/>
  <c r="O439" i="3"/>
  <c r="O491" i="3"/>
  <c r="O414" i="3"/>
  <c r="O393" i="3"/>
  <c r="O360" i="3"/>
  <c r="O292" i="3"/>
  <c r="O304" i="3"/>
  <c r="O264" i="3"/>
  <c r="O223" i="3"/>
  <c r="O174" i="3"/>
  <c r="O104" i="3"/>
  <c r="O419" i="3"/>
  <c r="O373" i="3"/>
  <c r="O70" i="3"/>
  <c r="O59" i="3"/>
  <c r="L478" i="3" l="1"/>
  <c r="L99" i="3"/>
  <c r="L634" i="3"/>
  <c r="L407" i="3"/>
  <c r="L446" i="3"/>
  <c r="L28" i="3"/>
  <c r="L51" i="3"/>
  <c r="L45" i="3"/>
  <c r="L117" i="3"/>
  <c r="L14" i="3"/>
  <c r="L40" i="3"/>
  <c r="L79" i="3"/>
  <c r="L101" i="3"/>
  <c r="L159" i="3"/>
  <c r="L160" i="3"/>
  <c r="L26" i="3"/>
  <c r="L62" i="3"/>
  <c r="L108" i="3"/>
  <c r="L494" i="3"/>
  <c r="L196" i="3"/>
  <c r="L200" i="3"/>
  <c r="L201" i="3"/>
  <c r="L205" i="3"/>
  <c r="L247" i="3"/>
  <c r="L279" i="3"/>
  <c r="L222" i="3"/>
  <c r="L297" i="3"/>
  <c r="L329" i="3"/>
  <c r="L243" i="3"/>
  <c r="L252" i="3"/>
  <c r="L486" i="3"/>
  <c r="L336" i="3"/>
  <c r="L361" i="3"/>
  <c r="L626" i="3"/>
  <c r="L245" i="3"/>
  <c r="L253" i="3"/>
  <c r="L269" i="3"/>
  <c r="L331" i="3"/>
  <c r="L249" i="3"/>
  <c r="L257" i="3"/>
  <c r="L337" i="3"/>
  <c r="L251" i="3"/>
  <c r="L508" i="3"/>
  <c r="L516" i="3"/>
  <c r="L524" i="3"/>
  <c r="L528" i="3"/>
  <c r="L536" i="3"/>
  <c r="L540" i="3"/>
  <c r="L544" i="3"/>
  <c r="L548" i="3"/>
  <c r="L552" i="3"/>
  <c r="L560" i="3"/>
  <c r="L581" i="3"/>
  <c r="L605" i="3"/>
  <c r="L121" i="3"/>
  <c r="L107" i="3"/>
  <c r="L125" i="3"/>
  <c r="L152" i="3"/>
  <c r="L171" i="3"/>
  <c r="L169" i="3"/>
  <c r="L192" i="3"/>
  <c r="L287" i="3"/>
  <c r="L406" i="3"/>
  <c r="L458" i="3"/>
  <c r="L657" i="3"/>
  <c r="L132" i="3"/>
  <c r="L18" i="3"/>
  <c r="L36" i="3"/>
  <c r="L30" i="3"/>
  <c r="L24" i="3"/>
  <c r="L41" i="3"/>
  <c r="L48" i="3"/>
  <c r="L115" i="3"/>
  <c r="L119" i="3"/>
  <c r="L138" i="3"/>
  <c r="L307" i="3"/>
  <c r="L323" i="3"/>
  <c r="L363" i="3"/>
  <c r="L387" i="3"/>
  <c r="L357" i="3"/>
  <c r="L509" i="3"/>
  <c r="L529" i="3"/>
  <c r="L541" i="3"/>
  <c r="L607" i="3"/>
  <c r="L615" i="3"/>
  <c r="L404" i="3"/>
  <c r="L492" i="3"/>
  <c r="L622" i="3"/>
  <c r="L638" i="3"/>
  <c r="L8" i="3"/>
  <c r="L25" i="3"/>
  <c r="L97" i="3"/>
  <c r="L145" i="3"/>
  <c r="L156" i="3"/>
  <c r="L168" i="3"/>
  <c r="L261" i="3"/>
  <c r="L284" i="3"/>
  <c r="L490" i="3"/>
  <c r="L396" i="3"/>
  <c r="L428" i="3"/>
  <c r="L574" i="3"/>
  <c r="L606" i="3"/>
  <c r="L651" i="3"/>
  <c r="L20" i="3"/>
  <c r="L15" i="3"/>
  <c r="L22" i="3"/>
  <c r="L44" i="3"/>
  <c r="L50" i="3"/>
  <c r="L83" i="3"/>
  <c r="L74" i="3"/>
  <c r="L98" i="3"/>
  <c r="L127" i="3"/>
  <c r="L114" i="3"/>
  <c r="L123" i="3"/>
  <c r="L157" i="3"/>
  <c r="L141" i="3"/>
  <c r="L172" i="3"/>
  <c r="L177" i="3"/>
  <c r="L180" i="3"/>
  <c r="L164" i="3"/>
  <c r="L163" i="3"/>
  <c r="L198" i="3"/>
  <c r="L221" i="3"/>
  <c r="L229" i="3"/>
  <c r="L236" i="3"/>
  <c r="L311" i="3"/>
  <c r="L230" i="3"/>
  <c r="L255" i="3"/>
  <c r="L291" i="3"/>
  <c r="L244" i="3"/>
  <c r="L268" i="3"/>
  <c r="L368" i="3"/>
  <c r="L376" i="3"/>
  <c r="L349" i="3"/>
  <c r="L353" i="3"/>
  <c r="L365" i="3"/>
  <c r="L369" i="3"/>
  <c r="L379" i="3"/>
  <c r="L433" i="3"/>
  <c r="L450" i="3"/>
  <c r="L466" i="3"/>
  <c r="L482" i="3"/>
  <c r="L535" i="3"/>
  <c r="L543" i="3"/>
  <c r="L551" i="3"/>
  <c r="L579" i="3"/>
  <c r="L595" i="3"/>
  <c r="L603" i="3"/>
  <c r="L444" i="3"/>
  <c r="L410" i="3"/>
  <c r="L582" i="3"/>
  <c r="L598" i="3"/>
  <c r="L614" i="3"/>
  <c r="L624" i="3"/>
  <c r="L628" i="3"/>
  <c r="L632" i="3"/>
  <c r="L636" i="3"/>
  <c r="L652" i="3"/>
  <c r="L650" i="3"/>
  <c r="L647" i="3"/>
  <c r="L16" i="3"/>
  <c r="L33" i="3"/>
  <c r="L32" i="3"/>
  <c r="L60" i="3"/>
  <c r="L106" i="3"/>
  <c r="L130" i="3"/>
  <c r="L140" i="3"/>
  <c r="L183" i="3"/>
  <c r="L203" i="3"/>
  <c r="L214" i="3"/>
  <c r="L265" i="3"/>
  <c r="L313" i="3"/>
  <c r="L260" i="3"/>
  <c r="L299" i="3"/>
  <c r="L352" i="3"/>
  <c r="L364" i="3"/>
  <c r="L391" i="3"/>
  <c r="L378" i="3"/>
  <c r="L402" i="3"/>
  <c r="L418" i="3"/>
  <c r="L585" i="3"/>
  <c r="L593" i="3"/>
  <c r="L601" i="3"/>
  <c r="L609" i="3"/>
  <c r="L590" i="3"/>
  <c r="L658" i="3"/>
  <c r="L57" i="3"/>
  <c r="L94" i="3"/>
  <c r="L153" i="3"/>
  <c r="L144" i="3"/>
  <c r="L217" i="3"/>
  <c r="L238" i="3"/>
  <c r="L231" i="3"/>
  <c r="L294" i="3"/>
  <c r="L303" i="3"/>
  <c r="L319" i="3"/>
  <c r="L335" i="3"/>
  <c r="L348" i="3"/>
  <c r="L356" i="3"/>
  <c r="L453" i="3"/>
  <c r="L654" i="3"/>
  <c r="L630" i="3"/>
  <c r="L59" i="3"/>
  <c r="L174" i="3"/>
  <c r="L223" i="3"/>
  <c r="L393" i="3"/>
  <c r="L35" i="3"/>
  <c r="L182" i="3"/>
  <c r="L126" i="3"/>
  <c r="L134" i="3"/>
  <c r="L315" i="3"/>
  <c r="L470" i="3"/>
  <c r="L122" i="3"/>
  <c r="L194" i="3"/>
  <c r="L310" i="3"/>
  <c r="L449" i="3"/>
  <c r="L481" i="3"/>
  <c r="L642" i="3"/>
  <c r="L360" i="3"/>
  <c r="L429" i="3"/>
  <c r="L398" i="3"/>
  <c r="L414" i="3"/>
  <c r="L564" i="3"/>
  <c r="L29" i="3"/>
  <c r="L147" i="3"/>
  <c r="L155" i="3"/>
  <c r="L170" i="3"/>
  <c r="L278" i="3"/>
  <c r="L248" i="3"/>
  <c r="L256" i="3"/>
  <c r="L13" i="3"/>
  <c r="L67" i="3"/>
  <c r="L68" i="3"/>
  <c r="L69" i="3"/>
  <c r="L84" i="3"/>
  <c r="L85" i="3"/>
  <c r="L93" i="3"/>
  <c r="L116" i="3"/>
  <c r="L118" i="3"/>
  <c r="L135" i="3"/>
  <c r="L104" i="3"/>
  <c r="L112" i="3"/>
  <c r="L120" i="3"/>
  <c r="L143" i="3"/>
  <c r="L150" i="3"/>
  <c r="L142" i="3"/>
  <c r="L162" i="3"/>
  <c r="L178" i="3"/>
  <c r="L235" i="3"/>
  <c r="L239" i="3"/>
  <c r="L211" i="3"/>
  <c r="L219" i="3"/>
  <c r="L220" i="3"/>
  <c r="L227" i="3"/>
  <c r="L228" i="3"/>
  <c r="L296" i="3"/>
  <c r="L312" i="3"/>
  <c r="L328" i="3"/>
  <c r="L250" i="3"/>
  <c r="L359" i="3"/>
  <c r="L375" i="3"/>
  <c r="L380" i="3"/>
  <c r="L381" i="3"/>
  <c r="L374" i="3"/>
  <c r="L384" i="3"/>
  <c r="L373" i="3"/>
  <c r="L415" i="3"/>
  <c r="L416" i="3"/>
  <c r="L388" i="3"/>
  <c r="L566" i="3"/>
  <c r="L588" i="3"/>
  <c r="L620" i="3"/>
  <c r="L61" i="3"/>
  <c r="L78" i="3"/>
  <c r="L146" i="3"/>
  <c r="L154" i="3"/>
  <c r="L254" i="3"/>
  <c r="L264" i="3"/>
  <c r="L403" i="3"/>
  <c r="L411" i="3"/>
  <c r="L427" i="3"/>
  <c r="L443" i="3"/>
  <c r="L602" i="3"/>
  <c r="L629" i="3"/>
  <c r="L648" i="3"/>
  <c r="L475" i="3"/>
  <c r="L596" i="3"/>
  <c r="L586" i="3"/>
  <c r="L608" i="3"/>
  <c r="L10" i="3"/>
  <c r="L27" i="3"/>
  <c r="L17" i="3"/>
  <c r="L46" i="3"/>
  <c r="L49" i="3"/>
  <c r="L56" i="3"/>
  <c r="L63" i="3"/>
  <c r="L64" i="3"/>
  <c r="L76" i="3"/>
  <c r="L77" i="3"/>
  <c r="L70" i="3"/>
  <c r="L71" i="3"/>
  <c r="L95" i="3"/>
  <c r="L128" i="3"/>
  <c r="L129" i="3"/>
  <c r="L136" i="3"/>
  <c r="L137" i="3"/>
  <c r="L181" i="3"/>
  <c r="L158" i="3"/>
  <c r="L187" i="3"/>
  <c r="L188" i="3"/>
  <c r="L189" i="3"/>
  <c r="L193" i="3"/>
  <c r="L197" i="3"/>
  <c r="L206" i="3"/>
  <c r="L233" i="3"/>
  <c r="L237" i="3"/>
  <c r="L292" i="3"/>
  <c r="L293" i="3"/>
  <c r="L300" i="3"/>
  <c r="L301" i="3"/>
  <c r="L308" i="3"/>
  <c r="L309" i="3"/>
  <c r="L316" i="3"/>
  <c r="L317" i="3"/>
  <c r="L324" i="3"/>
  <c r="L325" i="3"/>
  <c r="L332" i="3"/>
  <c r="L333" i="3"/>
  <c r="L340" i="3"/>
  <c r="L341" i="3"/>
  <c r="L272" i="3"/>
  <c r="L273" i="3"/>
  <c r="L280" i="3"/>
  <c r="L281" i="3"/>
  <c r="L288" i="3"/>
  <c r="L289" i="3"/>
  <c r="L304" i="3"/>
  <c r="L305" i="3"/>
  <c r="L320" i="3"/>
  <c r="L321" i="3"/>
  <c r="L345" i="3"/>
  <c r="L344" i="3"/>
  <c r="L351" i="3"/>
  <c r="L367" i="3"/>
  <c r="L350" i="3"/>
  <c r="L354" i="3"/>
  <c r="L358" i="3"/>
  <c r="L362" i="3"/>
  <c r="L366" i="3"/>
  <c r="L370" i="3"/>
  <c r="L382" i="3"/>
  <c r="L386" i="3"/>
  <c r="L377" i="3"/>
  <c r="L390" i="3"/>
  <c r="L399" i="3"/>
  <c r="L400" i="3"/>
  <c r="L431" i="3"/>
  <c r="L432" i="3"/>
  <c r="L439" i="3"/>
  <c r="L440" i="3"/>
  <c r="L447" i="3"/>
  <c r="L448" i="3"/>
  <c r="L455" i="3"/>
  <c r="L456" i="3"/>
  <c r="L463" i="3"/>
  <c r="L464" i="3"/>
  <c r="L471" i="3"/>
  <c r="L472" i="3"/>
  <c r="L479" i="3"/>
  <c r="L480" i="3"/>
  <c r="L487" i="3"/>
  <c r="L488" i="3"/>
  <c r="L495" i="3"/>
  <c r="L621" i="3"/>
  <c r="L572" i="3"/>
  <c r="L604" i="3"/>
  <c r="L623" i="3"/>
  <c r="L627" i="3"/>
  <c r="L631" i="3"/>
  <c r="L635" i="3"/>
  <c r="L655" i="3"/>
  <c r="L656" i="3"/>
  <c r="L19" i="3"/>
  <c r="L53" i="3"/>
  <c r="L190" i="3"/>
  <c r="L209" i="3"/>
  <c r="L556" i="3"/>
  <c r="L395" i="3"/>
  <c r="L459" i="3"/>
  <c r="L491" i="3"/>
  <c r="L397" i="3"/>
  <c r="L570" i="3"/>
  <c r="L576" i="3"/>
  <c r="L592" i="3"/>
  <c r="L9" i="3"/>
  <c r="L11" i="3"/>
  <c r="L12" i="3"/>
  <c r="L37" i="3"/>
  <c r="L38" i="3"/>
  <c r="L52" i="3"/>
  <c r="L86" i="3"/>
  <c r="L87" i="3"/>
  <c r="L72" i="3"/>
  <c r="L73" i="3"/>
  <c r="L80" i="3"/>
  <c r="L81" i="3"/>
  <c r="L88" i="3"/>
  <c r="L89" i="3"/>
  <c r="L92" i="3"/>
  <c r="L124" i="3"/>
  <c r="L102" i="3"/>
  <c r="L103" i="3"/>
  <c r="L110" i="3"/>
  <c r="L111" i="3"/>
  <c r="L148" i="3"/>
  <c r="L149" i="3"/>
  <c r="L173" i="3"/>
  <c r="L184" i="3"/>
  <c r="L185" i="3"/>
  <c r="L179" i="3"/>
  <c r="L176" i="3"/>
  <c r="L208" i="3"/>
  <c r="L216" i="3"/>
  <c r="L224" i="3"/>
  <c r="L232" i="3"/>
  <c r="L246" i="3"/>
  <c r="L262" i="3"/>
  <c r="L263" i="3"/>
  <c r="L270" i="3"/>
  <c r="L271" i="3"/>
  <c r="L286" i="3"/>
  <c r="L241" i="3"/>
  <c r="L258" i="3"/>
  <c r="L259" i="3"/>
  <c r="L266" i="3"/>
  <c r="L267" i="3"/>
  <c r="L274" i="3"/>
  <c r="L275" i="3"/>
  <c r="L282" i="3"/>
  <c r="L283" i="3"/>
  <c r="L355" i="3"/>
  <c r="L371" i="3"/>
  <c r="L392" i="3"/>
  <c r="L423" i="3"/>
  <c r="L424" i="3"/>
  <c r="L510" i="3"/>
  <c r="L514" i="3"/>
  <c r="L518" i="3"/>
  <c r="L522" i="3"/>
  <c r="L526" i="3"/>
  <c r="L530" i="3"/>
  <c r="L534" i="3"/>
  <c r="L538" i="3"/>
  <c r="L542" i="3"/>
  <c r="L546" i="3"/>
  <c r="L550" i="3"/>
  <c r="L554" i="3"/>
  <c r="L558" i="3"/>
  <c r="L562" i="3"/>
  <c r="L419" i="3"/>
  <c r="L420" i="3"/>
  <c r="L435" i="3"/>
  <c r="L436" i="3"/>
  <c r="L451" i="3"/>
  <c r="L452" i="3"/>
  <c r="L467" i="3"/>
  <c r="L468" i="3"/>
  <c r="L483" i="3"/>
  <c r="L484" i="3"/>
  <c r="L580" i="3"/>
  <c r="L612" i="3"/>
  <c r="L643" i="3"/>
  <c r="L644" i="3"/>
  <c r="L659" i="3"/>
  <c r="L578" i="3"/>
  <c r="L594" i="3"/>
  <c r="L610" i="3"/>
  <c r="L568" i="3"/>
  <c r="L584" i="3"/>
  <c r="L600" i="3"/>
  <c r="L616" i="3"/>
  <c r="L625" i="3"/>
  <c r="L633" i="3"/>
  <c r="L637" i="3"/>
  <c r="L639" i="3"/>
  <c r="L640" i="3"/>
  <c r="F5" i="3"/>
  <c r="CJ3" i="1" l="1" a="1"/>
  <c r="CJ3" i="1" s="1"/>
  <c r="CJ2" i="1"/>
  <c r="CJ1" i="1"/>
  <c r="G5" i="3" l="1"/>
  <c r="C5" i="3"/>
  <c r="U5" i="3" s="1"/>
  <c r="X5" i="3" a="1"/>
  <c r="X5" i="3" s="1"/>
  <c r="Y5" i="3" a="1"/>
  <c r="Y5" i="3" s="1"/>
  <c r="Z5" i="3" a="1"/>
  <c r="Z5" i="3" s="1"/>
  <c r="R5" i="3" l="1"/>
  <c r="AC5" i="3"/>
  <c r="AA5" i="3"/>
  <c r="W5" i="3"/>
  <c r="N5" i="3"/>
  <c r="T5" i="3"/>
  <c r="AB5" i="3"/>
  <c r="P5" i="3"/>
  <c r="E5" i="3"/>
  <c r="V5" i="3"/>
  <c r="Q5" i="3"/>
  <c r="M5" i="3"/>
  <c r="S5" i="3"/>
  <c r="O5" i="3"/>
  <c r="CD2" i="1" l="1"/>
  <c r="CE2" i="1" s="1"/>
  <c r="L5" i="3"/>
  <c r="CD3" i="1" l="1"/>
  <c r="CE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Hoorens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if no bpmn path, use the reserved word "EMPTY" (without the quotes)</t>
        </r>
      </text>
    </comment>
    <comment ref="BW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Only for Data Objects</t>
        </r>
      </text>
    </comment>
    <comment ref="BX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Only for Data Objects</t>
        </r>
      </text>
    </comment>
    <comment ref="BY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Only for Sub-Process</t>
        </r>
      </text>
    </comment>
    <comment ref="BZ4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Only for Node</t>
        </r>
      </text>
    </comment>
    <comment ref="CA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Only for Node</t>
        </r>
      </text>
    </comment>
    <comment ref="CB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Only for Data Objects</t>
        </r>
      </text>
    </comment>
    <comment ref="CC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Only for Data objects</t>
        </r>
      </text>
    </comment>
    <comment ref="CD4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Only for Data Objects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Hoorens</author>
  </authors>
  <commentList>
    <comment ref="N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Checking if column ID is filled in</t>
        </r>
      </text>
    </comment>
    <comment ref="Q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Bpmn path has a .bpmn extension</t>
        </r>
      </text>
    </comment>
    <comment ref="R4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sub-Bpmn path has a .bpmn extension</t>
        </r>
      </text>
    </comment>
    <comment ref="S4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SAS source path has a .sas extension</t>
        </r>
      </text>
    </comment>
    <comment ref="U4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checks that the data object is either the input or the output of a element defined in the flow</t>
        </r>
      </text>
    </comment>
    <comment ref="X4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Checks if the ID of the row is unique BY bpmn Path
This is a array formula (CTRL+SHIFT+ENTER to submit it)
Normally the formula should consider the whole range of ID and the whole range of bpmn paths. However by taking the assumptions that 
- the data is sorted by bpmn path (or at least that the bpmn path are collated
-there is no more than 400 ID in a bpmn
we are using an offset formula to shorten the calculation time</t>
        </r>
      </text>
    </comment>
    <comment ref="Y4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 xml:space="preserve">David Hoorens:
</t>
        </r>
        <r>
          <rPr>
            <sz val="9"/>
            <color indexed="81"/>
            <rFont val="Tahoma"/>
            <family val="2"/>
          </rPr>
          <t xml:space="preserve">Checks if there is only one START box BY bpmn Path
This is a array formula (CTRL+SHIFT+ENTER to submit it)
Normally the formula should consider the whole range of ID and the whole range of bpmn paths. However by taking the assumptions that 
- the data is sorted by bpmn path (or at least that the bpmn path are collated
-there is no more than 400 ID in a bpmn
we are using an offset formula to shorten the calculation time
</t>
        </r>
      </text>
    </comment>
    <comment ref="Z4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David Hoorens:</t>
        </r>
        <r>
          <rPr>
            <sz val="9"/>
            <color indexed="81"/>
            <rFont val="Tahoma"/>
            <family val="2"/>
          </rPr>
          <t xml:space="preserve">
Checks if there is only one START box BY bpmn Path
This is a array formula (CTRL+SHIFT+ENTER to submit it)
Normally the formula should consider the whole range of ID and the whole range of bpmn paths. However by taking the assumptions that 
- the data is sorted by bpmn path (or at least that the bpmn path are collated
-there is no more than 400 ID in a bpmn
we are using an offset formula to shorten the calculation time</t>
        </r>
      </text>
    </comment>
  </commentList>
</comments>
</file>

<file path=xl/sharedStrings.xml><?xml version="1.0" encoding="utf-8"?>
<sst xmlns="http://schemas.openxmlformats.org/spreadsheetml/2006/main" count="4033" uniqueCount="657">
  <si>
    <t>BPMN Path</t>
  </si>
  <si>
    <t>ID</t>
  </si>
  <si>
    <t>Type</t>
  </si>
  <si>
    <t>Label</t>
  </si>
  <si>
    <t xml:space="preserve">Input of </t>
  </si>
  <si>
    <t>Output of</t>
  </si>
  <si>
    <t>Sub-BPMN Path</t>
  </si>
  <si>
    <t>SourceType</t>
  </si>
  <si>
    <t>SourcePath</t>
  </si>
  <si>
    <t>Predecessor01</t>
  </si>
  <si>
    <t>Predecessor02</t>
  </si>
  <si>
    <t>Predecessor03</t>
  </si>
  <si>
    <t>Predecessor04</t>
  </si>
  <si>
    <t>Predecessor05</t>
  </si>
  <si>
    <t>Predecessor06</t>
  </si>
  <si>
    <t>Predecessor07</t>
  </si>
  <si>
    <t>Predecessor08</t>
  </si>
  <si>
    <t>Predecessor09</t>
  </si>
  <si>
    <t>Predecessor10</t>
  </si>
  <si>
    <t>Predecessor11</t>
  </si>
  <si>
    <t>Predecessor12</t>
  </si>
  <si>
    <t>Predecessor13</t>
  </si>
  <si>
    <t>Predecessor14</t>
  </si>
  <si>
    <t>Predecessor15</t>
  </si>
  <si>
    <t>Predecessor16</t>
  </si>
  <si>
    <t>Predecessor17</t>
  </si>
  <si>
    <t>Predecessor18</t>
  </si>
  <si>
    <t>Predecessor19</t>
  </si>
  <si>
    <t>Predecessor20</t>
  </si>
  <si>
    <t>Predecessor21</t>
  </si>
  <si>
    <t>Predecessor22</t>
  </si>
  <si>
    <t>Predecessor23</t>
  </si>
  <si>
    <t>Predecessor24</t>
  </si>
  <si>
    <t>Predecessor25</t>
  </si>
  <si>
    <t>Predecessor26</t>
  </si>
  <si>
    <t>Predecessor27</t>
  </si>
  <si>
    <t>Predecessor28</t>
  </si>
  <si>
    <t>Predecessor29</t>
  </si>
  <si>
    <t>Predecessor30</t>
  </si>
  <si>
    <t>Predecessor31</t>
  </si>
  <si>
    <t>Predecessor32</t>
  </si>
  <si>
    <t>Predecessor33</t>
  </si>
  <si>
    <t>Predecessor34</t>
  </si>
  <si>
    <t>Predecessor35</t>
  </si>
  <si>
    <t>Predecessor36</t>
  </si>
  <si>
    <t>Predecessor37</t>
  </si>
  <si>
    <t>Predecessor38</t>
  </si>
  <si>
    <t>Predecessor39</t>
  </si>
  <si>
    <t>Predecessor40</t>
  </si>
  <si>
    <t>Predecessor41</t>
  </si>
  <si>
    <t>Predecessor42</t>
  </si>
  <si>
    <t>Predecessor43</t>
  </si>
  <si>
    <t>Predecessor44</t>
  </si>
  <si>
    <t>Predecessor45</t>
  </si>
  <si>
    <t>Predecessor46</t>
  </si>
  <si>
    <t>Predecessor47</t>
  </si>
  <si>
    <t>Predecessor48</t>
  </si>
  <si>
    <t>Predecessor49</t>
  </si>
  <si>
    <t>Predecessor50</t>
  </si>
  <si>
    <t>Predecessor51</t>
  </si>
  <si>
    <t>Predecessor52</t>
  </si>
  <si>
    <t>Predecessor53</t>
  </si>
  <si>
    <t>Predecessor54</t>
  </si>
  <si>
    <t>Predecessor55</t>
  </si>
  <si>
    <t>Predecessor56</t>
  </si>
  <si>
    <t>Predecessor57</t>
  </si>
  <si>
    <t>Predecessor58</t>
  </si>
  <si>
    <t>Predecessor59</t>
  </si>
  <si>
    <t>Predecessor60</t>
  </si>
  <si>
    <t>Predecessor61</t>
  </si>
  <si>
    <t>Predecessor62</t>
  </si>
  <si>
    <t>Predecessor63</t>
  </si>
  <si>
    <t>Predecessor64</t>
  </si>
  <si>
    <t>Predecessor65</t>
  </si>
  <si>
    <t>Predecessor66</t>
  </si>
  <si>
    <t>Predecessor67</t>
  </si>
  <si>
    <t>Predecessor68</t>
  </si>
  <si>
    <t>Predecessor69</t>
  </si>
  <si>
    <t>Predecessor70</t>
  </si>
  <si>
    <t>Check ID</t>
  </si>
  <si>
    <t>Check Data Input/Output</t>
  </si>
  <si>
    <t>START</t>
  </si>
  <si>
    <t>DATA OBJECT</t>
  </si>
  <si>
    <t>END</t>
  </si>
  <si>
    <t>SUB-PROCESS</t>
  </si>
  <si>
    <t>SERVICE TASK</t>
  </si>
  <si>
    <t>Check sub-process path</t>
  </si>
  <si>
    <t>Check service properties</t>
  </si>
  <si>
    <t>Check bpmn path</t>
  </si>
  <si>
    <t>Check at least one predecessor for End</t>
  </si>
  <si>
    <t>Available Objects</t>
  </si>
  <si>
    <t>Check Label</t>
  </si>
  <si>
    <t>Check unique ID BY bpmn Path</t>
  </si>
  <si>
    <t>Check one START by BPMN Path</t>
  </si>
  <si>
    <t>Check one END by BPMN Path</t>
  </si>
  <si>
    <t>Scope</t>
  </si>
  <si>
    <t>Check extension</t>
  </si>
  <si>
    <t>Check extension 2</t>
  </si>
  <si>
    <t>sas extension</t>
  </si>
  <si>
    <t>Bpmn Path</t>
  </si>
  <si>
    <t>DateTime</t>
  </si>
  <si>
    <t>Status</t>
  </si>
  <si>
    <t>Special characters in label</t>
  </si>
  <si>
    <t>Data object useful</t>
  </si>
  <si>
    <t>Key</t>
  </si>
  <si>
    <t>Check Predecessor01</t>
  </si>
  <si>
    <t>Check if Sub-process defined</t>
  </si>
  <si>
    <t>Checks if node file exists</t>
  </si>
  <si>
    <t>Check if Parent process is defined</t>
  </si>
  <si>
    <t>WARNINGS</t>
  </si>
  <si>
    <t>CHECKS</t>
  </si>
  <si>
    <t>NO ERRORS?</t>
  </si>
  <si>
    <t>NO WARNINGS?</t>
  </si>
  <si>
    <t>Link</t>
  </si>
  <si>
    <t>dummy</t>
  </si>
  <si>
    <t>Node Folder:</t>
  </si>
  <si>
    <t>Folder Object?</t>
  </si>
  <si>
    <t>Jobflow Folder:</t>
  </si>
  <si>
    <t>FA Folder</t>
  </si>
  <si>
    <t>Items Count</t>
  </si>
  <si>
    <t>dataState</t>
  </si>
  <si>
    <t>CardinalityOn</t>
  </si>
  <si>
    <t>Credentials</t>
  </si>
  <si>
    <t>IRM34_FLAG</t>
  </si>
  <si>
    <t>..</t>
  </si>
  <si>
    <t>.</t>
  </si>
  <si>
    <t>type=sas</t>
  </si>
  <si>
    <t>credentials=1</t>
  </si>
  <si>
    <t>GLOBAL.SYSTEM_OPTION.SAS7BDAT</t>
  </si>
  <si>
    <t>Y</t>
  </si>
  <si>
    <t>partition, %ds_in</t>
  </si>
  <si>
    <t>%ds_out</t>
  </si>
  <si>
    <t>003_00_01</t>
  </si>
  <si>
    <t>003_00_02</t>
  </si>
  <si>
    <t>003_01_00</t>
  </si>
  <si>
    <t>Generated</t>
  </si>
  <si>
    <t>%ds_in_entity</t>
  </si>
  <si>
    <t>%ds_out_entity</t>
  </si>
  <si>
    <t>005_00_02</t>
  </si>
  <si>
    <t>005_01_00</t>
  </si>
  <si>
    <t>005_02_00</t>
  </si>
  <si>
    <t>006_00_02</t>
  </si>
  <si>
    <t>006_00_03</t>
  </si>
  <si>
    <t>006_01_00</t>
  </si>
  <si>
    <t>%ds_in</t>
  </si>
  <si>
    <t>%ds_out_cardinality</t>
  </si>
  <si>
    <t>SUB PROCESS</t>
  </si>
  <si>
    <t>002</t>
  </si>
  <si>
    <t>003</t>
  </si>
  <si>
    <t>005</t>
  </si>
  <si>
    <t>006</t>
  </si>
  <si>
    <t>008</t>
  </si>
  <si>
    <t>009</t>
  </si>
  <si>
    <t>009_00_03</t>
  </si>
  <si>
    <t>009_00_04</t>
  </si>
  <si>
    <t>009_00_05</t>
  </si>
  <si>
    <t>009_00_06</t>
  </si>
  <si>
    <t>009_04_00</t>
  </si>
  <si>
    <t>015</t>
  </si>
  <si>
    <t>015_03_00</t>
  </si>
  <si>
    <t>017</t>
  </si>
  <si>
    <t>017_00_07</t>
  </si>
  <si>
    <t>017_00_08</t>
  </si>
  <si>
    <t>017_00_09</t>
  </si>
  <si>
    <t>017_05_00</t>
  </si>
  <si>
    <t>022</t>
  </si>
  <si>
    <t>023</t>
  </si>
  <si>
    <t>021</t>
  </si>
  <si>
    <t>007</t>
  </si>
  <si>
    <t>007_00_03</t>
  </si>
  <si>
    <t>007_00_04</t>
  </si>
  <si>
    <t>007_00_05</t>
  </si>
  <si>
    <t>007_00_06</t>
  </si>
  <si>
    <t>007_00_07</t>
  </si>
  <si>
    <t>007_00_08</t>
  </si>
  <si>
    <t>007_00_09</t>
  </si>
  <si>
    <t>007_02_00</t>
  </si>
  <si>
    <t>016</t>
  </si>
  <si>
    <t>%ds_in_map_movement</t>
  </si>
  <si>
    <t>%ds_out_sync</t>
  </si>
  <si>
    <t>006_02_00</t>
  </si>
  <si>
    <t>010</t>
  </si>
  <si>
    <t>010_00_04</t>
  </si>
  <si>
    <t>010_00_05</t>
  </si>
  <si>
    <t>%ds_in_cardinality</t>
  </si>
  <si>
    <t>010_00_06</t>
  </si>
  <si>
    <t>%ds_in_dq_config</t>
  </si>
  <si>
    <t>010_00_07</t>
  </si>
  <si>
    <t>010_03_00</t>
  </si>
  <si>
    <t>010_04_00</t>
  </si>
  <si>
    <t>021_00_10</t>
  </si>
  <si>
    <t>021_00_11</t>
  </si>
  <si>
    <t>021_06_00</t>
  </si>
  <si>
    <t>025</t>
  </si>
  <si>
    <t>credentials=60</t>
  </si>
  <si>
    <t>007_03_00</t>
  </si>
  <si>
    <t>007_04_00</t>
  </si>
  <si>
    <t>016_00_08</t>
  </si>
  <si>
    <t>016_00_09</t>
  </si>
  <si>
    <t>016_05_00</t>
  </si>
  <si>
    <t>020</t>
  </si>
  <si>
    <t>007_00_10</t>
  </si>
  <si>
    <t>017_00_11</t>
  </si>
  <si>
    <t>017_00_12</t>
  </si>
  <si>
    <t>017_03_00</t>
  </si>
  <si>
    <t>001_00_01</t>
  </si>
  <si>
    <t>001_01_00</t>
  </si>
  <si>
    <t>020_00_01</t>
  </si>
  <si>
    <t>020_00_02</t>
  </si>
  <si>
    <t>020_00_03</t>
  </si>
  <si>
    <t>020_01_00</t>
  </si>
  <si>
    <t>010_00_01</t>
  </si>
  <si>
    <t>010_00_02</t>
  </si>
  <si>
    <t>010_01_00</t>
  </si>
  <si>
    <t>030_00_01</t>
  </si>
  <si>
    <t>030_00_02</t>
  </si>
  <si>
    <t>030_01_00</t>
  </si>
  <si>
    <t>000_00_00</t>
  </si>
  <si>
    <t>001_00_00</t>
  </si>
  <si>
    <t>010_00_00</t>
  </si>
  <si>
    <t>020_00_00</t>
  </si>
  <si>
    <t>030_00_00</t>
  </si>
  <si>
    <t>999_00_00</t>
  </si>
  <si>
    <t>partition, %ds_out</t>
  </si>
  <si>
    <t>040_00_00</t>
  </si>
  <si>
    <t>040_00_01</t>
  </si>
  <si>
    <t>040_00_02</t>
  </si>
  <si>
    <t>040_00_03</t>
  </si>
  <si>
    <t>040_00_04</t>
  </si>
  <si>
    <t>040_01_00</t>
  </si>
  <si>
    <t>040_02_00</t>
  </si>
  <si>
    <t>040_00_05</t>
  </si>
  <si>
    <t>020_00_04</t>
  </si>
  <si>
    <t>020_00_05</t>
  </si>
  <si>
    <t>020_00_06</t>
  </si>
  <si>
    <t>020_00_07</t>
  </si>
  <si>
    <t>020_02_00</t>
  </si>
  <si>
    <t>020_03_00</t>
  </si>
  <si>
    <t>050_00_00</t>
  </si>
  <si>
    <t>050_00_01</t>
  </si>
  <si>
    <t>050_00_02</t>
  </si>
  <si>
    <t>020_00_08</t>
  </si>
  <si>
    <t>010_00_03</t>
  </si>
  <si>
    <t>010_02_00</t>
  </si>
  <si>
    <t>030_00_03</t>
  </si>
  <si>
    <t>030_00_04</t>
  </si>
  <si>
    <t>030_00_05</t>
  </si>
  <si>
    <t>030_00_06</t>
  </si>
  <si>
    <t>030_00_07</t>
  </si>
  <si>
    <t>060_00_00</t>
  </si>
  <si>
    <t>060_00_01</t>
  </si>
  <si>
    <t>060_00_02</t>
  </si>
  <si>
    <t>060_00_03</t>
  </si>
  <si>
    <t>060_01_00</t>
  </si>
  <si>
    <t>070_00_00</t>
  </si>
  <si>
    <t>070_01_00</t>
  </si>
  <si>
    <t>080_00_00</t>
  </si>
  <si>
    <t>080_00_01</t>
  </si>
  <si>
    <t>080_00_02</t>
  </si>
  <si>
    <t>080_00_03</t>
  </si>
  <si>
    <t>080_01_00</t>
  </si>
  <si>
    <t>090_00_00</t>
  </si>
  <si>
    <t>030_02_00</t>
  </si>
  <si>
    <t>030_03_00</t>
  </si>
  <si>
    <t>040_00_06</t>
  </si>
  <si>
    <t>030_00_08</t>
  </si>
  <si>
    <t>%ds_in_config</t>
  </si>
  <si>
    <t>%ds_out_dataInfo</t>
  </si>
  <si>
    <t>%ds_out_partition_list</t>
  </si>
  <si>
    <t>%ds_in_sync_mart</t>
  </si>
  <si>
    <t>%ds_in_rules_info</t>
  </si>
  <si>
    <t>%ds_out_modified_delta</t>
  </si>
  <si>
    <t>%ds_out_alloc_rules_summary</t>
  </si>
  <si>
    <t>%ds_in_mart_dataInfo</t>
  </si>
  <si>
    <t>%ds_in_mart_partition_list</t>
  </si>
  <si>
    <t>%ds_in_dependency_config</t>
  </si>
  <si>
    <t>030_00_09</t>
  </si>
  <si>
    <t>%ds_in_mart_meta</t>
  </si>
  <si>
    <t>030_00_10</t>
  </si>
  <si>
    <t>030_00_11</t>
  </si>
  <si>
    <t>%ds_in_reportmart_config</t>
  </si>
  <si>
    <t>030_04_00</t>
  </si>
  <si>
    <t>%ds_out_reportmart_config</t>
  </si>
  <si>
    <t>%ds_out_meta</t>
  </si>
  <si>
    <t>credentials=10</t>
  </si>
  <si>
    <t>030_00_12</t>
  </si>
  <si>
    <t>%ds_in_aggregation_config</t>
  </si>
  <si>
    <t>RGFRMC</t>
  </si>
  <si>
    <t>%ds_in_store_config</t>
  </si>
  <si>
    <t>%ds_in_rule_config</t>
  </si>
  <si>
    <t>partition, %ds_out_analysis_data</t>
  </si>
  <si>
    <t>%dr_libref</t>
  </si>
  <si>
    <t>partition, %ds_out_details</t>
  </si>
  <si>
    <t>partition, %ds_out_summary</t>
  </si>
  <si>
    <t>partition, %ds_out_load_result</t>
  </si>
  <si>
    <t>%mart_libref</t>
  </si>
  <si>
    <t>%ds_in_datastore_config</t>
  </si>
  <si>
    <t>%ds_out_datastore_config</t>
  </si>
  <si>
    <t>%ds_in_analysis_data</t>
  </si>
  <si>
    <t>%ds_in_system_option</t>
  </si>
  <si>
    <t>%ds_in_run_option</t>
  </si>
  <si>
    <t>%ds_out_run_option</t>
  </si>
  <si>
    <t>%ds_in_execution_config</t>
  </si>
  <si>
    <t>020_04_00</t>
  </si>
  <si>
    <t>020_05_00</t>
  </si>
  <si>
    <t>070_00_01</t>
  </si>
  <si>
    <t>070_00_02</t>
  </si>
  <si>
    <t>%ds_out_dq_config</t>
  </si>
  <si>
    <t>080_00_04</t>
  </si>
  <si>
    <t>%ds_in_mrs_scenarios</t>
  </si>
  <si>
    <t>%ds_out_scenario_info</t>
  </si>
  <si>
    <t>%ds_out_scenario_data</t>
  </si>
  <si>
    <t>%ds_in_rsm_scenario_data</t>
  </si>
  <si>
    <t>%ds_in_scenario_info</t>
  </si>
  <si>
    <t>%ds_in_scenario_data</t>
  </si>
  <si>
    <t>%ds_in_map_config</t>
  </si>
  <si>
    <t>%ds_out_model_run_info</t>
  </si>
  <si>
    <t>%ds_out_model_run_parms</t>
  </si>
  <si>
    <t>%ds_out_model_result</t>
  </si>
  <si>
    <t>%ds_in_model_run_info</t>
  </si>
  <si>
    <t>%ds_in_model_result</t>
  </si>
  <si>
    <t>%ds_out_result_map</t>
  </si>
  <si>
    <t>%ds_out_sync_result</t>
  </si>
  <si>
    <t>080_00_05</t>
  </si>
  <si>
    <t>080_00_06</t>
  </si>
  <si>
    <t>080_00_07</t>
  </si>
  <si>
    <t>080_02_00</t>
  </si>
  <si>
    <t>%ds_out_enrichment_result</t>
  </si>
  <si>
    <t>%ds_in_enrichment_stage1</t>
  </si>
  <si>
    <t>%ds_in_enrichment_stage2</t>
  </si>
  <si>
    <t>%ds_in_enrichment_stage3</t>
  </si>
  <si>
    <t>%ds_in_enrichment_stage4</t>
  </si>
  <si>
    <t>%ds_in_enrichment_stage5</t>
  </si>
  <si>
    <t>%ds_out_mrs</t>
  </si>
  <si>
    <t>%ds_out_enrichment_stage1</t>
  </si>
  <si>
    <t>%ds_out_enrichment_stage2</t>
  </si>
  <si>
    <t>%ds_out_enrichment_stage3</t>
  </si>
  <si>
    <t>%ds_out_enrichment_stage4</t>
  </si>
  <si>
    <t>%ds_out_enrichment_stage5</t>
  </si>
  <si>
    <t>%ds_out_execution_stage1</t>
  </si>
  <si>
    <t>%ds_out_execution_stage2</t>
  </si>
  <si>
    <t>%ds_out_execution_stage3</t>
  </si>
  <si>
    <t>%ds_in_result_stage1</t>
  </si>
  <si>
    <t>%ds_in_result_stage2</t>
  </si>
  <si>
    <t>%ds_in_result_stage3</t>
  </si>
  <si>
    <t>%ds_out_result_list</t>
  </si>
  <si>
    <t>020_00_09</t>
  </si>
  <si>
    <t>080_00_08</t>
  </si>
  <si>
    <t>001</t>
  </si>
  <si>
    <t>002_00_01</t>
  </si>
  <si>
    <t>002_00_02</t>
  </si>
  <si>
    <t>002_01_00</t>
  </si>
  <si>
    <t>003_00_03</t>
  </si>
  <si>
    <t>001_00_02</t>
  </si>
  <si>
    <t>001_00_03</t>
  </si>
  <si>
    <t>001_00_04</t>
  </si>
  <si>
    <t>%ds_in_rpt_config</t>
  </si>
  <si>
    <t>%ds_out_rpt_analysis_data</t>
  </si>
  <si>
    <t>%ds_out_rpt_config</t>
  </si>
  <si>
    <t>001_02_00</t>
  </si>
  <si>
    <t>%rpt_libref</t>
  </si>
  <si>
    <t>%ds_in_rpt_parameters</t>
  </si>
  <si>
    <t>%ds_in_rpt_sources</t>
  </si>
  <si>
    <t>001_00_05</t>
  </si>
  <si>
    <t>%ds_in_data_source_config</t>
  </si>
  <si>
    <t>060_00_04</t>
  </si>
  <si>
    <t>003_02_00</t>
  </si>
  <si>
    <t>TMPLIB</t>
  </si>
  <si>
    <t>%tmp_libref</t>
  </si>
  <si>
    <t>040_00_07</t>
  </si>
  <si>
    <t>040_00_08</t>
  </si>
  <si>
    <t>030_00_13</t>
  </si>
  <si>
    <t>020_00_10</t>
  </si>
  <si>
    <t>040_00_09</t>
  </si>
  <si>
    <t>040_00_10</t>
  </si>
  <si>
    <t>%ds_in_calculation_config</t>
  </si>
  <si>
    <t>040_03_00</t>
  </si>
  <si>
    <t>040_04_00</t>
  </si>
  <si>
    <t>%ds_out_ia_movements</t>
  </si>
  <si>
    <t>%ds_out_ia_exceptions</t>
  </si>
  <si>
    <t>%ds_out_attribution_config</t>
  </si>
  <si>
    <t>%ds_out_attribution_run_config</t>
  </si>
  <si>
    <t>001_03_00</t>
  </si>
  <si>
    <t>%ds_out_attribution_option</t>
  </si>
  <si>
    <t>%ds_in_run_config</t>
  </si>
  <si>
    <t>020_00_11</t>
  </si>
  <si>
    <t>partition, %ds_out_sync</t>
  </si>
  <si>
    <t>%ds_in_attribution_config</t>
  </si>
  <si>
    <t>%ds_in_sync_result</t>
  </si>
  <si>
    <t>020_00_12</t>
  </si>
  <si>
    <t>%ds_in_scenario_map</t>
  </si>
  <si>
    <t>020_00_13</t>
  </si>
  <si>
    <t>Analytics/irmifrs9_data_preparation.bpmn</t>
  </si>
  <si>
    <t>Analytics/irmifrs9_data_quality.bpmn</t>
  </si>
  <si>
    <t>Miscellaneous/subflow/irmifrs9_data_quality.bpmn</t>
  </si>
  <si>
    <t>Miscellaneous/subflow/irmifrs9_init.bpmn</t>
  </si>
  <si>
    <t>Miscellaneous/subflow/irmifrs9_load_reportmart.bpmn</t>
  </si>
  <si>
    <t>Miscellaneous/subflow/irmifrs9_store_analysis_data.bpmn</t>
  </si>
  <si>
    <t>Miscellaneous/subflow/irmifrs9_get_scenarios.bpmn</t>
  </si>
  <si>
    <t>Miscellaneous/subflow/irmifrs9_credit_risk_analysis.bpmn</t>
  </si>
  <si>
    <t>Analytics/irmifrs9_credit_risk.bpmn</t>
  </si>
  <si>
    <t>Miscellaneous/subflow/irmifrs9_adjustment_alloc.bpmn</t>
  </si>
  <si>
    <t>Analytics/irmifrs9_adjustment_allocation.bpmn</t>
  </si>
  <si>
    <t>Miscellaneous/subflow/irmifrs9_enrichment_stage1.bpmn</t>
  </si>
  <si>
    <t>Miscellaneous/subflow/irmifrs9_enrichment_stage2.bpmn</t>
  </si>
  <si>
    <t>Miscellaneous/subflow/irmifrs9_enrichment_stage3.bpmn</t>
  </si>
  <si>
    <t>Miscellaneous/subflow/irmifrs9_enrichment_stage4.bpmn</t>
  </si>
  <si>
    <t>Miscellaneous/subflow/irmifrs9_enrichment_stage5.bpmn</t>
  </si>
  <si>
    <t>Miscellaneous/subflow/irmifrs9_data_enrichment.bpmn</t>
  </si>
  <si>
    <t>Miscellaneous/subflow/irmifrs9_preprocess_stage1.bpmn</t>
  </si>
  <si>
    <t>Miscellaneous/subflow/irmifrs9_preprocess_stage2.bpmn</t>
  </si>
  <si>
    <t>Miscellaneous/subflow/irmifrs9_preprocess_stage3.bpmn</t>
  </si>
  <si>
    <t>Miscellaneous/subflow/irmifrs9_postprocess_stage1.bpmn</t>
  </si>
  <si>
    <t>Miscellaneous/subflow/irmifrs9_postprocess_stage2.bpmn</t>
  </si>
  <si>
    <t>Miscellaneous/subflow/irmifrs9_postprocess_stage3.bpmn</t>
  </si>
  <si>
    <t>Miscellaneous/subflow/irmifrs9_preprocess.bpmn</t>
  </si>
  <si>
    <t>Miscellaneous/subflow/irmifrs9_postprocess.bpmn</t>
  </si>
  <si>
    <t>Miscellaneous/subflow/irmifrs9_create_reports.bpmn</t>
  </si>
  <si>
    <t>Analytics/irmifrs9_disclosure_reports.bpmn</t>
  </si>
  <si>
    <t>Analytics/irmifrs9_afs_calculations.bpmn</t>
  </si>
  <si>
    <t>Analytics/irmifrs9_attribution_analysis.bpmn</t>
  </si>
  <si>
    <t>Miscellaneous/subflow/irmifrs9_attribution_analysis.bpmn</t>
  </si>
  <si>
    <t>source=irmifrs9_node_sync_dq_store.sas</t>
  </si>
  <si>
    <t>source=irmifrs9_node_sync_dq_rptmart.sas</t>
  </si>
  <si>
    <t>source=irmifrs9_node_dq_init.sas</t>
  </si>
  <si>
    <t>source=irmifrs9_node_set_cardinality_byn.sas</t>
  </si>
  <si>
    <t>source=irmifrs9_node_dq_run.sas</t>
  </si>
  <si>
    <t>source=irmifrs9_node_recombine.sas</t>
  </si>
  <si>
    <t>source=irmifrs9_node_init.sas</t>
  </si>
  <si>
    <t>source=irmifrs9_node_load_reportmart.sas</t>
  </si>
  <si>
    <t>source=irmifrs9_node_create_workgroup_dirs.sas</t>
  </si>
  <si>
    <t>source=irmifrs9_node_store_analysis_data.sas</t>
  </si>
  <si>
    <t>source=irmifrs9_node_mrs_init.sas</t>
  </si>
  <si>
    <t>source=irmifrs9_node_mrs_run.sas</t>
  </si>
  <si>
    <t>source=irmifrs9_node_mrs_finalize.sas</t>
  </si>
  <si>
    <t>source=irmifrs9_node_credit_model_run.sas</t>
  </si>
  <si>
    <t>source=irmifrs9_node_map_model_results.sas</t>
  </si>
  <si>
    <t>source=irmifrs9_node_sync_credit_store.sas</t>
  </si>
  <si>
    <t>source=irmifrs9_node_sync_credit_rptmart.sas</t>
  </si>
  <si>
    <t>source=irmifrs9_node_get_analysis_data.sas</t>
  </si>
  <si>
    <t>source=irmifrs9_node_get_ruleset.sas</t>
  </si>
  <si>
    <t>source=irmifrs9_node_allocate_adjustments.sas</t>
  </si>
  <si>
    <t>source=irmifrs9_node_run_task.sas</t>
  </si>
  <si>
    <t>source=irmifrs9_node_filter_entity.sas</t>
  </si>
  <si>
    <t>source=irmifrs9_node_prepare_enrichment.sas</t>
  </si>
  <si>
    <t>source=irmifrs9_node_sync_enrichment.sas</t>
  </si>
  <si>
    <t>source=irmifrs9_node_prepare_preprocess.sas</t>
  </si>
  <si>
    <t>source=irmifrs9_node_sync_preprocess.sas</t>
  </si>
  <si>
    <t>source=irmifrs9_node_prepare_postprocess.sas</t>
  </si>
  <si>
    <t>source=irmifrs9_node_sync_postprocess.sas</t>
  </si>
  <si>
    <t>source=irmifrs9_node_report_init.sas</t>
  </si>
  <si>
    <t>source=irmifrs9_node_report_run.sas</t>
  </si>
  <si>
    <t>source=irmifrs9_node_sync_adjustment.sas</t>
  </si>
  <si>
    <t>source=irmifrs9_node_attribution_init.sas</t>
  </si>
  <si>
    <t>source=irmifrs9_node_attribution_run.sas</t>
  </si>
  <si>
    <t>source=irmifrs9_node_attribution_finalize.sas</t>
  </si>
  <si>
    <t>path=Miscellaneous/subflow/irmifrs9_init.bpmn</t>
  </si>
  <si>
    <t>path=Miscellaneous/subflow/irmifrs9_data_enrichment.bpmn</t>
  </si>
  <si>
    <t>path=Miscellaneous/subflow/irmifrs9_store_analysis_data.bpmn</t>
  </si>
  <si>
    <t>path=Miscellaneous/subflow/irmifrs9_data_quality.bpmn</t>
  </si>
  <si>
    <t>path=Miscellaneous/subflow/irmifrs9_load_reportmart.bpmn</t>
  </si>
  <si>
    <t>path=Miscellaneous/subflow/irmifrs9_get_scenarios.bpmn</t>
  </si>
  <si>
    <t>path=Miscellaneous/subflow/irmifrs9_preprocess.bpmn</t>
  </si>
  <si>
    <t>path=Miscellaneous/subflow/irmifrs9_credit_risk_analysis.bpmn</t>
  </si>
  <si>
    <t>path=Miscellaneous/subflow/irmifrs9_adjustment_alloc.bpmn</t>
  </si>
  <si>
    <t>path=Miscellaneous/subflow/irmifrs9_enrichment_stage1.bpmn</t>
  </si>
  <si>
    <t>path=Miscellaneous/subflow/irmifrs9_enrichment_stage2.bpmn</t>
  </si>
  <si>
    <t>path=Miscellaneous/subflow/irmifrs9_enrichment_stage3.bpmn</t>
  </si>
  <si>
    <t>path=Miscellaneous/subflow/irmifrs9_enrichment_stage4.bpmn</t>
  </si>
  <si>
    <t>path=Miscellaneous/subflow/irmifrs9_enrichment_stage5.bpmn</t>
  </si>
  <si>
    <t>path=Miscellaneous/subflow/irmifrs9_preprocess_stage1.bpmn</t>
  </si>
  <si>
    <t>path=Miscellaneous/subflow/irmifrs9_preprocess_stage2.bpmn</t>
  </si>
  <si>
    <t>path=Miscellaneous/subflow/irmifrs9_preprocess_stage3.bpmn</t>
  </si>
  <si>
    <t>path=Miscellaneous/subflow/irmifrs9_postprocess_stage1.bpmn</t>
  </si>
  <si>
    <t>path=Miscellaneous/subflow/irmifrs9_postprocess_stage2.bpmn</t>
  </si>
  <si>
    <t>path=Miscellaneous/subflow/irmifrs9_postprocess_stage3.bpmn</t>
  </si>
  <si>
    <t>path=Miscellaneous/subflow/irmifrs9_create_reports.bpmn</t>
  </si>
  <si>
    <t>path=Miscellaneous/subflow/irmifrs9_attribution_analysis.bpmn</t>
  </si>
  <si>
    <t>IFRS9DR</t>
  </si>
  <si>
    <t>SP_00_irmifrs9_subflow_init</t>
  </si>
  <si>
    <t>SP_00_irmifrs9_subflow_data_enrichment</t>
  </si>
  <si>
    <t>SP_00_irmifrs9_subflow_store_analysis_data</t>
  </si>
  <si>
    <t>SP_00_irmifrs9_subflow_dq</t>
  </si>
  <si>
    <t>STS_00_irmifrs9_node_sync_dq_store</t>
  </si>
  <si>
    <t>STS_00_irmifrs9_node_sync_dq_rptmart</t>
  </si>
  <si>
    <t>SP_00_irmifrs9_subflow_load_reportmart</t>
  </si>
  <si>
    <t>STS_00_irmifrs9_node_dq_init</t>
  </si>
  <si>
    <t>STS_00_irmifrs9_node_set_cardinality_byn</t>
  </si>
  <si>
    <t>STS_00_irmifrs9_node_dq_run</t>
  </si>
  <si>
    <t>STS_00_irmifrs9_node_recombine</t>
  </si>
  <si>
    <t>STS_00_irmifrs9_node_init</t>
  </si>
  <si>
    <t>STS_00_irmifrs9_node_load_reportmart</t>
  </si>
  <si>
    <t>STS_00_irmifrs9_node_create_workgroup_dirs</t>
  </si>
  <si>
    <t>STS_00_irmifrs9_node_store_analysis_data</t>
  </si>
  <si>
    <t>STS_00_irmifrs9_node_mrs_init</t>
  </si>
  <si>
    <t>STS_00_irmifrs9_node_mrs_run</t>
  </si>
  <si>
    <t>STS_00_irmifrs9_node_mrs_finalize</t>
  </si>
  <si>
    <t>STS_00_irmifrs9_node_credit_model_run</t>
  </si>
  <si>
    <t>STS_00_irmifrs9_node_map_model_results</t>
  </si>
  <si>
    <t>SP_00_irmifrs9_subflow_get_scenarios</t>
  </si>
  <si>
    <t>SP_00_irmifrs9_subflow_preprocess</t>
  </si>
  <si>
    <t>SP_00_irmifrs9_subflow_credit_risk</t>
  </si>
  <si>
    <t>STS_00_irmifrs9_node_sync_credit_store</t>
  </si>
  <si>
    <t>STS_00_irmifrs9_node_sync_credit_rptmart</t>
  </si>
  <si>
    <t>STS_00_irmifrs9_node_get_analysis_data</t>
  </si>
  <si>
    <t>STS_00_irmifrs9_node_get_ruleset</t>
  </si>
  <si>
    <t>STS_00_irmifrs9_node_allocate</t>
  </si>
  <si>
    <t>SP_00_irmifrs9_subflow_adjustment_alloc</t>
  </si>
  <si>
    <t>STS_00_irmifrs9_node_run_task</t>
  </si>
  <si>
    <t>STS_00_irmifrs9_node_filter_entity</t>
  </si>
  <si>
    <t>STS_00_irmifrs9_node_prepare_enrichment</t>
  </si>
  <si>
    <t>SP_00_irmifrs9_subflow_enrichment_stage1</t>
  </si>
  <si>
    <t>SP_00_irmifrs9_subflow_enrichment_stage2</t>
  </si>
  <si>
    <t>SP_00_irmifrs9_subflow_enrichment_stage3</t>
  </si>
  <si>
    <t>SP_00_irmifrs9_subflow_enrichment_stage4</t>
  </si>
  <si>
    <t>SP_00_irmifrs9_subflow_enrichment_stage5</t>
  </si>
  <si>
    <t>STS_00_irmifrs9_node_sync_enrichment</t>
  </si>
  <si>
    <t>STS_00_irmifrs9_node_prepare_preprocess</t>
  </si>
  <si>
    <t>SP_00_irmifrs9_subflow_preprocess_stage1</t>
  </si>
  <si>
    <t>SP_00_irmifrs9_subflow_preprocess_stage2</t>
  </si>
  <si>
    <t>SP_00_irmifrs9_subflow_preprocess_stage3</t>
  </si>
  <si>
    <t>STS_00_irmifrs9_node_sync_preprocess</t>
  </si>
  <si>
    <t>STS_00_irmifrs9_node_prepare_postprocess</t>
  </si>
  <si>
    <t>SP_00_irmifrs9_subflow_postprocess_stage1</t>
  </si>
  <si>
    <t>SP_00_irmifrs9_subflow_postprocess_stage2</t>
  </si>
  <si>
    <t>SP_00_irmifrs9_subflow_postprocess_stage3</t>
  </si>
  <si>
    <t>STS_00_irmifrs9_node_sync_postprocess</t>
  </si>
  <si>
    <t>STS_00_irmifrs9_node_report_init</t>
  </si>
  <si>
    <t>STS_00_irmifrs9_node_report_run</t>
  </si>
  <si>
    <t>SP_00_irmifrs9_subflow_create_reports</t>
  </si>
  <si>
    <t>STS_00_irmifrs9_node_sync_adjustment</t>
  </si>
  <si>
    <t>SP_00_irmifrs9_subflow_attribution_analysis</t>
  </si>
  <si>
    <t>STS_00_irmifrs9_node_attribution_init</t>
  </si>
  <si>
    <t>STS_00_irmifrs9_node_attribution_run</t>
  </si>
  <si>
    <t>STS_00_irmifrs9_node_attribution_finalize</t>
  </si>
  <si>
    <t>FRS9_CFG.RUN_OPTION.SAS7BDAT</t>
  </si>
  <si>
    <t>FRS9_STG.ANALYSIS_DATA.SAS7BDAT</t>
  </si>
  <si>
    <t>FRS9_CFG.DQ_CONFIG.SAS7BDAT</t>
  </si>
  <si>
    <t>FRS9_STG.DQ_SUMMARY.SAS7BDAT</t>
  </si>
  <si>
    <t>FRS9_STG.DQ_DETAILS.SAS7BDAT</t>
  </si>
  <si>
    <t>FRS9_PRM.RUN_OPTION.SAS7BDAT</t>
  </si>
  <si>
    <t>FRS9_CFG.DATASTORE_CONFIG.SAS7BDAT</t>
  </si>
  <si>
    <t>FRS9_STG.DATASTORE_CONFIG.SAS7BDAT</t>
  </si>
  <si>
    <t>FRS9_CFG.REPORTMART_CONFIG.SAS7BDAT</t>
  </si>
  <si>
    <t>FRS9_STG.REPORTMART_CONFIG.SAS7BDAT</t>
  </si>
  <si>
    <t>FRS9_STG.DQ_CONFIG.SAS7BDAT</t>
  </si>
  <si>
    <t>FRS9_STG.DQ_CARDINALITY.SAS7BDAT</t>
  </si>
  <si>
    <t>FRS9_PT1.DQ_SUMMARY.SAS7BDAT</t>
  </si>
  <si>
    <t>FRS9_PT2.DQ_DETAILS.SAS7BDAT</t>
  </si>
  <si>
    <t>FRS9_STG.RPTMART_CARDINALITY.SAS7BDAT</t>
  </si>
  <si>
    <t>FRS9_PT.LOAD_RESULT.SAS7BDAT</t>
  </si>
  <si>
    <t>FRS9_STG.LOAD_RESULT.SAS7BDAT</t>
  </si>
  <si>
    <t>FRS9_STG.DETAIL_DATA_DIRS.SAS7BDAT</t>
  </si>
  <si>
    <t>FRS9_STG.DSTORE_CARDINALITY.SAS7BDAT</t>
  </si>
  <si>
    <t>FRS9_CFG.RULE_SET_CONFIG.SAS7BDAT</t>
  </si>
  <si>
    <t>FRS9_LND</t>
  </si>
  <si>
    <t>FRS9_MAP</t>
  </si>
  <si>
    <t>FRS9_CFG</t>
  </si>
  <si>
    <t>FRS9_PT.ANALYSIS_DATA.SAS7BDAT</t>
  </si>
  <si>
    <t>FRS9_STG.MASTER_RISK_SCENARIOS.SAS7BDAT</t>
  </si>
  <si>
    <t>FRS9_STG.MRS_CARDINALITY.SAS7BDAT</t>
  </si>
  <si>
    <t>FRS9_PT.RSM_SCENARIO_DATA.SAS7BDAT</t>
  </si>
  <si>
    <t>FRS9_TMP.RSM_SCENARIO_DATA.SAS7BDAT</t>
  </si>
  <si>
    <t>FRS9_STG.SCENARIO_INFO.SAS7BDAT</t>
  </si>
  <si>
    <t>FRS9_STG.SCENARIO_DATA.SAS7BDAT</t>
  </si>
  <si>
    <t>FRS9_CFG.CREDIT_RISK_CONFIG.SAS7BDAT</t>
  </si>
  <si>
    <t>FRS9_CFG.DATA_MAP_CONFIG.SAS7BDAT</t>
  </si>
  <si>
    <t>FRS9_STG.MODEL_RUN_INFO.SAS7BDAT</t>
  </si>
  <si>
    <t>FRS9_STG.MODEL_RUN_PARAMETERS.SAS7BDAT</t>
  </si>
  <si>
    <t>FRS9_STG.ECL_DETAIL.SAS7BDAT</t>
  </si>
  <si>
    <t>FRS9_CFG.CALCULATION_CONFIG.SAS7BDAT</t>
  </si>
  <si>
    <t>FRS9_CFG.AGGREGATION_CONFIG.SAS7BDAT</t>
  </si>
  <si>
    <t>FRS9_MAP.MAP_MOVEMENT_TYPE.SAS7BDAT</t>
  </si>
  <si>
    <t>FRS9_STG.RESULT_MAP.SAS7BDAT</t>
  </si>
  <si>
    <t>FRS9_STG.SYNC_MART_RESULT.SAS7BDAT</t>
  </si>
  <si>
    <t>FRS9_STG.IA_MOVEMENTS.SAS7BDAT</t>
  </si>
  <si>
    <t>FRS9_STG.IA_EXCEPTIONS.SAS7BDAT</t>
  </si>
  <si>
    <t>FRS9_CFG.ALLOCATION_CONFIG.SAS7BDAT</t>
  </si>
  <si>
    <t>FRS9_STG.MART_META.SAS7BDAT</t>
  </si>
  <si>
    <t>FRS9_STG.SYNC_MART_DETAIL.SAS7BDAT</t>
  </si>
  <si>
    <t>FRS9_STG.MART_DATAINFO.SAS7BDAT</t>
  </si>
  <si>
    <t>FRS9_STG.MART_PARTITION_LIST.SAS7BDAT</t>
  </si>
  <si>
    <t>FRS9_STG.ALLOCATION_RULES_INFO.SAS7BDAT</t>
  </si>
  <si>
    <t>FRS9_CFG.VAR_DEPENDENCY_CONFIG.SAS7BDAT</t>
  </si>
  <si>
    <t>FRS9_STG.MODIFIED_MART_DETAIL_DELTA.SAS7BDAT</t>
  </si>
  <si>
    <t>FRS9_STG.ALLOCATION_RULES_SUMMARY.SAS7BDAT</t>
  </si>
  <si>
    <t>FRS9_STG.RULES_SUMMARY_DATAINFO.SAS7BDAT</t>
  </si>
  <si>
    <t>FRS9_STG.ENRICHMENT_CONFIG_STAGE1.SAS7BDAT</t>
  </si>
  <si>
    <t>FRS9_STG.ENRICHMENT_CARDINALITY1.SAS7BDAT</t>
  </si>
  <si>
    <t>FRS9_CFG.ENRICHMENT_CONFIG.SAS7BDAT</t>
  </si>
  <si>
    <t>FRS9_STG.ENTITY.SAS7BDAT</t>
  </si>
  <si>
    <t>FRS9_PT.ENRICHMENT_RESULT_STAGE1.SAS7BDAT</t>
  </si>
  <si>
    <t>FRS9_TMP.ENRICHMENT_RESULT_STAGE1.SAS7BDAT</t>
  </si>
  <si>
    <t>FRS9_STG.ENRICHMENT_CONFIG_STAGE2.SAS7BDAT</t>
  </si>
  <si>
    <t>FRS9_STG.ENRICHMENT_CARDINALITY2.SAS7BDAT</t>
  </si>
  <si>
    <t>FRS9_PT.ENRICHMENT_RESULT_STAGE2.SAS7BDAT</t>
  </si>
  <si>
    <t>FRS9_TMP.ENRICHMENT_RESULT_STAGE2.SAS7BDAT</t>
  </si>
  <si>
    <t>FRS9_STG.ENRICHMENT_CONFIG_STAGE3.SAS7BDAT</t>
  </si>
  <si>
    <t>FRS9_STG.ENRICHMENT_CARDINALITY3.SAS7BDAT</t>
  </si>
  <si>
    <t>FRS9_PT.ENRICHMENT_RESULT_STAGE3.SAS7BDAT</t>
  </si>
  <si>
    <t>FRS9_TMP.ENRICHMENT_RESULT_STAGE3.SAS7BDAT</t>
  </si>
  <si>
    <t>FRS9_STG.ENRICHMENT_CONFIG_STAGE4.SAS7BDAT</t>
  </si>
  <si>
    <t>FRS9_STG.ENRICHMENT_CARDINALITY4.SAS7BDAT</t>
  </si>
  <si>
    <t>FRS9_PT.ENRICHMENT_RESULT_STAGE4.SAS7BDAT</t>
  </si>
  <si>
    <t>FRS9_TMP.ENRICHMENT_RESULT_STAGE4.SAS7BDAT</t>
  </si>
  <si>
    <t>FRS9_STG.ENRICHMENT_CONFIG_STAGE5.SAS7BDAT</t>
  </si>
  <si>
    <t>FRS9_STG.ENRICHMENT_CARDINALITY5.SAS7BDAT</t>
  </si>
  <si>
    <t>FRS9_PT.ENRICHMENT_RESULT_STAGE5.SAS7BDAT</t>
  </si>
  <si>
    <t>FRS9_TMP.ENRICHMENT_RESULT_STAGE5.SAS7BDAT</t>
  </si>
  <si>
    <t>FRS9_LND.ENTITY.SAS7BDAT</t>
  </si>
  <si>
    <t>FRS9_CFG.EXECUTION_CONFIG.SAS7BDAT</t>
  </si>
  <si>
    <t>FRS9_STG.ENRICHMENT_RESULT_LIST.SAS7BDAT</t>
  </si>
  <si>
    <t>FRS9_STG.PRE_PROCESS_CONFIG_STAGE1.SAS7BDAT</t>
  </si>
  <si>
    <t>FRS9_STG.PRE_PROCESS_CARDINALITY1.SAS7BDAT</t>
  </si>
  <si>
    <t>FRS9_PT.PRE_PROCESS_RESULT_STAGE1.SAS7BDAT</t>
  </si>
  <si>
    <t>FRS9_TMP.PRE_PROCESS_RESULT_STAGE1.SAS7BDAT</t>
  </si>
  <si>
    <t>FRS9_STG.PRE_PROCESS_CONFIG_STAGE2.SAS7BDAT</t>
  </si>
  <si>
    <t>FRS9_STG.PRE_PROCESS_CARDINALITY2.SAS7BDAT</t>
  </si>
  <si>
    <t>FRS9_PT.PRE_PROCESS_RESULT_STAGE2.SAS7BDAT</t>
  </si>
  <si>
    <t>FRS9_TMP.PRE_PROCESS_RESULT_STAGE2.SAS7BDAT</t>
  </si>
  <si>
    <t>FRS9_STG.PRE_PROCESS_CONFIG_STAGE3.SAS7BDAT</t>
  </si>
  <si>
    <t>FRS9_STG.PRE_PROCESS_CARDINALITY3.SAS7BDAT</t>
  </si>
  <si>
    <t>FRS9_PT.PRE_PROCESS_RESULT_STAGE3.SAS7BDAT</t>
  </si>
  <si>
    <t>FRS9_TMP.PRE_PROCESS_RESULT_STAGE3.SAS7BDAT</t>
  </si>
  <si>
    <t>FRS9_STG.POST_PROCESS_CONFIG_STAGE1.SAS7BDAT</t>
  </si>
  <si>
    <t>FRS9_STG.POST_PROCESS_CARDINALITY1.SAS7BDAT</t>
  </si>
  <si>
    <t>FRS9_PT.POST_PROCESS_RESULT_STAGE1.SAS7BDAT</t>
  </si>
  <si>
    <t>FRS9_TMP.POST_PROCESS_RESULT_STAGE1.SAS7BDAT</t>
  </si>
  <si>
    <t>FRS9_STG.POST_PROCESS_CONFIG_STAGE2.SAS7BDAT</t>
  </si>
  <si>
    <t>FRS9_STG.POST_PROCESS_CARDINALITY2.SAS7BDAT</t>
  </si>
  <si>
    <t>FRS9_PT.POST_PROCESS_RESULT_STAGE2.SAS7BDAT</t>
  </si>
  <si>
    <t>FRS9_TMP.POST_PROCESS_RESULT_STAGE2.SAS7BDAT</t>
  </si>
  <si>
    <t>FRS9_STG.POST_PROCESS_CONFIG_STAGE3.SAS7BDAT</t>
  </si>
  <si>
    <t>FRS9_STG.POST_PROCESS_CARDINALITY3.SAS7BDAT</t>
  </si>
  <si>
    <t>FRS9_PT.POST_PROCESS_RESULT_STAGE3.SAS7BDAT</t>
  </si>
  <si>
    <t>FRS9_TMP.POST_PROCESS_RESULT_STAGE3.SAS7BDAT</t>
  </si>
  <si>
    <t>FRS9_STG.PRE_PROCESS_RESULT_LIST.SAS7BDAT</t>
  </si>
  <si>
    <t>FRS9_STG.POST_PROCESS_RESULT_LIST.SAS7BDAT</t>
  </si>
  <si>
    <t>FRS9_CFG.REPORT_OPTION.SAS7BDAT</t>
  </si>
  <si>
    <t>FRS9_CFG.REPORT_CONFIG.SAS7BDAT</t>
  </si>
  <si>
    <t>FRS9_CFG.DATA_EXTRACTION_CONFIG.SAS7BDAT</t>
  </si>
  <si>
    <t>FRS9_STG.REPORT_CONFIG.SAS7BDAT</t>
  </si>
  <si>
    <t>FRS9_STG.RPT_ANALYSIS_DATA.SAS7BDAT</t>
  </si>
  <si>
    <t>FRS9_STG.RPT_CARDINALITY.SAS7BDAT</t>
  </si>
  <si>
    <t>FRS9_RPT</t>
  </si>
  <si>
    <t>FRS9_CFG.REPORT_PARAMETERS.SAS7BDAT</t>
  </si>
  <si>
    <t>FRS9_PT.REPORT_SUMMARY.SAS7BDAT</t>
  </si>
  <si>
    <t>FRS9_STG.REPORT_SUMMARY.SAS7BDAT</t>
  </si>
  <si>
    <t>FRS9_STG.ATTRIBUTION_CONFIG.SAS7BDAT</t>
  </si>
  <si>
    <t>FRS9_STG.ATTRIBUTION_RUN_CONFIG.SAS7BDAT</t>
  </si>
  <si>
    <t>FRS9_PRM.ATTRIBUTION_OPTION.SAS7BDAT</t>
  </si>
  <si>
    <t>FRS9_STG.ATTRIBUTION_CARDINALITY.SAS7BDAT</t>
  </si>
  <si>
    <t>FRS9_CFG.ATTRIBUTION_SCENARIO_MAP.SAS7BDAT</t>
  </si>
  <si>
    <t>FRS9_PT.SYNC_ATTRIB_MODEL_RESULT.SAS7BDAT</t>
  </si>
  <si>
    <t>FRS9_TMP.SYNC_ATTRIB_MODEL_RESULT.SAS7BDAT</t>
  </si>
  <si>
    <t>FRS9MART</t>
  </si>
  <si>
    <t>FRS9LASR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</si>
</sst>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Fill="1"/>
    <xf numFmtId="0" fontId="0" fillId="3" borderId="0" xfId="0" applyFill="1"/>
    <xf numFmtId="0" fontId="1" fillId="0" borderId="0" xfId="0" applyFont="1" applyFill="1"/>
    <xf numFmtId="0" fontId="0" fillId="2" borderId="7" xfId="0" applyFill="1" applyBorder="1"/>
    <xf numFmtId="0" fontId="1" fillId="2" borderId="6" xfId="0" applyFont="1" applyFill="1" applyBorder="1" applyAlignment="1">
      <alignment vertical="top" textRotation="45"/>
    </xf>
    <xf numFmtId="0" fontId="1" fillId="2" borderId="1" xfId="0" applyFont="1" applyFill="1" applyBorder="1" applyAlignment="1">
      <alignment vertical="top" textRotation="45"/>
    </xf>
    <xf numFmtId="0" fontId="1" fillId="2" borderId="3" xfId="0" applyFont="1" applyFill="1" applyBorder="1" applyAlignment="1">
      <alignment vertical="top" textRotation="45"/>
    </xf>
    <xf numFmtId="0" fontId="1" fillId="2" borderId="9" xfId="0" applyFont="1" applyFill="1" applyBorder="1" applyAlignment="1">
      <alignment textRotation="45"/>
    </xf>
    <xf numFmtId="0" fontId="1" fillId="0" borderId="7" xfId="0" applyFont="1" applyBorder="1"/>
    <xf numFmtId="0" fontId="1" fillId="0" borderId="8" xfId="0" applyFont="1" applyBorder="1"/>
    <xf numFmtId="0" fontId="0" fillId="2" borderId="9" xfId="0" applyFill="1" applyBorder="1"/>
    <xf numFmtId="0" fontId="0" fillId="2" borderId="10" xfId="0" applyFill="1" applyBorder="1"/>
    <xf numFmtId="0" fontId="0" fillId="2" borderId="12" xfId="0" applyFill="1" applyBorder="1"/>
    <xf numFmtId="22" fontId="0" fillId="0" borderId="0" xfId="0" applyNumberFormat="1"/>
    <xf numFmtId="0" fontId="1" fillId="0" borderId="0" xfId="0" applyFont="1"/>
    <xf numFmtId="0" fontId="1" fillId="0" borderId="10" xfId="0" applyFont="1" applyFill="1" applyBorder="1" applyAlignment="1">
      <alignment vertical="top" textRotation="45"/>
    </xf>
    <xf numFmtId="0" fontId="1" fillId="0" borderId="11" xfId="0" applyFont="1" applyFill="1" applyBorder="1" applyAlignment="1">
      <alignment vertical="top" textRotation="45"/>
    </xf>
    <xf numFmtId="0" fontId="1" fillId="0" borderId="12" xfId="0" applyFont="1" applyFill="1" applyBorder="1" applyAlignment="1">
      <alignment vertical="top" textRotation="45"/>
    </xf>
    <xf numFmtId="0" fontId="4" fillId="0" borderId="0" xfId="1" applyFill="1"/>
    <xf numFmtId="0" fontId="5" fillId="0" borderId="0" xfId="0" applyFont="1" applyFill="1"/>
    <xf numFmtId="0" fontId="6" fillId="0" borderId="9" xfId="0" applyFont="1" applyFill="1" applyBorder="1" applyAlignment="1">
      <alignment vertical="top" textRotation="45"/>
    </xf>
    <xf numFmtId="0" fontId="6" fillId="0" borderId="10" xfId="0" applyFont="1" applyFill="1" applyBorder="1" applyAlignment="1">
      <alignment vertical="top" textRotation="45"/>
    </xf>
    <xf numFmtId="0" fontId="0" fillId="4" borderId="0" xfId="0" applyFill="1"/>
    <xf numFmtId="0" fontId="0" fillId="0" borderId="4" xfId="0" applyFill="1" applyBorder="1"/>
    <xf numFmtId="0" fontId="0" fillId="0" borderId="7" xfId="0" applyFill="1" applyBorder="1"/>
    <xf numFmtId="0" fontId="0" fillId="0" borderId="0" xfId="0" applyFill="1" applyBorder="1"/>
    <xf numFmtId="0" fontId="0" fillId="0" borderId="5" xfId="0" applyFill="1" applyBorder="1"/>
    <xf numFmtId="0" fontId="7" fillId="0" borderId="4" xfId="0" applyFont="1" applyFill="1" applyBorder="1" applyAlignment="1">
      <alignment vertical="top" textRotation="45"/>
    </xf>
    <xf numFmtId="0" fontId="9" fillId="0" borderId="0" xfId="0" applyFont="1" applyAlignment="1"/>
    <xf numFmtId="0" fontId="1" fillId="5" borderId="0" xfId="0" applyFont="1" applyFill="1"/>
    <xf numFmtId="0" fontId="1" fillId="5" borderId="9" xfId="0" applyFont="1" applyFill="1" applyBorder="1"/>
    <xf numFmtId="0" fontId="10" fillId="0" borderId="0" xfId="0" applyFont="1"/>
    <xf numFmtId="0" fontId="11" fillId="0" borderId="0" xfId="0" applyFont="1"/>
    <xf numFmtId="49" fontId="0" fillId="0" borderId="0" xfId="0" applyNumberFormat="1" applyFill="1"/>
    <xf numFmtId="49" fontId="1" fillId="2" borderId="1" xfId="0" applyNumberFormat="1" applyFont="1" applyFill="1" applyBorder="1" applyAlignment="1">
      <alignment vertical="top" textRotation="45"/>
    </xf>
    <xf numFmtId="49" fontId="1" fillId="2" borderId="2" xfId="0" applyNumberFormat="1" applyFont="1" applyFill="1" applyBorder="1" applyAlignment="1">
      <alignment vertical="top" textRotation="45"/>
    </xf>
    <xf numFmtId="49" fontId="1" fillId="2" borderId="3" xfId="0" applyNumberFormat="1" applyFont="1" applyFill="1" applyBorder="1" applyAlignment="1">
      <alignment vertical="top" textRotation="45"/>
    </xf>
    <xf numFmtId="49" fontId="1" fillId="2" borderId="1" xfId="0" applyNumberFormat="1" applyFont="1" applyFill="1" applyBorder="1" applyAlignment="1">
      <alignment horizontal="left" vertical="top" textRotation="45"/>
    </xf>
    <xf numFmtId="49" fontId="1" fillId="2" borderId="3" xfId="0" applyNumberFormat="1" applyFont="1" applyFill="1" applyBorder="1" applyAlignment="1">
      <alignment horizontal="left" vertical="top" textRotation="45"/>
    </xf>
    <xf numFmtId="49" fontId="0" fillId="2" borderId="0" xfId="0" applyNumberFormat="1" applyFill="1"/>
    <xf numFmtId="49" fontId="0" fillId="2" borderId="10" xfId="0" applyNumberFormat="1" applyFill="1" applyBorder="1"/>
    <xf numFmtId="49" fontId="0" fillId="2" borderId="12" xfId="0" applyNumberFormat="1" applyFill="1" applyBorder="1"/>
    <xf numFmtId="49" fontId="0" fillId="0" borderId="0" xfId="0" applyNumberFormat="1" applyFill="1" applyBorder="1"/>
    <xf numFmtId="49" fontId="1" fillId="2" borderId="6" xfId="0" applyNumberFormat="1" applyFont="1" applyFill="1" applyBorder="1" applyAlignment="1">
      <alignment vertical="top" textRotation="45"/>
    </xf>
    <xf numFmtId="49" fontId="0" fillId="2" borderId="9" xfId="0" applyNumberFormat="1" applyFill="1" applyBorder="1"/>
    <xf numFmtId="0" fontId="0" fillId="0" borderId="0" xfId="0" applyFont="1" applyFill="1"/>
    <xf numFmtId="0" fontId="9" fillId="5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304800</xdr:colOff>
          <xdr:row>0</xdr:row>
          <xdr:rowOff>133350</xdr:rowOff>
        </xdr:from>
        <xdr:to>
          <xdr:col>78</xdr:col>
          <xdr:colOff>2495550</xdr:colOff>
          <xdr:row>2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BPMN's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2438400</xdr:colOff>
          <xdr:row>0</xdr:row>
          <xdr:rowOff>171450</xdr:rowOff>
        </xdr:from>
        <xdr:to>
          <xdr:col>2</xdr:col>
          <xdr:colOff>0</xdr:colOff>
          <xdr:row>2</xdr:row>
          <xdr:rowOff>133350</xdr:rowOff>
        </xdr:to>
        <xdr:sp macro="" textlink="">
          <xdr:nvSpPr>
            <xdr:cNvPr id="1054" name="CommandButton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0</xdr:row>
          <xdr:rowOff>114300</xdr:rowOff>
        </xdr:from>
        <xdr:to>
          <xdr:col>77</xdr:col>
          <xdr:colOff>542925</xdr:colOff>
          <xdr:row>2</xdr:row>
          <xdr:rowOff>76200</xdr:rowOff>
        </xdr:to>
        <xdr:sp macro="" textlink="">
          <xdr:nvSpPr>
            <xdr:cNvPr id="1055" name="CommandButton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152400</xdr:rowOff>
        </xdr:from>
        <xdr:to>
          <xdr:col>3</xdr:col>
          <xdr:colOff>1885950</xdr:colOff>
          <xdr:row>2</xdr:row>
          <xdr:rowOff>133350</xdr:rowOff>
        </xdr:to>
        <xdr:sp macro="" textlink="">
          <xdr:nvSpPr>
            <xdr:cNvPr id="1056" name="CommandButton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66675</xdr:rowOff>
        </xdr:from>
        <xdr:to>
          <xdr:col>10</xdr:col>
          <xdr:colOff>95250</xdr:colOff>
          <xdr:row>2</xdr:row>
          <xdr:rowOff>142875</xdr:rowOff>
        </xdr:to>
        <xdr:sp macro="" textlink="">
          <xdr:nvSpPr>
            <xdr:cNvPr id="1057" name="CommandButton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3257550</xdr:colOff>
          <xdr:row>0</xdr:row>
          <xdr:rowOff>133350</xdr:rowOff>
        </xdr:from>
        <xdr:to>
          <xdr:col>10</xdr:col>
          <xdr:colOff>238125</xdr:colOff>
          <xdr:row>2</xdr:row>
          <xdr:rowOff>123825</xdr:rowOff>
        </xdr:to>
        <xdr:sp macro="" textlink="">
          <xdr:nvSpPr>
            <xdr:cNvPr id="1058" name="CommandButton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0</xdr:rowOff>
        </xdr:from>
        <xdr:to>
          <xdr:col>0</xdr:col>
          <xdr:colOff>2324100</xdr:colOff>
          <xdr:row>2</xdr:row>
          <xdr:rowOff>161925</xdr:rowOff>
        </xdr:to>
        <xdr:sp macro="" textlink="">
          <xdr:nvSpPr>
            <xdr:cNvPr id="1059" name="CommandButton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659"/>
  <sheetViews>
    <sheetView tabSelected="1" zoomScale="80" zoomScaleNormal="80" workbookViewId="0">
      <pane ySplit="4" topLeftCell="A642" activePane="bottomLeft" state="frozen"/>
      <selection pane="bottomLeft" activeCell="D652" sqref="D652"/>
    </sheetView>
  </sheetViews>
  <sheetFormatPr defaultRowHeight="15" outlineLevelCol="1" x14ac:dyDescent="0.25"/>
  <cols>
    <col min="1" max="1" width="60.42578125" style="1" customWidth="1"/>
    <col min="2" max="2" width="11.140625" style="34" customWidth="1"/>
    <col min="3" max="3" width="13.7109375" style="1" bestFit="1" customWidth="1"/>
    <col min="4" max="4" width="52.140625" style="1" customWidth="1"/>
    <col min="5" max="11" width="6.28515625" style="34" customWidth="1"/>
    <col min="12" max="74" width="0.140625" style="34" hidden="1" customWidth="1" outlineLevel="1"/>
    <col min="75" max="75" width="6.28515625" style="34" customWidth="1" collapsed="1"/>
    <col min="76" max="76" width="6.28515625" style="34" customWidth="1"/>
    <col min="77" max="77" width="12.85546875" style="1" customWidth="1"/>
    <col min="78" max="78" width="12.140625" style="1" customWidth="1"/>
    <col min="79" max="79" width="36.5703125" style="1" customWidth="1"/>
    <col min="80" max="80" width="5.140625" style="1" customWidth="1"/>
    <col min="81" max="81" width="16.28515625" bestFit="1" customWidth="1"/>
    <col min="82" max="82" width="16.42578125" customWidth="1"/>
    <col min="83" max="83" width="37.140625" customWidth="1"/>
    <col min="84" max="84" width="6.5703125" customWidth="1"/>
    <col min="85" max="85" width="8.140625" customWidth="1"/>
    <col min="86" max="86" width="6.28515625" customWidth="1"/>
    <col min="87" max="87" width="16" customWidth="1"/>
    <col min="88" max="88" width="11.85546875" customWidth="1"/>
    <col min="89" max="97" width="6.28515625" customWidth="1"/>
    <col min="98" max="98" width="12.7109375" bestFit="1" customWidth="1"/>
    <col min="99" max="171" width="6.28515625" customWidth="1"/>
  </cols>
  <sheetData>
    <row r="1" spans="1:99" x14ac:dyDescent="0.25">
      <c r="CC1" s="47" t="s">
        <v>118</v>
      </c>
      <c r="CD1" s="47"/>
      <c r="CE1" s="30" t="s">
        <v>124</v>
      </c>
      <c r="CH1" s="3"/>
      <c r="CI1" s="29" t="s">
        <v>115</v>
      </c>
      <c r="CJ1" s="15" t="str">
        <f>CE1&amp;"\source\sas\nodes\"</f>
        <v>..\source\sas\nodes\</v>
      </c>
      <c r="CS1" s="32"/>
      <c r="CT1" s="33" t="s">
        <v>123</v>
      </c>
      <c r="CU1" s="32" t="b">
        <v>1</v>
      </c>
    </row>
    <row r="2" spans="1:99" x14ac:dyDescent="0.25">
      <c r="CB2" s="19"/>
      <c r="CC2" s="15" t="s">
        <v>112</v>
      </c>
      <c r="CD2" s="23" t="b">
        <f ca="1">AND(Warning)</f>
        <v>0</v>
      </c>
      <c r="CE2" s="20" t="str">
        <f ca="1">IF(CD2,"",HYPERLINK("[BPMN Generator.xlsm]Checks!E"&amp;MATCH(FALSE,Warning,0)+4,"please take first a look at line "&amp; MATCH(FALSE,Warning,0)+4))</f>
        <v>please take first a look at line 519</v>
      </c>
      <c r="CI2" s="29" t="s">
        <v>117</v>
      </c>
      <c r="CJ2" s="15" t="str">
        <f>$CE$1&amp;"\jobflow"</f>
        <v>..\jobflow</v>
      </c>
    </row>
    <row r="3" spans="1:99" ht="15.75" thickBot="1" x14ac:dyDescent="0.3">
      <c r="CC3" s="15" t="s">
        <v>111</v>
      </c>
      <c r="CD3" s="2" t="b">
        <f ca="1">AND(Check)</f>
        <v>1</v>
      </c>
      <c r="CE3" s="20" t="str">
        <f ca="1">IF(CD3,"",HYPERLINK("[BPMN Generator.xlsm]Checks!L"&amp;MATCH(FALSE,Check,0)+4,"please take first a look at line "&amp; MATCH(FALSE,Check,0)+4))</f>
        <v/>
      </c>
      <c r="CI3" s="15" t="s">
        <v>119</v>
      </c>
      <c r="CJ3">
        <f t="array" ref="CJ3">SUM(IF(A5:A999946&lt;&gt;"",1,0))</f>
        <v>655</v>
      </c>
    </row>
    <row r="4" spans="1:99" ht="127.5" customHeight="1" thickBot="1" x14ac:dyDescent="0.3">
      <c r="A4" s="5" t="s">
        <v>0</v>
      </c>
      <c r="B4" s="44" t="s">
        <v>1</v>
      </c>
      <c r="C4" s="5" t="s">
        <v>2</v>
      </c>
      <c r="D4" s="5" t="s">
        <v>3</v>
      </c>
      <c r="E4" s="35" t="s">
        <v>9</v>
      </c>
      <c r="F4" s="36" t="s">
        <v>10</v>
      </c>
      <c r="G4" s="36" t="s">
        <v>11</v>
      </c>
      <c r="H4" s="36" t="s">
        <v>12</v>
      </c>
      <c r="I4" s="36" t="s">
        <v>13</v>
      </c>
      <c r="J4" s="36" t="s">
        <v>14</v>
      </c>
      <c r="K4" s="36" t="s">
        <v>15</v>
      </c>
      <c r="L4" s="36" t="s">
        <v>16</v>
      </c>
      <c r="M4" s="36" t="s">
        <v>17</v>
      </c>
      <c r="N4" s="36" t="s">
        <v>18</v>
      </c>
      <c r="O4" s="36" t="s">
        <v>19</v>
      </c>
      <c r="P4" s="36" t="s">
        <v>20</v>
      </c>
      <c r="Q4" s="36" t="s">
        <v>21</v>
      </c>
      <c r="R4" s="36" t="s">
        <v>22</v>
      </c>
      <c r="S4" s="36" t="s">
        <v>23</v>
      </c>
      <c r="T4" s="36" t="s">
        <v>24</v>
      </c>
      <c r="U4" s="36" t="s">
        <v>25</v>
      </c>
      <c r="V4" s="36" t="s">
        <v>26</v>
      </c>
      <c r="W4" s="36" t="s">
        <v>27</v>
      </c>
      <c r="X4" s="36" t="s">
        <v>28</v>
      </c>
      <c r="Y4" s="36" t="s">
        <v>29</v>
      </c>
      <c r="Z4" s="36" t="s">
        <v>30</v>
      </c>
      <c r="AA4" s="36" t="s">
        <v>31</v>
      </c>
      <c r="AB4" s="36" t="s">
        <v>32</v>
      </c>
      <c r="AC4" s="36" t="s">
        <v>33</v>
      </c>
      <c r="AD4" s="36" t="s">
        <v>34</v>
      </c>
      <c r="AE4" s="36" t="s">
        <v>35</v>
      </c>
      <c r="AF4" s="36" t="s">
        <v>36</v>
      </c>
      <c r="AG4" s="36" t="s">
        <v>37</v>
      </c>
      <c r="AH4" s="36" t="s">
        <v>38</v>
      </c>
      <c r="AI4" s="36" t="s">
        <v>39</v>
      </c>
      <c r="AJ4" s="36" t="s">
        <v>40</v>
      </c>
      <c r="AK4" s="36" t="s">
        <v>41</v>
      </c>
      <c r="AL4" s="36" t="s">
        <v>42</v>
      </c>
      <c r="AM4" s="36" t="s">
        <v>43</v>
      </c>
      <c r="AN4" s="36" t="s">
        <v>44</v>
      </c>
      <c r="AO4" s="36" t="s">
        <v>45</v>
      </c>
      <c r="AP4" s="36" t="s">
        <v>46</v>
      </c>
      <c r="AQ4" s="36" t="s">
        <v>47</v>
      </c>
      <c r="AR4" s="36" t="s">
        <v>48</v>
      </c>
      <c r="AS4" s="36" t="s">
        <v>49</v>
      </c>
      <c r="AT4" s="36" t="s">
        <v>50</v>
      </c>
      <c r="AU4" s="36" t="s">
        <v>51</v>
      </c>
      <c r="AV4" s="36" t="s">
        <v>52</v>
      </c>
      <c r="AW4" s="36" t="s">
        <v>53</v>
      </c>
      <c r="AX4" s="36" t="s">
        <v>54</v>
      </c>
      <c r="AY4" s="36" t="s">
        <v>55</v>
      </c>
      <c r="AZ4" s="36" t="s">
        <v>56</v>
      </c>
      <c r="BA4" s="36" t="s">
        <v>57</v>
      </c>
      <c r="BB4" s="36" t="s">
        <v>58</v>
      </c>
      <c r="BC4" s="36" t="s">
        <v>59</v>
      </c>
      <c r="BD4" s="36" t="s">
        <v>60</v>
      </c>
      <c r="BE4" s="36" t="s">
        <v>61</v>
      </c>
      <c r="BF4" s="36" t="s">
        <v>62</v>
      </c>
      <c r="BG4" s="36" t="s">
        <v>63</v>
      </c>
      <c r="BH4" s="36" t="s">
        <v>64</v>
      </c>
      <c r="BI4" s="36" t="s">
        <v>65</v>
      </c>
      <c r="BJ4" s="36" t="s">
        <v>66</v>
      </c>
      <c r="BK4" s="36" t="s">
        <v>67</v>
      </c>
      <c r="BL4" s="36" t="s">
        <v>68</v>
      </c>
      <c r="BM4" s="36" t="s">
        <v>69</v>
      </c>
      <c r="BN4" s="36" t="s">
        <v>70</v>
      </c>
      <c r="BO4" s="36" t="s">
        <v>71</v>
      </c>
      <c r="BP4" s="36" t="s">
        <v>72</v>
      </c>
      <c r="BQ4" s="36" t="s">
        <v>73</v>
      </c>
      <c r="BR4" s="36" t="s">
        <v>74</v>
      </c>
      <c r="BS4" s="36" t="s">
        <v>75</v>
      </c>
      <c r="BT4" s="36" t="s">
        <v>76</v>
      </c>
      <c r="BU4" s="36" t="s">
        <v>77</v>
      </c>
      <c r="BV4" s="37" t="s">
        <v>78</v>
      </c>
      <c r="BW4" s="38" t="s">
        <v>4</v>
      </c>
      <c r="BX4" s="39" t="s">
        <v>5</v>
      </c>
      <c r="BY4" s="5" t="s">
        <v>6</v>
      </c>
      <c r="BZ4" s="6" t="s">
        <v>7</v>
      </c>
      <c r="CA4" s="7" t="s">
        <v>8</v>
      </c>
      <c r="CB4" s="5" t="s">
        <v>116</v>
      </c>
      <c r="CC4" s="5" t="s">
        <v>120</v>
      </c>
      <c r="CD4" s="5" t="s">
        <v>121</v>
      </c>
      <c r="CE4" s="5" t="s">
        <v>122</v>
      </c>
    </row>
    <row r="5" spans="1:99" x14ac:dyDescent="0.25">
      <c r="A5" s="31" t="s">
        <v>392</v>
      </c>
      <c r="B5" s="45" t="s">
        <v>147</v>
      </c>
      <c r="C5" s="11" t="s">
        <v>81</v>
      </c>
      <c r="D5" s="4" t="s">
        <v>125</v>
      </c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1"/>
      <c r="BX5" s="42"/>
      <c r="BY5" s="11"/>
      <c r="BZ5" s="12"/>
      <c r="CA5" s="13"/>
      <c r="CB5" s="11"/>
      <c r="CC5" s="11"/>
      <c r="CD5" s="11"/>
      <c r="CE5" s="11"/>
    </row>
    <row r="6" spans="1:99" x14ac:dyDescent="0.25">
      <c r="A6" s="1" t="s">
        <v>392</v>
      </c>
      <c r="B6" s="34" t="s">
        <v>148</v>
      </c>
      <c r="C6" s="1" t="s">
        <v>146</v>
      </c>
      <c r="D6" s="1" t="s">
        <v>479</v>
      </c>
      <c r="E6" s="34" t="s">
        <v>147</v>
      </c>
      <c r="BY6" s="1" t="s">
        <v>456</v>
      </c>
    </row>
    <row r="7" spans="1:99" x14ac:dyDescent="0.25">
      <c r="A7" s="1" t="s">
        <v>392</v>
      </c>
      <c r="B7" s="43" t="s">
        <v>132</v>
      </c>
      <c r="C7" s="26" t="s">
        <v>82</v>
      </c>
      <c r="D7" s="26" t="s">
        <v>535</v>
      </c>
      <c r="BW7" s="34" t="s">
        <v>148</v>
      </c>
    </row>
    <row r="8" spans="1:99" x14ac:dyDescent="0.25">
      <c r="A8" s="1" t="s">
        <v>392</v>
      </c>
      <c r="B8" s="43" t="s">
        <v>149</v>
      </c>
      <c r="C8" s="26" t="s">
        <v>146</v>
      </c>
      <c r="D8" s="26" t="s">
        <v>480</v>
      </c>
      <c r="E8" s="43" t="s">
        <v>148</v>
      </c>
      <c r="F8" s="43"/>
      <c r="BY8" s="1" t="s">
        <v>457</v>
      </c>
    </row>
    <row r="9" spans="1:99" x14ac:dyDescent="0.25">
      <c r="A9" s="1" t="s">
        <v>392</v>
      </c>
      <c r="B9" s="43" t="s">
        <v>150</v>
      </c>
      <c r="C9" s="26" t="s">
        <v>146</v>
      </c>
      <c r="D9" s="26" t="s">
        <v>481</v>
      </c>
      <c r="E9" s="43" t="s">
        <v>149</v>
      </c>
      <c r="BY9" s="1" t="s">
        <v>458</v>
      </c>
    </row>
    <row r="10" spans="1:99" x14ac:dyDescent="0.25">
      <c r="A10" s="1" t="s">
        <v>392</v>
      </c>
      <c r="B10" s="43" t="s">
        <v>143</v>
      </c>
      <c r="C10" s="26" t="s">
        <v>82</v>
      </c>
      <c r="D10" s="26" t="s">
        <v>536</v>
      </c>
      <c r="E10" s="43"/>
      <c r="BX10" s="34" t="s">
        <v>150</v>
      </c>
    </row>
    <row r="11" spans="1:99" x14ac:dyDescent="0.25">
      <c r="A11" s="1" t="s">
        <v>392</v>
      </c>
      <c r="B11" s="43" t="s">
        <v>151</v>
      </c>
      <c r="C11" s="26" t="s">
        <v>83</v>
      </c>
      <c r="D11" s="26" t="s">
        <v>125</v>
      </c>
      <c r="E11" s="43" t="s">
        <v>150</v>
      </c>
    </row>
    <row r="12" spans="1:99" x14ac:dyDescent="0.25">
      <c r="A12" s="1" t="s">
        <v>393</v>
      </c>
      <c r="B12" s="43" t="s">
        <v>147</v>
      </c>
      <c r="C12" s="1" t="s">
        <v>81</v>
      </c>
      <c r="D12" s="1" t="s">
        <v>125</v>
      </c>
    </row>
    <row r="13" spans="1:99" x14ac:dyDescent="0.25">
      <c r="A13" s="1" t="s">
        <v>393</v>
      </c>
      <c r="B13" s="43" t="s">
        <v>148</v>
      </c>
      <c r="C13" s="26" t="s">
        <v>146</v>
      </c>
      <c r="D13" s="26" t="s">
        <v>479</v>
      </c>
      <c r="E13" s="43" t="s">
        <v>147</v>
      </c>
      <c r="BY13" s="1" t="s">
        <v>456</v>
      </c>
    </row>
    <row r="14" spans="1:99" x14ac:dyDescent="0.25">
      <c r="A14" s="1" t="s">
        <v>393</v>
      </c>
      <c r="B14" s="43" t="s">
        <v>132</v>
      </c>
      <c r="C14" s="26" t="s">
        <v>82</v>
      </c>
      <c r="D14" s="26" t="s">
        <v>535</v>
      </c>
      <c r="E14" s="43"/>
      <c r="BW14" s="34" t="s">
        <v>148</v>
      </c>
    </row>
    <row r="15" spans="1:99" x14ac:dyDescent="0.25">
      <c r="A15" s="1" t="s">
        <v>393</v>
      </c>
      <c r="B15" s="43" t="s">
        <v>149</v>
      </c>
      <c r="C15" s="26" t="s">
        <v>146</v>
      </c>
      <c r="D15" s="1" t="s">
        <v>482</v>
      </c>
      <c r="E15" s="43" t="s">
        <v>148</v>
      </c>
      <c r="BY15" s="1" t="s">
        <v>459</v>
      </c>
    </row>
    <row r="16" spans="1:99" x14ac:dyDescent="0.25">
      <c r="A16" s="1" t="s">
        <v>393</v>
      </c>
      <c r="B16" s="43" t="s">
        <v>138</v>
      </c>
      <c r="C16" s="26" t="s">
        <v>82</v>
      </c>
      <c r="D16" s="26" t="s">
        <v>537</v>
      </c>
      <c r="E16" s="43"/>
      <c r="BW16" s="34" t="s">
        <v>149</v>
      </c>
    </row>
    <row r="17" spans="1:81" x14ac:dyDescent="0.25">
      <c r="A17" s="1" t="s">
        <v>393</v>
      </c>
      <c r="B17" s="43" t="s">
        <v>139</v>
      </c>
      <c r="C17" s="26" t="s">
        <v>82</v>
      </c>
      <c r="D17" s="1" t="s">
        <v>538</v>
      </c>
      <c r="E17" s="43"/>
      <c r="BX17" s="34" t="s">
        <v>149</v>
      </c>
    </row>
    <row r="18" spans="1:81" x14ac:dyDescent="0.25">
      <c r="A18" s="1" t="s">
        <v>393</v>
      </c>
      <c r="B18" s="43" t="s">
        <v>140</v>
      </c>
      <c r="C18" s="26" t="s">
        <v>82</v>
      </c>
      <c r="D18" s="1" t="s">
        <v>539</v>
      </c>
      <c r="E18" s="43"/>
      <c r="BX18" s="34" t="s">
        <v>149</v>
      </c>
    </row>
    <row r="19" spans="1:81" x14ac:dyDescent="0.25">
      <c r="A19" s="1" t="s">
        <v>393</v>
      </c>
      <c r="B19" s="43" t="s">
        <v>152</v>
      </c>
      <c r="C19" s="1" t="s">
        <v>85</v>
      </c>
      <c r="D19" s="1" t="s">
        <v>483</v>
      </c>
      <c r="E19" s="43" t="s">
        <v>149</v>
      </c>
      <c r="BZ19" s="1" t="s">
        <v>126</v>
      </c>
      <c r="CA19" s="1" t="s">
        <v>422</v>
      </c>
    </row>
    <row r="20" spans="1:81" x14ac:dyDescent="0.25">
      <c r="A20" s="1" t="s">
        <v>393</v>
      </c>
      <c r="B20" s="43" t="s">
        <v>153</v>
      </c>
      <c r="C20" s="26" t="s">
        <v>82</v>
      </c>
      <c r="D20" s="26" t="s">
        <v>540</v>
      </c>
      <c r="BW20" s="43" t="s">
        <v>152</v>
      </c>
    </row>
    <row r="21" spans="1:81" x14ac:dyDescent="0.25">
      <c r="A21" s="1" t="s">
        <v>393</v>
      </c>
      <c r="B21" s="43" t="s">
        <v>154</v>
      </c>
      <c r="C21" s="26" t="s">
        <v>82</v>
      </c>
      <c r="D21" s="1" t="s">
        <v>541</v>
      </c>
      <c r="BW21" s="43" t="s">
        <v>152</v>
      </c>
      <c r="CC21" t="s">
        <v>296</v>
      </c>
    </row>
    <row r="22" spans="1:81" x14ac:dyDescent="0.25">
      <c r="A22" s="1" t="s">
        <v>393</v>
      </c>
      <c r="B22" s="43" t="s">
        <v>155</v>
      </c>
      <c r="C22" s="26" t="s">
        <v>82</v>
      </c>
      <c r="D22" s="1" t="s">
        <v>538</v>
      </c>
      <c r="BW22" s="34" t="s">
        <v>152</v>
      </c>
      <c r="BX22" s="43"/>
    </row>
    <row r="23" spans="1:81" x14ac:dyDescent="0.25">
      <c r="A23" s="1" t="s">
        <v>393</v>
      </c>
      <c r="B23" s="43" t="s">
        <v>156</v>
      </c>
      <c r="C23" s="26" t="s">
        <v>82</v>
      </c>
      <c r="D23" s="1" t="s">
        <v>539</v>
      </c>
      <c r="E23" s="43"/>
      <c r="BW23" s="34" t="s">
        <v>152</v>
      </c>
    </row>
    <row r="24" spans="1:81" x14ac:dyDescent="0.25">
      <c r="A24" s="1" t="s">
        <v>393</v>
      </c>
      <c r="B24" s="34" t="s">
        <v>157</v>
      </c>
      <c r="C24" s="1" t="s">
        <v>82</v>
      </c>
      <c r="D24" s="1" t="s">
        <v>542</v>
      </c>
      <c r="BX24" s="34" t="s">
        <v>152</v>
      </c>
      <c r="CC24" t="s">
        <v>297</v>
      </c>
    </row>
    <row r="25" spans="1:81" x14ac:dyDescent="0.25">
      <c r="A25" s="1" t="s">
        <v>393</v>
      </c>
      <c r="B25" s="34" t="s">
        <v>158</v>
      </c>
      <c r="C25" s="1" t="s">
        <v>146</v>
      </c>
      <c r="D25" s="1" t="s">
        <v>481</v>
      </c>
      <c r="E25" s="34" t="s">
        <v>152</v>
      </c>
      <c r="BY25" s="1" t="s">
        <v>458</v>
      </c>
    </row>
    <row r="26" spans="1:81" x14ac:dyDescent="0.25">
      <c r="A26" s="1" t="s">
        <v>393</v>
      </c>
      <c r="B26" s="34" t="s">
        <v>159</v>
      </c>
      <c r="C26" s="1" t="s">
        <v>82</v>
      </c>
      <c r="D26" s="1" t="s">
        <v>536</v>
      </c>
      <c r="BX26" s="34" t="s">
        <v>158</v>
      </c>
    </row>
    <row r="27" spans="1:81" x14ac:dyDescent="0.25">
      <c r="A27" s="1" t="s">
        <v>393</v>
      </c>
      <c r="B27" s="34" t="s">
        <v>160</v>
      </c>
      <c r="C27" s="1" t="s">
        <v>85</v>
      </c>
      <c r="D27" s="1" t="s">
        <v>484</v>
      </c>
      <c r="E27" s="34" t="s">
        <v>158</v>
      </c>
      <c r="BZ27" s="1" t="s">
        <v>126</v>
      </c>
      <c r="CA27" s="1" t="s">
        <v>423</v>
      </c>
    </row>
    <row r="28" spans="1:81" x14ac:dyDescent="0.25">
      <c r="A28" s="1" t="s">
        <v>393</v>
      </c>
      <c r="B28" s="34" t="s">
        <v>161</v>
      </c>
      <c r="C28" s="1" t="s">
        <v>82</v>
      </c>
      <c r="D28" s="1" t="s">
        <v>540</v>
      </c>
      <c r="BW28" s="34" t="s">
        <v>160</v>
      </c>
    </row>
    <row r="29" spans="1:81" x14ac:dyDescent="0.25">
      <c r="A29" s="1" t="s">
        <v>393</v>
      </c>
      <c r="B29" s="34" t="s">
        <v>162</v>
      </c>
      <c r="C29" s="1" t="s">
        <v>82</v>
      </c>
      <c r="D29" s="1" t="s">
        <v>543</v>
      </c>
      <c r="BW29" s="34" t="s">
        <v>160</v>
      </c>
      <c r="CC29" t="s">
        <v>280</v>
      </c>
    </row>
    <row r="30" spans="1:81" x14ac:dyDescent="0.25">
      <c r="A30" s="1" t="s">
        <v>393</v>
      </c>
      <c r="B30" s="34" t="s">
        <v>163</v>
      </c>
      <c r="C30" s="1" t="s">
        <v>82</v>
      </c>
      <c r="D30" s="1" t="s">
        <v>536</v>
      </c>
      <c r="BW30" s="34" t="s">
        <v>160</v>
      </c>
      <c r="CC30" t="s">
        <v>298</v>
      </c>
    </row>
    <row r="31" spans="1:81" x14ac:dyDescent="0.25">
      <c r="A31" s="1" t="s">
        <v>393</v>
      </c>
      <c r="B31" s="34" t="s">
        <v>164</v>
      </c>
      <c r="C31" s="1" t="s">
        <v>82</v>
      </c>
      <c r="D31" s="1" t="s">
        <v>544</v>
      </c>
      <c r="BX31" s="34" t="s">
        <v>160</v>
      </c>
      <c r="CC31" t="s">
        <v>282</v>
      </c>
    </row>
    <row r="32" spans="1:81" x14ac:dyDescent="0.25">
      <c r="A32" s="1" t="s">
        <v>393</v>
      </c>
      <c r="B32" s="34" t="s">
        <v>165</v>
      </c>
      <c r="C32" s="1" t="s">
        <v>146</v>
      </c>
      <c r="D32" s="1" t="s">
        <v>485</v>
      </c>
      <c r="E32" s="34" t="s">
        <v>160</v>
      </c>
      <c r="BY32" s="1" t="s">
        <v>460</v>
      </c>
    </row>
    <row r="33" spans="1:83" x14ac:dyDescent="0.25">
      <c r="A33" s="1" t="s">
        <v>393</v>
      </c>
      <c r="B33" s="34" t="s">
        <v>166</v>
      </c>
      <c r="C33" s="1" t="s">
        <v>83</v>
      </c>
      <c r="D33" s="1" t="s">
        <v>125</v>
      </c>
      <c r="E33" s="34" t="s">
        <v>165</v>
      </c>
    </row>
    <row r="34" spans="1:83" x14ac:dyDescent="0.25">
      <c r="A34" s="1" t="s">
        <v>394</v>
      </c>
      <c r="B34" s="34" t="s">
        <v>147</v>
      </c>
      <c r="C34" s="1" t="s">
        <v>81</v>
      </c>
      <c r="D34" s="1" t="s">
        <v>125</v>
      </c>
    </row>
    <row r="35" spans="1:83" x14ac:dyDescent="0.25">
      <c r="A35" s="1" t="s">
        <v>394</v>
      </c>
      <c r="B35" s="34" t="s">
        <v>148</v>
      </c>
      <c r="C35" s="1" t="s">
        <v>85</v>
      </c>
      <c r="D35" s="1" t="s">
        <v>486</v>
      </c>
      <c r="E35" s="34" t="s">
        <v>147</v>
      </c>
      <c r="BZ35" s="1" t="s">
        <v>126</v>
      </c>
      <c r="CA35" s="1" t="s">
        <v>424</v>
      </c>
    </row>
    <row r="36" spans="1:83" x14ac:dyDescent="0.25">
      <c r="A36" s="1" t="s">
        <v>394</v>
      </c>
      <c r="B36" s="34" t="s">
        <v>132</v>
      </c>
      <c r="C36" s="1" t="s">
        <v>82</v>
      </c>
      <c r="D36" s="1" t="s">
        <v>537</v>
      </c>
      <c r="BW36" s="34" t="s">
        <v>148</v>
      </c>
      <c r="CC36" t="s">
        <v>186</v>
      </c>
    </row>
    <row r="37" spans="1:83" x14ac:dyDescent="0.25">
      <c r="A37" s="1" t="s">
        <v>394</v>
      </c>
      <c r="B37" s="34" t="s">
        <v>134</v>
      </c>
      <c r="C37" s="1" t="s">
        <v>82</v>
      </c>
      <c r="D37" s="1" t="s">
        <v>545</v>
      </c>
      <c r="BX37" s="34" t="s">
        <v>148</v>
      </c>
      <c r="CC37" t="s">
        <v>307</v>
      </c>
    </row>
    <row r="38" spans="1:83" x14ac:dyDescent="0.25">
      <c r="A38" s="1" t="s">
        <v>394</v>
      </c>
      <c r="B38" s="34" t="s">
        <v>150</v>
      </c>
      <c r="C38" s="1" t="s">
        <v>85</v>
      </c>
      <c r="D38" s="1" t="s">
        <v>487</v>
      </c>
      <c r="E38" s="34" t="s">
        <v>148</v>
      </c>
      <c r="BZ38" s="1" t="s">
        <v>126</v>
      </c>
      <c r="CA38" s="1" t="s">
        <v>425</v>
      </c>
    </row>
    <row r="39" spans="1:83" x14ac:dyDescent="0.25">
      <c r="A39" s="1" t="s">
        <v>394</v>
      </c>
      <c r="B39" s="34" t="s">
        <v>141</v>
      </c>
      <c r="C39" s="1" t="s">
        <v>82</v>
      </c>
      <c r="D39" s="1" t="s">
        <v>540</v>
      </c>
      <c r="BW39" s="34" t="s">
        <v>150</v>
      </c>
    </row>
    <row r="40" spans="1:83" x14ac:dyDescent="0.25">
      <c r="A40" s="1" t="s">
        <v>394</v>
      </c>
      <c r="B40" s="34" t="s">
        <v>142</v>
      </c>
      <c r="C40" s="1" t="s">
        <v>82</v>
      </c>
      <c r="D40" s="1" t="s">
        <v>545</v>
      </c>
      <c r="BW40" s="34" t="s">
        <v>150</v>
      </c>
      <c r="CC40" t="s">
        <v>144</v>
      </c>
    </row>
    <row r="41" spans="1:83" x14ac:dyDescent="0.25">
      <c r="A41" s="1" t="s">
        <v>394</v>
      </c>
      <c r="B41" s="34" t="s">
        <v>180</v>
      </c>
      <c r="C41" s="1" t="s">
        <v>82</v>
      </c>
      <c r="D41" s="1" t="s">
        <v>546</v>
      </c>
      <c r="BX41" s="34" t="s">
        <v>150</v>
      </c>
      <c r="CC41" t="s">
        <v>145</v>
      </c>
    </row>
    <row r="42" spans="1:83" x14ac:dyDescent="0.25">
      <c r="A42" s="1" t="s">
        <v>394</v>
      </c>
      <c r="B42" s="34" t="s">
        <v>181</v>
      </c>
      <c r="C42" s="1" t="s">
        <v>85</v>
      </c>
      <c r="D42" s="1" t="s">
        <v>488</v>
      </c>
      <c r="E42" s="34" t="s">
        <v>150</v>
      </c>
      <c r="BZ42" s="1" t="s">
        <v>126</v>
      </c>
      <c r="CA42" s="1" t="s">
        <v>426</v>
      </c>
      <c r="CE42" t="s">
        <v>127</v>
      </c>
    </row>
    <row r="43" spans="1:83" x14ac:dyDescent="0.25">
      <c r="A43" s="1" t="s">
        <v>394</v>
      </c>
      <c r="B43" s="34" t="s">
        <v>182</v>
      </c>
      <c r="C43" s="1" t="s">
        <v>82</v>
      </c>
      <c r="D43" s="1" t="s">
        <v>540</v>
      </c>
      <c r="BW43" s="34" t="s">
        <v>181</v>
      </c>
    </row>
    <row r="44" spans="1:83" x14ac:dyDescent="0.25">
      <c r="A44" s="1" t="s">
        <v>394</v>
      </c>
      <c r="B44" s="34" t="s">
        <v>183</v>
      </c>
      <c r="C44" s="1" t="s">
        <v>82</v>
      </c>
      <c r="D44" s="1" t="s">
        <v>546</v>
      </c>
      <c r="BW44" s="34" t="s">
        <v>181</v>
      </c>
      <c r="CC44" t="s">
        <v>184</v>
      </c>
      <c r="CD44" t="s">
        <v>129</v>
      </c>
    </row>
    <row r="45" spans="1:83" x14ac:dyDescent="0.25">
      <c r="A45" s="1" t="s">
        <v>394</v>
      </c>
      <c r="B45" s="34" t="s">
        <v>185</v>
      </c>
      <c r="C45" s="1" t="s">
        <v>82</v>
      </c>
      <c r="D45" s="1" t="s">
        <v>545</v>
      </c>
      <c r="BW45" s="34" t="s">
        <v>181</v>
      </c>
      <c r="CC45" t="s">
        <v>186</v>
      </c>
    </row>
    <row r="46" spans="1:83" x14ac:dyDescent="0.25">
      <c r="A46" s="1" t="s">
        <v>394</v>
      </c>
      <c r="B46" s="34" t="s">
        <v>187</v>
      </c>
      <c r="C46" s="1" t="s">
        <v>82</v>
      </c>
      <c r="D46" s="1" t="s">
        <v>478</v>
      </c>
      <c r="BW46" s="34" t="s">
        <v>181</v>
      </c>
      <c r="CB46" s="1" t="s">
        <v>129</v>
      </c>
      <c r="CC46" t="s">
        <v>291</v>
      </c>
    </row>
    <row r="47" spans="1:83" x14ac:dyDescent="0.25">
      <c r="A47" s="1" t="s">
        <v>394</v>
      </c>
      <c r="B47" s="34" t="s">
        <v>188</v>
      </c>
      <c r="C47" s="1" t="s">
        <v>82</v>
      </c>
      <c r="D47" s="1" t="s">
        <v>547</v>
      </c>
      <c r="BX47" s="34" t="s">
        <v>181</v>
      </c>
      <c r="CC47" t="s">
        <v>293</v>
      </c>
    </row>
    <row r="48" spans="1:83" x14ac:dyDescent="0.25">
      <c r="A48" s="1" t="s">
        <v>394</v>
      </c>
      <c r="B48" s="34" t="s">
        <v>189</v>
      </c>
      <c r="C48" s="1" t="s">
        <v>82</v>
      </c>
      <c r="D48" s="1" t="s">
        <v>548</v>
      </c>
      <c r="BX48" s="34" t="s">
        <v>181</v>
      </c>
      <c r="CC48" t="s">
        <v>292</v>
      </c>
    </row>
    <row r="49" spans="1:83" x14ac:dyDescent="0.25">
      <c r="A49" s="1" t="s">
        <v>394</v>
      </c>
      <c r="B49" s="34" t="s">
        <v>160</v>
      </c>
      <c r="C49" s="1" t="s">
        <v>85</v>
      </c>
      <c r="D49" s="1" t="s">
        <v>489</v>
      </c>
      <c r="E49" s="34" t="s">
        <v>181</v>
      </c>
      <c r="BZ49" s="1" t="s">
        <v>126</v>
      </c>
      <c r="CA49" s="1" t="s">
        <v>427</v>
      </c>
    </row>
    <row r="50" spans="1:83" x14ac:dyDescent="0.25">
      <c r="A50" s="1" t="s">
        <v>394</v>
      </c>
      <c r="B50" s="34" t="s">
        <v>162</v>
      </c>
      <c r="C50" s="1" t="s">
        <v>82</v>
      </c>
      <c r="D50" s="1" t="s">
        <v>540</v>
      </c>
      <c r="BW50" s="34" t="s">
        <v>160</v>
      </c>
    </row>
    <row r="51" spans="1:83" x14ac:dyDescent="0.25">
      <c r="A51" s="1" t="s">
        <v>394</v>
      </c>
      <c r="B51" s="34" t="s">
        <v>163</v>
      </c>
      <c r="C51" s="1" t="s">
        <v>82</v>
      </c>
      <c r="D51" s="1" t="s">
        <v>547</v>
      </c>
      <c r="BW51" s="34" t="s">
        <v>160</v>
      </c>
      <c r="CC51" t="s">
        <v>130</v>
      </c>
    </row>
    <row r="52" spans="1:83" x14ac:dyDescent="0.25">
      <c r="A52" s="1" t="s">
        <v>394</v>
      </c>
      <c r="B52" s="34" t="s">
        <v>164</v>
      </c>
      <c r="C52" s="1" t="s">
        <v>82</v>
      </c>
      <c r="D52" s="1" t="s">
        <v>538</v>
      </c>
      <c r="BX52" s="34" t="s">
        <v>160</v>
      </c>
      <c r="CC52" t="s">
        <v>131</v>
      </c>
    </row>
    <row r="53" spans="1:83" x14ac:dyDescent="0.25">
      <c r="A53" s="1" t="s">
        <v>394</v>
      </c>
      <c r="B53" s="34" t="s">
        <v>167</v>
      </c>
      <c r="C53" s="1" t="s">
        <v>85</v>
      </c>
      <c r="D53" s="1" t="s">
        <v>489</v>
      </c>
      <c r="E53" s="34" t="s">
        <v>181</v>
      </c>
      <c r="BZ53" s="1" t="s">
        <v>126</v>
      </c>
      <c r="CA53" s="1" t="s">
        <v>427</v>
      </c>
    </row>
    <row r="54" spans="1:83" x14ac:dyDescent="0.25">
      <c r="A54" s="1" t="s">
        <v>394</v>
      </c>
      <c r="B54" s="34" t="s">
        <v>190</v>
      </c>
      <c r="C54" s="1" t="s">
        <v>82</v>
      </c>
      <c r="D54" s="1" t="s">
        <v>540</v>
      </c>
      <c r="BW54" s="34" t="s">
        <v>167</v>
      </c>
    </row>
    <row r="55" spans="1:83" x14ac:dyDescent="0.25">
      <c r="A55" s="1" t="s">
        <v>394</v>
      </c>
      <c r="B55" s="34" t="s">
        <v>191</v>
      </c>
      <c r="C55" s="1" t="s">
        <v>82</v>
      </c>
      <c r="D55" s="1" t="s">
        <v>548</v>
      </c>
      <c r="BW55" s="34" t="s">
        <v>167</v>
      </c>
      <c r="CC55" t="s">
        <v>130</v>
      </c>
    </row>
    <row r="56" spans="1:83" x14ac:dyDescent="0.25">
      <c r="A56" s="1" t="s">
        <v>394</v>
      </c>
      <c r="B56" s="34" t="s">
        <v>192</v>
      </c>
      <c r="C56" s="1" t="s">
        <v>82</v>
      </c>
      <c r="D56" s="1" t="s">
        <v>539</v>
      </c>
      <c r="BX56" s="34" t="s">
        <v>167</v>
      </c>
      <c r="CC56" t="s">
        <v>131</v>
      </c>
    </row>
    <row r="57" spans="1:83" x14ac:dyDescent="0.25">
      <c r="A57" s="1" t="s">
        <v>394</v>
      </c>
      <c r="B57" s="34" t="s">
        <v>193</v>
      </c>
      <c r="C57" s="1" t="s">
        <v>83</v>
      </c>
      <c r="D57" s="1" t="s">
        <v>125</v>
      </c>
      <c r="E57" s="34" t="s">
        <v>160</v>
      </c>
      <c r="F57" s="34" t="s">
        <v>167</v>
      </c>
    </row>
    <row r="58" spans="1:83" x14ac:dyDescent="0.25">
      <c r="A58" s="1" t="s">
        <v>395</v>
      </c>
      <c r="B58" s="34" t="s">
        <v>147</v>
      </c>
      <c r="C58" s="1" t="s">
        <v>81</v>
      </c>
      <c r="D58" s="1" t="s">
        <v>125</v>
      </c>
    </row>
    <row r="59" spans="1:83" x14ac:dyDescent="0.25">
      <c r="A59" s="1" t="s">
        <v>395</v>
      </c>
      <c r="B59" s="34" t="s">
        <v>148</v>
      </c>
      <c r="C59" s="1" t="s">
        <v>85</v>
      </c>
      <c r="D59" s="1" t="s">
        <v>490</v>
      </c>
      <c r="E59" s="34" t="s">
        <v>147</v>
      </c>
      <c r="BZ59" s="1" t="s">
        <v>126</v>
      </c>
      <c r="CA59" s="1" t="s">
        <v>428</v>
      </c>
      <c r="CE59" t="s">
        <v>284</v>
      </c>
    </row>
    <row r="60" spans="1:83" x14ac:dyDescent="0.25">
      <c r="A60" s="1" t="s">
        <v>395</v>
      </c>
      <c r="B60" s="34" t="s">
        <v>132</v>
      </c>
      <c r="C60" s="1" t="s">
        <v>82</v>
      </c>
      <c r="D60" s="1" t="s">
        <v>128</v>
      </c>
      <c r="BW60" s="34" t="s">
        <v>148</v>
      </c>
      <c r="CC60" t="s">
        <v>299</v>
      </c>
    </row>
    <row r="61" spans="1:83" x14ac:dyDescent="0.25">
      <c r="A61" s="1" t="s">
        <v>395</v>
      </c>
      <c r="B61" s="34" t="s">
        <v>133</v>
      </c>
      <c r="C61" s="1" t="s">
        <v>82</v>
      </c>
      <c r="D61" s="1" t="s">
        <v>535</v>
      </c>
      <c r="BW61" s="34" t="s">
        <v>148</v>
      </c>
      <c r="CC61" t="s">
        <v>300</v>
      </c>
    </row>
    <row r="62" spans="1:83" x14ac:dyDescent="0.25">
      <c r="A62" s="1" t="s">
        <v>395</v>
      </c>
      <c r="B62" s="34" t="s">
        <v>134</v>
      </c>
      <c r="C62" s="1" t="s">
        <v>82</v>
      </c>
      <c r="D62" s="1" t="s">
        <v>540</v>
      </c>
      <c r="BX62" s="34" t="s">
        <v>148</v>
      </c>
      <c r="CC62" t="s">
        <v>301</v>
      </c>
    </row>
    <row r="63" spans="1:83" x14ac:dyDescent="0.25">
      <c r="A63" s="1" t="s">
        <v>395</v>
      </c>
      <c r="B63" s="34" t="s">
        <v>366</v>
      </c>
      <c r="C63" s="1" t="s">
        <v>82</v>
      </c>
      <c r="D63" s="1" t="s">
        <v>367</v>
      </c>
      <c r="BX63" s="34" t="s">
        <v>148</v>
      </c>
      <c r="CB63" s="1" t="s">
        <v>129</v>
      </c>
      <c r="CC63" t="s">
        <v>368</v>
      </c>
    </row>
    <row r="64" spans="1:83" x14ac:dyDescent="0.25">
      <c r="A64" s="1" t="s">
        <v>395</v>
      </c>
      <c r="B64" s="34" t="s">
        <v>168</v>
      </c>
      <c r="C64" s="1" t="s">
        <v>83</v>
      </c>
      <c r="D64" s="1" t="s">
        <v>125</v>
      </c>
      <c r="E64" s="34" t="s">
        <v>148</v>
      </c>
    </row>
    <row r="65" spans="1:83" x14ac:dyDescent="0.25">
      <c r="A65" s="1" t="s">
        <v>396</v>
      </c>
      <c r="B65" s="34" t="s">
        <v>147</v>
      </c>
      <c r="C65" s="1" t="s">
        <v>81</v>
      </c>
      <c r="D65" s="1" t="s">
        <v>125</v>
      </c>
    </row>
    <row r="66" spans="1:83" x14ac:dyDescent="0.25">
      <c r="A66" s="1" t="s">
        <v>396</v>
      </c>
      <c r="B66" s="34" t="s">
        <v>148</v>
      </c>
      <c r="C66" s="1" t="s">
        <v>85</v>
      </c>
      <c r="D66" s="1" t="s">
        <v>487</v>
      </c>
      <c r="E66" s="34" t="s">
        <v>147</v>
      </c>
      <c r="BZ66" s="1" t="s">
        <v>126</v>
      </c>
      <c r="CA66" s="1" t="s">
        <v>425</v>
      </c>
    </row>
    <row r="67" spans="1:83" x14ac:dyDescent="0.25">
      <c r="A67" s="1" t="s">
        <v>396</v>
      </c>
      <c r="B67" s="34" t="s">
        <v>132</v>
      </c>
      <c r="C67" s="1" t="s">
        <v>82</v>
      </c>
      <c r="D67" s="1" t="s">
        <v>540</v>
      </c>
      <c r="BW67" s="34" t="s">
        <v>148</v>
      </c>
    </row>
    <row r="68" spans="1:83" x14ac:dyDescent="0.25">
      <c r="A68" s="1" t="s">
        <v>396</v>
      </c>
      <c r="B68" s="34" t="s">
        <v>133</v>
      </c>
      <c r="C68" s="1" t="s">
        <v>82</v>
      </c>
      <c r="D68" s="1" t="s">
        <v>544</v>
      </c>
      <c r="BW68" s="34" t="s">
        <v>148</v>
      </c>
      <c r="CC68" t="s">
        <v>144</v>
      </c>
    </row>
    <row r="69" spans="1:83" x14ac:dyDescent="0.25">
      <c r="A69" s="1" t="s">
        <v>396</v>
      </c>
      <c r="B69" s="34" t="s">
        <v>134</v>
      </c>
      <c r="C69" s="1" t="s">
        <v>82</v>
      </c>
      <c r="D69" s="1" t="s">
        <v>549</v>
      </c>
      <c r="BX69" s="34" t="s">
        <v>148</v>
      </c>
      <c r="CC69" t="s">
        <v>145</v>
      </c>
    </row>
    <row r="70" spans="1:83" x14ac:dyDescent="0.25">
      <c r="A70" s="1" t="s">
        <v>396</v>
      </c>
      <c r="B70" s="34" t="s">
        <v>168</v>
      </c>
      <c r="C70" s="1" t="s">
        <v>85</v>
      </c>
      <c r="D70" s="1" t="s">
        <v>491</v>
      </c>
      <c r="E70" s="34" t="s">
        <v>148</v>
      </c>
      <c r="BZ70" s="1" t="s">
        <v>126</v>
      </c>
      <c r="CA70" s="1" t="s">
        <v>429</v>
      </c>
      <c r="CE70" t="s">
        <v>194</v>
      </c>
    </row>
    <row r="71" spans="1:83" x14ac:dyDescent="0.25">
      <c r="A71" s="1" t="s">
        <v>396</v>
      </c>
      <c r="B71" s="34" t="s">
        <v>169</v>
      </c>
      <c r="C71" s="1" t="s">
        <v>82</v>
      </c>
      <c r="D71" s="1" t="s">
        <v>540</v>
      </c>
      <c r="BW71" s="34" t="s">
        <v>168</v>
      </c>
    </row>
    <row r="72" spans="1:83" x14ac:dyDescent="0.25">
      <c r="A72" s="1" t="s">
        <v>396</v>
      </c>
      <c r="B72" s="34" t="s">
        <v>170</v>
      </c>
      <c r="C72" s="1" t="s">
        <v>82</v>
      </c>
      <c r="D72" s="1" t="s">
        <v>549</v>
      </c>
      <c r="BW72" s="34" t="s">
        <v>168</v>
      </c>
      <c r="CC72" t="s">
        <v>184</v>
      </c>
      <c r="CD72" t="s">
        <v>129</v>
      </c>
    </row>
    <row r="73" spans="1:83" x14ac:dyDescent="0.25">
      <c r="A73" s="1" t="s">
        <v>396</v>
      </c>
      <c r="B73" s="34" t="s">
        <v>171</v>
      </c>
      <c r="C73" s="1" t="s">
        <v>82</v>
      </c>
      <c r="D73" s="1" t="s">
        <v>544</v>
      </c>
      <c r="BW73" s="34" t="s">
        <v>168</v>
      </c>
      <c r="CC73" t="s">
        <v>280</v>
      </c>
    </row>
    <row r="74" spans="1:83" x14ac:dyDescent="0.25">
      <c r="A74" s="1" t="s">
        <v>396</v>
      </c>
      <c r="B74" s="34" t="s">
        <v>172</v>
      </c>
      <c r="C74" s="1" t="s">
        <v>82</v>
      </c>
      <c r="D74" s="1" t="s">
        <v>478</v>
      </c>
      <c r="BW74" s="34" t="s">
        <v>168</v>
      </c>
      <c r="CB74" s="1" t="s">
        <v>129</v>
      </c>
      <c r="CC74" t="s">
        <v>291</v>
      </c>
    </row>
    <row r="75" spans="1:83" x14ac:dyDescent="0.25">
      <c r="A75" s="1" t="s">
        <v>396</v>
      </c>
      <c r="B75" s="34" t="s">
        <v>173</v>
      </c>
      <c r="C75" s="1" t="s">
        <v>82</v>
      </c>
      <c r="D75" s="1" t="s">
        <v>287</v>
      </c>
      <c r="BW75" s="34" t="s">
        <v>168</v>
      </c>
      <c r="CB75" s="1" t="s">
        <v>129</v>
      </c>
    </row>
    <row r="76" spans="1:83" x14ac:dyDescent="0.25">
      <c r="A76" s="1" t="s">
        <v>396</v>
      </c>
      <c r="B76" s="34" t="s">
        <v>176</v>
      </c>
      <c r="C76" s="1" t="s">
        <v>82</v>
      </c>
      <c r="D76" s="1" t="s">
        <v>550</v>
      </c>
      <c r="BX76" s="34" t="s">
        <v>168</v>
      </c>
      <c r="CC76" t="s">
        <v>294</v>
      </c>
    </row>
    <row r="77" spans="1:83" x14ac:dyDescent="0.25">
      <c r="A77" s="1" t="s">
        <v>396</v>
      </c>
      <c r="B77" s="34" t="s">
        <v>195</v>
      </c>
      <c r="C77" s="1" t="s">
        <v>82</v>
      </c>
      <c r="D77" s="1" t="s">
        <v>655</v>
      </c>
      <c r="BX77" s="34" t="s">
        <v>168</v>
      </c>
      <c r="CB77" s="1" t="s">
        <v>129</v>
      </c>
      <c r="CC77" t="s">
        <v>295</v>
      </c>
    </row>
    <row r="78" spans="1:83" x14ac:dyDescent="0.25">
      <c r="A78" s="1" t="s">
        <v>396</v>
      </c>
      <c r="B78" s="34" t="s">
        <v>196</v>
      </c>
      <c r="C78" s="1" t="s">
        <v>82</v>
      </c>
      <c r="D78" s="1" t="s">
        <v>656</v>
      </c>
      <c r="BX78" s="34" t="s">
        <v>168</v>
      </c>
      <c r="CB78" s="1" t="s">
        <v>129</v>
      </c>
    </row>
    <row r="79" spans="1:83" x14ac:dyDescent="0.25">
      <c r="A79" s="1" t="s">
        <v>396</v>
      </c>
      <c r="B79" s="34" t="s">
        <v>177</v>
      </c>
      <c r="C79" s="1" t="s">
        <v>85</v>
      </c>
      <c r="D79" s="1" t="s">
        <v>489</v>
      </c>
      <c r="E79" s="34" t="s">
        <v>168</v>
      </c>
      <c r="BZ79" s="1" t="s">
        <v>126</v>
      </c>
      <c r="CA79" s="1" t="s">
        <v>427</v>
      </c>
    </row>
    <row r="80" spans="1:83" x14ac:dyDescent="0.25">
      <c r="A80" s="1" t="s">
        <v>396</v>
      </c>
      <c r="B80" s="34" t="s">
        <v>197</v>
      </c>
      <c r="C80" s="1" t="s">
        <v>82</v>
      </c>
      <c r="D80" s="1" t="s">
        <v>540</v>
      </c>
      <c r="BW80" s="34" t="s">
        <v>177</v>
      </c>
    </row>
    <row r="81" spans="1:83" x14ac:dyDescent="0.25">
      <c r="A81" s="1" t="s">
        <v>396</v>
      </c>
      <c r="B81" s="34" t="s">
        <v>198</v>
      </c>
      <c r="C81" s="1" t="s">
        <v>82</v>
      </c>
      <c r="D81" s="1" t="s">
        <v>550</v>
      </c>
      <c r="BW81" s="34" t="s">
        <v>177</v>
      </c>
      <c r="CC81" t="s">
        <v>130</v>
      </c>
    </row>
    <row r="82" spans="1:83" x14ac:dyDescent="0.25">
      <c r="A82" s="1" t="s">
        <v>396</v>
      </c>
      <c r="B82" s="34" t="s">
        <v>199</v>
      </c>
      <c r="C82" s="1" t="s">
        <v>82</v>
      </c>
      <c r="D82" s="1" t="s">
        <v>551</v>
      </c>
      <c r="BX82" s="34" t="s">
        <v>177</v>
      </c>
      <c r="CC82" t="s">
        <v>131</v>
      </c>
    </row>
    <row r="83" spans="1:83" x14ac:dyDescent="0.25">
      <c r="A83" s="1" t="s">
        <v>396</v>
      </c>
      <c r="B83" s="34" t="s">
        <v>200</v>
      </c>
      <c r="C83" s="1" t="s">
        <v>83</v>
      </c>
      <c r="D83" s="1" t="s">
        <v>125</v>
      </c>
      <c r="E83" s="34" t="s">
        <v>177</v>
      </c>
    </row>
    <row r="84" spans="1:83" x14ac:dyDescent="0.25">
      <c r="A84" s="1" t="s">
        <v>397</v>
      </c>
      <c r="B84" s="34" t="s">
        <v>348</v>
      </c>
      <c r="C84" s="1" t="s">
        <v>81</v>
      </c>
      <c r="D84" s="1" t="s">
        <v>125</v>
      </c>
    </row>
    <row r="85" spans="1:83" x14ac:dyDescent="0.25">
      <c r="A85" s="1" t="s">
        <v>397</v>
      </c>
      <c r="B85" s="34" t="s">
        <v>147</v>
      </c>
      <c r="C85" s="1" t="s">
        <v>85</v>
      </c>
      <c r="D85" s="1" t="s">
        <v>492</v>
      </c>
      <c r="E85" s="34" t="s">
        <v>348</v>
      </c>
      <c r="BZ85" s="1" t="s">
        <v>126</v>
      </c>
      <c r="CA85" s="1" t="s">
        <v>430</v>
      </c>
    </row>
    <row r="86" spans="1:83" x14ac:dyDescent="0.25">
      <c r="A86" s="1" t="s">
        <v>397</v>
      </c>
      <c r="B86" s="34" t="s">
        <v>349</v>
      </c>
      <c r="C86" s="1" t="s">
        <v>82</v>
      </c>
      <c r="D86" s="1" t="s">
        <v>540</v>
      </c>
      <c r="BW86" s="34" t="s">
        <v>147</v>
      </c>
    </row>
    <row r="87" spans="1:83" x14ac:dyDescent="0.25">
      <c r="A87" s="1" t="s">
        <v>397</v>
      </c>
      <c r="B87" s="34" t="s">
        <v>350</v>
      </c>
      <c r="C87" s="1" t="s">
        <v>82</v>
      </c>
      <c r="D87" s="1" t="s">
        <v>542</v>
      </c>
      <c r="BW87" s="34" t="s">
        <v>147</v>
      </c>
      <c r="CC87" t="s">
        <v>144</v>
      </c>
    </row>
    <row r="88" spans="1:83" x14ac:dyDescent="0.25">
      <c r="A88" s="1" t="s">
        <v>397</v>
      </c>
      <c r="B88" s="34" t="s">
        <v>351</v>
      </c>
      <c r="C88" s="1" t="s">
        <v>82</v>
      </c>
      <c r="D88" s="1" t="s">
        <v>552</v>
      </c>
      <c r="BX88" s="34" t="s">
        <v>147</v>
      </c>
      <c r="CC88" t="s">
        <v>131</v>
      </c>
    </row>
    <row r="89" spans="1:83" x14ac:dyDescent="0.25">
      <c r="A89" s="1" t="s">
        <v>397</v>
      </c>
      <c r="B89" s="34" t="s">
        <v>148</v>
      </c>
      <c r="C89" s="1" t="s">
        <v>85</v>
      </c>
      <c r="D89" s="1" t="s">
        <v>487</v>
      </c>
      <c r="E89" s="34" t="s">
        <v>147</v>
      </c>
      <c r="BZ89" s="1" t="s">
        <v>126</v>
      </c>
      <c r="CA89" s="1" t="s">
        <v>425</v>
      </c>
    </row>
    <row r="90" spans="1:83" x14ac:dyDescent="0.25">
      <c r="A90" s="1" t="s">
        <v>397</v>
      </c>
      <c r="B90" s="34" t="s">
        <v>132</v>
      </c>
      <c r="C90" s="1" t="s">
        <v>82</v>
      </c>
      <c r="D90" s="1" t="s">
        <v>540</v>
      </c>
      <c r="BW90" s="34" t="s">
        <v>148</v>
      </c>
    </row>
    <row r="91" spans="1:83" x14ac:dyDescent="0.25">
      <c r="A91" s="1" t="s">
        <v>397</v>
      </c>
      <c r="B91" s="34" t="s">
        <v>133</v>
      </c>
      <c r="C91" s="1" t="s">
        <v>82</v>
      </c>
      <c r="D91" s="1" t="s">
        <v>542</v>
      </c>
      <c r="BW91" s="34" t="s">
        <v>148</v>
      </c>
      <c r="CC91" t="s">
        <v>144</v>
      </c>
    </row>
    <row r="92" spans="1:83" x14ac:dyDescent="0.25">
      <c r="A92" s="1" t="s">
        <v>397</v>
      </c>
      <c r="B92" s="34" t="s">
        <v>352</v>
      </c>
      <c r="C92" s="1" t="s">
        <v>82</v>
      </c>
      <c r="D92" s="1" t="s">
        <v>552</v>
      </c>
      <c r="BW92" s="34" t="s">
        <v>148</v>
      </c>
    </row>
    <row r="93" spans="1:83" x14ac:dyDescent="0.25">
      <c r="A93" s="1" t="s">
        <v>397</v>
      </c>
      <c r="B93" s="34" t="s">
        <v>134</v>
      </c>
      <c r="C93" s="1" t="s">
        <v>82</v>
      </c>
      <c r="D93" s="1" t="s">
        <v>553</v>
      </c>
      <c r="BX93" s="34" t="s">
        <v>148</v>
      </c>
      <c r="CC93" t="s">
        <v>145</v>
      </c>
    </row>
    <row r="94" spans="1:83" x14ac:dyDescent="0.25">
      <c r="A94" s="1" t="s">
        <v>397</v>
      </c>
      <c r="B94" s="34" t="s">
        <v>168</v>
      </c>
      <c r="C94" s="1" t="s">
        <v>85</v>
      </c>
      <c r="D94" s="1" t="s">
        <v>493</v>
      </c>
      <c r="E94" s="34" t="s">
        <v>148</v>
      </c>
      <c r="BZ94" s="1" t="s">
        <v>126</v>
      </c>
      <c r="CA94" s="1" t="s">
        <v>431</v>
      </c>
      <c r="CE94" t="s">
        <v>127</v>
      </c>
    </row>
    <row r="95" spans="1:83" x14ac:dyDescent="0.25">
      <c r="A95" s="1" t="s">
        <v>397</v>
      </c>
      <c r="B95" s="34" t="s">
        <v>169</v>
      </c>
      <c r="C95" s="1" t="s">
        <v>82</v>
      </c>
      <c r="D95" s="1" t="s">
        <v>540</v>
      </c>
      <c r="BW95" s="34" t="s">
        <v>168</v>
      </c>
    </row>
    <row r="96" spans="1:83" x14ac:dyDescent="0.25">
      <c r="A96" s="1" t="s">
        <v>397</v>
      </c>
      <c r="B96" s="34" t="s">
        <v>170</v>
      </c>
      <c r="C96" s="1" t="s">
        <v>82</v>
      </c>
      <c r="D96" s="1" t="s">
        <v>554</v>
      </c>
      <c r="BW96" s="34" t="s">
        <v>168</v>
      </c>
      <c r="CC96" t="s">
        <v>289</v>
      </c>
    </row>
    <row r="97" spans="1:83" x14ac:dyDescent="0.25">
      <c r="A97" s="1" t="s">
        <v>397</v>
      </c>
      <c r="B97" s="34" t="s">
        <v>171</v>
      </c>
      <c r="C97" s="1" t="s">
        <v>82</v>
      </c>
      <c r="D97" s="1" t="s">
        <v>553</v>
      </c>
      <c r="BW97" s="34" t="s">
        <v>168</v>
      </c>
      <c r="CC97" t="s">
        <v>184</v>
      </c>
      <c r="CD97" t="s">
        <v>129</v>
      </c>
    </row>
    <row r="98" spans="1:83" x14ac:dyDescent="0.25">
      <c r="A98" s="1" t="s">
        <v>397</v>
      </c>
      <c r="B98" s="34" t="s">
        <v>172</v>
      </c>
      <c r="C98" s="1" t="s">
        <v>82</v>
      </c>
      <c r="D98" s="1" t="s">
        <v>542</v>
      </c>
      <c r="BW98" s="34" t="s">
        <v>168</v>
      </c>
      <c r="CC98" t="s">
        <v>288</v>
      </c>
    </row>
    <row r="99" spans="1:83" x14ac:dyDescent="0.25">
      <c r="A99" s="1" t="s">
        <v>397</v>
      </c>
      <c r="B99" s="34" t="s">
        <v>173</v>
      </c>
      <c r="C99" s="1" t="s">
        <v>82</v>
      </c>
      <c r="D99" s="1" t="s">
        <v>555</v>
      </c>
      <c r="BW99" s="34" t="s">
        <v>168</v>
      </c>
      <c r="CB99" s="1" t="s">
        <v>129</v>
      </c>
    </row>
    <row r="100" spans="1:83" x14ac:dyDescent="0.25">
      <c r="A100" s="1" t="s">
        <v>397</v>
      </c>
      <c r="B100" s="34" t="s">
        <v>174</v>
      </c>
      <c r="C100" s="1" t="s">
        <v>82</v>
      </c>
      <c r="D100" s="1" t="s">
        <v>556</v>
      </c>
      <c r="BW100" s="34" t="s">
        <v>168</v>
      </c>
      <c r="CB100" s="1" t="s">
        <v>129</v>
      </c>
    </row>
    <row r="101" spans="1:83" x14ac:dyDescent="0.25">
      <c r="A101" s="1" t="s">
        <v>397</v>
      </c>
      <c r="B101" s="34" t="s">
        <v>175</v>
      </c>
      <c r="C101" s="1" t="s">
        <v>82</v>
      </c>
      <c r="D101" s="1" t="s">
        <v>557</v>
      </c>
      <c r="BW101" s="34" t="s">
        <v>168</v>
      </c>
      <c r="CB101" s="1" t="s">
        <v>129</v>
      </c>
    </row>
    <row r="102" spans="1:83" x14ac:dyDescent="0.25">
      <c r="A102" s="1" t="s">
        <v>397</v>
      </c>
      <c r="B102" s="34" t="s">
        <v>201</v>
      </c>
      <c r="C102" s="1" t="s">
        <v>82</v>
      </c>
      <c r="D102" s="1" t="s">
        <v>478</v>
      </c>
      <c r="BW102" s="34" t="s">
        <v>168</v>
      </c>
      <c r="CB102" s="1" t="s">
        <v>129</v>
      </c>
      <c r="CC102" t="s">
        <v>291</v>
      </c>
    </row>
    <row r="103" spans="1:83" x14ac:dyDescent="0.25">
      <c r="A103" s="1" t="s">
        <v>397</v>
      </c>
      <c r="B103" s="34" t="s">
        <v>176</v>
      </c>
      <c r="C103" s="1" t="s">
        <v>82</v>
      </c>
      <c r="D103" s="1" t="s">
        <v>558</v>
      </c>
      <c r="BX103" s="34" t="s">
        <v>168</v>
      </c>
      <c r="CC103" t="s">
        <v>290</v>
      </c>
    </row>
    <row r="104" spans="1:83" x14ac:dyDescent="0.25">
      <c r="A104" s="1" t="s">
        <v>397</v>
      </c>
      <c r="B104" s="34" t="s">
        <v>160</v>
      </c>
      <c r="C104" s="1" t="s">
        <v>85</v>
      </c>
      <c r="D104" s="1" t="s">
        <v>489</v>
      </c>
      <c r="E104" s="34" t="s">
        <v>168</v>
      </c>
      <c r="BZ104" s="1" t="s">
        <v>126</v>
      </c>
      <c r="CA104" s="1" t="s">
        <v>427</v>
      </c>
    </row>
    <row r="105" spans="1:83" x14ac:dyDescent="0.25">
      <c r="A105" s="1" t="s">
        <v>397</v>
      </c>
      <c r="B105" s="34" t="s">
        <v>202</v>
      </c>
      <c r="C105" s="1" t="s">
        <v>82</v>
      </c>
      <c r="D105" s="1" t="s">
        <v>540</v>
      </c>
      <c r="BW105" s="34" t="s">
        <v>160</v>
      </c>
    </row>
    <row r="106" spans="1:83" x14ac:dyDescent="0.25">
      <c r="A106" s="1" t="s">
        <v>397</v>
      </c>
      <c r="B106" s="34" t="s">
        <v>203</v>
      </c>
      <c r="C106" s="1" t="s">
        <v>82</v>
      </c>
      <c r="D106" s="1" t="s">
        <v>558</v>
      </c>
      <c r="BW106" s="34" t="s">
        <v>160</v>
      </c>
      <c r="CC106" t="s">
        <v>130</v>
      </c>
    </row>
    <row r="107" spans="1:83" x14ac:dyDescent="0.25">
      <c r="A107" s="1" t="s">
        <v>397</v>
      </c>
      <c r="B107" s="34" t="s">
        <v>204</v>
      </c>
      <c r="C107" s="1" t="s">
        <v>82</v>
      </c>
      <c r="D107" s="1" t="s">
        <v>536</v>
      </c>
      <c r="BX107" s="34" t="s">
        <v>160</v>
      </c>
      <c r="CC107" t="s">
        <v>131</v>
      </c>
    </row>
    <row r="108" spans="1:83" x14ac:dyDescent="0.25">
      <c r="A108" s="1" t="s">
        <v>397</v>
      </c>
      <c r="B108" s="34" t="s">
        <v>167</v>
      </c>
      <c r="C108" s="1" t="s">
        <v>83</v>
      </c>
      <c r="D108" s="1" t="s">
        <v>125</v>
      </c>
      <c r="E108" s="34" t="s">
        <v>160</v>
      </c>
    </row>
    <row r="109" spans="1:83" x14ac:dyDescent="0.25">
      <c r="A109" s="1" t="s">
        <v>398</v>
      </c>
      <c r="B109" s="34" t="s">
        <v>217</v>
      </c>
      <c r="C109" s="1" t="s">
        <v>81</v>
      </c>
      <c r="D109" s="1" t="s">
        <v>125</v>
      </c>
    </row>
    <row r="110" spans="1:83" x14ac:dyDescent="0.25">
      <c r="A110" s="1" t="s">
        <v>398</v>
      </c>
      <c r="B110" s="34" t="s">
        <v>218</v>
      </c>
      <c r="C110" s="1" t="s">
        <v>85</v>
      </c>
      <c r="D110" s="1" t="s">
        <v>494</v>
      </c>
      <c r="E110" s="34" t="s">
        <v>217</v>
      </c>
      <c r="BZ110" s="1" t="s">
        <v>126</v>
      </c>
      <c r="CA110" s="1" t="s">
        <v>432</v>
      </c>
      <c r="CE110" t="s">
        <v>127</v>
      </c>
    </row>
    <row r="111" spans="1:83" x14ac:dyDescent="0.25">
      <c r="A111" s="1" t="s">
        <v>398</v>
      </c>
      <c r="B111" s="34" t="s">
        <v>205</v>
      </c>
      <c r="C111" s="1" t="s">
        <v>82</v>
      </c>
      <c r="D111" s="1" t="s">
        <v>540</v>
      </c>
      <c r="BW111" s="34" t="s">
        <v>218</v>
      </c>
    </row>
    <row r="112" spans="1:83" x14ac:dyDescent="0.25">
      <c r="A112" s="1" t="s">
        <v>398</v>
      </c>
      <c r="B112" s="34" t="s">
        <v>206</v>
      </c>
      <c r="C112" s="1" t="s">
        <v>82</v>
      </c>
      <c r="D112" s="1" t="s">
        <v>559</v>
      </c>
      <c r="BX112" s="34" t="s">
        <v>218</v>
      </c>
      <c r="CC112" t="s">
        <v>333</v>
      </c>
    </row>
    <row r="113" spans="1:83" x14ac:dyDescent="0.25">
      <c r="A113" s="1" t="s">
        <v>398</v>
      </c>
      <c r="B113" s="34" t="s">
        <v>219</v>
      </c>
      <c r="C113" s="1" t="s">
        <v>85</v>
      </c>
      <c r="D113" s="1" t="s">
        <v>487</v>
      </c>
      <c r="E113" s="34" t="s">
        <v>218</v>
      </c>
      <c r="BZ113" s="1" t="s">
        <v>126</v>
      </c>
      <c r="CA113" s="1" t="s">
        <v>425</v>
      </c>
    </row>
    <row r="114" spans="1:83" x14ac:dyDescent="0.25">
      <c r="A114" s="1" t="s">
        <v>398</v>
      </c>
      <c r="B114" s="34" t="s">
        <v>211</v>
      </c>
      <c r="C114" s="1" t="s">
        <v>82</v>
      </c>
      <c r="D114" s="1" t="s">
        <v>540</v>
      </c>
      <c r="BW114" s="34" t="s">
        <v>219</v>
      </c>
    </row>
    <row r="115" spans="1:83" x14ac:dyDescent="0.25">
      <c r="A115" s="1" t="s">
        <v>398</v>
      </c>
      <c r="B115" s="34" t="s">
        <v>212</v>
      </c>
      <c r="C115" s="1" t="s">
        <v>82</v>
      </c>
      <c r="D115" s="1" t="s">
        <v>559</v>
      </c>
      <c r="BW115" s="34" t="s">
        <v>219</v>
      </c>
      <c r="CC115" t="s">
        <v>144</v>
      </c>
    </row>
    <row r="116" spans="1:83" x14ac:dyDescent="0.25">
      <c r="A116" s="1" t="s">
        <v>398</v>
      </c>
      <c r="B116" s="34" t="s">
        <v>213</v>
      </c>
      <c r="C116" s="1" t="s">
        <v>82</v>
      </c>
      <c r="D116" s="1" t="s">
        <v>560</v>
      </c>
      <c r="BX116" s="34" t="s">
        <v>219</v>
      </c>
      <c r="CC116" t="s">
        <v>145</v>
      </c>
    </row>
    <row r="117" spans="1:83" x14ac:dyDescent="0.25">
      <c r="A117" s="1" t="s">
        <v>398</v>
      </c>
      <c r="B117" s="34" t="s">
        <v>220</v>
      </c>
      <c r="C117" s="1" t="s">
        <v>85</v>
      </c>
      <c r="D117" s="1" t="s">
        <v>495</v>
      </c>
      <c r="E117" s="34" t="s">
        <v>219</v>
      </c>
      <c r="BZ117" s="1" t="s">
        <v>126</v>
      </c>
      <c r="CA117" s="1" t="s">
        <v>433</v>
      </c>
      <c r="CE117" t="s">
        <v>127</v>
      </c>
    </row>
    <row r="118" spans="1:83" x14ac:dyDescent="0.25">
      <c r="A118" s="1" t="s">
        <v>398</v>
      </c>
      <c r="B118" s="34" t="s">
        <v>207</v>
      </c>
      <c r="C118" s="1" t="s">
        <v>82</v>
      </c>
      <c r="D118" s="1" t="s">
        <v>540</v>
      </c>
      <c r="BW118" s="34" t="s">
        <v>220</v>
      </c>
    </row>
    <row r="119" spans="1:83" x14ac:dyDescent="0.25">
      <c r="A119" s="1" t="s">
        <v>398</v>
      </c>
      <c r="B119" s="34" t="s">
        <v>208</v>
      </c>
      <c r="C119" s="1" t="s">
        <v>82</v>
      </c>
      <c r="D119" s="1" t="s">
        <v>560</v>
      </c>
      <c r="BW119" s="34" t="s">
        <v>220</v>
      </c>
      <c r="CC119" t="s">
        <v>184</v>
      </c>
      <c r="CD119" t="s">
        <v>129</v>
      </c>
    </row>
    <row r="120" spans="1:83" x14ac:dyDescent="0.25">
      <c r="A120" s="1" t="s">
        <v>398</v>
      </c>
      <c r="B120" s="34" t="s">
        <v>209</v>
      </c>
      <c r="C120" s="1" t="s">
        <v>82</v>
      </c>
      <c r="D120" s="1" t="s">
        <v>559</v>
      </c>
      <c r="BW120" s="34" t="s">
        <v>220</v>
      </c>
      <c r="CC120" t="s">
        <v>144</v>
      </c>
    </row>
    <row r="121" spans="1:83" x14ac:dyDescent="0.25">
      <c r="A121" s="1" t="s">
        <v>398</v>
      </c>
      <c r="B121" s="34" t="s">
        <v>210</v>
      </c>
      <c r="C121" s="1" t="s">
        <v>82</v>
      </c>
      <c r="D121" s="1" t="s">
        <v>561</v>
      </c>
      <c r="BX121" s="34" t="s">
        <v>220</v>
      </c>
      <c r="CC121" t="s">
        <v>223</v>
      </c>
    </row>
    <row r="122" spans="1:83" x14ac:dyDescent="0.25">
      <c r="A122" s="1" t="s">
        <v>398</v>
      </c>
      <c r="B122" s="34" t="s">
        <v>221</v>
      </c>
      <c r="C122" s="1" t="s">
        <v>85</v>
      </c>
      <c r="D122" s="1" t="s">
        <v>489</v>
      </c>
      <c r="E122" s="34" t="s">
        <v>220</v>
      </c>
      <c r="BZ122" s="1" t="s">
        <v>126</v>
      </c>
      <c r="CA122" s="1" t="s">
        <v>427</v>
      </c>
    </row>
    <row r="123" spans="1:83" x14ac:dyDescent="0.25">
      <c r="A123" s="1" t="s">
        <v>398</v>
      </c>
      <c r="B123" s="34" t="s">
        <v>214</v>
      </c>
      <c r="C123" s="1" t="s">
        <v>82</v>
      </c>
      <c r="D123" s="1" t="s">
        <v>540</v>
      </c>
      <c r="BW123" s="34" t="s">
        <v>221</v>
      </c>
    </row>
    <row r="124" spans="1:83" x14ac:dyDescent="0.25">
      <c r="A124" s="1" t="s">
        <v>398</v>
      </c>
      <c r="B124" s="34" t="s">
        <v>215</v>
      </c>
      <c r="C124" s="1" t="s">
        <v>82</v>
      </c>
      <c r="D124" s="1" t="s">
        <v>561</v>
      </c>
      <c r="BW124" s="34" t="s">
        <v>221</v>
      </c>
      <c r="CC124" t="s">
        <v>130</v>
      </c>
    </row>
    <row r="125" spans="1:83" x14ac:dyDescent="0.25">
      <c r="A125" s="1" t="s">
        <v>398</v>
      </c>
      <c r="B125" s="34" t="s">
        <v>216</v>
      </c>
      <c r="C125" s="1" t="s">
        <v>82</v>
      </c>
      <c r="D125" s="1" t="s">
        <v>562</v>
      </c>
      <c r="BX125" s="34" t="s">
        <v>221</v>
      </c>
      <c r="CC125" t="s">
        <v>131</v>
      </c>
    </row>
    <row r="126" spans="1:83" x14ac:dyDescent="0.25">
      <c r="A126" s="1" t="s">
        <v>398</v>
      </c>
      <c r="B126" s="34" t="s">
        <v>224</v>
      </c>
      <c r="C126" s="1" t="s">
        <v>85</v>
      </c>
      <c r="D126" s="1" t="s">
        <v>496</v>
      </c>
      <c r="E126" s="34" t="s">
        <v>221</v>
      </c>
      <c r="BZ126" s="1" t="s">
        <v>126</v>
      </c>
      <c r="CA126" s="1" t="s">
        <v>434</v>
      </c>
    </row>
    <row r="127" spans="1:83" x14ac:dyDescent="0.25">
      <c r="A127" s="1" t="s">
        <v>398</v>
      </c>
      <c r="B127" s="34" t="s">
        <v>225</v>
      </c>
      <c r="C127" s="1" t="s">
        <v>82</v>
      </c>
      <c r="D127" s="1" t="s">
        <v>540</v>
      </c>
      <c r="BW127" s="34" t="s">
        <v>224</v>
      </c>
    </row>
    <row r="128" spans="1:83" x14ac:dyDescent="0.25">
      <c r="A128" s="1" t="s">
        <v>398</v>
      </c>
      <c r="B128" s="34" t="s">
        <v>226</v>
      </c>
      <c r="C128" s="1" t="s">
        <v>82</v>
      </c>
      <c r="D128" s="1" t="s">
        <v>559</v>
      </c>
      <c r="BW128" s="34" t="s">
        <v>224</v>
      </c>
      <c r="CC128" t="s">
        <v>309</v>
      </c>
    </row>
    <row r="129" spans="1:83" x14ac:dyDescent="0.25">
      <c r="A129" s="1" t="s">
        <v>398</v>
      </c>
      <c r="B129" s="34" t="s">
        <v>227</v>
      </c>
      <c r="C129" s="1" t="s">
        <v>82</v>
      </c>
      <c r="D129" s="1" t="s">
        <v>562</v>
      </c>
      <c r="BW129" s="34" t="s">
        <v>224</v>
      </c>
      <c r="CC129" t="s">
        <v>312</v>
      </c>
    </row>
    <row r="130" spans="1:83" x14ac:dyDescent="0.25">
      <c r="A130" s="1" t="s">
        <v>398</v>
      </c>
      <c r="B130" s="34" t="s">
        <v>229</v>
      </c>
      <c r="C130" s="1" t="s">
        <v>82</v>
      </c>
      <c r="D130" s="1" t="s">
        <v>563</v>
      </c>
      <c r="BX130" s="34" t="s">
        <v>224</v>
      </c>
      <c r="CC130" t="s">
        <v>310</v>
      </c>
    </row>
    <row r="131" spans="1:83" x14ac:dyDescent="0.25">
      <c r="A131" s="1" t="s">
        <v>398</v>
      </c>
      <c r="B131" s="34" t="s">
        <v>230</v>
      </c>
      <c r="C131" s="1" t="s">
        <v>82</v>
      </c>
      <c r="D131" s="1" t="s">
        <v>564</v>
      </c>
      <c r="BX131" s="34" t="s">
        <v>224</v>
      </c>
      <c r="CC131" t="s">
        <v>311</v>
      </c>
    </row>
    <row r="132" spans="1:83" x14ac:dyDescent="0.25">
      <c r="A132" s="1" t="s">
        <v>398</v>
      </c>
      <c r="B132" s="34" t="s">
        <v>222</v>
      </c>
      <c r="C132" s="1" t="s">
        <v>83</v>
      </c>
      <c r="D132" s="1" t="s">
        <v>125</v>
      </c>
      <c r="E132" s="34" t="s">
        <v>224</v>
      </c>
    </row>
    <row r="133" spans="1:83" x14ac:dyDescent="0.25">
      <c r="A133" s="1" t="s">
        <v>399</v>
      </c>
      <c r="B133" s="34" t="s">
        <v>217</v>
      </c>
      <c r="C133" s="1" t="s">
        <v>81</v>
      </c>
      <c r="D133" s="1" t="s">
        <v>125</v>
      </c>
    </row>
    <row r="134" spans="1:83" x14ac:dyDescent="0.25">
      <c r="A134" s="1" t="s">
        <v>399</v>
      </c>
      <c r="B134" s="34" t="s">
        <v>221</v>
      </c>
      <c r="C134" s="1" t="s">
        <v>85</v>
      </c>
      <c r="D134" s="1" t="s">
        <v>497</v>
      </c>
      <c r="E134" s="34" t="s">
        <v>217</v>
      </c>
      <c r="BZ134" s="1" t="s">
        <v>126</v>
      </c>
      <c r="CA134" s="1" t="s">
        <v>435</v>
      </c>
      <c r="CE134" t="s">
        <v>127</v>
      </c>
    </row>
    <row r="135" spans="1:83" x14ac:dyDescent="0.25">
      <c r="A135" s="1" t="s">
        <v>399</v>
      </c>
      <c r="B135" s="34" t="s">
        <v>214</v>
      </c>
      <c r="C135" s="1" t="s">
        <v>82</v>
      </c>
      <c r="D135" s="1" t="s">
        <v>540</v>
      </c>
      <c r="BW135" s="34" t="s">
        <v>221</v>
      </c>
    </row>
    <row r="136" spans="1:83" x14ac:dyDescent="0.25">
      <c r="A136" s="1" t="s">
        <v>399</v>
      </c>
      <c r="B136" s="34" t="s">
        <v>215</v>
      </c>
      <c r="C136" s="1" t="s">
        <v>82</v>
      </c>
      <c r="D136" s="46" t="s">
        <v>565</v>
      </c>
      <c r="BW136" s="34" t="s">
        <v>221</v>
      </c>
    </row>
    <row r="137" spans="1:83" x14ac:dyDescent="0.25">
      <c r="A137" s="1" t="s">
        <v>399</v>
      </c>
      <c r="B137" s="34" t="s">
        <v>244</v>
      </c>
      <c r="C137" s="1" t="s">
        <v>82</v>
      </c>
      <c r="D137" s="46" t="s">
        <v>566</v>
      </c>
      <c r="BW137" s="34" t="s">
        <v>221</v>
      </c>
      <c r="CC137" t="s">
        <v>315</v>
      </c>
    </row>
    <row r="138" spans="1:83" x14ac:dyDescent="0.25">
      <c r="A138" s="1" t="s">
        <v>399</v>
      </c>
      <c r="B138" s="34" t="s">
        <v>245</v>
      </c>
      <c r="C138" s="1" t="s">
        <v>82</v>
      </c>
      <c r="D138" s="1" t="s">
        <v>563</v>
      </c>
      <c r="BW138" s="34" t="s">
        <v>221</v>
      </c>
      <c r="CC138" t="s">
        <v>313</v>
      </c>
    </row>
    <row r="139" spans="1:83" x14ac:dyDescent="0.25">
      <c r="A139" s="1" t="s">
        <v>399</v>
      </c>
      <c r="B139" s="34" t="s">
        <v>246</v>
      </c>
      <c r="C139" s="1" t="s">
        <v>82</v>
      </c>
      <c r="D139" s="1" t="s">
        <v>564</v>
      </c>
      <c r="BW139" s="34" t="s">
        <v>221</v>
      </c>
      <c r="CC139" t="s">
        <v>314</v>
      </c>
    </row>
    <row r="140" spans="1:83" x14ac:dyDescent="0.25">
      <c r="A140" s="1" t="s">
        <v>399</v>
      </c>
      <c r="B140" s="34" t="s">
        <v>265</v>
      </c>
      <c r="C140" s="1" t="s">
        <v>82</v>
      </c>
      <c r="D140" s="1" t="s">
        <v>478</v>
      </c>
      <c r="BW140" s="34" t="s">
        <v>221</v>
      </c>
      <c r="CB140" s="1" t="s">
        <v>129</v>
      </c>
      <c r="CC140" t="s">
        <v>291</v>
      </c>
    </row>
    <row r="141" spans="1:83" x14ac:dyDescent="0.25">
      <c r="A141" s="1" t="s">
        <v>399</v>
      </c>
      <c r="B141" s="34" t="s">
        <v>276</v>
      </c>
      <c r="C141" s="1" t="s">
        <v>82</v>
      </c>
      <c r="D141" s="1" t="s">
        <v>367</v>
      </c>
      <c r="BW141" s="34" t="s">
        <v>221</v>
      </c>
      <c r="CB141" s="1" t="s">
        <v>129</v>
      </c>
      <c r="CC141" t="s">
        <v>368</v>
      </c>
    </row>
    <row r="142" spans="1:83" x14ac:dyDescent="0.25">
      <c r="A142" s="1" t="s">
        <v>399</v>
      </c>
      <c r="B142" s="34" t="s">
        <v>216</v>
      </c>
      <c r="C142" s="1" t="s">
        <v>82</v>
      </c>
      <c r="D142" s="1" t="s">
        <v>567</v>
      </c>
      <c r="BX142" s="34" t="s">
        <v>221</v>
      </c>
      <c r="CC142" t="s">
        <v>316</v>
      </c>
    </row>
    <row r="143" spans="1:83" x14ac:dyDescent="0.25">
      <c r="A143" s="1" t="s">
        <v>399</v>
      </c>
      <c r="B143" s="34" t="s">
        <v>262</v>
      </c>
      <c r="C143" s="1" t="s">
        <v>82</v>
      </c>
      <c r="D143" s="1" t="s">
        <v>568</v>
      </c>
      <c r="BX143" s="34" t="s">
        <v>221</v>
      </c>
      <c r="CC143" t="s">
        <v>317</v>
      </c>
    </row>
    <row r="144" spans="1:83" x14ac:dyDescent="0.25">
      <c r="A144" s="1" t="s">
        <v>399</v>
      </c>
      <c r="B144" s="34" t="s">
        <v>263</v>
      </c>
      <c r="C144" s="1" t="s">
        <v>82</v>
      </c>
      <c r="D144" s="1" t="s">
        <v>569</v>
      </c>
      <c r="BX144" s="34" t="s">
        <v>221</v>
      </c>
      <c r="CC144" t="s">
        <v>318</v>
      </c>
    </row>
    <row r="145" spans="1:83" x14ac:dyDescent="0.25">
      <c r="A145" s="1" t="s">
        <v>399</v>
      </c>
      <c r="B145" s="34" t="s">
        <v>224</v>
      </c>
      <c r="C145" s="1" t="s">
        <v>85</v>
      </c>
      <c r="D145" s="1" t="s">
        <v>498</v>
      </c>
      <c r="E145" s="34" t="s">
        <v>221</v>
      </c>
      <c r="BZ145" s="1" t="s">
        <v>126</v>
      </c>
      <c r="CA145" s="1" t="s">
        <v>436</v>
      </c>
      <c r="CE145" t="s">
        <v>127</v>
      </c>
    </row>
    <row r="146" spans="1:83" x14ac:dyDescent="0.25">
      <c r="A146" s="1" t="s">
        <v>399</v>
      </c>
      <c r="B146" s="34" t="s">
        <v>225</v>
      </c>
      <c r="C146" s="1" t="s">
        <v>82</v>
      </c>
      <c r="D146" s="1" t="s">
        <v>540</v>
      </c>
      <c r="BW146" s="34" t="s">
        <v>224</v>
      </c>
    </row>
    <row r="147" spans="1:83" x14ac:dyDescent="0.25">
      <c r="A147" s="1" t="s">
        <v>399</v>
      </c>
      <c r="B147" s="34" t="s">
        <v>226</v>
      </c>
      <c r="C147" s="1" t="s">
        <v>82</v>
      </c>
      <c r="D147" s="46" t="s">
        <v>565</v>
      </c>
      <c r="BW147" s="34" t="s">
        <v>224</v>
      </c>
    </row>
    <row r="148" spans="1:83" x14ac:dyDescent="0.25">
      <c r="A148" s="1" t="s">
        <v>399</v>
      </c>
      <c r="B148" s="34" t="s">
        <v>227</v>
      </c>
      <c r="C148" s="1" t="s">
        <v>82</v>
      </c>
      <c r="D148" s="46" t="s">
        <v>566</v>
      </c>
      <c r="BW148" s="34" t="s">
        <v>224</v>
      </c>
      <c r="CC148" t="s">
        <v>315</v>
      </c>
    </row>
    <row r="149" spans="1:83" x14ac:dyDescent="0.25">
      <c r="A149" s="1" t="s">
        <v>399</v>
      </c>
      <c r="B149" s="34" t="s">
        <v>228</v>
      </c>
      <c r="C149" s="1" t="s">
        <v>82</v>
      </c>
      <c r="D149" s="46" t="s">
        <v>570</v>
      </c>
      <c r="BW149" s="34" t="s">
        <v>224</v>
      </c>
      <c r="CC149" t="s">
        <v>375</v>
      </c>
    </row>
    <row r="150" spans="1:83" x14ac:dyDescent="0.25">
      <c r="A150" s="1" t="s">
        <v>399</v>
      </c>
      <c r="B150" s="34" t="s">
        <v>231</v>
      </c>
      <c r="C150" s="1" t="s">
        <v>82</v>
      </c>
      <c r="D150" s="1" t="s">
        <v>571</v>
      </c>
      <c r="BW150" s="34" t="s">
        <v>224</v>
      </c>
      <c r="CC150" t="s">
        <v>286</v>
      </c>
    </row>
    <row r="151" spans="1:83" x14ac:dyDescent="0.25">
      <c r="A151" s="1" t="s">
        <v>399</v>
      </c>
      <c r="B151" s="34" t="s">
        <v>264</v>
      </c>
      <c r="C151" s="1" t="s">
        <v>82</v>
      </c>
      <c r="D151" s="46" t="s">
        <v>572</v>
      </c>
      <c r="BW151" s="34" t="s">
        <v>224</v>
      </c>
      <c r="CC151" t="s">
        <v>178</v>
      </c>
    </row>
    <row r="152" spans="1:83" x14ac:dyDescent="0.25">
      <c r="A152" s="1" t="s">
        <v>399</v>
      </c>
      <c r="B152" s="34" t="s">
        <v>369</v>
      </c>
      <c r="C152" s="1" t="s">
        <v>82</v>
      </c>
      <c r="D152" s="1" t="s">
        <v>567</v>
      </c>
      <c r="BW152" s="34" t="s">
        <v>224</v>
      </c>
      <c r="CC152" t="s">
        <v>319</v>
      </c>
    </row>
    <row r="153" spans="1:83" x14ac:dyDescent="0.25">
      <c r="A153" s="1" t="s">
        <v>399</v>
      </c>
      <c r="B153" s="34" t="s">
        <v>370</v>
      </c>
      <c r="C153" s="1" t="s">
        <v>82</v>
      </c>
      <c r="D153" s="1" t="s">
        <v>569</v>
      </c>
      <c r="BW153" s="34" t="s">
        <v>224</v>
      </c>
      <c r="CC153" t="s">
        <v>320</v>
      </c>
    </row>
    <row r="154" spans="1:83" x14ac:dyDescent="0.25">
      <c r="A154" s="1" t="s">
        <v>399</v>
      </c>
      <c r="B154" s="34" t="s">
        <v>373</v>
      </c>
      <c r="C154" s="1" t="s">
        <v>82</v>
      </c>
      <c r="D154" s="1" t="s">
        <v>478</v>
      </c>
      <c r="BW154" s="34" t="s">
        <v>224</v>
      </c>
      <c r="CB154" s="1" t="s">
        <v>129</v>
      </c>
      <c r="CC154" t="s">
        <v>291</v>
      </c>
    </row>
    <row r="155" spans="1:83" x14ac:dyDescent="0.25">
      <c r="A155" s="1" t="s">
        <v>399</v>
      </c>
      <c r="B155" s="34" t="s">
        <v>374</v>
      </c>
      <c r="C155" s="1" t="s">
        <v>82</v>
      </c>
      <c r="D155" s="1" t="s">
        <v>367</v>
      </c>
      <c r="BW155" s="34" t="s">
        <v>224</v>
      </c>
      <c r="CB155" s="1" t="s">
        <v>129</v>
      </c>
      <c r="CC155" t="s">
        <v>368</v>
      </c>
    </row>
    <row r="156" spans="1:83" x14ac:dyDescent="0.25">
      <c r="A156" s="1" t="s">
        <v>399</v>
      </c>
      <c r="B156" s="34" t="s">
        <v>229</v>
      </c>
      <c r="C156" s="1" t="s">
        <v>82</v>
      </c>
      <c r="D156" s="1" t="s">
        <v>573</v>
      </c>
      <c r="BX156" s="34" t="s">
        <v>224</v>
      </c>
      <c r="CC156" t="s">
        <v>321</v>
      </c>
    </row>
    <row r="157" spans="1:83" x14ac:dyDescent="0.25">
      <c r="A157" s="1" t="s">
        <v>399</v>
      </c>
      <c r="B157" s="34" t="s">
        <v>230</v>
      </c>
      <c r="C157" s="1" t="s">
        <v>82</v>
      </c>
      <c r="D157" s="1" t="s">
        <v>574</v>
      </c>
      <c r="BX157" s="34" t="s">
        <v>224</v>
      </c>
      <c r="CC157" t="s">
        <v>322</v>
      </c>
    </row>
    <row r="158" spans="1:83" x14ac:dyDescent="0.25">
      <c r="A158" s="1" t="s">
        <v>399</v>
      </c>
      <c r="B158" s="34" t="s">
        <v>376</v>
      </c>
      <c r="C158" s="1" t="s">
        <v>82</v>
      </c>
      <c r="D158" s="1" t="s">
        <v>575</v>
      </c>
      <c r="BX158" s="34" t="s">
        <v>224</v>
      </c>
      <c r="CC158" t="s">
        <v>378</v>
      </c>
    </row>
    <row r="159" spans="1:83" x14ac:dyDescent="0.25">
      <c r="A159" s="1" t="s">
        <v>399</v>
      </c>
      <c r="B159" s="34" t="s">
        <v>377</v>
      </c>
      <c r="C159" s="1" t="s">
        <v>82</v>
      </c>
      <c r="D159" s="1" t="s">
        <v>576</v>
      </c>
      <c r="BX159" s="34" t="s">
        <v>224</v>
      </c>
      <c r="CC159" t="s">
        <v>379</v>
      </c>
    </row>
    <row r="160" spans="1:83" x14ac:dyDescent="0.25">
      <c r="A160" s="1" t="s">
        <v>399</v>
      </c>
      <c r="B160" s="34" t="s">
        <v>222</v>
      </c>
      <c r="C160" s="1" t="s">
        <v>83</v>
      </c>
      <c r="D160" s="1" t="s">
        <v>125</v>
      </c>
      <c r="E160" s="34" t="s">
        <v>224</v>
      </c>
    </row>
    <row r="161" spans="1:81" x14ac:dyDescent="0.25">
      <c r="A161" s="1" t="s">
        <v>400</v>
      </c>
      <c r="B161" s="34" t="s">
        <v>217</v>
      </c>
      <c r="C161" s="1" t="s">
        <v>81</v>
      </c>
      <c r="D161" s="1" t="s">
        <v>125</v>
      </c>
    </row>
    <row r="162" spans="1:81" x14ac:dyDescent="0.25">
      <c r="A162" s="1" t="s">
        <v>400</v>
      </c>
      <c r="B162" s="34" t="s">
        <v>219</v>
      </c>
      <c r="C162" s="1" t="s">
        <v>146</v>
      </c>
      <c r="D162" s="1" t="s">
        <v>479</v>
      </c>
      <c r="E162" s="34" t="s">
        <v>217</v>
      </c>
      <c r="BY162" s="1" t="s">
        <v>456</v>
      </c>
    </row>
    <row r="163" spans="1:81" x14ac:dyDescent="0.25">
      <c r="A163" s="1" t="s">
        <v>400</v>
      </c>
      <c r="B163" s="34" t="s">
        <v>221</v>
      </c>
      <c r="C163" s="1" t="s">
        <v>146</v>
      </c>
      <c r="D163" s="1" t="s">
        <v>499</v>
      </c>
      <c r="E163" s="34" t="s">
        <v>219</v>
      </c>
      <c r="BY163" s="1" t="s">
        <v>461</v>
      </c>
    </row>
    <row r="164" spans="1:81" x14ac:dyDescent="0.25">
      <c r="A164" s="1" t="s">
        <v>400</v>
      </c>
      <c r="B164" s="34" t="s">
        <v>224</v>
      </c>
      <c r="C164" s="1" t="s">
        <v>146</v>
      </c>
      <c r="D164" s="1" t="s">
        <v>500</v>
      </c>
      <c r="E164" s="34" t="s">
        <v>221</v>
      </c>
      <c r="BY164" s="1" t="s">
        <v>462</v>
      </c>
    </row>
    <row r="165" spans="1:81" x14ac:dyDescent="0.25">
      <c r="A165" s="1" t="s">
        <v>400</v>
      </c>
      <c r="B165" s="43" t="s">
        <v>238</v>
      </c>
      <c r="C165" s="1" t="s">
        <v>146</v>
      </c>
      <c r="D165" s="1" t="s">
        <v>501</v>
      </c>
      <c r="E165" s="34" t="s">
        <v>224</v>
      </c>
      <c r="BY165" s="1" t="s">
        <v>463</v>
      </c>
    </row>
    <row r="166" spans="1:81" x14ac:dyDescent="0.25">
      <c r="A166" s="1" t="s">
        <v>400</v>
      </c>
      <c r="B166" s="43" t="s">
        <v>239</v>
      </c>
      <c r="C166" s="26" t="s">
        <v>82</v>
      </c>
      <c r="D166" s="26" t="s">
        <v>565</v>
      </c>
      <c r="BW166" s="43" t="s">
        <v>238</v>
      </c>
    </row>
    <row r="167" spans="1:81" x14ac:dyDescent="0.25">
      <c r="A167" s="1" t="s">
        <v>400</v>
      </c>
      <c r="B167" s="43" t="s">
        <v>249</v>
      </c>
      <c r="C167" s="26" t="s">
        <v>85</v>
      </c>
      <c r="D167" s="1" t="s">
        <v>502</v>
      </c>
      <c r="E167" s="34" t="s">
        <v>238</v>
      </c>
      <c r="BW167" s="43"/>
      <c r="BZ167" s="1" t="s">
        <v>126</v>
      </c>
      <c r="CA167" s="1" t="s">
        <v>437</v>
      </c>
    </row>
    <row r="168" spans="1:81" x14ac:dyDescent="0.25">
      <c r="A168" s="1" t="s">
        <v>400</v>
      </c>
      <c r="B168" s="43" t="s">
        <v>250</v>
      </c>
      <c r="C168" s="26" t="s">
        <v>82</v>
      </c>
      <c r="D168" s="46" t="s">
        <v>540</v>
      </c>
      <c r="BW168" s="43" t="s">
        <v>249</v>
      </c>
      <c r="BX168" s="43"/>
    </row>
    <row r="169" spans="1:81" x14ac:dyDescent="0.25">
      <c r="A169" s="1" t="s">
        <v>400</v>
      </c>
      <c r="B169" s="34" t="s">
        <v>251</v>
      </c>
      <c r="C169" s="1" t="s">
        <v>82</v>
      </c>
      <c r="D169" s="1" t="s">
        <v>541</v>
      </c>
      <c r="BW169" s="34" t="s">
        <v>249</v>
      </c>
      <c r="BX169" s="43"/>
      <c r="CC169" t="s">
        <v>296</v>
      </c>
    </row>
    <row r="170" spans="1:81" x14ac:dyDescent="0.25">
      <c r="A170" s="1" t="s">
        <v>400</v>
      </c>
      <c r="B170" s="34" t="s">
        <v>252</v>
      </c>
      <c r="C170" s="1" t="s">
        <v>82</v>
      </c>
      <c r="D170" s="1" t="s">
        <v>574</v>
      </c>
      <c r="BW170" s="34" t="s">
        <v>249</v>
      </c>
    </row>
    <row r="171" spans="1:81" x14ac:dyDescent="0.25">
      <c r="A171" s="1" t="s">
        <v>400</v>
      </c>
      <c r="B171" s="34" t="s">
        <v>253</v>
      </c>
      <c r="C171" s="1" t="s">
        <v>82</v>
      </c>
      <c r="D171" s="1" t="s">
        <v>542</v>
      </c>
      <c r="BX171" s="34" t="s">
        <v>249</v>
      </c>
      <c r="CC171" t="s">
        <v>297</v>
      </c>
    </row>
    <row r="172" spans="1:81" x14ac:dyDescent="0.25">
      <c r="A172" s="1" t="s">
        <v>400</v>
      </c>
      <c r="B172" s="34" t="s">
        <v>254</v>
      </c>
      <c r="C172" s="1" t="s">
        <v>146</v>
      </c>
      <c r="D172" s="1" t="s">
        <v>481</v>
      </c>
      <c r="E172" s="34" t="s">
        <v>249</v>
      </c>
      <c r="BY172" s="1" t="s">
        <v>458</v>
      </c>
    </row>
    <row r="173" spans="1:81" x14ac:dyDescent="0.25">
      <c r="A173" s="1" t="s">
        <v>400</v>
      </c>
      <c r="B173" s="34" t="s">
        <v>255</v>
      </c>
      <c r="C173" s="1" t="s">
        <v>82</v>
      </c>
      <c r="D173" s="1" t="s">
        <v>536</v>
      </c>
      <c r="BX173" s="34" t="s">
        <v>254</v>
      </c>
    </row>
    <row r="174" spans="1:81" x14ac:dyDescent="0.25">
      <c r="A174" s="1" t="s">
        <v>400</v>
      </c>
      <c r="B174" s="34" t="s">
        <v>256</v>
      </c>
      <c r="C174" s="1" t="s">
        <v>85</v>
      </c>
      <c r="D174" s="1" t="s">
        <v>503</v>
      </c>
      <c r="E174" s="34" t="s">
        <v>254</v>
      </c>
      <c r="BZ174" s="1" t="s">
        <v>126</v>
      </c>
      <c r="CA174" s="1" t="s">
        <v>438</v>
      </c>
    </row>
    <row r="175" spans="1:81" x14ac:dyDescent="0.25">
      <c r="A175" s="1" t="s">
        <v>400</v>
      </c>
      <c r="B175" s="34" t="s">
        <v>257</v>
      </c>
      <c r="C175" s="1" t="s">
        <v>82</v>
      </c>
      <c r="D175" s="1" t="s">
        <v>540</v>
      </c>
      <c r="BW175" s="34" t="s">
        <v>256</v>
      </c>
    </row>
    <row r="176" spans="1:81" x14ac:dyDescent="0.25">
      <c r="A176" s="1" t="s">
        <v>400</v>
      </c>
      <c r="B176" s="34" t="s">
        <v>258</v>
      </c>
      <c r="C176" s="1" t="s">
        <v>82</v>
      </c>
      <c r="D176" s="1" t="s">
        <v>543</v>
      </c>
      <c r="BW176" s="34" t="s">
        <v>256</v>
      </c>
      <c r="CC176" t="s">
        <v>280</v>
      </c>
    </row>
    <row r="177" spans="1:83" x14ac:dyDescent="0.25">
      <c r="A177" s="1" t="s">
        <v>400</v>
      </c>
      <c r="B177" s="34" t="s">
        <v>259</v>
      </c>
      <c r="C177" s="1" t="s">
        <v>82</v>
      </c>
      <c r="D177" s="1" t="s">
        <v>536</v>
      </c>
      <c r="BW177" s="34" t="s">
        <v>256</v>
      </c>
      <c r="CC177" t="s">
        <v>298</v>
      </c>
    </row>
    <row r="178" spans="1:83" x14ac:dyDescent="0.25">
      <c r="A178" s="1" t="s">
        <v>400</v>
      </c>
      <c r="B178" s="34" t="s">
        <v>260</v>
      </c>
      <c r="C178" s="1" t="s">
        <v>82</v>
      </c>
      <c r="D178" s="1" t="s">
        <v>544</v>
      </c>
      <c r="BX178" s="34" t="s">
        <v>256</v>
      </c>
      <c r="CC178" t="s">
        <v>282</v>
      </c>
    </row>
    <row r="179" spans="1:83" x14ac:dyDescent="0.25">
      <c r="A179" s="1" t="s">
        <v>400</v>
      </c>
      <c r="B179" s="34" t="s">
        <v>261</v>
      </c>
      <c r="C179" s="1" t="s">
        <v>146</v>
      </c>
      <c r="D179" s="1" t="s">
        <v>485</v>
      </c>
      <c r="E179" s="34" t="s">
        <v>256</v>
      </c>
      <c r="BY179" s="1" t="s">
        <v>460</v>
      </c>
    </row>
    <row r="180" spans="1:83" x14ac:dyDescent="0.25">
      <c r="A180" s="1" t="s">
        <v>400</v>
      </c>
      <c r="B180" s="34" t="s">
        <v>222</v>
      </c>
      <c r="C180" s="1" t="s">
        <v>83</v>
      </c>
      <c r="D180" s="1" t="s">
        <v>125</v>
      </c>
      <c r="E180" s="34" t="s">
        <v>261</v>
      </c>
    </row>
    <row r="181" spans="1:83" x14ac:dyDescent="0.25">
      <c r="A181" s="1" t="s">
        <v>401</v>
      </c>
      <c r="B181" s="34" t="s">
        <v>217</v>
      </c>
      <c r="C181" s="1" t="s">
        <v>81</v>
      </c>
      <c r="D181" s="1" t="s">
        <v>125</v>
      </c>
    </row>
    <row r="182" spans="1:83" x14ac:dyDescent="0.25">
      <c r="A182" s="1" t="s">
        <v>401</v>
      </c>
      <c r="B182" s="34" t="s">
        <v>219</v>
      </c>
      <c r="C182" s="1" t="s">
        <v>85</v>
      </c>
      <c r="D182" s="1" t="s">
        <v>504</v>
      </c>
      <c r="E182" s="34" t="s">
        <v>217</v>
      </c>
      <c r="BZ182" s="1" t="s">
        <v>126</v>
      </c>
      <c r="CA182" s="1" t="s">
        <v>439</v>
      </c>
      <c r="CE182" t="s">
        <v>127</v>
      </c>
    </row>
    <row r="183" spans="1:83" x14ac:dyDescent="0.25">
      <c r="A183" s="1" t="s">
        <v>401</v>
      </c>
      <c r="B183" s="34" t="s">
        <v>211</v>
      </c>
      <c r="C183" s="1" t="s">
        <v>82</v>
      </c>
      <c r="D183" s="1" t="s">
        <v>540</v>
      </c>
      <c r="BW183" s="34" t="s">
        <v>219</v>
      </c>
    </row>
    <row r="184" spans="1:83" x14ac:dyDescent="0.25">
      <c r="A184" s="1" t="s">
        <v>401</v>
      </c>
      <c r="B184" s="34" t="s">
        <v>212</v>
      </c>
      <c r="C184" s="1" t="s">
        <v>82</v>
      </c>
      <c r="D184" s="1" t="s">
        <v>577</v>
      </c>
      <c r="BW184" s="34" t="s">
        <v>219</v>
      </c>
      <c r="CC184" t="s">
        <v>266</v>
      </c>
    </row>
    <row r="185" spans="1:83" x14ac:dyDescent="0.25">
      <c r="A185" s="1" t="s">
        <v>401</v>
      </c>
      <c r="B185" s="34" t="s">
        <v>242</v>
      </c>
      <c r="C185" s="1" t="s">
        <v>82</v>
      </c>
      <c r="D185" s="1" t="s">
        <v>478</v>
      </c>
      <c r="BW185" s="34" t="s">
        <v>219</v>
      </c>
      <c r="CB185" s="1" t="s">
        <v>129</v>
      </c>
      <c r="CC185" t="s">
        <v>291</v>
      </c>
    </row>
    <row r="186" spans="1:83" x14ac:dyDescent="0.25">
      <c r="A186" s="1" t="s">
        <v>401</v>
      </c>
      <c r="B186" s="34" t="s">
        <v>213</v>
      </c>
      <c r="C186" s="1" t="s">
        <v>82</v>
      </c>
      <c r="D186" s="1" t="s">
        <v>578</v>
      </c>
      <c r="BX186" s="34" t="s">
        <v>219</v>
      </c>
      <c r="CC186" t="s">
        <v>283</v>
      </c>
    </row>
    <row r="187" spans="1:83" x14ac:dyDescent="0.25">
      <c r="A187" s="1" t="s">
        <v>401</v>
      </c>
      <c r="B187" s="34" t="s">
        <v>243</v>
      </c>
      <c r="C187" s="1" t="s">
        <v>82</v>
      </c>
      <c r="D187" s="1" t="s">
        <v>579</v>
      </c>
      <c r="BX187" s="34" t="s">
        <v>219</v>
      </c>
      <c r="CC187" t="s">
        <v>179</v>
      </c>
    </row>
    <row r="188" spans="1:83" x14ac:dyDescent="0.25">
      <c r="A188" s="1" t="s">
        <v>401</v>
      </c>
      <c r="B188" s="34" t="s">
        <v>188</v>
      </c>
      <c r="C188" s="1" t="s">
        <v>82</v>
      </c>
      <c r="D188" s="1" t="s">
        <v>580</v>
      </c>
      <c r="BX188" s="34" t="s">
        <v>219</v>
      </c>
      <c r="CC188" t="s">
        <v>267</v>
      </c>
    </row>
    <row r="189" spans="1:83" x14ac:dyDescent="0.25">
      <c r="A189" s="1" t="s">
        <v>401</v>
      </c>
      <c r="B189" s="34" t="s">
        <v>189</v>
      </c>
      <c r="C189" s="1" t="s">
        <v>82</v>
      </c>
      <c r="D189" s="1" t="s">
        <v>581</v>
      </c>
      <c r="BX189" s="34" t="s">
        <v>219</v>
      </c>
      <c r="CC189" t="s">
        <v>268</v>
      </c>
    </row>
    <row r="190" spans="1:83" x14ac:dyDescent="0.25">
      <c r="A190" s="1" t="s">
        <v>401</v>
      </c>
      <c r="B190" s="34" t="s">
        <v>220</v>
      </c>
      <c r="C190" s="1" t="s">
        <v>85</v>
      </c>
      <c r="D190" s="1" t="s">
        <v>505</v>
      </c>
      <c r="E190" s="34" t="s">
        <v>219</v>
      </c>
      <c r="BZ190" s="1" t="s">
        <v>126</v>
      </c>
      <c r="CA190" s="1" t="s">
        <v>440</v>
      </c>
      <c r="CE190" t="s">
        <v>127</v>
      </c>
    </row>
    <row r="191" spans="1:83" x14ac:dyDescent="0.25">
      <c r="A191" s="1" t="s">
        <v>401</v>
      </c>
      <c r="B191" s="34" t="s">
        <v>207</v>
      </c>
      <c r="C191" s="1" t="s">
        <v>82</v>
      </c>
      <c r="D191" s="1" t="s">
        <v>540</v>
      </c>
      <c r="BW191" s="34" t="s">
        <v>220</v>
      </c>
    </row>
    <row r="192" spans="1:83" x14ac:dyDescent="0.25">
      <c r="A192" s="1" t="s">
        <v>401</v>
      </c>
      <c r="B192" s="34" t="s">
        <v>208</v>
      </c>
      <c r="C192" s="1" t="s">
        <v>82</v>
      </c>
      <c r="D192" s="1" t="s">
        <v>577</v>
      </c>
      <c r="BW192" s="34" t="s">
        <v>220</v>
      </c>
      <c r="CC192" t="s">
        <v>266</v>
      </c>
    </row>
    <row r="193" spans="1:83" x14ac:dyDescent="0.25">
      <c r="A193" s="1" t="s">
        <v>401</v>
      </c>
      <c r="B193" s="34" t="s">
        <v>210</v>
      </c>
      <c r="C193" s="1" t="s">
        <v>82</v>
      </c>
      <c r="D193" s="1" t="s">
        <v>582</v>
      </c>
      <c r="BX193" s="34" t="s">
        <v>220</v>
      </c>
      <c r="CC193" t="s">
        <v>131</v>
      </c>
    </row>
    <row r="194" spans="1:83" x14ac:dyDescent="0.25">
      <c r="A194" s="1" t="s">
        <v>401</v>
      </c>
      <c r="B194" s="34" t="s">
        <v>221</v>
      </c>
      <c r="C194" s="1" t="s">
        <v>85</v>
      </c>
      <c r="D194" s="1" t="s">
        <v>506</v>
      </c>
      <c r="E194" s="34" t="s">
        <v>220</v>
      </c>
      <c r="BZ194" s="1" t="s">
        <v>126</v>
      </c>
      <c r="CA194" s="1" t="s">
        <v>441</v>
      </c>
      <c r="CE194" t="s">
        <v>127</v>
      </c>
    </row>
    <row r="195" spans="1:83" x14ac:dyDescent="0.25">
      <c r="A195" s="1" t="s">
        <v>401</v>
      </c>
      <c r="B195" s="34" t="s">
        <v>214</v>
      </c>
      <c r="C195" s="1" t="s">
        <v>82</v>
      </c>
      <c r="D195" s="1" t="s">
        <v>540</v>
      </c>
      <c r="BW195" s="34" t="s">
        <v>221</v>
      </c>
    </row>
    <row r="196" spans="1:83" x14ac:dyDescent="0.25">
      <c r="A196" s="1" t="s">
        <v>401</v>
      </c>
      <c r="B196" s="34" t="s">
        <v>215</v>
      </c>
      <c r="C196" s="1" t="s">
        <v>82</v>
      </c>
      <c r="D196" s="1" t="s">
        <v>577</v>
      </c>
      <c r="BW196" s="34" t="s">
        <v>221</v>
      </c>
    </row>
    <row r="197" spans="1:83" x14ac:dyDescent="0.25">
      <c r="A197" s="1" t="s">
        <v>401</v>
      </c>
      <c r="B197" s="34" t="s">
        <v>244</v>
      </c>
      <c r="C197" s="1" t="s">
        <v>82</v>
      </c>
      <c r="D197" s="1" t="s">
        <v>543</v>
      </c>
      <c r="BW197" s="34" t="s">
        <v>221</v>
      </c>
      <c r="CC197" t="s">
        <v>280</v>
      </c>
    </row>
    <row r="198" spans="1:83" x14ac:dyDescent="0.25">
      <c r="A198" s="1" t="s">
        <v>401</v>
      </c>
      <c r="B198" s="34" t="s">
        <v>245</v>
      </c>
      <c r="C198" s="1" t="s">
        <v>82</v>
      </c>
      <c r="D198" s="1" t="s">
        <v>571</v>
      </c>
      <c r="BW198" s="34" t="s">
        <v>221</v>
      </c>
      <c r="CC198" t="s">
        <v>286</v>
      </c>
    </row>
    <row r="199" spans="1:83" x14ac:dyDescent="0.25">
      <c r="A199" s="1" t="s">
        <v>401</v>
      </c>
      <c r="B199" s="34" t="s">
        <v>246</v>
      </c>
      <c r="C199" s="1" t="s">
        <v>82</v>
      </c>
      <c r="D199" s="1" t="s">
        <v>583</v>
      </c>
      <c r="BW199" s="34" t="s">
        <v>221</v>
      </c>
      <c r="CC199" t="s">
        <v>275</v>
      </c>
    </row>
    <row r="200" spans="1:83" x14ac:dyDescent="0.25">
      <c r="A200" s="1" t="s">
        <v>401</v>
      </c>
      <c r="B200" s="34" t="s">
        <v>247</v>
      </c>
      <c r="C200" s="1" t="s">
        <v>82</v>
      </c>
      <c r="D200" s="1" t="s">
        <v>572</v>
      </c>
      <c r="BW200" s="34" t="s">
        <v>221</v>
      </c>
      <c r="CC200" t="s">
        <v>178</v>
      </c>
    </row>
    <row r="201" spans="1:83" x14ac:dyDescent="0.25">
      <c r="A201" s="1" t="s">
        <v>401</v>
      </c>
      <c r="B201" s="34" t="s">
        <v>248</v>
      </c>
      <c r="C201" s="1" t="s">
        <v>82</v>
      </c>
      <c r="D201" s="1" t="s">
        <v>582</v>
      </c>
      <c r="BW201" s="34" t="s">
        <v>221</v>
      </c>
      <c r="CC201" t="s">
        <v>270</v>
      </c>
    </row>
    <row r="202" spans="1:83" x14ac:dyDescent="0.25">
      <c r="A202" s="1" t="s">
        <v>401</v>
      </c>
      <c r="B202" s="34" t="s">
        <v>265</v>
      </c>
      <c r="C202" s="1" t="s">
        <v>82</v>
      </c>
      <c r="D202" s="1" t="s">
        <v>578</v>
      </c>
      <c r="BW202" s="34" t="s">
        <v>221</v>
      </c>
      <c r="CC202" t="s">
        <v>277</v>
      </c>
    </row>
    <row r="203" spans="1:83" x14ac:dyDescent="0.25">
      <c r="A203" s="1" t="s">
        <v>401</v>
      </c>
      <c r="B203" s="34" t="s">
        <v>276</v>
      </c>
      <c r="C203" s="1" t="s">
        <v>82</v>
      </c>
      <c r="D203" s="1" t="s">
        <v>579</v>
      </c>
      <c r="BW203" s="34" t="s">
        <v>221</v>
      </c>
      <c r="CC203" t="s">
        <v>269</v>
      </c>
    </row>
    <row r="204" spans="1:83" x14ac:dyDescent="0.25">
      <c r="A204" s="1" t="s">
        <v>401</v>
      </c>
      <c r="B204" s="34" t="s">
        <v>278</v>
      </c>
      <c r="C204" s="1" t="s">
        <v>82</v>
      </c>
      <c r="D204" s="1" t="s">
        <v>580</v>
      </c>
      <c r="BW204" s="34" t="s">
        <v>221</v>
      </c>
      <c r="CC204" t="s">
        <v>273</v>
      </c>
    </row>
    <row r="205" spans="1:83" x14ac:dyDescent="0.25">
      <c r="A205" s="1" t="s">
        <v>401</v>
      </c>
      <c r="B205" s="34" t="s">
        <v>279</v>
      </c>
      <c r="C205" s="1" t="s">
        <v>82</v>
      </c>
      <c r="D205" s="1" t="s">
        <v>581</v>
      </c>
      <c r="BW205" s="34" t="s">
        <v>221</v>
      </c>
      <c r="CC205" t="s">
        <v>274</v>
      </c>
    </row>
    <row r="206" spans="1:83" x14ac:dyDescent="0.25">
      <c r="A206" s="1" t="s">
        <v>401</v>
      </c>
      <c r="B206" s="34" t="s">
        <v>285</v>
      </c>
      <c r="C206" s="1" t="s">
        <v>82</v>
      </c>
      <c r="D206" s="1" t="s">
        <v>478</v>
      </c>
      <c r="BW206" s="34" t="s">
        <v>221</v>
      </c>
      <c r="CB206" s="1" t="s">
        <v>129</v>
      </c>
      <c r="CC206" t="s">
        <v>291</v>
      </c>
    </row>
    <row r="207" spans="1:83" x14ac:dyDescent="0.25">
      <c r="A207" s="1" t="s">
        <v>401</v>
      </c>
      <c r="B207" s="34" t="s">
        <v>371</v>
      </c>
      <c r="C207" s="1" t="s">
        <v>82</v>
      </c>
      <c r="D207" s="1" t="s">
        <v>367</v>
      </c>
      <c r="BW207" s="34" t="s">
        <v>221</v>
      </c>
      <c r="CB207" s="1" t="s">
        <v>129</v>
      </c>
      <c r="CC207" t="s">
        <v>368</v>
      </c>
    </row>
    <row r="208" spans="1:83" x14ac:dyDescent="0.25">
      <c r="A208" s="1" t="s">
        <v>401</v>
      </c>
      <c r="B208" s="34" t="s">
        <v>216</v>
      </c>
      <c r="C208" s="1" t="s">
        <v>82</v>
      </c>
      <c r="D208" s="1" t="s">
        <v>584</v>
      </c>
      <c r="BX208" s="34" t="s">
        <v>221</v>
      </c>
      <c r="CC208" t="s">
        <v>271</v>
      </c>
    </row>
    <row r="209" spans="1:81" x14ac:dyDescent="0.25">
      <c r="A209" s="1" t="s">
        <v>401</v>
      </c>
      <c r="B209" s="34" t="s">
        <v>262</v>
      </c>
      <c r="C209" s="1" t="s">
        <v>82</v>
      </c>
      <c r="D209" s="1" t="s">
        <v>585</v>
      </c>
      <c r="BX209" s="34" t="s">
        <v>221</v>
      </c>
      <c r="CC209" t="s">
        <v>272</v>
      </c>
    </row>
    <row r="210" spans="1:81" x14ac:dyDescent="0.25">
      <c r="A210" s="1" t="s">
        <v>401</v>
      </c>
      <c r="B210" s="34" t="s">
        <v>263</v>
      </c>
      <c r="C210" s="1" t="s">
        <v>82</v>
      </c>
      <c r="D210" s="1" t="s">
        <v>586</v>
      </c>
      <c r="BX210" s="34" t="s">
        <v>221</v>
      </c>
      <c r="CC210" t="s">
        <v>267</v>
      </c>
    </row>
    <row r="211" spans="1:81" x14ac:dyDescent="0.25">
      <c r="A211" s="1" t="s">
        <v>401</v>
      </c>
      <c r="B211" s="34" t="s">
        <v>281</v>
      </c>
      <c r="C211" s="1" t="s">
        <v>82</v>
      </c>
      <c r="D211" s="1" t="s">
        <v>544</v>
      </c>
      <c r="BX211" s="34" t="s">
        <v>221</v>
      </c>
      <c r="CC211" t="s">
        <v>282</v>
      </c>
    </row>
    <row r="212" spans="1:81" x14ac:dyDescent="0.25">
      <c r="A212" s="1" t="s">
        <v>401</v>
      </c>
      <c r="B212" s="34" t="s">
        <v>222</v>
      </c>
      <c r="C212" s="1" t="s">
        <v>83</v>
      </c>
      <c r="D212" s="1" t="s">
        <v>125</v>
      </c>
      <c r="E212" s="34" t="s">
        <v>221</v>
      </c>
    </row>
    <row r="213" spans="1:81" x14ac:dyDescent="0.25">
      <c r="A213" s="1" t="s">
        <v>402</v>
      </c>
      <c r="B213" s="34" t="s">
        <v>217</v>
      </c>
      <c r="C213" s="1" t="s">
        <v>81</v>
      </c>
      <c r="D213" s="1" t="s">
        <v>125</v>
      </c>
    </row>
    <row r="214" spans="1:81" x14ac:dyDescent="0.25">
      <c r="A214" s="1" t="s">
        <v>402</v>
      </c>
      <c r="B214" s="34" t="s">
        <v>219</v>
      </c>
      <c r="C214" s="1" t="s">
        <v>146</v>
      </c>
      <c r="D214" s="1" t="s">
        <v>479</v>
      </c>
      <c r="E214" s="34" t="s">
        <v>217</v>
      </c>
      <c r="BY214" s="1" t="s">
        <v>456</v>
      </c>
    </row>
    <row r="215" spans="1:81" x14ac:dyDescent="0.25">
      <c r="A215" s="1" t="s">
        <v>402</v>
      </c>
      <c r="B215" s="34" t="s">
        <v>220</v>
      </c>
      <c r="C215" s="1" t="s">
        <v>146</v>
      </c>
      <c r="D215" s="1" t="s">
        <v>507</v>
      </c>
      <c r="E215" s="34" t="s">
        <v>219</v>
      </c>
      <c r="BY215" s="1" t="s">
        <v>464</v>
      </c>
    </row>
    <row r="216" spans="1:81" x14ac:dyDescent="0.25">
      <c r="A216" s="1" t="s">
        <v>402</v>
      </c>
      <c r="B216" s="34" t="s">
        <v>261</v>
      </c>
      <c r="C216" s="1" t="s">
        <v>146</v>
      </c>
      <c r="D216" s="1" t="s">
        <v>485</v>
      </c>
      <c r="E216" s="34" t="s">
        <v>220</v>
      </c>
      <c r="BY216" s="1" t="s">
        <v>460</v>
      </c>
    </row>
    <row r="217" spans="1:81" x14ac:dyDescent="0.25">
      <c r="A217" s="1" t="s">
        <v>402</v>
      </c>
      <c r="B217" s="34" t="s">
        <v>222</v>
      </c>
      <c r="C217" s="1" t="s">
        <v>83</v>
      </c>
      <c r="D217" s="1" t="s">
        <v>125</v>
      </c>
      <c r="E217" s="34" t="s">
        <v>261</v>
      </c>
    </row>
    <row r="218" spans="1:81" x14ac:dyDescent="0.25">
      <c r="A218" s="1" t="s">
        <v>403</v>
      </c>
      <c r="B218" s="34" t="s">
        <v>217</v>
      </c>
      <c r="C218" s="1" t="s">
        <v>81</v>
      </c>
      <c r="D218" s="1" t="s">
        <v>125</v>
      </c>
    </row>
    <row r="219" spans="1:81" x14ac:dyDescent="0.25">
      <c r="A219" s="1" t="s">
        <v>403</v>
      </c>
      <c r="B219" s="34" t="s">
        <v>219</v>
      </c>
      <c r="C219" s="1" t="s">
        <v>85</v>
      </c>
      <c r="D219" s="1" t="s">
        <v>487</v>
      </c>
      <c r="E219" s="34" t="s">
        <v>217</v>
      </c>
      <c r="BZ219" s="1" t="s">
        <v>126</v>
      </c>
      <c r="CA219" s="1" t="s">
        <v>425</v>
      </c>
    </row>
    <row r="220" spans="1:81" x14ac:dyDescent="0.25">
      <c r="A220" s="1" t="s">
        <v>403</v>
      </c>
      <c r="B220" s="34" t="s">
        <v>211</v>
      </c>
      <c r="C220" s="1" t="s">
        <v>82</v>
      </c>
      <c r="D220" s="1" t="s">
        <v>540</v>
      </c>
      <c r="BW220" s="34" t="s">
        <v>219</v>
      </c>
    </row>
    <row r="221" spans="1:81" x14ac:dyDescent="0.25">
      <c r="A221" s="1" t="s">
        <v>403</v>
      </c>
      <c r="B221" s="34" t="s">
        <v>212</v>
      </c>
      <c r="C221" s="1" t="s">
        <v>82</v>
      </c>
      <c r="D221" s="1" t="s">
        <v>587</v>
      </c>
      <c r="BW221" s="34" t="s">
        <v>219</v>
      </c>
      <c r="CC221" t="s">
        <v>144</v>
      </c>
    </row>
    <row r="222" spans="1:81" x14ac:dyDescent="0.25">
      <c r="A222" s="1" t="s">
        <v>403</v>
      </c>
      <c r="B222" s="34" t="s">
        <v>213</v>
      </c>
      <c r="C222" s="1" t="s">
        <v>82</v>
      </c>
      <c r="D222" s="1" t="s">
        <v>588</v>
      </c>
      <c r="BX222" s="34" t="s">
        <v>219</v>
      </c>
      <c r="CC222" t="s">
        <v>145</v>
      </c>
    </row>
    <row r="223" spans="1:81" x14ac:dyDescent="0.25">
      <c r="A223" s="1" t="s">
        <v>403</v>
      </c>
      <c r="B223" s="34" t="s">
        <v>220</v>
      </c>
      <c r="C223" s="1" t="s">
        <v>85</v>
      </c>
      <c r="D223" s="1" t="s">
        <v>508</v>
      </c>
      <c r="E223" s="34" t="s">
        <v>219</v>
      </c>
      <c r="BZ223" s="1" t="s">
        <v>126</v>
      </c>
      <c r="CA223" s="1" t="s">
        <v>442</v>
      </c>
    </row>
    <row r="224" spans="1:81" x14ac:dyDescent="0.25">
      <c r="A224" s="1" t="s">
        <v>403</v>
      </c>
      <c r="B224" s="34" t="s">
        <v>207</v>
      </c>
      <c r="C224" s="1" t="s">
        <v>82</v>
      </c>
      <c r="D224" s="1" t="s">
        <v>540</v>
      </c>
      <c r="BW224" s="34" t="s">
        <v>220</v>
      </c>
    </row>
    <row r="225" spans="1:82" x14ac:dyDescent="0.25">
      <c r="A225" s="1" t="s">
        <v>403</v>
      </c>
      <c r="B225" s="34" t="s">
        <v>208</v>
      </c>
      <c r="C225" s="1" t="s">
        <v>82</v>
      </c>
      <c r="D225" s="1" t="s">
        <v>589</v>
      </c>
      <c r="BW225" s="34" t="s">
        <v>220</v>
      </c>
    </row>
    <row r="226" spans="1:82" x14ac:dyDescent="0.25">
      <c r="A226" s="1" t="s">
        <v>403</v>
      </c>
      <c r="B226" s="34" t="s">
        <v>209</v>
      </c>
      <c r="C226" s="1" t="s">
        <v>82</v>
      </c>
      <c r="D226" s="1" t="s">
        <v>588</v>
      </c>
      <c r="BW226" s="34" t="s">
        <v>220</v>
      </c>
      <c r="CC226" t="s">
        <v>184</v>
      </c>
      <c r="CD226" t="s">
        <v>129</v>
      </c>
    </row>
    <row r="227" spans="1:82" x14ac:dyDescent="0.25">
      <c r="A227" s="1" t="s">
        <v>403</v>
      </c>
      <c r="B227" s="34" t="s">
        <v>232</v>
      </c>
      <c r="C227" s="1" t="s">
        <v>82</v>
      </c>
      <c r="D227" s="1" t="s">
        <v>587</v>
      </c>
      <c r="BW227" s="34" t="s">
        <v>220</v>
      </c>
      <c r="CC227" t="s">
        <v>302</v>
      </c>
    </row>
    <row r="228" spans="1:82" x14ac:dyDescent="0.25">
      <c r="A228" s="1" t="s">
        <v>403</v>
      </c>
      <c r="B228" s="34" t="s">
        <v>233</v>
      </c>
      <c r="C228" s="1" t="s">
        <v>82</v>
      </c>
      <c r="D228" s="1" t="s">
        <v>590</v>
      </c>
      <c r="BW228" s="34" t="s">
        <v>220</v>
      </c>
    </row>
    <row r="229" spans="1:82" x14ac:dyDescent="0.25">
      <c r="A229" s="1" t="s">
        <v>403</v>
      </c>
      <c r="B229" s="34" t="s">
        <v>234</v>
      </c>
      <c r="C229" s="1" t="s">
        <v>82</v>
      </c>
      <c r="D229" s="1" t="s">
        <v>555</v>
      </c>
      <c r="BW229" s="34" t="s">
        <v>220</v>
      </c>
      <c r="CB229" s="1" t="s">
        <v>129</v>
      </c>
    </row>
    <row r="230" spans="1:82" x14ac:dyDescent="0.25">
      <c r="A230" s="1" t="s">
        <v>403</v>
      </c>
      <c r="B230" s="34" t="s">
        <v>235</v>
      </c>
      <c r="C230" s="1" t="s">
        <v>82</v>
      </c>
      <c r="D230" s="1" t="s">
        <v>556</v>
      </c>
      <c r="BW230" s="34" t="s">
        <v>220</v>
      </c>
      <c r="CB230" s="1" t="s">
        <v>129</v>
      </c>
    </row>
    <row r="231" spans="1:82" x14ac:dyDescent="0.25">
      <c r="A231" s="1" t="s">
        <v>403</v>
      </c>
      <c r="B231" s="34" t="s">
        <v>241</v>
      </c>
      <c r="C231" s="1" t="s">
        <v>82</v>
      </c>
      <c r="D231" s="1" t="s">
        <v>557</v>
      </c>
      <c r="BW231" s="34" t="s">
        <v>220</v>
      </c>
      <c r="CB231" s="1" t="s">
        <v>129</v>
      </c>
    </row>
    <row r="232" spans="1:82" x14ac:dyDescent="0.25">
      <c r="A232" s="1" t="s">
        <v>403</v>
      </c>
      <c r="B232" s="34" t="s">
        <v>346</v>
      </c>
      <c r="C232" s="1" t="s">
        <v>82</v>
      </c>
      <c r="D232" s="1" t="s">
        <v>478</v>
      </c>
      <c r="BW232" s="34" t="s">
        <v>220</v>
      </c>
      <c r="CB232" s="1" t="s">
        <v>129</v>
      </c>
      <c r="CC232" t="s">
        <v>291</v>
      </c>
    </row>
    <row r="233" spans="1:82" x14ac:dyDescent="0.25">
      <c r="A233" s="1" t="s">
        <v>403</v>
      </c>
      <c r="B233" s="34" t="s">
        <v>372</v>
      </c>
      <c r="C233" s="1" t="s">
        <v>82</v>
      </c>
      <c r="D233" s="1" t="s">
        <v>367</v>
      </c>
      <c r="BW233" s="34" t="s">
        <v>220</v>
      </c>
      <c r="CB233" s="1" t="s">
        <v>129</v>
      </c>
      <c r="CC233" t="s">
        <v>368</v>
      </c>
    </row>
    <row r="234" spans="1:82" x14ac:dyDescent="0.25">
      <c r="A234" s="1" t="s">
        <v>403</v>
      </c>
      <c r="B234" s="34" t="s">
        <v>210</v>
      </c>
      <c r="C234" s="1" t="s">
        <v>82</v>
      </c>
      <c r="D234" s="1" t="s">
        <v>591</v>
      </c>
      <c r="BX234" s="34" t="s">
        <v>220</v>
      </c>
      <c r="CC234" t="s">
        <v>223</v>
      </c>
    </row>
    <row r="235" spans="1:82" x14ac:dyDescent="0.25">
      <c r="A235" s="1" t="s">
        <v>403</v>
      </c>
      <c r="B235" s="34" t="s">
        <v>221</v>
      </c>
      <c r="C235" s="1" t="s">
        <v>85</v>
      </c>
      <c r="D235" s="1" t="s">
        <v>489</v>
      </c>
      <c r="E235" s="34" t="s">
        <v>220</v>
      </c>
      <c r="BZ235" s="1" t="s">
        <v>126</v>
      </c>
      <c r="CA235" s="1" t="s">
        <v>427</v>
      </c>
    </row>
    <row r="236" spans="1:82" x14ac:dyDescent="0.25">
      <c r="A236" s="1" t="s">
        <v>403</v>
      </c>
      <c r="B236" s="34" t="s">
        <v>214</v>
      </c>
      <c r="C236" s="1" t="s">
        <v>82</v>
      </c>
      <c r="D236" s="1" t="s">
        <v>540</v>
      </c>
      <c r="BW236" s="34" t="s">
        <v>221</v>
      </c>
    </row>
    <row r="237" spans="1:82" x14ac:dyDescent="0.25">
      <c r="A237" s="1" t="s">
        <v>403</v>
      </c>
      <c r="B237" s="34" t="s">
        <v>215</v>
      </c>
      <c r="C237" s="1" t="s">
        <v>82</v>
      </c>
      <c r="D237" s="1" t="s">
        <v>591</v>
      </c>
      <c r="BW237" s="34" t="s">
        <v>221</v>
      </c>
      <c r="CC237" t="s">
        <v>130</v>
      </c>
    </row>
    <row r="238" spans="1:82" x14ac:dyDescent="0.25">
      <c r="A238" s="1" t="s">
        <v>403</v>
      </c>
      <c r="B238" s="34" t="s">
        <v>216</v>
      </c>
      <c r="C238" s="1" t="s">
        <v>82</v>
      </c>
      <c r="D238" s="1" t="s">
        <v>592</v>
      </c>
      <c r="BX238" s="34" t="s">
        <v>221</v>
      </c>
      <c r="CC238" t="s">
        <v>131</v>
      </c>
    </row>
    <row r="239" spans="1:82" x14ac:dyDescent="0.25">
      <c r="A239" s="1" t="s">
        <v>403</v>
      </c>
      <c r="B239" s="34" t="s">
        <v>222</v>
      </c>
      <c r="C239" s="1" t="s">
        <v>83</v>
      </c>
      <c r="D239" s="1" t="s">
        <v>125</v>
      </c>
      <c r="E239" s="34" t="s">
        <v>221</v>
      </c>
    </row>
    <row r="240" spans="1:82" x14ac:dyDescent="0.25">
      <c r="A240" s="1" t="s">
        <v>404</v>
      </c>
      <c r="B240" s="34" t="s">
        <v>217</v>
      </c>
      <c r="C240" s="1" t="s">
        <v>81</v>
      </c>
      <c r="D240" s="1" t="s">
        <v>125</v>
      </c>
    </row>
    <row r="241" spans="1:82" x14ac:dyDescent="0.25">
      <c r="A241" s="1" t="s">
        <v>404</v>
      </c>
      <c r="B241" s="34" t="s">
        <v>219</v>
      </c>
      <c r="C241" s="1" t="s">
        <v>85</v>
      </c>
      <c r="D241" s="1" t="s">
        <v>487</v>
      </c>
      <c r="E241" s="34" t="s">
        <v>217</v>
      </c>
      <c r="BZ241" s="1" t="s">
        <v>126</v>
      </c>
      <c r="CA241" s="1" t="s">
        <v>425</v>
      </c>
    </row>
    <row r="242" spans="1:82" x14ac:dyDescent="0.25">
      <c r="A242" s="1" t="s">
        <v>404</v>
      </c>
      <c r="B242" s="34" t="s">
        <v>211</v>
      </c>
      <c r="C242" s="1" t="s">
        <v>82</v>
      </c>
      <c r="D242" s="1" t="s">
        <v>540</v>
      </c>
      <c r="BW242" s="34" t="s">
        <v>219</v>
      </c>
    </row>
    <row r="243" spans="1:82" x14ac:dyDescent="0.25">
      <c r="A243" s="1" t="s">
        <v>404</v>
      </c>
      <c r="B243" s="34" t="s">
        <v>212</v>
      </c>
      <c r="C243" s="1" t="s">
        <v>82</v>
      </c>
      <c r="D243" s="1" t="s">
        <v>592</v>
      </c>
      <c r="BW243" s="34" t="s">
        <v>219</v>
      </c>
    </row>
    <row r="244" spans="1:82" x14ac:dyDescent="0.25">
      <c r="A244" s="1" t="s">
        <v>404</v>
      </c>
      <c r="B244" s="34" t="s">
        <v>242</v>
      </c>
      <c r="C244" s="1" t="s">
        <v>82</v>
      </c>
      <c r="D244" s="1" t="s">
        <v>593</v>
      </c>
      <c r="BW244" s="34" t="s">
        <v>219</v>
      </c>
      <c r="CC244" t="s">
        <v>144</v>
      </c>
    </row>
    <row r="245" spans="1:82" x14ac:dyDescent="0.25">
      <c r="A245" s="1" t="s">
        <v>404</v>
      </c>
      <c r="B245" s="34" t="s">
        <v>213</v>
      </c>
      <c r="C245" s="1" t="s">
        <v>82</v>
      </c>
      <c r="D245" s="1" t="s">
        <v>594</v>
      </c>
      <c r="BX245" s="34" t="s">
        <v>219</v>
      </c>
      <c r="CC245" t="s">
        <v>145</v>
      </c>
    </row>
    <row r="246" spans="1:82" x14ac:dyDescent="0.25">
      <c r="A246" s="1" t="s">
        <v>404</v>
      </c>
      <c r="B246" s="34" t="s">
        <v>220</v>
      </c>
      <c r="C246" s="1" t="s">
        <v>85</v>
      </c>
      <c r="D246" s="1" t="s">
        <v>508</v>
      </c>
      <c r="E246" s="34" t="s">
        <v>219</v>
      </c>
      <c r="BZ246" s="1" t="s">
        <v>126</v>
      </c>
      <c r="CA246" s="1" t="s">
        <v>442</v>
      </c>
    </row>
    <row r="247" spans="1:82" x14ac:dyDescent="0.25">
      <c r="A247" s="1" t="s">
        <v>404</v>
      </c>
      <c r="B247" s="34" t="s">
        <v>207</v>
      </c>
      <c r="C247" s="1" t="s">
        <v>82</v>
      </c>
      <c r="D247" s="1" t="s">
        <v>540</v>
      </c>
      <c r="BW247" s="34" t="s">
        <v>220</v>
      </c>
    </row>
    <row r="248" spans="1:82" x14ac:dyDescent="0.25">
      <c r="A248" s="1" t="s">
        <v>404</v>
      </c>
      <c r="B248" s="34" t="s">
        <v>208</v>
      </c>
      <c r="C248" s="1" t="s">
        <v>82</v>
      </c>
      <c r="D248" s="1" t="s">
        <v>589</v>
      </c>
      <c r="BW248" s="34" t="s">
        <v>220</v>
      </c>
    </row>
    <row r="249" spans="1:82" x14ac:dyDescent="0.25">
      <c r="A249" s="1" t="s">
        <v>404</v>
      </c>
      <c r="B249" s="34" t="s">
        <v>209</v>
      </c>
      <c r="C249" s="1" t="s">
        <v>82</v>
      </c>
      <c r="D249" s="1" t="s">
        <v>594</v>
      </c>
      <c r="BW249" s="34" t="s">
        <v>220</v>
      </c>
      <c r="CC249" t="s">
        <v>184</v>
      </c>
      <c r="CD249" t="s">
        <v>129</v>
      </c>
    </row>
    <row r="250" spans="1:82" x14ac:dyDescent="0.25">
      <c r="A250" s="1" t="s">
        <v>404</v>
      </c>
      <c r="B250" s="34" t="s">
        <v>232</v>
      </c>
      <c r="C250" s="1" t="s">
        <v>82</v>
      </c>
      <c r="D250" s="1" t="s">
        <v>593</v>
      </c>
      <c r="BW250" s="34" t="s">
        <v>220</v>
      </c>
      <c r="CC250" t="s">
        <v>302</v>
      </c>
    </row>
    <row r="251" spans="1:82" x14ac:dyDescent="0.25">
      <c r="A251" s="1" t="s">
        <v>404</v>
      </c>
      <c r="B251" s="34" t="s">
        <v>233</v>
      </c>
      <c r="C251" s="1" t="s">
        <v>82</v>
      </c>
      <c r="D251" s="1" t="s">
        <v>590</v>
      </c>
      <c r="BW251" s="34" t="s">
        <v>220</v>
      </c>
    </row>
    <row r="252" spans="1:82" x14ac:dyDescent="0.25">
      <c r="A252" s="1" t="s">
        <v>404</v>
      </c>
      <c r="B252" s="34" t="s">
        <v>234</v>
      </c>
      <c r="C252" s="1" t="s">
        <v>82</v>
      </c>
      <c r="D252" s="1" t="s">
        <v>555</v>
      </c>
      <c r="BW252" s="34" t="s">
        <v>220</v>
      </c>
      <c r="CB252" s="1" t="s">
        <v>129</v>
      </c>
    </row>
    <row r="253" spans="1:82" x14ac:dyDescent="0.25">
      <c r="A253" s="1" t="s">
        <v>404</v>
      </c>
      <c r="B253" s="34" t="s">
        <v>235</v>
      </c>
      <c r="C253" s="1" t="s">
        <v>82</v>
      </c>
      <c r="D253" s="1" t="s">
        <v>556</v>
      </c>
      <c r="BW253" s="34" t="s">
        <v>220</v>
      </c>
      <c r="CB253" s="1" t="s">
        <v>129</v>
      </c>
    </row>
    <row r="254" spans="1:82" x14ac:dyDescent="0.25">
      <c r="A254" s="1" t="s">
        <v>404</v>
      </c>
      <c r="B254" s="34" t="s">
        <v>241</v>
      </c>
      <c r="C254" s="1" t="s">
        <v>82</v>
      </c>
      <c r="D254" s="1" t="s">
        <v>557</v>
      </c>
      <c r="BW254" s="34" t="s">
        <v>220</v>
      </c>
      <c r="CB254" s="1" t="s">
        <v>129</v>
      </c>
    </row>
    <row r="255" spans="1:82" x14ac:dyDescent="0.25">
      <c r="A255" s="1" t="s">
        <v>404</v>
      </c>
      <c r="B255" s="34" t="s">
        <v>346</v>
      </c>
      <c r="C255" s="1" t="s">
        <v>82</v>
      </c>
      <c r="D255" s="1" t="s">
        <v>478</v>
      </c>
      <c r="BW255" s="34" t="s">
        <v>220</v>
      </c>
      <c r="CB255" s="1" t="s">
        <v>129</v>
      </c>
      <c r="CC255" t="s">
        <v>291</v>
      </c>
    </row>
    <row r="256" spans="1:82" x14ac:dyDescent="0.25">
      <c r="A256" s="1" t="s">
        <v>404</v>
      </c>
      <c r="B256" s="34" t="s">
        <v>372</v>
      </c>
      <c r="C256" s="1" t="s">
        <v>82</v>
      </c>
      <c r="D256" s="1" t="s">
        <v>367</v>
      </c>
      <c r="BW256" s="34" t="s">
        <v>220</v>
      </c>
      <c r="CB256" s="1" t="s">
        <v>129</v>
      </c>
      <c r="CC256" t="s">
        <v>368</v>
      </c>
    </row>
    <row r="257" spans="1:82" x14ac:dyDescent="0.25">
      <c r="A257" s="1" t="s">
        <v>404</v>
      </c>
      <c r="B257" s="34" t="s">
        <v>210</v>
      </c>
      <c r="C257" s="1" t="s">
        <v>82</v>
      </c>
      <c r="D257" s="1" t="s">
        <v>595</v>
      </c>
      <c r="BX257" s="34" t="s">
        <v>220</v>
      </c>
      <c r="CC257" t="s">
        <v>223</v>
      </c>
    </row>
    <row r="258" spans="1:82" x14ac:dyDescent="0.25">
      <c r="A258" s="1" t="s">
        <v>404</v>
      </c>
      <c r="B258" s="34" t="s">
        <v>221</v>
      </c>
      <c r="C258" s="1" t="s">
        <v>85</v>
      </c>
      <c r="D258" s="1" t="s">
        <v>489</v>
      </c>
      <c r="E258" s="34" t="s">
        <v>220</v>
      </c>
      <c r="BZ258" s="1" t="s">
        <v>126</v>
      </c>
      <c r="CA258" s="1" t="s">
        <v>427</v>
      </c>
    </row>
    <row r="259" spans="1:82" x14ac:dyDescent="0.25">
      <c r="A259" s="1" t="s">
        <v>404</v>
      </c>
      <c r="B259" s="34" t="s">
        <v>214</v>
      </c>
      <c r="C259" s="1" t="s">
        <v>82</v>
      </c>
      <c r="D259" s="1" t="s">
        <v>540</v>
      </c>
      <c r="BW259" s="34" t="s">
        <v>221</v>
      </c>
    </row>
    <row r="260" spans="1:82" x14ac:dyDescent="0.25">
      <c r="A260" s="1" t="s">
        <v>404</v>
      </c>
      <c r="B260" s="34" t="s">
        <v>215</v>
      </c>
      <c r="C260" s="1" t="s">
        <v>82</v>
      </c>
      <c r="D260" s="1" t="s">
        <v>595</v>
      </c>
      <c r="BW260" s="34" t="s">
        <v>221</v>
      </c>
      <c r="CC260" t="s">
        <v>130</v>
      </c>
    </row>
    <row r="261" spans="1:82" x14ac:dyDescent="0.25">
      <c r="A261" s="1" t="s">
        <v>404</v>
      </c>
      <c r="B261" s="34" t="s">
        <v>216</v>
      </c>
      <c r="C261" s="1" t="s">
        <v>82</v>
      </c>
      <c r="D261" s="1" t="s">
        <v>596</v>
      </c>
      <c r="BX261" s="34" t="s">
        <v>221</v>
      </c>
      <c r="CC261" t="s">
        <v>131</v>
      </c>
    </row>
    <row r="262" spans="1:82" x14ac:dyDescent="0.25">
      <c r="A262" s="1" t="s">
        <v>404</v>
      </c>
      <c r="B262" s="34" t="s">
        <v>222</v>
      </c>
      <c r="C262" s="1" t="s">
        <v>83</v>
      </c>
      <c r="D262" s="1" t="s">
        <v>125</v>
      </c>
      <c r="E262" s="34" t="s">
        <v>221</v>
      </c>
    </row>
    <row r="263" spans="1:82" x14ac:dyDescent="0.25">
      <c r="A263" s="1" t="s">
        <v>405</v>
      </c>
      <c r="B263" s="34" t="s">
        <v>217</v>
      </c>
      <c r="C263" s="1" t="s">
        <v>81</v>
      </c>
      <c r="D263" s="1" t="s">
        <v>125</v>
      </c>
    </row>
    <row r="264" spans="1:82" x14ac:dyDescent="0.25">
      <c r="A264" s="1" t="s">
        <v>405</v>
      </c>
      <c r="B264" s="34" t="s">
        <v>219</v>
      </c>
      <c r="C264" s="1" t="s">
        <v>85</v>
      </c>
      <c r="D264" s="1" t="s">
        <v>487</v>
      </c>
      <c r="E264" s="34" t="s">
        <v>217</v>
      </c>
      <c r="BZ264" s="1" t="s">
        <v>126</v>
      </c>
      <c r="CA264" s="1" t="s">
        <v>425</v>
      </c>
    </row>
    <row r="265" spans="1:82" x14ac:dyDescent="0.25">
      <c r="A265" s="1" t="s">
        <v>405</v>
      </c>
      <c r="B265" s="34" t="s">
        <v>211</v>
      </c>
      <c r="C265" s="1" t="s">
        <v>82</v>
      </c>
      <c r="D265" s="1" t="s">
        <v>540</v>
      </c>
      <c r="BW265" s="34" t="s">
        <v>219</v>
      </c>
    </row>
    <row r="266" spans="1:82" x14ac:dyDescent="0.25">
      <c r="A266" s="1" t="s">
        <v>405</v>
      </c>
      <c r="B266" s="34" t="s">
        <v>212</v>
      </c>
      <c r="C266" s="1" t="s">
        <v>82</v>
      </c>
      <c r="D266" s="1" t="s">
        <v>596</v>
      </c>
      <c r="BW266" s="34" t="s">
        <v>219</v>
      </c>
    </row>
    <row r="267" spans="1:82" x14ac:dyDescent="0.25">
      <c r="A267" s="1" t="s">
        <v>405</v>
      </c>
      <c r="B267" s="34" t="s">
        <v>242</v>
      </c>
      <c r="C267" s="1" t="s">
        <v>82</v>
      </c>
      <c r="D267" s="1" t="s">
        <v>597</v>
      </c>
      <c r="BW267" s="34" t="s">
        <v>219</v>
      </c>
      <c r="CC267" t="s">
        <v>144</v>
      </c>
    </row>
    <row r="268" spans="1:82" x14ac:dyDescent="0.25">
      <c r="A268" s="1" t="s">
        <v>405</v>
      </c>
      <c r="B268" s="34" t="s">
        <v>213</v>
      </c>
      <c r="C268" s="1" t="s">
        <v>82</v>
      </c>
      <c r="D268" s="1" t="s">
        <v>598</v>
      </c>
      <c r="BX268" s="34" t="s">
        <v>219</v>
      </c>
      <c r="CC268" t="s">
        <v>145</v>
      </c>
    </row>
    <row r="269" spans="1:82" x14ac:dyDescent="0.25">
      <c r="A269" s="1" t="s">
        <v>405</v>
      </c>
      <c r="B269" s="34" t="s">
        <v>220</v>
      </c>
      <c r="C269" s="1" t="s">
        <v>85</v>
      </c>
      <c r="D269" s="1" t="s">
        <v>508</v>
      </c>
      <c r="E269" s="34" t="s">
        <v>219</v>
      </c>
      <c r="BZ269" s="1" t="s">
        <v>126</v>
      </c>
      <c r="CA269" s="1" t="s">
        <v>442</v>
      </c>
    </row>
    <row r="270" spans="1:82" x14ac:dyDescent="0.25">
      <c r="A270" s="1" t="s">
        <v>405</v>
      </c>
      <c r="B270" s="34" t="s">
        <v>207</v>
      </c>
      <c r="C270" s="1" t="s">
        <v>82</v>
      </c>
      <c r="D270" s="1" t="s">
        <v>540</v>
      </c>
      <c r="BW270" s="34" t="s">
        <v>220</v>
      </c>
    </row>
    <row r="271" spans="1:82" x14ac:dyDescent="0.25">
      <c r="A271" s="1" t="s">
        <v>405</v>
      </c>
      <c r="B271" s="34" t="s">
        <v>208</v>
      </c>
      <c r="C271" s="1" t="s">
        <v>82</v>
      </c>
      <c r="D271" s="1" t="s">
        <v>589</v>
      </c>
      <c r="BW271" s="34" t="s">
        <v>220</v>
      </c>
    </row>
    <row r="272" spans="1:82" x14ac:dyDescent="0.25">
      <c r="A272" s="1" t="s">
        <v>405</v>
      </c>
      <c r="B272" s="34" t="s">
        <v>209</v>
      </c>
      <c r="C272" s="1" t="s">
        <v>82</v>
      </c>
      <c r="D272" s="1" t="s">
        <v>598</v>
      </c>
      <c r="BW272" s="34" t="s">
        <v>220</v>
      </c>
      <c r="CC272" t="s">
        <v>184</v>
      </c>
      <c r="CD272" t="s">
        <v>129</v>
      </c>
    </row>
    <row r="273" spans="1:81" x14ac:dyDescent="0.25">
      <c r="A273" s="1" t="s">
        <v>405</v>
      </c>
      <c r="B273" s="34" t="s">
        <v>232</v>
      </c>
      <c r="C273" s="1" t="s">
        <v>82</v>
      </c>
      <c r="D273" s="1" t="s">
        <v>597</v>
      </c>
      <c r="BW273" s="34" t="s">
        <v>220</v>
      </c>
      <c r="CC273" t="s">
        <v>302</v>
      </c>
    </row>
    <row r="274" spans="1:81" x14ac:dyDescent="0.25">
      <c r="A274" s="1" t="s">
        <v>405</v>
      </c>
      <c r="B274" s="34" t="s">
        <v>233</v>
      </c>
      <c r="C274" s="1" t="s">
        <v>82</v>
      </c>
      <c r="D274" s="1" t="s">
        <v>590</v>
      </c>
      <c r="BW274" s="34" t="s">
        <v>220</v>
      </c>
    </row>
    <row r="275" spans="1:81" x14ac:dyDescent="0.25">
      <c r="A275" s="1" t="s">
        <v>405</v>
      </c>
      <c r="B275" s="34" t="s">
        <v>234</v>
      </c>
      <c r="C275" s="1" t="s">
        <v>82</v>
      </c>
      <c r="D275" s="1" t="s">
        <v>555</v>
      </c>
      <c r="BW275" s="34" t="s">
        <v>220</v>
      </c>
      <c r="CB275" s="1" t="s">
        <v>129</v>
      </c>
    </row>
    <row r="276" spans="1:81" x14ac:dyDescent="0.25">
      <c r="A276" s="1" t="s">
        <v>405</v>
      </c>
      <c r="B276" s="34" t="s">
        <v>235</v>
      </c>
      <c r="C276" s="1" t="s">
        <v>82</v>
      </c>
      <c r="D276" s="1" t="s">
        <v>556</v>
      </c>
      <c r="BW276" s="34" t="s">
        <v>220</v>
      </c>
      <c r="CB276" s="1" t="s">
        <v>129</v>
      </c>
    </row>
    <row r="277" spans="1:81" x14ac:dyDescent="0.25">
      <c r="A277" s="1" t="s">
        <v>405</v>
      </c>
      <c r="B277" s="34" t="s">
        <v>241</v>
      </c>
      <c r="C277" s="1" t="s">
        <v>82</v>
      </c>
      <c r="D277" s="1" t="s">
        <v>557</v>
      </c>
      <c r="BW277" s="34" t="s">
        <v>220</v>
      </c>
      <c r="CB277" s="1" t="s">
        <v>129</v>
      </c>
    </row>
    <row r="278" spans="1:81" x14ac:dyDescent="0.25">
      <c r="A278" s="1" t="s">
        <v>405</v>
      </c>
      <c r="B278" s="34" t="s">
        <v>346</v>
      </c>
      <c r="C278" s="1" t="s">
        <v>82</v>
      </c>
      <c r="D278" s="1" t="s">
        <v>478</v>
      </c>
      <c r="BW278" s="34" t="s">
        <v>220</v>
      </c>
      <c r="CB278" s="1" t="s">
        <v>129</v>
      </c>
      <c r="CC278" t="s">
        <v>291</v>
      </c>
    </row>
    <row r="279" spans="1:81" x14ac:dyDescent="0.25">
      <c r="A279" s="1" t="s">
        <v>405</v>
      </c>
      <c r="B279" s="34" t="s">
        <v>372</v>
      </c>
      <c r="C279" s="1" t="s">
        <v>82</v>
      </c>
      <c r="D279" s="1" t="s">
        <v>367</v>
      </c>
      <c r="BW279" s="34" t="s">
        <v>220</v>
      </c>
      <c r="CB279" s="1" t="s">
        <v>129</v>
      </c>
      <c r="CC279" t="s">
        <v>368</v>
      </c>
    </row>
    <row r="280" spans="1:81" x14ac:dyDescent="0.25">
      <c r="A280" s="1" t="s">
        <v>405</v>
      </c>
      <c r="B280" s="34" t="s">
        <v>210</v>
      </c>
      <c r="C280" s="1" t="s">
        <v>82</v>
      </c>
      <c r="D280" s="1" t="s">
        <v>599</v>
      </c>
      <c r="BX280" s="34" t="s">
        <v>220</v>
      </c>
      <c r="CC280" t="s">
        <v>223</v>
      </c>
    </row>
    <row r="281" spans="1:81" x14ac:dyDescent="0.25">
      <c r="A281" s="1" t="s">
        <v>405</v>
      </c>
      <c r="B281" s="34" t="s">
        <v>221</v>
      </c>
      <c r="C281" s="1" t="s">
        <v>85</v>
      </c>
      <c r="D281" s="1" t="s">
        <v>489</v>
      </c>
      <c r="E281" s="34" t="s">
        <v>220</v>
      </c>
      <c r="BZ281" s="1" t="s">
        <v>126</v>
      </c>
      <c r="CA281" s="1" t="s">
        <v>427</v>
      </c>
    </row>
    <row r="282" spans="1:81" x14ac:dyDescent="0.25">
      <c r="A282" s="1" t="s">
        <v>405</v>
      </c>
      <c r="B282" s="34" t="s">
        <v>214</v>
      </c>
      <c r="C282" s="1" t="s">
        <v>82</v>
      </c>
      <c r="D282" s="1" t="s">
        <v>540</v>
      </c>
      <c r="BW282" s="34" t="s">
        <v>221</v>
      </c>
    </row>
    <row r="283" spans="1:81" x14ac:dyDescent="0.25">
      <c r="A283" s="1" t="s">
        <v>405</v>
      </c>
      <c r="B283" s="34" t="s">
        <v>215</v>
      </c>
      <c r="C283" s="1" t="s">
        <v>82</v>
      </c>
      <c r="D283" s="1" t="s">
        <v>599</v>
      </c>
      <c r="BW283" s="34" t="s">
        <v>221</v>
      </c>
      <c r="CC283" t="s">
        <v>130</v>
      </c>
    </row>
    <row r="284" spans="1:81" x14ac:dyDescent="0.25">
      <c r="A284" s="1" t="s">
        <v>405</v>
      </c>
      <c r="B284" s="34" t="s">
        <v>216</v>
      </c>
      <c r="C284" s="1" t="s">
        <v>82</v>
      </c>
      <c r="D284" s="1" t="s">
        <v>600</v>
      </c>
      <c r="BX284" s="34" t="s">
        <v>221</v>
      </c>
      <c r="CC284" t="s">
        <v>131</v>
      </c>
    </row>
    <row r="285" spans="1:81" x14ac:dyDescent="0.25">
      <c r="A285" s="1" t="s">
        <v>405</v>
      </c>
      <c r="B285" s="34" t="s">
        <v>222</v>
      </c>
      <c r="C285" s="1" t="s">
        <v>83</v>
      </c>
      <c r="D285" s="1" t="s">
        <v>125</v>
      </c>
      <c r="E285" s="34" t="s">
        <v>221</v>
      </c>
    </row>
    <row r="286" spans="1:81" x14ac:dyDescent="0.25">
      <c r="A286" s="1" t="s">
        <v>406</v>
      </c>
      <c r="B286" s="34" t="s">
        <v>217</v>
      </c>
      <c r="C286" s="1" t="s">
        <v>81</v>
      </c>
      <c r="D286" s="1" t="s">
        <v>125</v>
      </c>
    </row>
    <row r="287" spans="1:81" x14ac:dyDescent="0.25">
      <c r="A287" s="1" t="s">
        <v>406</v>
      </c>
      <c r="B287" s="34" t="s">
        <v>219</v>
      </c>
      <c r="C287" s="1" t="s">
        <v>85</v>
      </c>
      <c r="D287" s="1" t="s">
        <v>487</v>
      </c>
      <c r="E287" s="34" t="s">
        <v>217</v>
      </c>
      <c r="BZ287" s="1" t="s">
        <v>126</v>
      </c>
      <c r="CA287" s="1" t="s">
        <v>425</v>
      </c>
    </row>
    <row r="288" spans="1:81" x14ac:dyDescent="0.25">
      <c r="A288" s="1" t="s">
        <v>406</v>
      </c>
      <c r="B288" s="34" t="s">
        <v>211</v>
      </c>
      <c r="C288" s="1" t="s">
        <v>82</v>
      </c>
      <c r="D288" s="1" t="s">
        <v>540</v>
      </c>
      <c r="BW288" s="34" t="s">
        <v>219</v>
      </c>
    </row>
    <row r="289" spans="1:82" x14ac:dyDescent="0.25">
      <c r="A289" s="1" t="s">
        <v>406</v>
      </c>
      <c r="B289" s="34" t="s">
        <v>212</v>
      </c>
      <c r="C289" s="1" t="s">
        <v>82</v>
      </c>
      <c r="D289" s="1" t="s">
        <v>600</v>
      </c>
      <c r="BW289" s="34" t="s">
        <v>219</v>
      </c>
    </row>
    <row r="290" spans="1:82" x14ac:dyDescent="0.25">
      <c r="A290" s="1" t="s">
        <v>406</v>
      </c>
      <c r="B290" s="34" t="s">
        <v>242</v>
      </c>
      <c r="C290" s="1" t="s">
        <v>82</v>
      </c>
      <c r="D290" s="1" t="s">
        <v>601</v>
      </c>
      <c r="BW290" s="34" t="s">
        <v>219</v>
      </c>
      <c r="CC290" t="s">
        <v>144</v>
      </c>
    </row>
    <row r="291" spans="1:82" x14ac:dyDescent="0.25">
      <c r="A291" s="1" t="s">
        <v>406</v>
      </c>
      <c r="B291" s="34" t="s">
        <v>213</v>
      </c>
      <c r="C291" s="1" t="s">
        <v>82</v>
      </c>
      <c r="D291" s="1" t="s">
        <v>602</v>
      </c>
      <c r="BX291" s="34" t="s">
        <v>219</v>
      </c>
      <c r="CC291" t="s">
        <v>145</v>
      </c>
    </row>
    <row r="292" spans="1:82" x14ac:dyDescent="0.25">
      <c r="A292" s="1" t="s">
        <v>406</v>
      </c>
      <c r="B292" s="34" t="s">
        <v>220</v>
      </c>
      <c r="C292" s="1" t="s">
        <v>85</v>
      </c>
      <c r="D292" s="1" t="s">
        <v>508</v>
      </c>
      <c r="E292" s="34" t="s">
        <v>219</v>
      </c>
      <c r="BZ292" s="1" t="s">
        <v>126</v>
      </c>
      <c r="CA292" s="1" t="s">
        <v>442</v>
      </c>
    </row>
    <row r="293" spans="1:82" x14ac:dyDescent="0.25">
      <c r="A293" s="1" t="s">
        <v>406</v>
      </c>
      <c r="B293" s="34" t="s">
        <v>207</v>
      </c>
      <c r="C293" s="1" t="s">
        <v>82</v>
      </c>
      <c r="D293" s="1" t="s">
        <v>540</v>
      </c>
      <c r="BW293" s="34" t="s">
        <v>220</v>
      </c>
    </row>
    <row r="294" spans="1:82" x14ac:dyDescent="0.25">
      <c r="A294" s="1" t="s">
        <v>406</v>
      </c>
      <c r="B294" s="34" t="s">
        <v>208</v>
      </c>
      <c r="C294" s="1" t="s">
        <v>82</v>
      </c>
      <c r="D294" s="1" t="s">
        <v>589</v>
      </c>
      <c r="BW294" s="34" t="s">
        <v>220</v>
      </c>
    </row>
    <row r="295" spans="1:82" x14ac:dyDescent="0.25">
      <c r="A295" s="1" t="s">
        <v>406</v>
      </c>
      <c r="B295" s="34" t="s">
        <v>209</v>
      </c>
      <c r="C295" s="1" t="s">
        <v>82</v>
      </c>
      <c r="D295" s="1" t="s">
        <v>602</v>
      </c>
      <c r="BW295" s="34" t="s">
        <v>220</v>
      </c>
      <c r="CC295" t="s">
        <v>184</v>
      </c>
      <c r="CD295" t="s">
        <v>129</v>
      </c>
    </row>
    <row r="296" spans="1:82" x14ac:dyDescent="0.25">
      <c r="A296" s="1" t="s">
        <v>406</v>
      </c>
      <c r="B296" s="34" t="s">
        <v>232</v>
      </c>
      <c r="C296" s="1" t="s">
        <v>82</v>
      </c>
      <c r="D296" s="1" t="s">
        <v>601</v>
      </c>
      <c r="BW296" s="34" t="s">
        <v>220</v>
      </c>
      <c r="CC296" t="s">
        <v>302</v>
      </c>
    </row>
    <row r="297" spans="1:82" x14ac:dyDescent="0.25">
      <c r="A297" s="1" t="s">
        <v>406</v>
      </c>
      <c r="B297" s="34" t="s">
        <v>233</v>
      </c>
      <c r="C297" s="1" t="s">
        <v>82</v>
      </c>
      <c r="D297" s="1" t="s">
        <v>590</v>
      </c>
      <c r="BW297" s="34" t="s">
        <v>220</v>
      </c>
    </row>
    <row r="298" spans="1:82" x14ac:dyDescent="0.25">
      <c r="A298" s="1" t="s">
        <v>406</v>
      </c>
      <c r="B298" s="34" t="s">
        <v>234</v>
      </c>
      <c r="C298" s="1" t="s">
        <v>82</v>
      </c>
      <c r="D298" s="1" t="s">
        <v>555</v>
      </c>
      <c r="BW298" s="34" t="s">
        <v>220</v>
      </c>
      <c r="CB298" s="1" t="s">
        <v>129</v>
      </c>
    </row>
    <row r="299" spans="1:82" x14ac:dyDescent="0.25">
      <c r="A299" s="1" t="s">
        <v>406</v>
      </c>
      <c r="B299" s="34" t="s">
        <v>235</v>
      </c>
      <c r="C299" s="1" t="s">
        <v>82</v>
      </c>
      <c r="D299" s="1" t="s">
        <v>556</v>
      </c>
      <c r="BW299" s="34" t="s">
        <v>220</v>
      </c>
      <c r="CB299" s="1" t="s">
        <v>129</v>
      </c>
    </row>
    <row r="300" spans="1:82" x14ac:dyDescent="0.25">
      <c r="A300" s="1" t="s">
        <v>406</v>
      </c>
      <c r="B300" s="34" t="s">
        <v>241</v>
      </c>
      <c r="C300" s="1" t="s">
        <v>82</v>
      </c>
      <c r="D300" s="1" t="s">
        <v>557</v>
      </c>
      <c r="BW300" s="34" t="s">
        <v>220</v>
      </c>
      <c r="CB300" s="1" t="s">
        <v>129</v>
      </c>
    </row>
    <row r="301" spans="1:82" x14ac:dyDescent="0.25">
      <c r="A301" s="1" t="s">
        <v>406</v>
      </c>
      <c r="B301" s="34" t="s">
        <v>346</v>
      </c>
      <c r="C301" s="1" t="s">
        <v>82</v>
      </c>
      <c r="D301" s="1" t="s">
        <v>478</v>
      </c>
      <c r="BW301" s="34" t="s">
        <v>220</v>
      </c>
      <c r="CB301" s="1" t="s">
        <v>129</v>
      </c>
      <c r="CC301" t="s">
        <v>291</v>
      </c>
    </row>
    <row r="302" spans="1:82" x14ac:dyDescent="0.25">
      <c r="A302" s="1" t="s">
        <v>406</v>
      </c>
      <c r="B302" s="34" t="s">
        <v>372</v>
      </c>
      <c r="C302" s="1" t="s">
        <v>82</v>
      </c>
      <c r="D302" s="1" t="s">
        <v>367</v>
      </c>
      <c r="BW302" s="34" t="s">
        <v>220</v>
      </c>
      <c r="CB302" s="1" t="s">
        <v>129</v>
      </c>
      <c r="CC302" t="s">
        <v>368</v>
      </c>
    </row>
    <row r="303" spans="1:82" x14ac:dyDescent="0.25">
      <c r="A303" s="1" t="s">
        <v>406</v>
      </c>
      <c r="B303" s="34" t="s">
        <v>210</v>
      </c>
      <c r="C303" s="1" t="s">
        <v>82</v>
      </c>
      <c r="D303" s="1" t="s">
        <v>603</v>
      </c>
      <c r="BX303" s="34" t="s">
        <v>220</v>
      </c>
      <c r="CC303" t="s">
        <v>223</v>
      </c>
    </row>
    <row r="304" spans="1:82" x14ac:dyDescent="0.25">
      <c r="A304" s="1" t="s">
        <v>406</v>
      </c>
      <c r="B304" s="34" t="s">
        <v>221</v>
      </c>
      <c r="C304" s="1" t="s">
        <v>85</v>
      </c>
      <c r="D304" s="1" t="s">
        <v>489</v>
      </c>
      <c r="E304" s="34" t="s">
        <v>220</v>
      </c>
      <c r="BZ304" s="1" t="s">
        <v>126</v>
      </c>
      <c r="CA304" s="1" t="s">
        <v>427</v>
      </c>
    </row>
    <row r="305" spans="1:82" x14ac:dyDescent="0.25">
      <c r="A305" s="1" t="s">
        <v>406</v>
      </c>
      <c r="B305" s="34" t="s">
        <v>214</v>
      </c>
      <c r="C305" s="1" t="s">
        <v>82</v>
      </c>
      <c r="D305" s="1" t="s">
        <v>540</v>
      </c>
      <c r="BW305" s="34" t="s">
        <v>221</v>
      </c>
    </row>
    <row r="306" spans="1:82" x14ac:dyDescent="0.25">
      <c r="A306" s="1" t="s">
        <v>406</v>
      </c>
      <c r="B306" s="34" t="s">
        <v>215</v>
      </c>
      <c r="C306" s="1" t="s">
        <v>82</v>
      </c>
      <c r="D306" s="1" t="s">
        <v>603</v>
      </c>
      <c r="BW306" s="34" t="s">
        <v>221</v>
      </c>
      <c r="CC306" t="s">
        <v>130</v>
      </c>
    </row>
    <row r="307" spans="1:82" x14ac:dyDescent="0.25">
      <c r="A307" s="1" t="s">
        <v>406</v>
      </c>
      <c r="B307" s="34" t="s">
        <v>216</v>
      </c>
      <c r="C307" s="1" t="s">
        <v>82</v>
      </c>
      <c r="D307" s="1" t="s">
        <v>604</v>
      </c>
      <c r="BX307" s="34" t="s">
        <v>221</v>
      </c>
      <c r="CC307" t="s">
        <v>131</v>
      </c>
    </row>
    <row r="308" spans="1:82" x14ac:dyDescent="0.25">
      <c r="A308" s="1" t="s">
        <v>406</v>
      </c>
      <c r="B308" s="34" t="s">
        <v>222</v>
      </c>
      <c r="C308" s="1" t="s">
        <v>83</v>
      </c>
      <c r="D308" s="1" t="s">
        <v>125</v>
      </c>
      <c r="E308" s="34" t="s">
        <v>221</v>
      </c>
    </row>
    <row r="309" spans="1:82" x14ac:dyDescent="0.25">
      <c r="A309" s="1" t="s">
        <v>407</v>
      </c>
      <c r="B309" s="34" t="s">
        <v>217</v>
      </c>
      <c r="C309" s="1" t="s">
        <v>81</v>
      </c>
      <c r="D309" s="1" t="s">
        <v>125</v>
      </c>
    </row>
    <row r="310" spans="1:82" x14ac:dyDescent="0.25">
      <c r="A310" s="1" t="s">
        <v>407</v>
      </c>
      <c r="B310" s="34" t="s">
        <v>219</v>
      </c>
      <c r="C310" s="1" t="s">
        <v>85</v>
      </c>
      <c r="D310" s="1" t="s">
        <v>487</v>
      </c>
      <c r="E310" s="34" t="s">
        <v>217</v>
      </c>
      <c r="BZ310" s="1" t="s">
        <v>126</v>
      </c>
      <c r="CA310" s="1" t="s">
        <v>425</v>
      </c>
    </row>
    <row r="311" spans="1:82" x14ac:dyDescent="0.25">
      <c r="A311" s="1" t="s">
        <v>407</v>
      </c>
      <c r="B311" s="34" t="s">
        <v>211</v>
      </c>
      <c r="C311" s="1" t="s">
        <v>82</v>
      </c>
      <c r="D311" s="1" t="s">
        <v>540</v>
      </c>
      <c r="BW311" s="34" t="s">
        <v>219</v>
      </c>
    </row>
    <row r="312" spans="1:82" x14ac:dyDescent="0.25">
      <c r="A312" s="1" t="s">
        <v>407</v>
      </c>
      <c r="B312" s="34" t="s">
        <v>212</v>
      </c>
      <c r="C312" s="1" t="s">
        <v>82</v>
      </c>
      <c r="D312" s="1" t="s">
        <v>604</v>
      </c>
      <c r="BW312" s="34" t="s">
        <v>219</v>
      </c>
    </row>
    <row r="313" spans="1:82" x14ac:dyDescent="0.25">
      <c r="A313" s="1" t="s">
        <v>407</v>
      </c>
      <c r="B313" s="34" t="s">
        <v>242</v>
      </c>
      <c r="C313" s="1" t="s">
        <v>82</v>
      </c>
      <c r="D313" s="1" t="s">
        <v>605</v>
      </c>
      <c r="BW313" s="34" t="s">
        <v>219</v>
      </c>
      <c r="CC313" t="s">
        <v>144</v>
      </c>
    </row>
    <row r="314" spans="1:82" x14ac:dyDescent="0.25">
      <c r="A314" s="1" t="s">
        <v>407</v>
      </c>
      <c r="B314" s="34" t="s">
        <v>213</v>
      </c>
      <c r="C314" s="1" t="s">
        <v>82</v>
      </c>
      <c r="D314" s="1" t="s">
        <v>606</v>
      </c>
      <c r="BX314" s="34" t="s">
        <v>219</v>
      </c>
      <c r="CC314" t="s">
        <v>145</v>
      </c>
    </row>
    <row r="315" spans="1:82" x14ac:dyDescent="0.25">
      <c r="A315" s="1" t="s">
        <v>407</v>
      </c>
      <c r="B315" s="34" t="s">
        <v>220</v>
      </c>
      <c r="C315" s="1" t="s">
        <v>85</v>
      </c>
      <c r="D315" s="1" t="s">
        <v>508</v>
      </c>
      <c r="E315" s="34" t="s">
        <v>219</v>
      </c>
      <c r="BZ315" s="1" t="s">
        <v>126</v>
      </c>
      <c r="CA315" s="1" t="s">
        <v>442</v>
      </c>
    </row>
    <row r="316" spans="1:82" x14ac:dyDescent="0.25">
      <c r="A316" s="1" t="s">
        <v>407</v>
      </c>
      <c r="B316" s="34" t="s">
        <v>207</v>
      </c>
      <c r="C316" s="1" t="s">
        <v>82</v>
      </c>
      <c r="D316" s="1" t="s">
        <v>540</v>
      </c>
      <c r="BW316" s="34" t="s">
        <v>220</v>
      </c>
    </row>
    <row r="317" spans="1:82" x14ac:dyDescent="0.25">
      <c r="A317" s="1" t="s">
        <v>407</v>
      </c>
      <c r="B317" s="34" t="s">
        <v>208</v>
      </c>
      <c r="C317" s="1" t="s">
        <v>82</v>
      </c>
      <c r="D317" s="1" t="s">
        <v>589</v>
      </c>
      <c r="BW317" s="34" t="s">
        <v>220</v>
      </c>
    </row>
    <row r="318" spans="1:82" x14ac:dyDescent="0.25">
      <c r="A318" s="1" t="s">
        <v>407</v>
      </c>
      <c r="B318" s="34" t="s">
        <v>209</v>
      </c>
      <c r="C318" s="1" t="s">
        <v>82</v>
      </c>
      <c r="D318" s="1" t="s">
        <v>606</v>
      </c>
      <c r="BW318" s="34" t="s">
        <v>220</v>
      </c>
      <c r="CC318" t="s">
        <v>184</v>
      </c>
      <c r="CD318" t="s">
        <v>129</v>
      </c>
    </row>
    <row r="319" spans="1:82" x14ac:dyDescent="0.25">
      <c r="A319" s="1" t="s">
        <v>407</v>
      </c>
      <c r="B319" s="34" t="s">
        <v>232</v>
      </c>
      <c r="C319" s="1" t="s">
        <v>82</v>
      </c>
      <c r="D319" s="1" t="s">
        <v>605</v>
      </c>
      <c r="BW319" s="34" t="s">
        <v>220</v>
      </c>
      <c r="CC319" t="s">
        <v>302</v>
      </c>
    </row>
    <row r="320" spans="1:82" x14ac:dyDescent="0.25">
      <c r="A320" s="1" t="s">
        <v>407</v>
      </c>
      <c r="B320" s="34" t="s">
        <v>233</v>
      </c>
      <c r="C320" s="1" t="s">
        <v>82</v>
      </c>
      <c r="D320" s="1" t="s">
        <v>590</v>
      </c>
      <c r="BW320" s="34" t="s">
        <v>220</v>
      </c>
    </row>
    <row r="321" spans="1:81" x14ac:dyDescent="0.25">
      <c r="A321" s="1" t="s">
        <v>407</v>
      </c>
      <c r="B321" s="34" t="s">
        <v>234</v>
      </c>
      <c r="C321" s="1" t="s">
        <v>82</v>
      </c>
      <c r="D321" s="1" t="s">
        <v>555</v>
      </c>
      <c r="BW321" s="34" t="s">
        <v>220</v>
      </c>
      <c r="CB321" s="1" t="s">
        <v>129</v>
      </c>
    </row>
    <row r="322" spans="1:81" x14ac:dyDescent="0.25">
      <c r="A322" s="1" t="s">
        <v>407</v>
      </c>
      <c r="B322" s="34" t="s">
        <v>235</v>
      </c>
      <c r="C322" s="1" t="s">
        <v>82</v>
      </c>
      <c r="D322" s="1" t="s">
        <v>556</v>
      </c>
      <c r="BW322" s="34" t="s">
        <v>220</v>
      </c>
      <c r="CB322" s="1" t="s">
        <v>129</v>
      </c>
    </row>
    <row r="323" spans="1:81" x14ac:dyDescent="0.25">
      <c r="A323" s="1" t="s">
        <v>407</v>
      </c>
      <c r="B323" s="34" t="s">
        <v>241</v>
      </c>
      <c r="C323" s="1" t="s">
        <v>82</v>
      </c>
      <c r="D323" s="1" t="s">
        <v>557</v>
      </c>
      <c r="BW323" s="34" t="s">
        <v>220</v>
      </c>
      <c r="CB323" s="1" t="s">
        <v>129</v>
      </c>
    </row>
    <row r="324" spans="1:81" x14ac:dyDescent="0.25">
      <c r="A324" s="1" t="s">
        <v>407</v>
      </c>
      <c r="B324" s="34" t="s">
        <v>346</v>
      </c>
      <c r="C324" s="1" t="s">
        <v>82</v>
      </c>
      <c r="D324" s="1" t="s">
        <v>478</v>
      </c>
      <c r="BW324" s="34" t="s">
        <v>220</v>
      </c>
      <c r="CB324" s="1" t="s">
        <v>129</v>
      </c>
      <c r="CC324" t="s">
        <v>291</v>
      </c>
    </row>
    <row r="325" spans="1:81" x14ac:dyDescent="0.25">
      <c r="A325" s="1" t="s">
        <v>407</v>
      </c>
      <c r="B325" s="34" t="s">
        <v>372</v>
      </c>
      <c r="C325" s="1" t="s">
        <v>82</v>
      </c>
      <c r="D325" s="1" t="s">
        <v>367</v>
      </c>
      <c r="BW325" s="34" t="s">
        <v>220</v>
      </c>
      <c r="CB325" s="1" t="s">
        <v>129</v>
      </c>
      <c r="CC325" t="s">
        <v>368</v>
      </c>
    </row>
    <row r="326" spans="1:81" x14ac:dyDescent="0.25">
      <c r="A326" s="1" t="s">
        <v>407</v>
      </c>
      <c r="B326" s="34" t="s">
        <v>210</v>
      </c>
      <c r="C326" s="1" t="s">
        <v>82</v>
      </c>
      <c r="D326" s="1" t="s">
        <v>607</v>
      </c>
      <c r="BX326" s="34" t="s">
        <v>220</v>
      </c>
      <c r="CC326" t="s">
        <v>223</v>
      </c>
    </row>
    <row r="327" spans="1:81" x14ac:dyDescent="0.25">
      <c r="A327" s="1" t="s">
        <v>407</v>
      </c>
      <c r="B327" s="34" t="s">
        <v>221</v>
      </c>
      <c r="C327" s="1" t="s">
        <v>85</v>
      </c>
      <c r="D327" s="1" t="s">
        <v>489</v>
      </c>
      <c r="E327" s="34" t="s">
        <v>220</v>
      </c>
      <c r="BZ327" s="1" t="s">
        <v>126</v>
      </c>
      <c r="CA327" s="1" t="s">
        <v>427</v>
      </c>
    </row>
    <row r="328" spans="1:81" x14ac:dyDescent="0.25">
      <c r="A328" s="1" t="s">
        <v>407</v>
      </c>
      <c r="B328" s="34" t="s">
        <v>214</v>
      </c>
      <c r="C328" s="1" t="s">
        <v>82</v>
      </c>
      <c r="D328" s="1" t="s">
        <v>540</v>
      </c>
      <c r="BW328" s="34" t="s">
        <v>221</v>
      </c>
    </row>
    <row r="329" spans="1:81" x14ac:dyDescent="0.25">
      <c r="A329" s="1" t="s">
        <v>407</v>
      </c>
      <c r="B329" s="34" t="s">
        <v>215</v>
      </c>
      <c r="C329" s="1" t="s">
        <v>82</v>
      </c>
      <c r="D329" s="1" t="s">
        <v>607</v>
      </c>
      <c r="BW329" s="34" t="s">
        <v>221</v>
      </c>
      <c r="CC329" t="s">
        <v>130</v>
      </c>
    </row>
    <row r="330" spans="1:81" x14ac:dyDescent="0.25">
      <c r="A330" s="1" t="s">
        <v>407</v>
      </c>
      <c r="B330" s="34" t="s">
        <v>216</v>
      </c>
      <c r="C330" s="1" t="s">
        <v>82</v>
      </c>
      <c r="D330" s="1" t="s">
        <v>608</v>
      </c>
      <c r="BX330" s="34" t="s">
        <v>221</v>
      </c>
      <c r="CC330" t="s">
        <v>131</v>
      </c>
    </row>
    <row r="331" spans="1:81" x14ac:dyDescent="0.25">
      <c r="A331" s="1" t="s">
        <v>407</v>
      </c>
      <c r="B331" s="34" t="s">
        <v>222</v>
      </c>
      <c r="C331" s="1" t="s">
        <v>83</v>
      </c>
      <c r="D331" s="1" t="s">
        <v>125</v>
      </c>
      <c r="E331" s="34" t="s">
        <v>221</v>
      </c>
    </row>
    <row r="332" spans="1:81" x14ac:dyDescent="0.25">
      <c r="A332" s="1" t="s">
        <v>408</v>
      </c>
      <c r="B332" s="34" t="s">
        <v>217</v>
      </c>
      <c r="C332" s="1" t="s">
        <v>81</v>
      </c>
      <c r="D332" s="1" t="s">
        <v>125</v>
      </c>
    </row>
    <row r="333" spans="1:81" x14ac:dyDescent="0.25">
      <c r="A333" s="1" t="s">
        <v>408</v>
      </c>
      <c r="B333" s="34" t="s">
        <v>219</v>
      </c>
      <c r="C333" s="1" t="s">
        <v>85</v>
      </c>
      <c r="D333" s="1" t="s">
        <v>509</v>
      </c>
      <c r="E333" s="34" t="s">
        <v>217</v>
      </c>
      <c r="BZ333" s="1" t="s">
        <v>126</v>
      </c>
      <c r="CA333" s="1" t="s">
        <v>443</v>
      </c>
    </row>
    <row r="334" spans="1:81" x14ac:dyDescent="0.25">
      <c r="A334" s="1" t="s">
        <v>408</v>
      </c>
      <c r="B334" s="34" t="s">
        <v>211</v>
      </c>
      <c r="C334" s="1" t="s">
        <v>82</v>
      </c>
      <c r="D334" s="1" t="s">
        <v>540</v>
      </c>
      <c r="BW334" s="34" t="s">
        <v>219</v>
      </c>
    </row>
    <row r="335" spans="1:81" x14ac:dyDescent="0.25">
      <c r="A335" s="1" t="s">
        <v>408</v>
      </c>
      <c r="B335" s="34" t="s">
        <v>212</v>
      </c>
      <c r="C335" s="1" t="s">
        <v>82</v>
      </c>
      <c r="D335" s="1" t="s">
        <v>609</v>
      </c>
      <c r="BW335" s="34" t="s">
        <v>219</v>
      </c>
      <c r="CC335" t="s">
        <v>136</v>
      </c>
    </row>
    <row r="336" spans="1:81" x14ac:dyDescent="0.25">
      <c r="A336" s="1" t="s">
        <v>408</v>
      </c>
      <c r="B336" s="34" t="s">
        <v>213</v>
      </c>
      <c r="C336" s="1" t="s">
        <v>82</v>
      </c>
      <c r="D336" s="1" t="s">
        <v>590</v>
      </c>
      <c r="BX336" s="34" t="s">
        <v>219</v>
      </c>
      <c r="CC336" t="s">
        <v>137</v>
      </c>
    </row>
    <row r="337" spans="1:81" x14ac:dyDescent="0.25">
      <c r="A337" s="1" t="s">
        <v>408</v>
      </c>
      <c r="B337" s="34" t="s">
        <v>220</v>
      </c>
      <c r="C337" s="1" t="s">
        <v>85</v>
      </c>
      <c r="D337" s="1" t="s">
        <v>510</v>
      </c>
      <c r="E337" s="34" t="s">
        <v>219</v>
      </c>
      <c r="BZ337" s="1" t="s">
        <v>126</v>
      </c>
      <c r="CA337" s="1" t="s">
        <v>444</v>
      </c>
    </row>
    <row r="338" spans="1:81" x14ac:dyDescent="0.25">
      <c r="A338" s="1" t="s">
        <v>408</v>
      </c>
      <c r="B338" s="34" t="s">
        <v>207</v>
      </c>
      <c r="C338" s="1" t="s">
        <v>82</v>
      </c>
      <c r="D338" s="1" t="s">
        <v>540</v>
      </c>
      <c r="BW338" s="34" t="s">
        <v>220</v>
      </c>
    </row>
    <row r="339" spans="1:81" x14ac:dyDescent="0.25">
      <c r="A339" s="1" t="s">
        <v>408</v>
      </c>
      <c r="B339" s="34" t="s">
        <v>208</v>
      </c>
      <c r="C339" s="1" t="s">
        <v>82</v>
      </c>
      <c r="D339" s="1" t="s">
        <v>610</v>
      </c>
      <c r="BW339" s="34" t="s">
        <v>220</v>
      </c>
      <c r="CC339" t="s">
        <v>302</v>
      </c>
    </row>
    <row r="340" spans="1:81" x14ac:dyDescent="0.25">
      <c r="A340" s="1" t="s">
        <v>408</v>
      </c>
      <c r="B340" s="34" t="s">
        <v>210</v>
      </c>
      <c r="C340" s="1" t="s">
        <v>82</v>
      </c>
      <c r="D340" s="1" t="s">
        <v>587</v>
      </c>
      <c r="BX340" s="34" t="s">
        <v>220</v>
      </c>
      <c r="CC340" t="s">
        <v>334</v>
      </c>
    </row>
    <row r="341" spans="1:81" x14ac:dyDescent="0.25">
      <c r="A341" s="1" t="s">
        <v>408</v>
      </c>
      <c r="B341" s="34" t="s">
        <v>236</v>
      </c>
      <c r="C341" s="1" t="s">
        <v>82</v>
      </c>
      <c r="D341" s="1" t="s">
        <v>593</v>
      </c>
      <c r="BX341" s="34" t="s">
        <v>220</v>
      </c>
      <c r="CC341" t="s">
        <v>335</v>
      </c>
    </row>
    <row r="342" spans="1:81" x14ac:dyDescent="0.25">
      <c r="A342" s="1" t="s">
        <v>408</v>
      </c>
      <c r="B342" s="34" t="s">
        <v>237</v>
      </c>
      <c r="C342" s="1" t="s">
        <v>82</v>
      </c>
      <c r="D342" s="1" t="s">
        <v>597</v>
      </c>
      <c r="BX342" s="34" t="s">
        <v>220</v>
      </c>
      <c r="CC342" t="s">
        <v>336</v>
      </c>
    </row>
    <row r="343" spans="1:81" x14ac:dyDescent="0.25">
      <c r="A343" s="1" t="s">
        <v>408</v>
      </c>
      <c r="B343" s="34" t="s">
        <v>303</v>
      </c>
      <c r="C343" s="1" t="s">
        <v>82</v>
      </c>
      <c r="D343" s="1" t="s">
        <v>601</v>
      </c>
      <c r="BX343" s="34" t="s">
        <v>220</v>
      </c>
      <c r="CC343" t="s">
        <v>337</v>
      </c>
    </row>
    <row r="344" spans="1:81" x14ac:dyDescent="0.25">
      <c r="A344" s="1" t="s">
        <v>408</v>
      </c>
      <c r="B344" s="34" t="s">
        <v>304</v>
      </c>
      <c r="C344" s="1" t="s">
        <v>82</v>
      </c>
      <c r="D344" s="1" t="s">
        <v>605</v>
      </c>
      <c r="BX344" s="34" t="s">
        <v>220</v>
      </c>
      <c r="CC344" t="s">
        <v>338</v>
      </c>
    </row>
    <row r="345" spans="1:81" x14ac:dyDescent="0.25">
      <c r="A345" s="1" t="s">
        <v>408</v>
      </c>
      <c r="B345" s="34" t="s">
        <v>221</v>
      </c>
      <c r="C345" s="1" t="s">
        <v>146</v>
      </c>
      <c r="D345" s="1" t="s">
        <v>511</v>
      </c>
      <c r="E345" s="34" t="s">
        <v>220</v>
      </c>
      <c r="BY345" s="1" t="s">
        <v>465</v>
      </c>
    </row>
    <row r="346" spans="1:81" x14ac:dyDescent="0.25">
      <c r="A346" s="1" t="s">
        <v>408</v>
      </c>
      <c r="B346" s="34" t="s">
        <v>214</v>
      </c>
      <c r="C346" s="1" t="s">
        <v>82</v>
      </c>
      <c r="D346" s="1" t="s">
        <v>587</v>
      </c>
      <c r="BW346" s="34" t="s">
        <v>221</v>
      </c>
    </row>
    <row r="347" spans="1:81" x14ac:dyDescent="0.25">
      <c r="A347" s="1" t="s">
        <v>408</v>
      </c>
      <c r="B347" s="34" t="s">
        <v>216</v>
      </c>
      <c r="C347" s="1" t="s">
        <v>82</v>
      </c>
      <c r="D347" s="1" t="s">
        <v>592</v>
      </c>
      <c r="BX347" s="34" t="s">
        <v>221</v>
      </c>
    </row>
    <row r="348" spans="1:81" x14ac:dyDescent="0.25">
      <c r="A348" s="1" t="s">
        <v>408</v>
      </c>
      <c r="B348" s="34" t="s">
        <v>224</v>
      </c>
      <c r="C348" s="1" t="s">
        <v>146</v>
      </c>
      <c r="D348" s="1" t="s">
        <v>512</v>
      </c>
      <c r="E348" s="34" t="s">
        <v>221</v>
      </c>
      <c r="BY348" s="1" t="s">
        <v>466</v>
      </c>
    </row>
    <row r="349" spans="1:81" x14ac:dyDescent="0.25">
      <c r="A349" s="1" t="s">
        <v>408</v>
      </c>
      <c r="B349" s="34" t="s">
        <v>225</v>
      </c>
      <c r="C349" s="1" t="s">
        <v>82</v>
      </c>
      <c r="D349" s="1" t="s">
        <v>593</v>
      </c>
      <c r="BW349" s="34" t="s">
        <v>224</v>
      </c>
    </row>
    <row r="350" spans="1:81" x14ac:dyDescent="0.25">
      <c r="A350" s="1" t="s">
        <v>408</v>
      </c>
      <c r="B350" s="34" t="s">
        <v>226</v>
      </c>
      <c r="C350" s="1" t="s">
        <v>82</v>
      </c>
      <c r="D350" s="1" t="s">
        <v>596</v>
      </c>
      <c r="BX350" s="34" t="s">
        <v>224</v>
      </c>
    </row>
    <row r="351" spans="1:81" x14ac:dyDescent="0.25">
      <c r="A351" s="1" t="s">
        <v>408</v>
      </c>
      <c r="B351" s="34" t="s">
        <v>238</v>
      </c>
      <c r="C351" s="1" t="s">
        <v>146</v>
      </c>
      <c r="D351" s="1" t="s">
        <v>513</v>
      </c>
      <c r="E351" s="34" t="s">
        <v>224</v>
      </c>
      <c r="BY351" s="1" t="s">
        <v>467</v>
      </c>
    </row>
    <row r="352" spans="1:81" x14ac:dyDescent="0.25">
      <c r="A352" s="1" t="s">
        <v>408</v>
      </c>
      <c r="B352" s="34" t="s">
        <v>239</v>
      </c>
      <c r="C352" s="1" t="s">
        <v>82</v>
      </c>
      <c r="D352" s="1" t="s">
        <v>597</v>
      </c>
      <c r="BW352" s="34" t="s">
        <v>238</v>
      </c>
    </row>
    <row r="353" spans="1:81" x14ac:dyDescent="0.25">
      <c r="A353" s="1" t="s">
        <v>408</v>
      </c>
      <c r="B353" s="34" t="s">
        <v>240</v>
      </c>
      <c r="C353" s="1" t="s">
        <v>82</v>
      </c>
      <c r="D353" s="1" t="s">
        <v>600</v>
      </c>
      <c r="BX353" s="34" t="s">
        <v>238</v>
      </c>
    </row>
    <row r="354" spans="1:81" x14ac:dyDescent="0.25">
      <c r="A354" s="1" t="s">
        <v>408</v>
      </c>
      <c r="B354" s="34" t="s">
        <v>249</v>
      </c>
      <c r="C354" s="1" t="s">
        <v>146</v>
      </c>
      <c r="D354" s="1" t="s">
        <v>514</v>
      </c>
      <c r="E354" s="34" t="s">
        <v>238</v>
      </c>
      <c r="BY354" s="1" t="s">
        <v>468</v>
      </c>
    </row>
    <row r="355" spans="1:81" x14ac:dyDescent="0.25">
      <c r="A355" s="1" t="s">
        <v>408</v>
      </c>
      <c r="B355" s="34" t="s">
        <v>250</v>
      </c>
      <c r="C355" s="1" t="s">
        <v>82</v>
      </c>
      <c r="D355" s="1" t="s">
        <v>601</v>
      </c>
      <c r="BW355" s="34" t="s">
        <v>249</v>
      </c>
    </row>
    <row r="356" spans="1:81" x14ac:dyDescent="0.25">
      <c r="A356" s="1" t="s">
        <v>408</v>
      </c>
      <c r="B356" s="34" t="s">
        <v>251</v>
      </c>
      <c r="C356" s="1" t="s">
        <v>82</v>
      </c>
      <c r="D356" s="1" t="s">
        <v>604</v>
      </c>
      <c r="BX356" s="34" t="s">
        <v>249</v>
      </c>
    </row>
    <row r="357" spans="1:81" x14ac:dyDescent="0.25">
      <c r="A357" s="1" t="s">
        <v>408</v>
      </c>
      <c r="B357" s="34" t="s">
        <v>254</v>
      </c>
      <c r="C357" s="1" t="s">
        <v>146</v>
      </c>
      <c r="D357" s="1" t="s">
        <v>515</v>
      </c>
      <c r="E357" s="34" t="s">
        <v>249</v>
      </c>
      <c r="BY357" s="1" t="s">
        <v>469</v>
      </c>
    </row>
    <row r="358" spans="1:81" x14ac:dyDescent="0.25">
      <c r="A358" s="1" t="s">
        <v>408</v>
      </c>
      <c r="B358" s="34" t="s">
        <v>305</v>
      </c>
      <c r="C358" s="1" t="s">
        <v>82</v>
      </c>
      <c r="D358" s="1" t="s">
        <v>605</v>
      </c>
      <c r="BW358" s="34" t="s">
        <v>254</v>
      </c>
    </row>
    <row r="359" spans="1:81" x14ac:dyDescent="0.25">
      <c r="A359" s="1" t="s">
        <v>408</v>
      </c>
      <c r="B359" s="34" t="s">
        <v>306</v>
      </c>
      <c r="C359" s="1" t="s">
        <v>82</v>
      </c>
      <c r="D359" s="1" t="s">
        <v>608</v>
      </c>
      <c r="BX359" s="34" t="s">
        <v>254</v>
      </c>
    </row>
    <row r="360" spans="1:81" x14ac:dyDescent="0.25">
      <c r="A360" s="1" t="s">
        <v>408</v>
      </c>
      <c r="B360" s="34" t="s">
        <v>256</v>
      </c>
      <c r="C360" s="1" t="s">
        <v>85</v>
      </c>
      <c r="D360" s="1" t="s">
        <v>516</v>
      </c>
      <c r="E360" s="34" t="s">
        <v>254</v>
      </c>
      <c r="BZ360" s="1" t="s">
        <v>126</v>
      </c>
      <c r="CA360" s="1" t="s">
        <v>445</v>
      </c>
    </row>
    <row r="361" spans="1:81" x14ac:dyDescent="0.25">
      <c r="A361" s="1" t="s">
        <v>408</v>
      </c>
      <c r="B361" s="34" t="s">
        <v>257</v>
      </c>
      <c r="C361" s="1" t="s">
        <v>82</v>
      </c>
      <c r="D361" s="1" t="s">
        <v>540</v>
      </c>
      <c r="BW361" s="34" t="s">
        <v>256</v>
      </c>
    </row>
    <row r="362" spans="1:81" x14ac:dyDescent="0.25">
      <c r="A362" s="1" t="s">
        <v>408</v>
      </c>
      <c r="B362" s="34" t="s">
        <v>258</v>
      </c>
      <c r="C362" s="1" t="s">
        <v>82</v>
      </c>
      <c r="D362" s="1" t="s">
        <v>589</v>
      </c>
      <c r="BW362" s="34" t="s">
        <v>256</v>
      </c>
    </row>
    <row r="363" spans="1:81" x14ac:dyDescent="0.25">
      <c r="A363" s="1" t="s">
        <v>408</v>
      </c>
      <c r="B363" s="34" t="s">
        <v>259</v>
      </c>
      <c r="C363" s="1" t="s">
        <v>82</v>
      </c>
      <c r="D363" s="1" t="s">
        <v>592</v>
      </c>
      <c r="BW363" s="34" t="s">
        <v>256</v>
      </c>
      <c r="CC363" t="s">
        <v>328</v>
      </c>
    </row>
    <row r="364" spans="1:81" x14ac:dyDescent="0.25">
      <c r="A364" s="1" t="s">
        <v>408</v>
      </c>
      <c r="B364" s="34" t="s">
        <v>308</v>
      </c>
      <c r="C364" s="1" t="s">
        <v>82</v>
      </c>
      <c r="D364" s="1" t="s">
        <v>596</v>
      </c>
      <c r="BW364" s="34" t="s">
        <v>256</v>
      </c>
      <c r="CC364" t="s">
        <v>329</v>
      </c>
    </row>
    <row r="365" spans="1:81" x14ac:dyDescent="0.25">
      <c r="A365" s="1" t="s">
        <v>408</v>
      </c>
      <c r="B365" s="34" t="s">
        <v>323</v>
      </c>
      <c r="C365" s="1" t="s">
        <v>82</v>
      </c>
      <c r="D365" s="1" t="s">
        <v>600</v>
      </c>
      <c r="BW365" s="34" t="s">
        <v>256</v>
      </c>
      <c r="CC365" t="s">
        <v>330</v>
      </c>
    </row>
    <row r="366" spans="1:81" x14ac:dyDescent="0.25">
      <c r="A366" s="1" t="s">
        <v>408</v>
      </c>
      <c r="B366" s="34" t="s">
        <v>324</v>
      </c>
      <c r="C366" s="1" t="s">
        <v>82</v>
      </c>
      <c r="D366" s="1" t="s">
        <v>604</v>
      </c>
      <c r="BW366" s="34" t="s">
        <v>256</v>
      </c>
      <c r="CC366" t="s">
        <v>331</v>
      </c>
    </row>
    <row r="367" spans="1:81" x14ac:dyDescent="0.25">
      <c r="A367" s="1" t="s">
        <v>408</v>
      </c>
      <c r="B367" s="34" t="s">
        <v>325</v>
      </c>
      <c r="C367" s="1" t="s">
        <v>82</v>
      </c>
      <c r="D367" s="1" t="s">
        <v>608</v>
      </c>
      <c r="BW367" s="34" t="s">
        <v>256</v>
      </c>
      <c r="CC367" t="s">
        <v>332</v>
      </c>
    </row>
    <row r="368" spans="1:81" x14ac:dyDescent="0.25">
      <c r="A368" s="1" t="s">
        <v>408</v>
      </c>
      <c r="B368" s="34" t="s">
        <v>347</v>
      </c>
      <c r="C368" s="1" t="s">
        <v>82</v>
      </c>
      <c r="D368" s="1" t="s">
        <v>541</v>
      </c>
      <c r="BW368" s="34" t="s">
        <v>256</v>
      </c>
      <c r="CC368" t="s">
        <v>296</v>
      </c>
    </row>
    <row r="369" spans="1:82" x14ac:dyDescent="0.25">
      <c r="A369" s="1" t="s">
        <v>408</v>
      </c>
      <c r="B369" s="34" t="s">
        <v>260</v>
      </c>
      <c r="C369" s="1" t="s">
        <v>82</v>
      </c>
      <c r="D369" s="1" t="s">
        <v>611</v>
      </c>
      <c r="BX369" s="34" t="s">
        <v>256</v>
      </c>
      <c r="CC369" t="s">
        <v>327</v>
      </c>
    </row>
    <row r="370" spans="1:82" x14ac:dyDescent="0.25">
      <c r="A370" s="1" t="s">
        <v>408</v>
      </c>
      <c r="B370" s="34" t="s">
        <v>326</v>
      </c>
      <c r="C370" s="1" t="s">
        <v>82</v>
      </c>
      <c r="D370" s="1" t="s">
        <v>542</v>
      </c>
      <c r="BX370" s="34" t="s">
        <v>256</v>
      </c>
      <c r="CC370" t="s">
        <v>297</v>
      </c>
    </row>
    <row r="371" spans="1:82" x14ac:dyDescent="0.25">
      <c r="A371" s="1" t="s">
        <v>408</v>
      </c>
      <c r="B371" s="34" t="s">
        <v>222</v>
      </c>
      <c r="C371" s="1" t="s">
        <v>83</v>
      </c>
      <c r="D371" s="1" t="s">
        <v>125</v>
      </c>
      <c r="E371" s="34" t="s">
        <v>256</v>
      </c>
    </row>
    <row r="372" spans="1:82" x14ac:dyDescent="0.25">
      <c r="A372" s="1" t="s">
        <v>409</v>
      </c>
      <c r="B372" s="34" t="s">
        <v>217</v>
      </c>
      <c r="C372" s="1" t="s">
        <v>81</v>
      </c>
      <c r="D372" s="1" t="s">
        <v>125</v>
      </c>
    </row>
    <row r="373" spans="1:82" x14ac:dyDescent="0.25">
      <c r="A373" s="1" t="s">
        <v>409</v>
      </c>
      <c r="B373" s="34" t="s">
        <v>219</v>
      </c>
      <c r="C373" s="1" t="s">
        <v>85</v>
      </c>
      <c r="D373" s="1" t="s">
        <v>487</v>
      </c>
      <c r="E373" s="34" t="s">
        <v>217</v>
      </c>
      <c r="BZ373" s="1" t="s">
        <v>126</v>
      </c>
      <c r="CA373" s="1" t="s">
        <v>425</v>
      </c>
    </row>
    <row r="374" spans="1:82" x14ac:dyDescent="0.25">
      <c r="A374" s="1" t="s">
        <v>409</v>
      </c>
      <c r="B374" s="34" t="s">
        <v>211</v>
      </c>
      <c r="C374" s="1" t="s">
        <v>82</v>
      </c>
      <c r="D374" s="1" t="s">
        <v>540</v>
      </c>
      <c r="BW374" s="34" t="s">
        <v>219</v>
      </c>
    </row>
    <row r="375" spans="1:82" x14ac:dyDescent="0.25">
      <c r="A375" s="1" t="s">
        <v>409</v>
      </c>
      <c r="B375" s="34" t="s">
        <v>212</v>
      </c>
      <c r="C375" s="1" t="s">
        <v>82</v>
      </c>
      <c r="D375" s="1" t="s">
        <v>612</v>
      </c>
      <c r="BW375" s="34" t="s">
        <v>219</v>
      </c>
      <c r="CC375" t="s">
        <v>144</v>
      </c>
    </row>
    <row r="376" spans="1:82" x14ac:dyDescent="0.25">
      <c r="A376" s="1" t="s">
        <v>409</v>
      </c>
      <c r="B376" s="34" t="s">
        <v>213</v>
      </c>
      <c r="C376" s="1" t="s">
        <v>82</v>
      </c>
      <c r="D376" s="1" t="s">
        <v>613</v>
      </c>
      <c r="BX376" s="34" t="s">
        <v>219</v>
      </c>
      <c r="CC376" t="s">
        <v>145</v>
      </c>
    </row>
    <row r="377" spans="1:82" x14ac:dyDescent="0.25">
      <c r="A377" s="1" t="s">
        <v>409</v>
      </c>
      <c r="B377" s="34" t="s">
        <v>220</v>
      </c>
      <c r="C377" s="1" t="s">
        <v>85</v>
      </c>
      <c r="D377" s="1" t="s">
        <v>508</v>
      </c>
      <c r="E377" s="34" t="s">
        <v>219</v>
      </c>
      <c r="BZ377" s="1" t="s">
        <v>126</v>
      </c>
      <c r="CA377" s="1" t="s">
        <v>442</v>
      </c>
    </row>
    <row r="378" spans="1:82" x14ac:dyDescent="0.25">
      <c r="A378" s="1" t="s">
        <v>409</v>
      </c>
      <c r="B378" s="34" t="s">
        <v>207</v>
      </c>
      <c r="C378" s="1" t="s">
        <v>82</v>
      </c>
      <c r="D378" s="1" t="s">
        <v>540</v>
      </c>
      <c r="BW378" s="34" t="s">
        <v>220</v>
      </c>
    </row>
    <row r="379" spans="1:82" x14ac:dyDescent="0.25">
      <c r="A379" s="1" t="s">
        <v>409</v>
      </c>
      <c r="B379" s="34" t="s">
        <v>208</v>
      </c>
      <c r="C379" s="1" t="s">
        <v>82</v>
      </c>
      <c r="D379" s="1" t="s">
        <v>613</v>
      </c>
      <c r="BW379" s="34" t="s">
        <v>220</v>
      </c>
      <c r="CC379" t="s">
        <v>184</v>
      </c>
      <c r="CD379" t="s">
        <v>129</v>
      </c>
    </row>
    <row r="380" spans="1:82" x14ac:dyDescent="0.25">
      <c r="A380" s="1" t="s">
        <v>409</v>
      </c>
      <c r="B380" s="34" t="s">
        <v>209</v>
      </c>
      <c r="C380" s="1" t="s">
        <v>82</v>
      </c>
      <c r="D380" s="1" t="s">
        <v>612</v>
      </c>
      <c r="BW380" s="34" t="s">
        <v>220</v>
      </c>
      <c r="CC380" t="s">
        <v>302</v>
      </c>
    </row>
    <row r="381" spans="1:82" x14ac:dyDescent="0.25">
      <c r="A381" s="1" t="s">
        <v>409</v>
      </c>
      <c r="B381" s="34" t="s">
        <v>233</v>
      </c>
      <c r="C381" s="1" t="s">
        <v>82</v>
      </c>
      <c r="D381" s="1" t="s">
        <v>555</v>
      </c>
      <c r="BW381" s="34" t="s">
        <v>220</v>
      </c>
      <c r="CB381" s="1" t="s">
        <v>129</v>
      </c>
    </row>
    <row r="382" spans="1:82" x14ac:dyDescent="0.25">
      <c r="A382" s="1" t="s">
        <v>409</v>
      </c>
      <c r="B382" s="34" t="s">
        <v>234</v>
      </c>
      <c r="C382" s="1" t="s">
        <v>82</v>
      </c>
      <c r="D382" s="1" t="s">
        <v>556</v>
      </c>
      <c r="BW382" s="34" t="s">
        <v>220</v>
      </c>
      <c r="CB382" s="1" t="s">
        <v>129</v>
      </c>
    </row>
    <row r="383" spans="1:82" x14ac:dyDescent="0.25">
      <c r="A383" s="1" t="s">
        <v>409</v>
      </c>
      <c r="B383" s="34" t="s">
        <v>235</v>
      </c>
      <c r="C383" s="1" t="s">
        <v>82</v>
      </c>
      <c r="D383" s="1" t="s">
        <v>557</v>
      </c>
      <c r="BW383" s="34" t="s">
        <v>220</v>
      </c>
      <c r="CB383" s="1" t="s">
        <v>129</v>
      </c>
    </row>
    <row r="384" spans="1:82" x14ac:dyDescent="0.25">
      <c r="A384" s="1" t="s">
        <v>409</v>
      </c>
      <c r="B384" s="34" t="s">
        <v>241</v>
      </c>
      <c r="C384" s="1" t="s">
        <v>82</v>
      </c>
      <c r="D384" s="1" t="s">
        <v>478</v>
      </c>
      <c r="BW384" s="34" t="s">
        <v>220</v>
      </c>
      <c r="CB384" s="1" t="s">
        <v>129</v>
      </c>
      <c r="CC384" t="s">
        <v>291</v>
      </c>
    </row>
    <row r="385" spans="1:82" x14ac:dyDescent="0.25">
      <c r="A385" s="1" t="s">
        <v>409</v>
      </c>
      <c r="B385" s="34" t="s">
        <v>346</v>
      </c>
      <c r="C385" s="1" t="s">
        <v>82</v>
      </c>
      <c r="D385" s="1" t="s">
        <v>367</v>
      </c>
      <c r="BW385" s="34" t="s">
        <v>220</v>
      </c>
      <c r="CB385" s="1" t="s">
        <v>129</v>
      </c>
      <c r="CC385" t="s">
        <v>368</v>
      </c>
    </row>
    <row r="386" spans="1:82" x14ac:dyDescent="0.25">
      <c r="A386" s="1" t="s">
        <v>409</v>
      </c>
      <c r="B386" s="34" t="s">
        <v>210</v>
      </c>
      <c r="C386" s="1" t="s">
        <v>82</v>
      </c>
      <c r="D386" s="1" t="s">
        <v>614</v>
      </c>
      <c r="BX386" s="34" t="s">
        <v>220</v>
      </c>
      <c r="CC386" t="s">
        <v>223</v>
      </c>
    </row>
    <row r="387" spans="1:82" x14ac:dyDescent="0.25">
      <c r="A387" s="1" t="s">
        <v>409</v>
      </c>
      <c r="B387" s="34" t="s">
        <v>221</v>
      </c>
      <c r="C387" s="1" t="s">
        <v>85</v>
      </c>
      <c r="D387" s="1" t="s">
        <v>489</v>
      </c>
      <c r="E387" s="34" t="s">
        <v>220</v>
      </c>
      <c r="BZ387" s="1" t="s">
        <v>126</v>
      </c>
      <c r="CA387" s="1" t="s">
        <v>427</v>
      </c>
    </row>
    <row r="388" spans="1:82" x14ac:dyDescent="0.25">
      <c r="A388" s="1" t="s">
        <v>409</v>
      </c>
      <c r="B388" s="34" t="s">
        <v>214</v>
      </c>
      <c r="C388" s="1" t="s">
        <v>82</v>
      </c>
      <c r="D388" s="1" t="s">
        <v>540</v>
      </c>
      <c r="BW388" s="34" t="s">
        <v>221</v>
      </c>
    </row>
    <row r="389" spans="1:82" x14ac:dyDescent="0.25">
      <c r="A389" s="1" t="s">
        <v>409</v>
      </c>
      <c r="B389" s="34" t="s">
        <v>215</v>
      </c>
      <c r="C389" s="1" t="s">
        <v>82</v>
      </c>
      <c r="D389" s="1" t="s">
        <v>614</v>
      </c>
      <c r="BW389" s="34" t="s">
        <v>221</v>
      </c>
      <c r="CC389" t="s">
        <v>130</v>
      </c>
    </row>
    <row r="390" spans="1:82" x14ac:dyDescent="0.25">
      <c r="A390" s="1" t="s">
        <v>409</v>
      </c>
      <c r="B390" s="34" t="s">
        <v>216</v>
      </c>
      <c r="C390" s="1" t="s">
        <v>82</v>
      </c>
      <c r="D390" s="1" t="s">
        <v>615</v>
      </c>
      <c r="BX390" s="34" t="s">
        <v>221</v>
      </c>
      <c r="CC390" t="s">
        <v>131</v>
      </c>
    </row>
    <row r="391" spans="1:82" x14ac:dyDescent="0.25">
      <c r="A391" s="1" t="s">
        <v>409</v>
      </c>
      <c r="B391" s="34" t="s">
        <v>222</v>
      </c>
      <c r="C391" s="1" t="s">
        <v>83</v>
      </c>
      <c r="D391" s="1" t="s">
        <v>125</v>
      </c>
      <c r="E391" s="34" t="s">
        <v>221</v>
      </c>
    </row>
    <row r="392" spans="1:82" x14ac:dyDescent="0.25">
      <c r="A392" s="1" t="s">
        <v>410</v>
      </c>
      <c r="B392" s="34" t="s">
        <v>217</v>
      </c>
      <c r="C392" s="1" t="s">
        <v>81</v>
      </c>
      <c r="D392" s="1" t="s">
        <v>125</v>
      </c>
    </row>
    <row r="393" spans="1:82" x14ac:dyDescent="0.25">
      <c r="A393" s="1" t="s">
        <v>410</v>
      </c>
      <c r="B393" s="34" t="s">
        <v>219</v>
      </c>
      <c r="C393" s="1" t="s">
        <v>85</v>
      </c>
      <c r="D393" s="1" t="s">
        <v>487</v>
      </c>
      <c r="E393" s="34" t="s">
        <v>217</v>
      </c>
      <c r="BZ393" s="1" t="s">
        <v>126</v>
      </c>
      <c r="CA393" s="1" t="s">
        <v>425</v>
      </c>
    </row>
    <row r="394" spans="1:82" x14ac:dyDescent="0.25">
      <c r="A394" s="1" t="s">
        <v>410</v>
      </c>
      <c r="B394" s="34" t="s">
        <v>211</v>
      </c>
      <c r="C394" s="1" t="s">
        <v>82</v>
      </c>
      <c r="D394" s="1" t="s">
        <v>540</v>
      </c>
      <c r="BW394" s="34" t="s">
        <v>219</v>
      </c>
    </row>
    <row r="395" spans="1:82" x14ac:dyDescent="0.25">
      <c r="A395" s="1" t="s">
        <v>410</v>
      </c>
      <c r="B395" s="34" t="s">
        <v>212</v>
      </c>
      <c r="C395" s="1" t="s">
        <v>82</v>
      </c>
      <c r="D395" s="1" t="s">
        <v>615</v>
      </c>
      <c r="BW395" s="34" t="s">
        <v>219</v>
      </c>
    </row>
    <row r="396" spans="1:82" x14ac:dyDescent="0.25">
      <c r="A396" s="1" t="s">
        <v>410</v>
      </c>
      <c r="B396" s="34" t="s">
        <v>242</v>
      </c>
      <c r="C396" s="1" t="s">
        <v>82</v>
      </c>
      <c r="D396" s="1" t="s">
        <v>616</v>
      </c>
      <c r="BW396" s="34" t="s">
        <v>219</v>
      </c>
      <c r="CC396" t="s">
        <v>144</v>
      </c>
    </row>
    <row r="397" spans="1:82" x14ac:dyDescent="0.25">
      <c r="A397" s="1" t="s">
        <v>410</v>
      </c>
      <c r="B397" s="34" t="s">
        <v>213</v>
      </c>
      <c r="C397" s="1" t="s">
        <v>82</v>
      </c>
      <c r="D397" s="1" t="s">
        <v>617</v>
      </c>
      <c r="BX397" s="34" t="s">
        <v>219</v>
      </c>
      <c r="CC397" t="s">
        <v>145</v>
      </c>
    </row>
    <row r="398" spans="1:82" x14ac:dyDescent="0.25">
      <c r="A398" s="1" t="s">
        <v>410</v>
      </c>
      <c r="B398" s="34" t="s">
        <v>220</v>
      </c>
      <c r="C398" s="1" t="s">
        <v>85</v>
      </c>
      <c r="D398" s="1" t="s">
        <v>508</v>
      </c>
      <c r="E398" s="34" t="s">
        <v>219</v>
      </c>
      <c r="BZ398" s="1" t="s">
        <v>126</v>
      </c>
      <c r="CA398" s="1" t="s">
        <v>442</v>
      </c>
    </row>
    <row r="399" spans="1:82" x14ac:dyDescent="0.25">
      <c r="A399" s="1" t="s">
        <v>410</v>
      </c>
      <c r="B399" s="34" t="s">
        <v>207</v>
      </c>
      <c r="C399" s="1" t="s">
        <v>82</v>
      </c>
      <c r="D399" s="1" t="s">
        <v>540</v>
      </c>
      <c r="BW399" s="34" t="s">
        <v>220</v>
      </c>
    </row>
    <row r="400" spans="1:82" x14ac:dyDescent="0.25">
      <c r="A400" s="1" t="s">
        <v>410</v>
      </c>
      <c r="B400" s="34" t="s">
        <v>208</v>
      </c>
      <c r="C400" s="1" t="s">
        <v>82</v>
      </c>
      <c r="D400" s="1" t="s">
        <v>617</v>
      </c>
      <c r="BW400" s="34" t="s">
        <v>220</v>
      </c>
      <c r="CC400" t="s">
        <v>184</v>
      </c>
      <c r="CD400" t="s">
        <v>129</v>
      </c>
    </row>
    <row r="401" spans="1:81" x14ac:dyDescent="0.25">
      <c r="A401" s="1" t="s">
        <v>410</v>
      </c>
      <c r="B401" s="34" t="s">
        <v>209</v>
      </c>
      <c r="C401" s="1" t="s">
        <v>82</v>
      </c>
      <c r="D401" s="1" t="s">
        <v>616</v>
      </c>
      <c r="BW401" s="34" t="s">
        <v>220</v>
      </c>
      <c r="CC401" t="s">
        <v>302</v>
      </c>
    </row>
    <row r="402" spans="1:81" x14ac:dyDescent="0.25">
      <c r="A402" s="1" t="s">
        <v>410</v>
      </c>
      <c r="B402" s="34" t="s">
        <v>233</v>
      </c>
      <c r="C402" s="1" t="s">
        <v>82</v>
      </c>
      <c r="D402" s="1" t="s">
        <v>555</v>
      </c>
      <c r="BW402" s="34" t="s">
        <v>220</v>
      </c>
      <c r="CB402" s="1" t="s">
        <v>129</v>
      </c>
    </row>
    <row r="403" spans="1:81" x14ac:dyDescent="0.25">
      <c r="A403" s="1" t="s">
        <v>410</v>
      </c>
      <c r="B403" s="34" t="s">
        <v>234</v>
      </c>
      <c r="C403" s="1" t="s">
        <v>82</v>
      </c>
      <c r="D403" s="1" t="s">
        <v>556</v>
      </c>
      <c r="BW403" s="34" t="s">
        <v>220</v>
      </c>
      <c r="CB403" s="1" t="s">
        <v>129</v>
      </c>
    </row>
    <row r="404" spans="1:81" x14ac:dyDescent="0.25">
      <c r="A404" s="1" t="s">
        <v>410</v>
      </c>
      <c r="B404" s="34" t="s">
        <v>235</v>
      </c>
      <c r="C404" s="1" t="s">
        <v>82</v>
      </c>
      <c r="D404" s="1" t="s">
        <v>557</v>
      </c>
      <c r="BW404" s="34" t="s">
        <v>220</v>
      </c>
      <c r="CB404" s="1" t="s">
        <v>129</v>
      </c>
    </row>
    <row r="405" spans="1:81" x14ac:dyDescent="0.25">
      <c r="A405" s="1" t="s">
        <v>410</v>
      </c>
      <c r="B405" s="34" t="s">
        <v>241</v>
      </c>
      <c r="C405" s="1" t="s">
        <v>82</v>
      </c>
      <c r="D405" s="1" t="s">
        <v>478</v>
      </c>
      <c r="BW405" s="34" t="s">
        <v>220</v>
      </c>
      <c r="CB405" s="1" t="s">
        <v>129</v>
      </c>
      <c r="CC405" t="s">
        <v>291</v>
      </c>
    </row>
    <row r="406" spans="1:81" x14ac:dyDescent="0.25">
      <c r="A406" s="1" t="s">
        <v>410</v>
      </c>
      <c r="B406" s="34" t="s">
        <v>346</v>
      </c>
      <c r="C406" s="1" t="s">
        <v>82</v>
      </c>
      <c r="D406" s="1" t="s">
        <v>367</v>
      </c>
      <c r="BW406" s="34" t="s">
        <v>220</v>
      </c>
      <c r="CB406" s="1" t="s">
        <v>129</v>
      </c>
      <c r="CC406" t="s">
        <v>368</v>
      </c>
    </row>
    <row r="407" spans="1:81" x14ac:dyDescent="0.25">
      <c r="A407" s="1" t="s">
        <v>410</v>
      </c>
      <c r="B407" s="34" t="s">
        <v>210</v>
      </c>
      <c r="C407" s="1" t="s">
        <v>82</v>
      </c>
      <c r="D407" s="1" t="s">
        <v>618</v>
      </c>
      <c r="BX407" s="34" t="s">
        <v>220</v>
      </c>
      <c r="CC407" t="s">
        <v>223</v>
      </c>
    </row>
    <row r="408" spans="1:81" x14ac:dyDescent="0.25">
      <c r="A408" s="1" t="s">
        <v>410</v>
      </c>
      <c r="B408" s="34" t="s">
        <v>221</v>
      </c>
      <c r="C408" s="1" t="s">
        <v>85</v>
      </c>
      <c r="D408" s="1" t="s">
        <v>489</v>
      </c>
      <c r="E408" s="34" t="s">
        <v>220</v>
      </c>
      <c r="BZ408" s="1" t="s">
        <v>126</v>
      </c>
      <c r="CA408" s="1" t="s">
        <v>427</v>
      </c>
    </row>
    <row r="409" spans="1:81" x14ac:dyDescent="0.25">
      <c r="A409" s="1" t="s">
        <v>410</v>
      </c>
      <c r="B409" s="34" t="s">
        <v>214</v>
      </c>
      <c r="C409" s="1" t="s">
        <v>82</v>
      </c>
      <c r="D409" s="1" t="s">
        <v>540</v>
      </c>
      <c r="BW409" s="34" t="s">
        <v>221</v>
      </c>
    </row>
    <row r="410" spans="1:81" x14ac:dyDescent="0.25">
      <c r="A410" s="1" t="s">
        <v>410</v>
      </c>
      <c r="B410" s="34" t="s">
        <v>215</v>
      </c>
      <c r="C410" s="1" t="s">
        <v>82</v>
      </c>
      <c r="D410" s="1" t="s">
        <v>618</v>
      </c>
      <c r="BW410" s="34" t="s">
        <v>221</v>
      </c>
      <c r="CC410" t="s">
        <v>130</v>
      </c>
    </row>
    <row r="411" spans="1:81" x14ac:dyDescent="0.25">
      <c r="A411" s="1" t="s">
        <v>410</v>
      </c>
      <c r="B411" s="34" t="s">
        <v>216</v>
      </c>
      <c r="C411" s="1" t="s">
        <v>82</v>
      </c>
      <c r="D411" s="1" t="s">
        <v>619</v>
      </c>
      <c r="BX411" s="34" t="s">
        <v>221</v>
      </c>
      <c r="CC411" t="s">
        <v>131</v>
      </c>
    </row>
    <row r="412" spans="1:81" x14ac:dyDescent="0.25">
      <c r="A412" s="1" t="s">
        <v>410</v>
      </c>
      <c r="B412" s="34" t="s">
        <v>222</v>
      </c>
      <c r="C412" s="1" t="s">
        <v>83</v>
      </c>
      <c r="D412" s="1" t="s">
        <v>125</v>
      </c>
      <c r="E412" s="34" t="s">
        <v>221</v>
      </c>
    </row>
    <row r="413" spans="1:81" x14ac:dyDescent="0.25">
      <c r="A413" s="1" t="s">
        <v>411</v>
      </c>
      <c r="B413" s="34" t="s">
        <v>217</v>
      </c>
      <c r="C413" s="1" t="s">
        <v>81</v>
      </c>
      <c r="D413" s="1" t="s">
        <v>125</v>
      </c>
    </row>
    <row r="414" spans="1:81" x14ac:dyDescent="0.25">
      <c r="A414" s="1" t="s">
        <v>411</v>
      </c>
      <c r="B414" s="34" t="s">
        <v>219</v>
      </c>
      <c r="C414" s="1" t="s">
        <v>85</v>
      </c>
      <c r="D414" s="1" t="s">
        <v>487</v>
      </c>
      <c r="E414" s="34" t="s">
        <v>217</v>
      </c>
      <c r="BZ414" s="1" t="s">
        <v>126</v>
      </c>
      <c r="CA414" s="1" t="s">
        <v>425</v>
      </c>
    </row>
    <row r="415" spans="1:81" x14ac:dyDescent="0.25">
      <c r="A415" s="1" t="s">
        <v>411</v>
      </c>
      <c r="B415" s="34" t="s">
        <v>211</v>
      </c>
      <c r="C415" s="1" t="s">
        <v>82</v>
      </c>
      <c r="D415" s="1" t="s">
        <v>540</v>
      </c>
      <c r="BW415" s="34" t="s">
        <v>219</v>
      </c>
    </row>
    <row r="416" spans="1:81" x14ac:dyDescent="0.25">
      <c r="A416" s="1" t="s">
        <v>411</v>
      </c>
      <c r="B416" s="34" t="s">
        <v>212</v>
      </c>
      <c r="C416" s="1" t="s">
        <v>82</v>
      </c>
      <c r="D416" s="1" t="s">
        <v>619</v>
      </c>
      <c r="BW416" s="34" t="s">
        <v>219</v>
      </c>
    </row>
    <row r="417" spans="1:82" x14ac:dyDescent="0.25">
      <c r="A417" s="1" t="s">
        <v>411</v>
      </c>
      <c r="B417" s="34" t="s">
        <v>242</v>
      </c>
      <c r="C417" s="1" t="s">
        <v>82</v>
      </c>
      <c r="D417" s="1" t="s">
        <v>620</v>
      </c>
      <c r="BW417" s="34" t="s">
        <v>219</v>
      </c>
      <c r="CC417" t="s">
        <v>144</v>
      </c>
    </row>
    <row r="418" spans="1:82" x14ac:dyDescent="0.25">
      <c r="A418" s="1" t="s">
        <v>411</v>
      </c>
      <c r="B418" s="34" t="s">
        <v>213</v>
      </c>
      <c r="C418" s="1" t="s">
        <v>82</v>
      </c>
      <c r="D418" s="1" t="s">
        <v>621</v>
      </c>
      <c r="BX418" s="34" t="s">
        <v>219</v>
      </c>
      <c r="CC418" t="s">
        <v>145</v>
      </c>
    </row>
    <row r="419" spans="1:82" x14ac:dyDescent="0.25">
      <c r="A419" s="1" t="s">
        <v>411</v>
      </c>
      <c r="B419" s="34" t="s">
        <v>220</v>
      </c>
      <c r="C419" s="1" t="s">
        <v>85</v>
      </c>
      <c r="D419" s="1" t="s">
        <v>508</v>
      </c>
      <c r="E419" s="34" t="s">
        <v>219</v>
      </c>
      <c r="BZ419" s="1" t="s">
        <v>126</v>
      </c>
      <c r="CA419" s="1" t="s">
        <v>442</v>
      </c>
    </row>
    <row r="420" spans="1:82" x14ac:dyDescent="0.25">
      <c r="A420" s="1" t="s">
        <v>411</v>
      </c>
      <c r="B420" s="34" t="s">
        <v>207</v>
      </c>
      <c r="C420" s="1" t="s">
        <v>82</v>
      </c>
      <c r="D420" s="1" t="s">
        <v>540</v>
      </c>
      <c r="BW420" s="34" t="s">
        <v>220</v>
      </c>
    </row>
    <row r="421" spans="1:82" x14ac:dyDescent="0.25">
      <c r="A421" s="1" t="s">
        <v>411</v>
      </c>
      <c r="B421" s="34" t="s">
        <v>208</v>
      </c>
      <c r="C421" s="1" t="s">
        <v>82</v>
      </c>
      <c r="D421" s="1" t="s">
        <v>621</v>
      </c>
      <c r="BW421" s="34" t="s">
        <v>220</v>
      </c>
      <c r="CC421" t="s">
        <v>184</v>
      </c>
      <c r="CD421" t="s">
        <v>129</v>
      </c>
    </row>
    <row r="422" spans="1:82" x14ac:dyDescent="0.25">
      <c r="A422" s="1" t="s">
        <v>411</v>
      </c>
      <c r="B422" s="34" t="s">
        <v>209</v>
      </c>
      <c r="C422" s="1" t="s">
        <v>82</v>
      </c>
      <c r="D422" s="1" t="s">
        <v>620</v>
      </c>
      <c r="BW422" s="34" t="s">
        <v>220</v>
      </c>
      <c r="CC422" t="s">
        <v>302</v>
      </c>
    </row>
    <row r="423" spans="1:82" x14ac:dyDescent="0.25">
      <c r="A423" s="1" t="s">
        <v>411</v>
      </c>
      <c r="B423" s="34" t="s">
        <v>233</v>
      </c>
      <c r="C423" s="1" t="s">
        <v>82</v>
      </c>
      <c r="D423" s="1" t="s">
        <v>555</v>
      </c>
      <c r="BW423" s="34" t="s">
        <v>220</v>
      </c>
      <c r="CB423" s="1" t="s">
        <v>129</v>
      </c>
    </row>
    <row r="424" spans="1:82" x14ac:dyDescent="0.25">
      <c r="A424" s="1" t="s">
        <v>411</v>
      </c>
      <c r="B424" s="34" t="s">
        <v>234</v>
      </c>
      <c r="C424" s="1" t="s">
        <v>82</v>
      </c>
      <c r="D424" s="1" t="s">
        <v>556</v>
      </c>
      <c r="BW424" s="34" t="s">
        <v>220</v>
      </c>
      <c r="CB424" s="1" t="s">
        <v>129</v>
      </c>
    </row>
    <row r="425" spans="1:82" x14ac:dyDescent="0.25">
      <c r="A425" s="1" t="s">
        <v>411</v>
      </c>
      <c r="B425" s="34" t="s">
        <v>235</v>
      </c>
      <c r="C425" s="1" t="s">
        <v>82</v>
      </c>
      <c r="D425" s="1" t="s">
        <v>557</v>
      </c>
      <c r="BW425" s="34" t="s">
        <v>220</v>
      </c>
      <c r="CB425" s="1" t="s">
        <v>129</v>
      </c>
    </row>
    <row r="426" spans="1:82" x14ac:dyDescent="0.25">
      <c r="A426" s="1" t="s">
        <v>411</v>
      </c>
      <c r="B426" s="34" t="s">
        <v>241</v>
      </c>
      <c r="C426" s="1" t="s">
        <v>82</v>
      </c>
      <c r="D426" s="1" t="s">
        <v>478</v>
      </c>
      <c r="BW426" s="34" t="s">
        <v>220</v>
      </c>
      <c r="CB426" s="1" t="s">
        <v>129</v>
      </c>
      <c r="CC426" t="s">
        <v>291</v>
      </c>
    </row>
    <row r="427" spans="1:82" x14ac:dyDescent="0.25">
      <c r="A427" s="1" t="s">
        <v>411</v>
      </c>
      <c r="B427" s="34" t="s">
        <v>346</v>
      </c>
      <c r="C427" s="1" t="s">
        <v>82</v>
      </c>
      <c r="D427" s="1" t="s">
        <v>367</v>
      </c>
      <c r="BW427" s="34" t="s">
        <v>220</v>
      </c>
      <c r="CB427" s="1" t="s">
        <v>129</v>
      </c>
      <c r="CC427" t="s">
        <v>368</v>
      </c>
    </row>
    <row r="428" spans="1:82" x14ac:dyDescent="0.25">
      <c r="A428" s="1" t="s">
        <v>411</v>
      </c>
      <c r="B428" s="34" t="s">
        <v>210</v>
      </c>
      <c r="C428" s="1" t="s">
        <v>82</v>
      </c>
      <c r="D428" s="1" t="s">
        <v>622</v>
      </c>
      <c r="BX428" s="34" t="s">
        <v>220</v>
      </c>
      <c r="CC428" t="s">
        <v>223</v>
      </c>
    </row>
    <row r="429" spans="1:82" x14ac:dyDescent="0.25">
      <c r="A429" s="1" t="s">
        <v>411</v>
      </c>
      <c r="B429" s="34" t="s">
        <v>221</v>
      </c>
      <c r="C429" s="1" t="s">
        <v>85</v>
      </c>
      <c r="D429" s="1" t="s">
        <v>489</v>
      </c>
      <c r="E429" s="34" t="s">
        <v>220</v>
      </c>
      <c r="BZ429" s="1" t="s">
        <v>126</v>
      </c>
      <c r="CA429" s="1" t="s">
        <v>427</v>
      </c>
    </row>
    <row r="430" spans="1:82" x14ac:dyDescent="0.25">
      <c r="A430" s="1" t="s">
        <v>411</v>
      </c>
      <c r="B430" s="34" t="s">
        <v>214</v>
      </c>
      <c r="C430" s="1" t="s">
        <v>82</v>
      </c>
      <c r="D430" s="1" t="s">
        <v>540</v>
      </c>
      <c r="BW430" s="34" t="s">
        <v>221</v>
      </c>
    </row>
    <row r="431" spans="1:82" x14ac:dyDescent="0.25">
      <c r="A431" s="1" t="s">
        <v>411</v>
      </c>
      <c r="B431" s="34" t="s">
        <v>215</v>
      </c>
      <c r="C431" s="1" t="s">
        <v>82</v>
      </c>
      <c r="D431" s="1" t="s">
        <v>622</v>
      </c>
      <c r="BW431" s="34" t="s">
        <v>221</v>
      </c>
      <c r="CC431" t="s">
        <v>130</v>
      </c>
    </row>
    <row r="432" spans="1:82" x14ac:dyDescent="0.25">
      <c r="A432" s="1" t="s">
        <v>411</v>
      </c>
      <c r="B432" s="34" t="s">
        <v>216</v>
      </c>
      <c r="C432" s="1" t="s">
        <v>82</v>
      </c>
      <c r="D432" s="1" t="s">
        <v>623</v>
      </c>
      <c r="BX432" s="34" t="s">
        <v>221</v>
      </c>
      <c r="CC432" t="s">
        <v>131</v>
      </c>
    </row>
    <row r="433" spans="1:82" x14ac:dyDescent="0.25">
      <c r="A433" s="1" t="s">
        <v>411</v>
      </c>
      <c r="B433" s="34" t="s">
        <v>222</v>
      </c>
      <c r="C433" s="1" t="s">
        <v>83</v>
      </c>
      <c r="D433" s="1" t="s">
        <v>125</v>
      </c>
      <c r="E433" s="34" t="s">
        <v>221</v>
      </c>
    </row>
    <row r="434" spans="1:82" x14ac:dyDescent="0.25">
      <c r="A434" s="1" t="s">
        <v>412</v>
      </c>
      <c r="B434" s="34" t="s">
        <v>217</v>
      </c>
      <c r="C434" s="1" t="s">
        <v>81</v>
      </c>
      <c r="D434" s="1" t="s">
        <v>125</v>
      </c>
    </row>
    <row r="435" spans="1:82" x14ac:dyDescent="0.25">
      <c r="A435" s="1" t="s">
        <v>412</v>
      </c>
      <c r="B435" s="34" t="s">
        <v>219</v>
      </c>
      <c r="C435" s="1" t="s">
        <v>85</v>
      </c>
      <c r="D435" s="1" t="s">
        <v>487</v>
      </c>
      <c r="E435" s="34" t="s">
        <v>217</v>
      </c>
      <c r="BZ435" s="1" t="s">
        <v>126</v>
      </c>
      <c r="CA435" s="1" t="s">
        <v>425</v>
      </c>
    </row>
    <row r="436" spans="1:82" x14ac:dyDescent="0.25">
      <c r="A436" s="1" t="s">
        <v>412</v>
      </c>
      <c r="B436" s="34" t="s">
        <v>211</v>
      </c>
      <c r="C436" s="1" t="s">
        <v>82</v>
      </c>
      <c r="D436" s="1" t="s">
        <v>540</v>
      </c>
      <c r="BW436" s="34" t="s">
        <v>219</v>
      </c>
    </row>
    <row r="437" spans="1:82" x14ac:dyDescent="0.25">
      <c r="A437" s="1" t="s">
        <v>412</v>
      </c>
      <c r="B437" s="34" t="s">
        <v>212</v>
      </c>
      <c r="C437" s="1" t="s">
        <v>82</v>
      </c>
      <c r="D437" s="1" t="s">
        <v>624</v>
      </c>
      <c r="BW437" s="34" t="s">
        <v>219</v>
      </c>
      <c r="CC437" t="s">
        <v>144</v>
      </c>
    </row>
    <row r="438" spans="1:82" x14ac:dyDescent="0.25">
      <c r="A438" s="1" t="s">
        <v>412</v>
      </c>
      <c r="B438" s="34" t="s">
        <v>213</v>
      </c>
      <c r="C438" s="1" t="s">
        <v>82</v>
      </c>
      <c r="D438" s="1" t="s">
        <v>625</v>
      </c>
      <c r="BX438" s="34" t="s">
        <v>219</v>
      </c>
      <c r="CC438" t="s">
        <v>145</v>
      </c>
    </row>
    <row r="439" spans="1:82" x14ac:dyDescent="0.25">
      <c r="A439" s="1" t="s">
        <v>412</v>
      </c>
      <c r="B439" s="34" t="s">
        <v>220</v>
      </c>
      <c r="C439" s="1" t="s">
        <v>85</v>
      </c>
      <c r="D439" s="1" t="s">
        <v>508</v>
      </c>
      <c r="E439" s="34" t="s">
        <v>219</v>
      </c>
      <c r="BZ439" s="1" t="s">
        <v>126</v>
      </c>
      <c r="CA439" s="1" t="s">
        <v>442</v>
      </c>
    </row>
    <row r="440" spans="1:82" x14ac:dyDescent="0.25">
      <c r="A440" s="1" t="s">
        <v>412</v>
      </c>
      <c r="B440" s="34" t="s">
        <v>207</v>
      </c>
      <c r="C440" s="1" t="s">
        <v>82</v>
      </c>
      <c r="D440" s="1" t="s">
        <v>540</v>
      </c>
      <c r="BW440" s="34" t="s">
        <v>220</v>
      </c>
    </row>
    <row r="441" spans="1:82" x14ac:dyDescent="0.25">
      <c r="A441" s="1" t="s">
        <v>412</v>
      </c>
      <c r="B441" s="34" t="s">
        <v>208</v>
      </c>
      <c r="C441" s="1" t="s">
        <v>82</v>
      </c>
      <c r="D441" s="1" t="s">
        <v>625</v>
      </c>
      <c r="BW441" s="34" t="s">
        <v>220</v>
      </c>
      <c r="CC441" t="s">
        <v>184</v>
      </c>
      <c r="CD441" t="s">
        <v>129</v>
      </c>
    </row>
    <row r="442" spans="1:82" x14ac:dyDescent="0.25">
      <c r="A442" s="1" t="s">
        <v>412</v>
      </c>
      <c r="B442" s="34" t="s">
        <v>209</v>
      </c>
      <c r="C442" s="1" t="s">
        <v>82</v>
      </c>
      <c r="D442" s="1" t="s">
        <v>624</v>
      </c>
      <c r="BW442" s="34" t="s">
        <v>220</v>
      </c>
      <c r="CC442" t="s">
        <v>302</v>
      </c>
    </row>
    <row r="443" spans="1:82" x14ac:dyDescent="0.25">
      <c r="A443" s="1" t="s">
        <v>412</v>
      </c>
      <c r="B443" s="34" t="s">
        <v>233</v>
      </c>
      <c r="C443" s="1" t="s">
        <v>82</v>
      </c>
      <c r="D443" s="1" t="s">
        <v>555</v>
      </c>
      <c r="BW443" s="34" t="s">
        <v>220</v>
      </c>
      <c r="CB443" s="1" t="s">
        <v>129</v>
      </c>
    </row>
    <row r="444" spans="1:82" x14ac:dyDescent="0.25">
      <c r="A444" s="1" t="s">
        <v>412</v>
      </c>
      <c r="B444" s="34" t="s">
        <v>234</v>
      </c>
      <c r="C444" s="1" t="s">
        <v>82</v>
      </c>
      <c r="D444" s="1" t="s">
        <v>556</v>
      </c>
      <c r="BW444" s="34" t="s">
        <v>220</v>
      </c>
      <c r="CB444" s="1" t="s">
        <v>129</v>
      </c>
    </row>
    <row r="445" spans="1:82" x14ac:dyDescent="0.25">
      <c r="A445" s="1" t="s">
        <v>412</v>
      </c>
      <c r="B445" s="34" t="s">
        <v>235</v>
      </c>
      <c r="C445" s="1" t="s">
        <v>82</v>
      </c>
      <c r="D445" s="1" t="s">
        <v>557</v>
      </c>
      <c r="BW445" s="34" t="s">
        <v>220</v>
      </c>
      <c r="CB445" s="1" t="s">
        <v>129</v>
      </c>
    </row>
    <row r="446" spans="1:82" x14ac:dyDescent="0.25">
      <c r="A446" s="1" t="s">
        <v>412</v>
      </c>
      <c r="B446" s="34" t="s">
        <v>241</v>
      </c>
      <c r="C446" s="1" t="s">
        <v>82</v>
      </c>
      <c r="D446" s="1" t="s">
        <v>478</v>
      </c>
      <c r="BW446" s="34" t="s">
        <v>220</v>
      </c>
      <c r="CB446" s="1" t="s">
        <v>129</v>
      </c>
      <c r="CC446" t="s">
        <v>291</v>
      </c>
    </row>
    <row r="447" spans="1:82" x14ac:dyDescent="0.25">
      <c r="A447" s="1" t="s">
        <v>412</v>
      </c>
      <c r="B447" s="34" t="s">
        <v>346</v>
      </c>
      <c r="C447" s="1" t="s">
        <v>82</v>
      </c>
      <c r="D447" s="1" t="s">
        <v>367</v>
      </c>
      <c r="BW447" s="34" t="s">
        <v>220</v>
      </c>
      <c r="CB447" s="1" t="s">
        <v>129</v>
      </c>
      <c r="CC447" t="s">
        <v>368</v>
      </c>
    </row>
    <row r="448" spans="1:82" x14ac:dyDescent="0.25">
      <c r="A448" s="1" t="s">
        <v>412</v>
      </c>
      <c r="B448" s="34" t="s">
        <v>210</v>
      </c>
      <c r="C448" s="1" t="s">
        <v>82</v>
      </c>
      <c r="D448" s="1" t="s">
        <v>626</v>
      </c>
      <c r="BX448" s="34" t="s">
        <v>220</v>
      </c>
      <c r="CC448" t="s">
        <v>223</v>
      </c>
    </row>
    <row r="449" spans="1:82" x14ac:dyDescent="0.25">
      <c r="A449" s="1" t="s">
        <v>412</v>
      </c>
      <c r="B449" s="34" t="s">
        <v>221</v>
      </c>
      <c r="C449" s="1" t="s">
        <v>85</v>
      </c>
      <c r="D449" s="1" t="s">
        <v>489</v>
      </c>
      <c r="E449" s="34" t="s">
        <v>220</v>
      </c>
      <c r="BZ449" s="1" t="s">
        <v>126</v>
      </c>
      <c r="CA449" s="1" t="s">
        <v>427</v>
      </c>
    </row>
    <row r="450" spans="1:82" x14ac:dyDescent="0.25">
      <c r="A450" s="1" t="s">
        <v>412</v>
      </c>
      <c r="B450" s="34" t="s">
        <v>214</v>
      </c>
      <c r="C450" s="1" t="s">
        <v>82</v>
      </c>
      <c r="D450" s="1" t="s">
        <v>540</v>
      </c>
      <c r="BW450" s="34" t="s">
        <v>221</v>
      </c>
    </row>
    <row r="451" spans="1:82" x14ac:dyDescent="0.25">
      <c r="A451" s="1" t="s">
        <v>412</v>
      </c>
      <c r="B451" s="34" t="s">
        <v>215</v>
      </c>
      <c r="C451" s="1" t="s">
        <v>82</v>
      </c>
      <c r="D451" s="1" t="s">
        <v>626</v>
      </c>
      <c r="BW451" s="34" t="s">
        <v>221</v>
      </c>
      <c r="CC451" t="s">
        <v>130</v>
      </c>
    </row>
    <row r="452" spans="1:82" x14ac:dyDescent="0.25">
      <c r="A452" s="1" t="s">
        <v>412</v>
      </c>
      <c r="B452" s="34" t="s">
        <v>216</v>
      </c>
      <c r="C452" s="1" t="s">
        <v>82</v>
      </c>
      <c r="D452" s="1" t="s">
        <v>627</v>
      </c>
      <c r="BX452" s="34" t="s">
        <v>221</v>
      </c>
      <c r="CC452" t="s">
        <v>131</v>
      </c>
    </row>
    <row r="453" spans="1:82" x14ac:dyDescent="0.25">
      <c r="A453" s="1" t="s">
        <v>412</v>
      </c>
      <c r="B453" s="34" t="s">
        <v>222</v>
      </c>
      <c r="C453" s="1" t="s">
        <v>83</v>
      </c>
      <c r="D453" s="1" t="s">
        <v>125</v>
      </c>
      <c r="E453" s="34" t="s">
        <v>221</v>
      </c>
    </row>
    <row r="454" spans="1:82" x14ac:dyDescent="0.25">
      <c r="A454" s="1" t="s">
        <v>413</v>
      </c>
      <c r="B454" s="34" t="s">
        <v>217</v>
      </c>
      <c r="C454" s="1" t="s">
        <v>81</v>
      </c>
      <c r="D454" s="1" t="s">
        <v>125</v>
      </c>
    </row>
    <row r="455" spans="1:82" x14ac:dyDescent="0.25">
      <c r="A455" s="1" t="s">
        <v>413</v>
      </c>
      <c r="B455" s="34" t="s">
        <v>219</v>
      </c>
      <c r="C455" s="1" t="s">
        <v>85</v>
      </c>
      <c r="D455" s="1" t="s">
        <v>487</v>
      </c>
      <c r="E455" s="34" t="s">
        <v>217</v>
      </c>
      <c r="BZ455" s="1" t="s">
        <v>126</v>
      </c>
      <c r="CA455" s="1" t="s">
        <v>425</v>
      </c>
    </row>
    <row r="456" spans="1:82" x14ac:dyDescent="0.25">
      <c r="A456" s="1" t="s">
        <v>413</v>
      </c>
      <c r="B456" s="34" t="s">
        <v>211</v>
      </c>
      <c r="C456" s="1" t="s">
        <v>82</v>
      </c>
      <c r="D456" s="1" t="s">
        <v>540</v>
      </c>
      <c r="BW456" s="34" t="s">
        <v>219</v>
      </c>
    </row>
    <row r="457" spans="1:82" x14ac:dyDescent="0.25">
      <c r="A457" s="1" t="s">
        <v>413</v>
      </c>
      <c r="B457" s="34" t="s">
        <v>212</v>
      </c>
      <c r="C457" s="1" t="s">
        <v>82</v>
      </c>
      <c r="D457" s="1" t="s">
        <v>627</v>
      </c>
      <c r="BW457" s="34" t="s">
        <v>219</v>
      </c>
    </row>
    <row r="458" spans="1:82" x14ac:dyDescent="0.25">
      <c r="A458" s="1" t="s">
        <v>413</v>
      </c>
      <c r="B458" s="34" t="s">
        <v>242</v>
      </c>
      <c r="C458" s="1" t="s">
        <v>82</v>
      </c>
      <c r="D458" s="1" t="s">
        <v>628</v>
      </c>
      <c r="BW458" s="34" t="s">
        <v>219</v>
      </c>
      <c r="CC458" t="s">
        <v>144</v>
      </c>
    </row>
    <row r="459" spans="1:82" x14ac:dyDescent="0.25">
      <c r="A459" s="1" t="s">
        <v>413</v>
      </c>
      <c r="B459" s="34" t="s">
        <v>213</v>
      </c>
      <c r="C459" s="1" t="s">
        <v>82</v>
      </c>
      <c r="D459" s="1" t="s">
        <v>629</v>
      </c>
      <c r="BX459" s="34" t="s">
        <v>219</v>
      </c>
      <c r="CC459" t="s">
        <v>145</v>
      </c>
    </row>
    <row r="460" spans="1:82" x14ac:dyDescent="0.25">
      <c r="A460" s="1" t="s">
        <v>413</v>
      </c>
      <c r="B460" s="34" t="s">
        <v>220</v>
      </c>
      <c r="C460" s="1" t="s">
        <v>85</v>
      </c>
      <c r="D460" s="1" t="s">
        <v>508</v>
      </c>
      <c r="E460" s="34" t="s">
        <v>219</v>
      </c>
      <c r="BZ460" s="1" t="s">
        <v>126</v>
      </c>
      <c r="CA460" s="1" t="s">
        <v>442</v>
      </c>
    </row>
    <row r="461" spans="1:82" x14ac:dyDescent="0.25">
      <c r="A461" s="1" t="s">
        <v>413</v>
      </c>
      <c r="B461" s="34" t="s">
        <v>207</v>
      </c>
      <c r="C461" s="1" t="s">
        <v>82</v>
      </c>
      <c r="D461" s="1" t="s">
        <v>540</v>
      </c>
      <c r="BW461" s="34" t="s">
        <v>220</v>
      </c>
    </row>
    <row r="462" spans="1:82" x14ac:dyDescent="0.25">
      <c r="A462" s="1" t="s">
        <v>413</v>
      </c>
      <c r="B462" s="34" t="s">
        <v>208</v>
      </c>
      <c r="C462" s="1" t="s">
        <v>82</v>
      </c>
      <c r="D462" s="1" t="s">
        <v>629</v>
      </c>
      <c r="BW462" s="34" t="s">
        <v>220</v>
      </c>
      <c r="CC462" t="s">
        <v>184</v>
      </c>
      <c r="CD462" t="s">
        <v>129</v>
      </c>
    </row>
    <row r="463" spans="1:82" x14ac:dyDescent="0.25">
      <c r="A463" s="1" t="s">
        <v>413</v>
      </c>
      <c r="B463" s="34" t="s">
        <v>209</v>
      </c>
      <c r="C463" s="1" t="s">
        <v>82</v>
      </c>
      <c r="D463" s="1" t="s">
        <v>628</v>
      </c>
      <c r="BW463" s="34" t="s">
        <v>220</v>
      </c>
      <c r="CC463" t="s">
        <v>302</v>
      </c>
    </row>
    <row r="464" spans="1:82" x14ac:dyDescent="0.25">
      <c r="A464" s="1" t="s">
        <v>413</v>
      </c>
      <c r="B464" s="34" t="s">
        <v>233</v>
      </c>
      <c r="C464" s="1" t="s">
        <v>82</v>
      </c>
      <c r="D464" s="1" t="s">
        <v>555</v>
      </c>
      <c r="BW464" s="34" t="s">
        <v>220</v>
      </c>
      <c r="CB464" s="1" t="s">
        <v>129</v>
      </c>
    </row>
    <row r="465" spans="1:81" x14ac:dyDescent="0.25">
      <c r="A465" s="1" t="s">
        <v>413</v>
      </c>
      <c r="B465" s="34" t="s">
        <v>234</v>
      </c>
      <c r="C465" s="1" t="s">
        <v>82</v>
      </c>
      <c r="D465" s="1" t="s">
        <v>556</v>
      </c>
      <c r="BW465" s="34" t="s">
        <v>220</v>
      </c>
      <c r="CB465" s="1" t="s">
        <v>129</v>
      </c>
    </row>
    <row r="466" spans="1:81" x14ac:dyDescent="0.25">
      <c r="A466" s="1" t="s">
        <v>413</v>
      </c>
      <c r="B466" s="34" t="s">
        <v>235</v>
      </c>
      <c r="C466" s="1" t="s">
        <v>82</v>
      </c>
      <c r="D466" s="1" t="s">
        <v>557</v>
      </c>
      <c r="BW466" s="34" t="s">
        <v>220</v>
      </c>
      <c r="CB466" s="1" t="s">
        <v>129</v>
      </c>
    </row>
    <row r="467" spans="1:81" x14ac:dyDescent="0.25">
      <c r="A467" s="1" t="s">
        <v>413</v>
      </c>
      <c r="B467" s="34" t="s">
        <v>241</v>
      </c>
      <c r="C467" s="1" t="s">
        <v>82</v>
      </c>
      <c r="D467" s="1" t="s">
        <v>478</v>
      </c>
      <c r="BW467" s="34" t="s">
        <v>220</v>
      </c>
      <c r="CB467" s="1" t="s">
        <v>129</v>
      </c>
      <c r="CC467" t="s">
        <v>291</v>
      </c>
    </row>
    <row r="468" spans="1:81" x14ac:dyDescent="0.25">
      <c r="A468" s="1" t="s">
        <v>413</v>
      </c>
      <c r="B468" s="34" t="s">
        <v>346</v>
      </c>
      <c r="C468" s="1" t="s">
        <v>82</v>
      </c>
      <c r="D468" s="1" t="s">
        <v>367</v>
      </c>
      <c r="BW468" s="34" t="s">
        <v>220</v>
      </c>
      <c r="CB468" s="1" t="s">
        <v>129</v>
      </c>
      <c r="CC468" t="s">
        <v>368</v>
      </c>
    </row>
    <row r="469" spans="1:81" x14ac:dyDescent="0.25">
      <c r="A469" s="1" t="s">
        <v>413</v>
      </c>
      <c r="B469" s="34" t="s">
        <v>210</v>
      </c>
      <c r="C469" s="1" t="s">
        <v>82</v>
      </c>
      <c r="D469" s="1" t="s">
        <v>630</v>
      </c>
      <c r="BX469" s="34" t="s">
        <v>220</v>
      </c>
      <c r="CC469" t="s">
        <v>223</v>
      </c>
    </row>
    <row r="470" spans="1:81" x14ac:dyDescent="0.25">
      <c r="A470" s="1" t="s">
        <v>413</v>
      </c>
      <c r="B470" s="34" t="s">
        <v>221</v>
      </c>
      <c r="C470" s="1" t="s">
        <v>85</v>
      </c>
      <c r="D470" s="1" t="s">
        <v>489</v>
      </c>
      <c r="E470" s="34" t="s">
        <v>220</v>
      </c>
      <c r="BZ470" s="1" t="s">
        <v>126</v>
      </c>
      <c r="CA470" s="1" t="s">
        <v>427</v>
      </c>
    </row>
    <row r="471" spans="1:81" x14ac:dyDescent="0.25">
      <c r="A471" s="1" t="s">
        <v>413</v>
      </c>
      <c r="B471" s="34" t="s">
        <v>214</v>
      </c>
      <c r="C471" s="1" t="s">
        <v>82</v>
      </c>
      <c r="D471" s="1" t="s">
        <v>540</v>
      </c>
      <c r="BW471" s="34" t="s">
        <v>221</v>
      </c>
    </row>
    <row r="472" spans="1:81" x14ac:dyDescent="0.25">
      <c r="A472" s="1" t="s">
        <v>413</v>
      </c>
      <c r="B472" s="34" t="s">
        <v>215</v>
      </c>
      <c r="C472" s="1" t="s">
        <v>82</v>
      </c>
      <c r="D472" s="1" t="s">
        <v>630</v>
      </c>
      <c r="BW472" s="34" t="s">
        <v>221</v>
      </c>
      <c r="CC472" t="s">
        <v>130</v>
      </c>
    </row>
    <row r="473" spans="1:81" x14ac:dyDescent="0.25">
      <c r="A473" s="1" t="s">
        <v>413</v>
      </c>
      <c r="B473" s="34" t="s">
        <v>216</v>
      </c>
      <c r="C473" s="1" t="s">
        <v>82</v>
      </c>
      <c r="D473" s="1" t="s">
        <v>631</v>
      </c>
      <c r="BX473" s="34" t="s">
        <v>221</v>
      </c>
      <c r="CC473" t="s">
        <v>131</v>
      </c>
    </row>
    <row r="474" spans="1:81" x14ac:dyDescent="0.25">
      <c r="A474" s="1" t="s">
        <v>413</v>
      </c>
      <c r="B474" s="34" t="s">
        <v>222</v>
      </c>
      <c r="C474" s="1" t="s">
        <v>83</v>
      </c>
      <c r="D474" s="1" t="s">
        <v>125</v>
      </c>
      <c r="E474" s="34" t="s">
        <v>221</v>
      </c>
    </row>
    <row r="475" spans="1:81" x14ac:dyDescent="0.25">
      <c r="A475" s="1" t="s">
        <v>414</v>
      </c>
      <c r="B475" s="34" t="s">
        <v>217</v>
      </c>
      <c r="C475" s="1" t="s">
        <v>81</v>
      </c>
      <c r="D475" s="1" t="s">
        <v>125</v>
      </c>
    </row>
    <row r="476" spans="1:81" x14ac:dyDescent="0.25">
      <c r="A476" s="1" t="s">
        <v>414</v>
      </c>
      <c r="B476" s="34" t="s">
        <v>219</v>
      </c>
      <c r="C476" s="1" t="s">
        <v>85</v>
      </c>
      <c r="D476" s="1" t="s">
        <v>487</v>
      </c>
      <c r="E476" s="34" t="s">
        <v>217</v>
      </c>
      <c r="BZ476" s="1" t="s">
        <v>126</v>
      </c>
      <c r="CA476" s="1" t="s">
        <v>425</v>
      </c>
    </row>
    <row r="477" spans="1:81" x14ac:dyDescent="0.25">
      <c r="A477" s="1" t="s">
        <v>414</v>
      </c>
      <c r="B477" s="34" t="s">
        <v>211</v>
      </c>
      <c r="C477" s="1" t="s">
        <v>82</v>
      </c>
      <c r="D477" s="1" t="s">
        <v>540</v>
      </c>
      <c r="BW477" s="34" t="s">
        <v>219</v>
      </c>
    </row>
    <row r="478" spans="1:81" x14ac:dyDescent="0.25">
      <c r="A478" s="1" t="s">
        <v>414</v>
      </c>
      <c r="B478" s="34" t="s">
        <v>212</v>
      </c>
      <c r="C478" s="1" t="s">
        <v>82</v>
      </c>
      <c r="D478" s="1" t="s">
        <v>631</v>
      </c>
      <c r="BW478" s="34" t="s">
        <v>219</v>
      </c>
    </row>
    <row r="479" spans="1:81" x14ac:dyDescent="0.25">
      <c r="A479" s="1" t="s">
        <v>414</v>
      </c>
      <c r="B479" s="34" t="s">
        <v>242</v>
      </c>
      <c r="C479" s="1" t="s">
        <v>82</v>
      </c>
      <c r="D479" s="1" t="s">
        <v>632</v>
      </c>
      <c r="BW479" s="34" t="s">
        <v>219</v>
      </c>
      <c r="CC479" t="s">
        <v>144</v>
      </c>
    </row>
    <row r="480" spans="1:81" x14ac:dyDescent="0.25">
      <c r="A480" s="1" t="s">
        <v>414</v>
      </c>
      <c r="B480" s="34" t="s">
        <v>213</v>
      </c>
      <c r="C480" s="1" t="s">
        <v>82</v>
      </c>
      <c r="D480" s="1" t="s">
        <v>633</v>
      </c>
      <c r="BX480" s="34" t="s">
        <v>219</v>
      </c>
      <c r="CC480" t="s">
        <v>145</v>
      </c>
    </row>
    <row r="481" spans="1:82" x14ac:dyDescent="0.25">
      <c r="A481" s="1" t="s">
        <v>414</v>
      </c>
      <c r="B481" s="34" t="s">
        <v>220</v>
      </c>
      <c r="C481" s="1" t="s">
        <v>85</v>
      </c>
      <c r="D481" s="1" t="s">
        <v>508</v>
      </c>
      <c r="E481" s="34" t="s">
        <v>219</v>
      </c>
      <c r="BZ481" s="1" t="s">
        <v>126</v>
      </c>
      <c r="CA481" s="1" t="s">
        <v>442</v>
      </c>
    </row>
    <row r="482" spans="1:82" x14ac:dyDescent="0.25">
      <c r="A482" s="1" t="s">
        <v>414</v>
      </c>
      <c r="B482" s="34" t="s">
        <v>207</v>
      </c>
      <c r="C482" s="1" t="s">
        <v>82</v>
      </c>
      <c r="D482" s="1" t="s">
        <v>540</v>
      </c>
      <c r="BW482" s="34" t="s">
        <v>220</v>
      </c>
    </row>
    <row r="483" spans="1:82" x14ac:dyDescent="0.25">
      <c r="A483" s="1" t="s">
        <v>414</v>
      </c>
      <c r="B483" s="34" t="s">
        <v>208</v>
      </c>
      <c r="C483" s="1" t="s">
        <v>82</v>
      </c>
      <c r="D483" s="1" t="s">
        <v>633</v>
      </c>
      <c r="BW483" s="34" t="s">
        <v>220</v>
      </c>
      <c r="CC483" t="s">
        <v>184</v>
      </c>
      <c r="CD483" t="s">
        <v>129</v>
      </c>
    </row>
    <row r="484" spans="1:82" x14ac:dyDescent="0.25">
      <c r="A484" s="1" t="s">
        <v>414</v>
      </c>
      <c r="B484" s="34" t="s">
        <v>209</v>
      </c>
      <c r="C484" s="1" t="s">
        <v>82</v>
      </c>
      <c r="D484" s="1" t="s">
        <v>632</v>
      </c>
      <c r="BW484" s="34" t="s">
        <v>220</v>
      </c>
      <c r="CC484" t="s">
        <v>302</v>
      </c>
    </row>
    <row r="485" spans="1:82" x14ac:dyDescent="0.25">
      <c r="A485" s="1" t="s">
        <v>414</v>
      </c>
      <c r="B485" s="34" t="s">
        <v>233</v>
      </c>
      <c r="C485" s="1" t="s">
        <v>82</v>
      </c>
      <c r="D485" s="1" t="s">
        <v>555</v>
      </c>
      <c r="BW485" s="34" t="s">
        <v>220</v>
      </c>
      <c r="CB485" s="1" t="s">
        <v>129</v>
      </c>
    </row>
    <row r="486" spans="1:82" x14ac:dyDescent="0.25">
      <c r="A486" s="1" t="s">
        <v>414</v>
      </c>
      <c r="B486" s="34" t="s">
        <v>234</v>
      </c>
      <c r="C486" s="1" t="s">
        <v>82</v>
      </c>
      <c r="D486" s="1" t="s">
        <v>556</v>
      </c>
      <c r="BW486" s="34" t="s">
        <v>220</v>
      </c>
      <c r="CB486" s="1" t="s">
        <v>129</v>
      </c>
    </row>
    <row r="487" spans="1:82" x14ac:dyDescent="0.25">
      <c r="A487" s="1" t="s">
        <v>414</v>
      </c>
      <c r="B487" s="34" t="s">
        <v>235</v>
      </c>
      <c r="C487" s="1" t="s">
        <v>82</v>
      </c>
      <c r="D487" s="1" t="s">
        <v>557</v>
      </c>
      <c r="BW487" s="34" t="s">
        <v>220</v>
      </c>
      <c r="CB487" s="1" t="s">
        <v>129</v>
      </c>
    </row>
    <row r="488" spans="1:82" x14ac:dyDescent="0.25">
      <c r="A488" s="1" t="s">
        <v>414</v>
      </c>
      <c r="B488" s="34" t="s">
        <v>241</v>
      </c>
      <c r="C488" s="1" t="s">
        <v>82</v>
      </c>
      <c r="D488" s="1" t="s">
        <v>478</v>
      </c>
      <c r="BW488" s="34" t="s">
        <v>220</v>
      </c>
      <c r="CB488" s="1" t="s">
        <v>129</v>
      </c>
      <c r="CC488" t="s">
        <v>291</v>
      </c>
    </row>
    <row r="489" spans="1:82" x14ac:dyDescent="0.25">
      <c r="A489" s="1" t="s">
        <v>414</v>
      </c>
      <c r="B489" s="34" t="s">
        <v>346</v>
      </c>
      <c r="C489" s="1" t="s">
        <v>82</v>
      </c>
      <c r="D489" s="1" t="s">
        <v>367</v>
      </c>
      <c r="BW489" s="34" t="s">
        <v>220</v>
      </c>
      <c r="CB489" s="1" t="s">
        <v>129</v>
      </c>
      <c r="CC489" t="s">
        <v>368</v>
      </c>
    </row>
    <row r="490" spans="1:82" x14ac:dyDescent="0.25">
      <c r="A490" s="1" t="s">
        <v>414</v>
      </c>
      <c r="B490" s="34" t="s">
        <v>210</v>
      </c>
      <c r="C490" s="1" t="s">
        <v>82</v>
      </c>
      <c r="D490" s="1" t="s">
        <v>634</v>
      </c>
      <c r="BX490" s="34" t="s">
        <v>220</v>
      </c>
      <c r="CC490" t="s">
        <v>223</v>
      </c>
    </row>
    <row r="491" spans="1:82" x14ac:dyDescent="0.25">
      <c r="A491" s="1" t="s">
        <v>414</v>
      </c>
      <c r="B491" s="34" t="s">
        <v>221</v>
      </c>
      <c r="C491" s="1" t="s">
        <v>85</v>
      </c>
      <c r="D491" s="1" t="s">
        <v>489</v>
      </c>
      <c r="E491" s="34" t="s">
        <v>220</v>
      </c>
      <c r="BZ491" s="1" t="s">
        <v>126</v>
      </c>
      <c r="CA491" s="1" t="s">
        <v>427</v>
      </c>
    </row>
    <row r="492" spans="1:82" x14ac:dyDescent="0.25">
      <c r="A492" s="1" t="s">
        <v>414</v>
      </c>
      <c r="B492" s="34" t="s">
        <v>214</v>
      </c>
      <c r="C492" s="1" t="s">
        <v>82</v>
      </c>
      <c r="D492" s="1" t="s">
        <v>540</v>
      </c>
      <c r="BW492" s="34" t="s">
        <v>221</v>
      </c>
    </row>
    <row r="493" spans="1:82" x14ac:dyDescent="0.25">
      <c r="A493" s="1" t="s">
        <v>414</v>
      </c>
      <c r="B493" s="34" t="s">
        <v>215</v>
      </c>
      <c r="C493" s="1" t="s">
        <v>82</v>
      </c>
      <c r="D493" s="1" t="s">
        <v>634</v>
      </c>
      <c r="BW493" s="34" t="s">
        <v>221</v>
      </c>
      <c r="CC493" t="s">
        <v>130</v>
      </c>
    </row>
    <row r="494" spans="1:82" x14ac:dyDescent="0.25">
      <c r="A494" s="1" t="s">
        <v>414</v>
      </c>
      <c r="B494" s="34" t="s">
        <v>216</v>
      </c>
      <c r="C494" s="1" t="s">
        <v>82</v>
      </c>
      <c r="D494" s="1" t="s">
        <v>635</v>
      </c>
      <c r="BX494" s="34" t="s">
        <v>221</v>
      </c>
      <c r="CC494" t="s">
        <v>131</v>
      </c>
    </row>
    <row r="495" spans="1:82" x14ac:dyDescent="0.25">
      <c r="A495" s="1" t="s">
        <v>414</v>
      </c>
      <c r="B495" s="34" t="s">
        <v>222</v>
      </c>
      <c r="C495" s="1" t="s">
        <v>83</v>
      </c>
      <c r="D495" s="1" t="s">
        <v>125</v>
      </c>
      <c r="E495" s="34" t="s">
        <v>221</v>
      </c>
    </row>
    <row r="496" spans="1:82" x14ac:dyDescent="0.25">
      <c r="A496" s="1" t="s">
        <v>415</v>
      </c>
      <c r="B496" s="34" t="s">
        <v>217</v>
      </c>
      <c r="C496" s="1" t="s">
        <v>81</v>
      </c>
      <c r="D496" s="1" t="s">
        <v>125</v>
      </c>
    </row>
    <row r="497" spans="1:81" x14ac:dyDescent="0.25">
      <c r="A497" s="1" t="s">
        <v>415</v>
      </c>
      <c r="B497" s="34" t="s">
        <v>220</v>
      </c>
      <c r="C497" s="1" t="s">
        <v>85</v>
      </c>
      <c r="D497" s="1" t="s">
        <v>517</v>
      </c>
      <c r="E497" s="34" t="s">
        <v>217</v>
      </c>
      <c r="BZ497" s="1" t="s">
        <v>126</v>
      </c>
      <c r="CA497" s="1" t="s">
        <v>446</v>
      </c>
    </row>
    <row r="498" spans="1:81" x14ac:dyDescent="0.25">
      <c r="A498" s="1" t="s">
        <v>415</v>
      </c>
      <c r="B498" s="34" t="s">
        <v>207</v>
      </c>
      <c r="C498" s="1" t="s">
        <v>82</v>
      </c>
      <c r="D498" s="1" t="s">
        <v>540</v>
      </c>
      <c r="BW498" s="34" t="s">
        <v>220</v>
      </c>
    </row>
    <row r="499" spans="1:81" x14ac:dyDescent="0.25">
      <c r="A499" s="1" t="s">
        <v>415</v>
      </c>
      <c r="B499" s="34" t="s">
        <v>208</v>
      </c>
      <c r="C499" s="1" t="s">
        <v>82</v>
      </c>
      <c r="D499" s="1" t="s">
        <v>610</v>
      </c>
      <c r="BW499" s="34" t="s">
        <v>220</v>
      </c>
      <c r="CC499" t="s">
        <v>302</v>
      </c>
    </row>
    <row r="500" spans="1:81" x14ac:dyDescent="0.25">
      <c r="A500" s="1" t="s">
        <v>415</v>
      </c>
      <c r="B500" s="34" t="s">
        <v>210</v>
      </c>
      <c r="C500" s="1" t="s">
        <v>82</v>
      </c>
      <c r="D500" s="1" t="s">
        <v>612</v>
      </c>
      <c r="BX500" s="34" t="s">
        <v>220</v>
      </c>
      <c r="CC500" t="s">
        <v>339</v>
      </c>
    </row>
    <row r="501" spans="1:81" x14ac:dyDescent="0.25">
      <c r="A501" s="1" t="s">
        <v>415</v>
      </c>
      <c r="B501" s="34" t="s">
        <v>236</v>
      </c>
      <c r="C501" s="1" t="s">
        <v>82</v>
      </c>
      <c r="D501" s="1" t="s">
        <v>616</v>
      </c>
      <c r="BX501" s="34" t="s">
        <v>220</v>
      </c>
      <c r="CC501" t="s">
        <v>340</v>
      </c>
    </row>
    <row r="502" spans="1:81" x14ac:dyDescent="0.25">
      <c r="A502" s="1" t="s">
        <v>415</v>
      </c>
      <c r="B502" s="34" t="s">
        <v>237</v>
      </c>
      <c r="C502" s="1" t="s">
        <v>82</v>
      </c>
      <c r="D502" s="1" t="s">
        <v>620</v>
      </c>
      <c r="BX502" s="34" t="s">
        <v>220</v>
      </c>
      <c r="CC502" t="s">
        <v>341</v>
      </c>
    </row>
    <row r="503" spans="1:81" x14ac:dyDescent="0.25">
      <c r="A503" s="1" t="s">
        <v>415</v>
      </c>
      <c r="B503" s="34" t="s">
        <v>221</v>
      </c>
      <c r="C503" s="1" t="s">
        <v>146</v>
      </c>
      <c r="D503" s="1" t="s">
        <v>518</v>
      </c>
      <c r="E503" s="34" t="s">
        <v>220</v>
      </c>
      <c r="BY503" s="1" t="s">
        <v>470</v>
      </c>
    </row>
    <row r="504" spans="1:81" x14ac:dyDescent="0.25">
      <c r="A504" s="1" t="s">
        <v>415</v>
      </c>
      <c r="B504" s="34" t="s">
        <v>214</v>
      </c>
      <c r="C504" s="1" t="s">
        <v>82</v>
      </c>
      <c r="D504" s="1" t="s">
        <v>612</v>
      </c>
      <c r="BW504" s="34" t="s">
        <v>221</v>
      </c>
    </row>
    <row r="505" spans="1:81" x14ac:dyDescent="0.25">
      <c r="A505" s="1" t="s">
        <v>415</v>
      </c>
      <c r="B505" s="34" t="s">
        <v>216</v>
      </c>
      <c r="C505" s="1" t="s">
        <v>82</v>
      </c>
      <c r="D505" s="1" t="s">
        <v>615</v>
      </c>
      <c r="BX505" s="34" t="s">
        <v>221</v>
      </c>
    </row>
    <row r="506" spans="1:81" x14ac:dyDescent="0.25">
      <c r="A506" s="1" t="s">
        <v>415</v>
      </c>
      <c r="B506" s="34" t="s">
        <v>224</v>
      </c>
      <c r="C506" s="1" t="s">
        <v>146</v>
      </c>
      <c r="D506" s="1" t="s">
        <v>519</v>
      </c>
      <c r="E506" s="34" t="s">
        <v>221</v>
      </c>
      <c r="BY506" s="1" t="s">
        <v>471</v>
      </c>
    </row>
    <row r="507" spans="1:81" x14ac:dyDescent="0.25">
      <c r="A507" s="1" t="s">
        <v>415</v>
      </c>
      <c r="B507" s="34" t="s">
        <v>225</v>
      </c>
      <c r="C507" s="1" t="s">
        <v>82</v>
      </c>
      <c r="D507" s="1" t="s">
        <v>616</v>
      </c>
      <c r="BW507" s="34" t="s">
        <v>224</v>
      </c>
    </row>
    <row r="508" spans="1:81" x14ac:dyDescent="0.25">
      <c r="A508" s="1" t="s">
        <v>415</v>
      </c>
      <c r="B508" s="34" t="s">
        <v>226</v>
      </c>
      <c r="C508" s="1" t="s">
        <v>82</v>
      </c>
      <c r="D508" s="1" t="s">
        <v>619</v>
      </c>
      <c r="BX508" s="34" t="s">
        <v>224</v>
      </c>
    </row>
    <row r="509" spans="1:81" x14ac:dyDescent="0.25">
      <c r="A509" s="1" t="s">
        <v>415</v>
      </c>
      <c r="B509" s="34" t="s">
        <v>238</v>
      </c>
      <c r="C509" s="1" t="s">
        <v>146</v>
      </c>
      <c r="D509" s="1" t="s">
        <v>520</v>
      </c>
      <c r="E509" s="34" t="s">
        <v>224</v>
      </c>
      <c r="BY509" s="1" t="s">
        <v>472</v>
      </c>
    </row>
    <row r="510" spans="1:81" x14ac:dyDescent="0.25">
      <c r="A510" s="1" t="s">
        <v>415</v>
      </c>
      <c r="B510" s="34" t="s">
        <v>239</v>
      </c>
      <c r="C510" s="1" t="s">
        <v>82</v>
      </c>
      <c r="D510" s="1" t="s">
        <v>620</v>
      </c>
      <c r="BW510" s="34" t="s">
        <v>238</v>
      </c>
    </row>
    <row r="511" spans="1:81" x14ac:dyDescent="0.25">
      <c r="A511" s="1" t="s">
        <v>415</v>
      </c>
      <c r="B511" s="34" t="s">
        <v>240</v>
      </c>
      <c r="C511" s="1" t="s">
        <v>82</v>
      </c>
      <c r="D511" s="1" t="s">
        <v>623</v>
      </c>
      <c r="BX511" s="34" t="s">
        <v>238</v>
      </c>
    </row>
    <row r="512" spans="1:81" x14ac:dyDescent="0.25">
      <c r="A512" s="1" t="s">
        <v>415</v>
      </c>
      <c r="B512" s="34" t="s">
        <v>256</v>
      </c>
      <c r="C512" s="1" t="s">
        <v>85</v>
      </c>
      <c r="D512" s="1" t="s">
        <v>521</v>
      </c>
      <c r="E512" s="34" t="s">
        <v>238</v>
      </c>
      <c r="BZ512" s="1" t="s">
        <v>126</v>
      </c>
      <c r="CA512" s="1" t="s">
        <v>447</v>
      </c>
    </row>
    <row r="513" spans="1:81" x14ac:dyDescent="0.25">
      <c r="A513" s="1" t="s">
        <v>415</v>
      </c>
      <c r="B513" s="34" t="s">
        <v>257</v>
      </c>
      <c r="C513" s="1" t="s">
        <v>82</v>
      </c>
      <c r="D513" s="1" t="s">
        <v>540</v>
      </c>
      <c r="BW513" s="34" t="s">
        <v>256</v>
      </c>
    </row>
    <row r="514" spans="1:81" x14ac:dyDescent="0.25">
      <c r="A514" s="1" t="s">
        <v>415</v>
      </c>
      <c r="B514" s="34" t="s">
        <v>258</v>
      </c>
      <c r="C514" s="1" t="s">
        <v>82</v>
      </c>
      <c r="D514" s="1" t="s">
        <v>615</v>
      </c>
      <c r="BW514" s="34" t="s">
        <v>256</v>
      </c>
      <c r="CC514" t="s">
        <v>342</v>
      </c>
    </row>
    <row r="515" spans="1:81" x14ac:dyDescent="0.25">
      <c r="A515" s="1" t="s">
        <v>415</v>
      </c>
      <c r="B515" s="34" t="s">
        <v>259</v>
      </c>
      <c r="C515" s="1" t="s">
        <v>82</v>
      </c>
      <c r="D515" s="1" t="s">
        <v>619</v>
      </c>
      <c r="BW515" s="34" t="s">
        <v>256</v>
      </c>
      <c r="CC515" t="s">
        <v>343</v>
      </c>
    </row>
    <row r="516" spans="1:81" x14ac:dyDescent="0.25">
      <c r="A516" s="1" t="s">
        <v>415</v>
      </c>
      <c r="B516" s="34" t="s">
        <v>308</v>
      </c>
      <c r="C516" s="1" t="s">
        <v>82</v>
      </c>
      <c r="D516" s="1" t="s">
        <v>623</v>
      </c>
      <c r="BW516" s="34" t="s">
        <v>256</v>
      </c>
      <c r="CC516" t="s">
        <v>344</v>
      </c>
    </row>
    <row r="517" spans="1:81" x14ac:dyDescent="0.25">
      <c r="A517" s="1" t="s">
        <v>415</v>
      </c>
      <c r="B517" s="34" t="s">
        <v>260</v>
      </c>
      <c r="C517" s="1" t="s">
        <v>82</v>
      </c>
      <c r="D517" s="1" t="s">
        <v>636</v>
      </c>
      <c r="BX517" s="34" t="s">
        <v>256</v>
      </c>
      <c r="CC517" t="s">
        <v>345</v>
      </c>
    </row>
    <row r="518" spans="1:81" x14ac:dyDescent="0.25">
      <c r="A518" s="1" t="s">
        <v>415</v>
      </c>
      <c r="B518" s="34" t="s">
        <v>222</v>
      </c>
      <c r="C518" s="1" t="s">
        <v>83</v>
      </c>
      <c r="D518" s="1" t="s">
        <v>125</v>
      </c>
      <c r="E518" s="34" t="s">
        <v>256</v>
      </c>
    </row>
    <row r="519" spans="1:81" x14ac:dyDescent="0.25">
      <c r="A519" s="1" t="s">
        <v>416</v>
      </c>
      <c r="B519" s="34" t="s">
        <v>217</v>
      </c>
      <c r="C519" s="1" t="s">
        <v>81</v>
      </c>
      <c r="D519" s="1" t="s">
        <v>125</v>
      </c>
    </row>
    <row r="520" spans="1:81" x14ac:dyDescent="0.25">
      <c r="A520" s="1" t="s">
        <v>416</v>
      </c>
      <c r="B520" s="34" t="s">
        <v>220</v>
      </c>
      <c r="C520" s="1" t="s">
        <v>85</v>
      </c>
      <c r="D520" s="1" t="s">
        <v>522</v>
      </c>
      <c r="E520" s="34" t="s">
        <v>217</v>
      </c>
      <c r="BZ520" s="1" t="s">
        <v>126</v>
      </c>
      <c r="CA520" s="1" t="s">
        <v>448</v>
      </c>
    </row>
    <row r="521" spans="1:81" x14ac:dyDescent="0.25">
      <c r="A521" s="1" t="s">
        <v>416</v>
      </c>
      <c r="B521" s="34" t="s">
        <v>207</v>
      </c>
      <c r="C521" s="1" t="s">
        <v>82</v>
      </c>
      <c r="D521" s="1" t="s">
        <v>540</v>
      </c>
      <c r="BW521" s="34" t="s">
        <v>220</v>
      </c>
    </row>
    <row r="522" spans="1:81" x14ac:dyDescent="0.25">
      <c r="A522" s="1" t="s">
        <v>416</v>
      </c>
      <c r="B522" s="34" t="s">
        <v>208</v>
      </c>
      <c r="C522" s="1" t="s">
        <v>82</v>
      </c>
      <c r="D522" s="1" t="s">
        <v>610</v>
      </c>
      <c r="BW522" s="34" t="s">
        <v>220</v>
      </c>
      <c r="CC522" t="s">
        <v>302</v>
      </c>
    </row>
    <row r="523" spans="1:81" x14ac:dyDescent="0.25">
      <c r="A523" s="1" t="s">
        <v>416</v>
      </c>
      <c r="B523" s="34" t="s">
        <v>210</v>
      </c>
      <c r="C523" s="1" t="s">
        <v>82</v>
      </c>
      <c r="D523" s="1" t="s">
        <v>624</v>
      </c>
      <c r="BX523" s="34" t="s">
        <v>220</v>
      </c>
      <c r="CC523" t="s">
        <v>339</v>
      </c>
    </row>
    <row r="524" spans="1:81" x14ac:dyDescent="0.25">
      <c r="A524" s="1" t="s">
        <v>416</v>
      </c>
      <c r="B524" s="34" t="s">
        <v>236</v>
      </c>
      <c r="C524" s="1" t="s">
        <v>82</v>
      </c>
      <c r="D524" s="1" t="s">
        <v>628</v>
      </c>
      <c r="BX524" s="34" t="s">
        <v>220</v>
      </c>
      <c r="CC524" t="s">
        <v>340</v>
      </c>
    </row>
    <row r="525" spans="1:81" x14ac:dyDescent="0.25">
      <c r="A525" s="1" t="s">
        <v>416</v>
      </c>
      <c r="B525" s="34" t="s">
        <v>237</v>
      </c>
      <c r="C525" s="1" t="s">
        <v>82</v>
      </c>
      <c r="D525" s="1" t="s">
        <v>632</v>
      </c>
      <c r="BX525" s="34" t="s">
        <v>220</v>
      </c>
      <c r="CC525" t="s">
        <v>341</v>
      </c>
    </row>
    <row r="526" spans="1:81" x14ac:dyDescent="0.25">
      <c r="A526" s="1" t="s">
        <v>416</v>
      </c>
      <c r="B526" s="34" t="s">
        <v>221</v>
      </c>
      <c r="C526" s="1" t="s">
        <v>146</v>
      </c>
      <c r="D526" s="1" t="s">
        <v>523</v>
      </c>
      <c r="E526" s="34" t="s">
        <v>220</v>
      </c>
      <c r="BY526" s="1" t="s">
        <v>473</v>
      </c>
    </row>
    <row r="527" spans="1:81" x14ac:dyDescent="0.25">
      <c r="A527" s="1" t="s">
        <v>416</v>
      </c>
      <c r="B527" s="34" t="s">
        <v>214</v>
      </c>
      <c r="C527" s="1" t="s">
        <v>82</v>
      </c>
      <c r="D527" s="1" t="s">
        <v>624</v>
      </c>
      <c r="BW527" s="34" t="s">
        <v>221</v>
      </c>
    </row>
    <row r="528" spans="1:81" x14ac:dyDescent="0.25">
      <c r="A528" s="1" t="s">
        <v>416</v>
      </c>
      <c r="B528" s="34" t="s">
        <v>216</v>
      </c>
      <c r="C528" s="1" t="s">
        <v>82</v>
      </c>
      <c r="D528" s="1" t="s">
        <v>627</v>
      </c>
      <c r="BX528" s="34" t="s">
        <v>221</v>
      </c>
    </row>
    <row r="529" spans="1:83" x14ac:dyDescent="0.25">
      <c r="A529" s="1" t="s">
        <v>416</v>
      </c>
      <c r="B529" s="34" t="s">
        <v>224</v>
      </c>
      <c r="C529" s="1" t="s">
        <v>146</v>
      </c>
      <c r="D529" s="1" t="s">
        <v>524</v>
      </c>
      <c r="E529" s="34" t="s">
        <v>221</v>
      </c>
      <c r="BY529" s="1" t="s">
        <v>474</v>
      </c>
    </row>
    <row r="530" spans="1:83" x14ac:dyDescent="0.25">
      <c r="A530" s="1" t="s">
        <v>416</v>
      </c>
      <c r="B530" s="34" t="s">
        <v>225</v>
      </c>
      <c r="C530" s="1" t="s">
        <v>82</v>
      </c>
      <c r="D530" s="1" t="s">
        <v>628</v>
      </c>
      <c r="BW530" s="34" t="s">
        <v>224</v>
      </c>
    </row>
    <row r="531" spans="1:83" x14ac:dyDescent="0.25">
      <c r="A531" s="1" t="s">
        <v>416</v>
      </c>
      <c r="B531" s="34" t="s">
        <v>226</v>
      </c>
      <c r="C531" s="1" t="s">
        <v>82</v>
      </c>
      <c r="D531" s="1" t="s">
        <v>631</v>
      </c>
      <c r="BX531" s="34" t="s">
        <v>224</v>
      </c>
    </row>
    <row r="532" spans="1:83" x14ac:dyDescent="0.25">
      <c r="A532" s="1" t="s">
        <v>416</v>
      </c>
      <c r="B532" s="34" t="s">
        <v>238</v>
      </c>
      <c r="C532" s="1" t="s">
        <v>146</v>
      </c>
      <c r="D532" s="1" t="s">
        <v>525</v>
      </c>
      <c r="E532" s="34" t="s">
        <v>224</v>
      </c>
      <c r="BY532" s="1" t="s">
        <v>475</v>
      </c>
    </row>
    <row r="533" spans="1:83" x14ac:dyDescent="0.25">
      <c r="A533" s="1" t="s">
        <v>416</v>
      </c>
      <c r="B533" s="34" t="s">
        <v>239</v>
      </c>
      <c r="C533" s="1" t="s">
        <v>82</v>
      </c>
      <c r="D533" s="1" t="s">
        <v>632</v>
      </c>
      <c r="BW533" s="34" t="s">
        <v>238</v>
      </c>
    </row>
    <row r="534" spans="1:83" x14ac:dyDescent="0.25">
      <c r="A534" s="1" t="s">
        <v>416</v>
      </c>
      <c r="B534" s="34" t="s">
        <v>240</v>
      </c>
      <c r="C534" s="1" t="s">
        <v>82</v>
      </c>
      <c r="D534" s="1" t="s">
        <v>635</v>
      </c>
      <c r="BX534" s="34" t="s">
        <v>238</v>
      </c>
    </row>
    <row r="535" spans="1:83" x14ac:dyDescent="0.25">
      <c r="A535" s="1" t="s">
        <v>416</v>
      </c>
      <c r="B535" s="34" t="s">
        <v>256</v>
      </c>
      <c r="C535" s="1" t="s">
        <v>85</v>
      </c>
      <c r="D535" s="1" t="s">
        <v>526</v>
      </c>
      <c r="E535" s="34" t="s">
        <v>238</v>
      </c>
      <c r="BZ535" s="1" t="s">
        <v>126</v>
      </c>
      <c r="CA535" s="1" t="s">
        <v>449</v>
      </c>
    </row>
    <row r="536" spans="1:83" x14ac:dyDescent="0.25">
      <c r="A536" s="1" t="s">
        <v>416</v>
      </c>
      <c r="B536" s="34" t="s">
        <v>257</v>
      </c>
      <c r="C536" s="1" t="s">
        <v>82</v>
      </c>
      <c r="D536" s="1" t="s">
        <v>540</v>
      </c>
      <c r="BW536" s="34" t="s">
        <v>256</v>
      </c>
    </row>
    <row r="537" spans="1:83" x14ac:dyDescent="0.25">
      <c r="A537" s="1" t="s">
        <v>416</v>
      </c>
      <c r="B537" s="34" t="s">
        <v>258</v>
      </c>
      <c r="C537" s="1" t="s">
        <v>82</v>
      </c>
      <c r="D537" s="1" t="s">
        <v>627</v>
      </c>
      <c r="BW537" s="34" t="s">
        <v>256</v>
      </c>
      <c r="CC537" t="s">
        <v>342</v>
      </c>
    </row>
    <row r="538" spans="1:83" x14ac:dyDescent="0.25">
      <c r="A538" s="1" t="s">
        <v>416</v>
      </c>
      <c r="B538" s="34" t="s">
        <v>259</v>
      </c>
      <c r="C538" s="1" t="s">
        <v>82</v>
      </c>
      <c r="D538" s="1" t="s">
        <v>631</v>
      </c>
      <c r="BW538" s="34" t="s">
        <v>256</v>
      </c>
      <c r="CC538" t="s">
        <v>343</v>
      </c>
    </row>
    <row r="539" spans="1:83" x14ac:dyDescent="0.25">
      <c r="A539" s="1" t="s">
        <v>416</v>
      </c>
      <c r="B539" s="34" t="s">
        <v>308</v>
      </c>
      <c r="C539" s="1" t="s">
        <v>82</v>
      </c>
      <c r="D539" s="1" t="s">
        <v>635</v>
      </c>
      <c r="BW539" s="34" t="s">
        <v>256</v>
      </c>
      <c r="CC539" t="s">
        <v>344</v>
      </c>
    </row>
    <row r="540" spans="1:83" x14ac:dyDescent="0.25">
      <c r="A540" s="1" t="s">
        <v>416</v>
      </c>
      <c r="B540" s="34" t="s">
        <v>260</v>
      </c>
      <c r="C540" s="1" t="s">
        <v>82</v>
      </c>
      <c r="D540" s="1" t="s">
        <v>637</v>
      </c>
      <c r="BX540" s="34" t="s">
        <v>256</v>
      </c>
      <c r="CC540" t="s">
        <v>345</v>
      </c>
    </row>
    <row r="541" spans="1:83" x14ac:dyDescent="0.25">
      <c r="A541" s="1" t="s">
        <v>416</v>
      </c>
      <c r="B541" s="34" t="s">
        <v>222</v>
      </c>
      <c r="C541" s="1" t="s">
        <v>83</v>
      </c>
      <c r="D541" s="1" t="s">
        <v>125</v>
      </c>
      <c r="E541" s="34" t="s">
        <v>256</v>
      </c>
    </row>
    <row r="542" spans="1:83" x14ac:dyDescent="0.25">
      <c r="A542" s="1" t="s">
        <v>417</v>
      </c>
      <c r="B542" s="34" t="s">
        <v>217</v>
      </c>
      <c r="C542" s="1" t="s">
        <v>81</v>
      </c>
      <c r="D542" s="1" t="s">
        <v>125</v>
      </c>
    </row>
    <row r="543" spans="1:83" x14ac:dyDescent="0.25">
      <c r="A543" s="1" t="s">
        <v>417</v>
      </c>
      <c r="B543" s="34" t="s">
        <v>218</v>
      </c>
      <c r="C543" s="1" t="s">
        <v>85</v>
      </c>
      <c r="D543" s="1" t="s">
        <v>527</v>
      </c>
      <c r="E543" s="34" t="s">
        <v>217</v>
      </c>
      <c r="BZ543" s="1" t="s">
        <v>126</v>
      </c>
      <c r="CA543" s="1" t="s">
        <v>450</v>
      </c>
      <c r="CE543" t="s">
        <v>127</v>
      </c>
    </row>
    <row r="544" spans="1:83" x14ac:dyDescent="0.25">
      <c r="A544" s="1" t="s">
        <v>417</v>
      </c>
      <c r="B544" s="34" t="s">
        <v>205</v>
      </c>
      <c r="C544" s="1" t="s">
        <v>82</v>
      </c>
      <c r="D544" s="1" t="s">
        <v>540</v>
      </c>
      <c r="BW544" s="34" t="s">
        <v>218</v>
      </c>
    </row>
    <row r="545" spans="1:83" x14ac:dyDescent="0.25">
      <c r="A545" s="1" t="s">
        <v>417</v>
      </c>
      <c r="B545" s="34" t="s">
        <v>353</v>
      </c>
      <c r="C545" s="1" t="s">
        <v>82</v>
      </c>
      <c r="D545" s="1" t="s">
        <v>478</v>
      </c>
      <c r="BW545" s="34" t="s">
        <v>218</v>
      </c>
      <c r="CB545" s="1" t="s">
        <v>129</v>
      </c>
      <c r="CC545" t="s">
        <v>291</v>
      </c>
    </row>
    <row r="546" spans="1:83" x14ac:dyDescent="0.25">
      <c r="A546" s="1" t="s">
        <v>417</v>
      </c>
      <c r="B546" s="34" t="s">
        <v>354</v>
      </c>
      <c r="C546" s="1" t="s">
        <v>82</v>
      </c>
      <c r="D546" s="1" t="s">
        <v>638</v>
      </c>
      <c r="BW546" s="34" t="s">
        <v>218</v>
      </c>
    </row>
    <row r="547" spans="1:83" x14ac:dyDescent="0.25">
      <c r="A547" s="1" t="s">
        <v>417</v>
      </c>
      <c r="B547" s="34" t="s">
        <v>355</v>
      </c>
      <c r="C547" s="1" t="s">
        <v>82</v>
      </c>
      <c r="D547" s="1" t="s">
        <v>639</v>
      </c>
      <c r="BW547" s="34" t="s">
        <v>218</v>
      </c>
      <c r="CC547" t="s">
        <v>356</v>
      </c>
    </row>
    <row r="548" spans="1:83" x14ac:dyDescent="0.25">
      <c r="A548" s="1" t="s">
        <v>417</v>
      </c>
      <c r="B548" s="34" t="s">
        <v>363</v>
      </c>
      <c r="C548" s="1" t="s">
        <v>82</v>
      </c>
      <c r="D548" s="1" t="s">
        <v>640</v>
      </c>
      <c r="BW548" s="34" t="s">
        <v>218</v>
      </c>
      <c r="CC548" t="s">
        <v>364</v>
      </c>
    </row>
    <row r="549" spans="1:83" x14ac:dyDescent="0.25">
      <c r="A549" s="1" t="s">
        <v>417</v>
      </c>
      <c r="B549" s="34" t="s">
        <v>206</v>
      </c>
      <c r="C549" s="1" t="s">
        <v>82</v>
      </c>
      <c r="D549" s="1" t="s">
        <v>641</v>
      </c>
      <c r="BX549" s="34" t="s">
        <v>218</v>
      </c>
      <c r="CC549" t="s">
        <v>358</v>
      </c>
    </row>
    <row r="550" spans="1:83" x14ac:dyDescent="0.25">
      <c r="A550" s="1" t="s">
        <v>417</v>
      </c>
      <c r="B550" s="34" t="s">
        <v>359</v>
      </c>
      <c r="C550" s="1" t="s">
        <v>82</v>
      </c>
      <c r="D550" s="1" t="s">
        <v>642</v>
      </c>
      <c r="BX550" s="34" t="s">
        <v>218</v>
      </c>
      <c r="CC550" t="s">
        <v>357</v>
      </c>
    </row>
    <row r="551" spans="1:83" x14ac:dyDescent="0.25">
      <c r="A551" s="1" t="s">
        <v>417</v>
      </c>
      <c r="B551" s="34" t="s">
        <v>219</v>
      </c>
      <c r="C551" s="1" t="s">
        <v>85</v>
      </c>
      <c r="D551" s="1" t="s">
        <v>487</v>
      </c>
      <c r="E551" s="34" t="s">
        <v>218</v>
      </c>
      <c r="BZ551" s="1" t="s">
        <v>126</v>
      </c>
      <c r="CA551" s="1" t="s">
        <v>425</v>
      </c>
    </row>
    <row r="552" spans="1:83" x14ac:dyDescent="0.25">
      <c r="A552" s="1" t="s">
        <v>417</v>
      </c>
      <c r="B552" s="34" t="s">
        <v>211</v>
      </c>
      <c r="C552" s="1" t="s">
        <v>82</v>
      </c>
      <c r="D552" s="1" t="s">
        <v>540</v>
      </c>
      <c r="BW552" s="34" t="s">
        <v>219</v>
      </c>
    </row>
    <row r="553" spans="1:83" x14ac:dyDescent="0.25">
      <c r="A553" s="1" t="s">
        <v>417</v>
      </c>
      <c r="B553" s="34" t="s">
        <v>212</v>
      </c>
      <c r="C553" s="1" t="s">
        <v>82</v>
      </c>
      <c r="D553" s="1" t="s">
        <v>642</v>
      </c>
      <c r="BW553" s="34" t="s">
        <v>219</v>
      </c>
    </row>
    <row r="554" spans="1:83" x14ac:dyDescent="0.25">
      <c r="A554" s="1" t="s">
        <v>417</v>
      </c>
      <c r="B554" s="34" t="s">
        <v>242</v>
      </c>
      <c r="C554" s="1" t="s">
        <v>82</v>
      </c>
      <c r="D554" s="1" t="s">
        <v>641</v>
      </c>
      <c r="BW554" s="34" t="s">
        <v>219</v>
      </c>
      <c r="CC554" t="s">
        <v>144</v>
      </c>
    </row>
    <row r="555" spans="1:83" x14ac:dyDescent="0.25">
      <c r="A555" s="1" t="s">
        <v>417</v>
      </c>
      <c r="B555" s="34" t="s">
        <v>213</v>
      </c>
      <c r="C555" s="1" t="s">
        <v>82</v>
      </c>
      <c r="D555" s="1" t="s">
        <v>643</v>
      </c>
      <c r="BX555" s="34" t="s">
        <v>219</v>
      </c>
      <c r="CC555" t="s">
        <v>145</v>
      </c>
    </row>
    <row r="556" spans="1:83" x14ac:dyDescent="0.25">
      <c r="A556" s="1" t="s">
        <v>417</v>
      </c>
      <c r="B556" s="34" t="s">
        <v>220</v>
      </c>
      <c r="C556" s="1" t="s">
        <v>85</v>
      </c>
      <c r="D556" s="1" t="s">
        <v>528</v>
      </c>
      <c r="E556" s="34" t="s">
        <v>219</v>
      </c>
      <c r="BZ556" s="1" t="s">
        <v>126</v>
      </c>
      <c r="CA556" s="1" t="s">
        <v>451</v>
      </c>
      <c r="CE556" t="s">
        <v>127</v>
      </c>
    </row>
    <row r="557" spans="1:83" x14ac:dyDescent="0.25">
      <c r="A557" s="1" t="s">
        <v>417</v>
      </c>
      <c r="B557" s="34" t="s">
        <v>207</v>
      </c>
      <c r="C557" s="1" t="s">
        <v>82</v>
      </c>
      <c r="D557" s="1" t="s">
        <v>540</v>
      </c>
      <c r="BW557" s="34" t="s">
        <v>220</v>
      </c>
    </row>
    <row r="558" spans="1:83" x14ac:dyDescent="0.25">
      <c r="A558" s="1" t="s">
        <v>417</v>
      </c>
      <c r="B558" s="34" t="s">
        <v>208</v>
      </c>
      <c r="C558" s="1" t="s">
        <v>82</v>
      </c>
      <c r="D558" s="1" t="s">
        <v>644</v>
      </c>
      <c r="BW558" s="34" t="s">
        <v>220</v>
      </c>
      <c r="CB558" s="1" t="s">
        <v>129</v>
      </c>
      <c r="CC558" t="s">
        <v>360</v>
      </c>
    </row>
    <row r="559" spans="1:83" x14ac:dyDescent="0.25">
      <c r="A559" s="1" t="s">
        <v>417</v>
      </c>
      <c r="B559" s="34" t="s">
        <v>209</v>
      </c>
      <c r="C559" s="1" t="s">
        <v>82</v>
      </c>
      <c r="D559" s="1" t="s">
        <v>643</v>
      </c>
      <c r="BW559" s="34" t="s">
        <v>220</v>
      </c>
      <c r="CC559" t="s">
        <v>184</v>
      </c>
      <c r="CD559" t="s">
        <v>129</v>
      </c>
    </row>
    <row r="560" spans="1:83" x14ac:dyDescent="0.25">
      <c r="A560" s="1" t="s">
        <v>417</v>
      </c>
      <c r="B560" s="34" t="s">
        <v>232</v>
      </c>
      <c r="C560" s="1" t="s">
        <v>82</v>
      </c>
      <c r="D560" s="1" t="s">
        <v>641</v>
      </c>
      <c r="BW560" s="34" t="s">
        <v>220</v>
      </c>
      <c r="CC560" t="s">
        <v>356</v>
      </c>
    </row>
    <row r="561" spans="1:81" x14ac:dyDescent="0.25">
      <c r="A561" s="1" t="s">
        <v>417</v>
      </c>
      <c r="B561" s="34" t="s">
        <v>233</v>
      </c>
      <c r="C561" s="1" t="s">
        <v>82</v>
      </c>
      <c r="D561" s="1" t="s">
        <v>645</v>
      </c>
      <c r="BW561" s="34" t="s">
        <v>220</v>
      </c>
      <c r="CC561" t="s">
        <v>361</v>
      </c>
    </row>
    <row r="562" spans="1:81" x14ac:dyDescent="0.25">
      <c r="A562" s="1" t="s">
        <v>417</v>
      </c>
      <c r="B562" s="34" t="s">
        <v>234</v>
      </c>
      <c r="C562" s="1" t="s">
        <v>82</v>
      </c>
      <c r="D562" s="1" t="s">
        <v>642</v>
      </c>
      <c r="BW562" s="34" t="s">
        <v>220</v>
      </c>
      <c r="CC562" t="s">
        <v>362</v>
      </c>
    </row>
    <row r="563" spans="1:81" x14ac:dyDescent="0.25">
      <c r="A563" s="1" t="s">
        <v>417</v>
      </c>
      <c r="B563" s="34" t="s">
        <v>210</v>
      </c>
      <c r="C563" s="1" t="s">
        <v>82</v>
      </c>
      <c r="D563" s="1" t="s">
        <v>646</v>
      </c>
      <c r="BX563" s="34" t="s">
        <v>220</v>
      </c>
      <c r="CC563" t="s">
        <v>223</v>
      </c>
    </row>
    <row r="564" spans="1:81" x14ac:dyDescent="0.25">
      <c r="A564" s="1" t="s">
        <v>417</v>
      </c>
      <c r="B564" s="34" t="s">
        <v>221</v>
      </c>
      <c r="C564" s="1" t="s">
        <v>85</v>
      </c>
      <c r="D564" s="1" t="s">
        <v>489</v>
      </c>
      <c r="E564" s="34" t="s">
        <v>220</v>
      </c>
      <c r="BZ564" s="1" t="s">
        <v>126</v>
      </c>
      <c r="CA564" s="1" t="s">
        <v>427</v>
      </c>
    </row>
    <row r="565" spans="1:81" x14ac:dyDescent="0.25">
      <c r="A565" s="1" t="s">
        <v>417</v>
      </c>
      <c r="B565" s="34" t="s">
        <v>214</v>
      </c>
      <c r="C565" s="1" t="s">
        <v>82</v>
      </c>
      <c r="D565" s="1" t="s">
        <v>540</v>
      </c>
      <c r="BW565" s="34" t="s">
        <v>221</v>
      </c>
    </row>
    <row r="566" spans="1:81" x14ac:dyDescent="0.25">
      <c r="A566" s="1" t="s">
        <v>417</v>
      </c>
      <c r="B566" s="34" t="s">
        <v>215</v>
      </c>
      <c r="C566" s="1" t="s">
        <v>82</v>
      </c>
      <c r="D566" s="1" t="s">
        <v>646</v>
      </c>
      <c r="BW566" s="34" t="s">
        <v>221</v>
      </c>
      <c r="CC566" t="s">
        <v>130</v>
      </c>
    </row>
    <row r="567" spans="1:81" x14ac:dyDescent="0.25">
      <c r="A567" s="1" t="s">
        <v>417</v>
      </c>
      <c r="B567" s="34" t="s">
        <v>216</v>
      </c>
      <c r="C567" s="1" t="s">
        <v>82</v>
      </c>
      <c r="D567" s="1" t="s">
        <v>647</v>
      </c>
      <c r="BX567" s="34" t="s">
        <v>221</v>
      </c>
      <c r="CC567" t="s">
        <v>131</v>
      </c>
    </row>
    <row r="568" spans="1:81" x14ac:dyDescent="0.25">
      <c r="A568" s="1" t="s">
        <v>417</v>
      </c>
      <c r="B568" s="34" t="s">
        <v>222</v>
      </c>
      <c r="C568" s="1" t="s">
        <v>83</v>
      </c>
      <c r="D568" s="1" t="s">
        <v>125</v>
      </c>
      <c r="E568" s="34" t="s">
        <v>221</v>
      </c>
    </row>
    <row r="569" spans="1:81" x14ac:dyDescent="0.25">
      <c r="A569" s="1" t="s">
        <v>418</v>
      </c>
      <c r="B569" s="34" t="s">
        <v>217</v>
      </c>
      <c r="C569" s="1" t="s">
        <v>81</v>
      </c>
      <c r="D569" s="1" t="s">
        <v>125</v>
      </c>
    </row>
    <row r="570" spans="1:81" x14ac:dyDescent="0.25">
      <c r="A570" s="1" t="s">
        <v>418</v>
      </c>
      <c r="B570" s="34" t="s">
        <v>218</v>
      </c>
      <c r="C570" s="1" t="s">
        <v>146</v>
      </c>
      <c r="D570" s="1" t="s">
        <v>479</v>
      </c>
      <c r="E570" s="34" t="s">
        <v>217</v>
      </c>
      <c r="BY570" s="1" t="s">
        <v>456</v>
      </c>
    </row>
    <row r="571" spans="1:81" x14ac:dyDescent="0.25">
      <c r="A571" s="1" t="s">
        <v>418</v>
      </c>
      <c r="B571" s="34" t="s">
        <v>205</v>
      </c>
      <c r="C571" s="1" t="s">
        <v>82</v>
      </c>
      <c r="D571" s="1" t="s">
        <v>535</v>
      </c>
      <c r="BW571" s="34" t="s">
        <v>218</v>
      </c>
    </row>
    <row r="572" spans="1:81" x14ac:dyDescent="0.25">
      <c r="A572" s="1" t="s">
        <v>418</v>
      </c>
      <c r="B572" s="34" t="s">
        <v>219</v>
      </c>
      <c r="C572" s="1" t="s">
        <v>146</v>
      </c>
      <c r="D572" s="1" t="s">
        <v>529</v>
      </c>
      <c r="E572" s="34" t="s">
        <v>218</v>
      </c>
      <c r="BY572" s="1" t="s">
        <v>476</v>
      </c>
    </row>
    <row r="573" spans="1:81" x14ac:dyDescent="0.25">
      <c r="A573" s="1" t="s">
        <v>418</v>
      </c>
      <c r="B573" s="34" t="s">
        <v>211</v>
      </c>
      <c r="C573" s="1" t="s">
        <v>82</v>
      </c>
      <c r="D573" s="1" t="s">
        <v>638</v>
      </c>
      <c r="BW573" s="34" t="s">
        <v>219</v>
      </c>
    </row>
    <row r="574" spans="1:81" x14ac:dyDescent="0.25">
      <c r="A574" s="1" t="s">
        <v>418</v>
      </c>
      <c r="B574" s="34" t="s">
        <v>212</v>
      </c>
      <c r="C574" s="1" t="s">
        <v>82</v>
      </c>
      <c r="D574" s="1" t="s">
        <v>640</v>
      </c>
      <c r="BW574" s="34" t="s">
        <v>219</v>
      </c>
    </row>
    <row r="575" spans="1:81" x14ac:dyDescent="0.25">
      <c r="A575" s="1" t="s">
        <v>418</v>
      </c>
      <c r="B575" s="34" t="s">
        <v>213</v>
      </c>
      <c r="C575" s="1" t="s">
        <v>82</v>
      </c>
      <c r="D575" s="1" t="s">
        <v>647</v>
      </c>
      <c r="BX575" s="34" t="s">
        <v>219</v>
      </c>
    </row>
    <row r="576" spans="1:81" x14ac:dyDescent="0.25">
      <c r="A576" s="1" t="s">
        <v>418</v>
      </c>
      <c r="B576" s="34" t="s">
        <v>222</v>
      </c>
      <c r="C576" s="1" t="s">
        <v>83</v>
      </c>
      <c r="D576" s="1" t="s">
        <v>125</v>
      </c>
      <c r="E576" s="34" t="s">
        <v>219</v>
      </c>
    </row>
    <row r="577" spans="1:81" x14ac:dyDescent="0.25">
      <c r="A577" s="1" t="s">
        <v>419</v>
      </c>
      <c r="B577" s="34" t="s">
        <v>217</v>
      </c>
      <c r="C577" s="1" t="s">
        <v>81</v>
      </c>
      <c r="D577" s="1" t="s">
        <v>125</v>
      </c>
    </row>
    <row r="578" spans="1:81" x14ac:dyDescent="0.25">
      <c r="A578" s="1" t="s">
        <v>419</v>
      </c>
      <c r="B578" s="34" t="s">
        <v>219</v>
      </c>
      <c r="C578" s="1" t="s">
        <v>146</v>
      </c>
      <c r="D578" s="1" t="s">
        <v>479</v>
      </c>
      <c r="E578" s="34" t="s">
        <v>217</v>
      </c>
      <c r="BY578" s="1" t="s">
        <v>456</v>
      </c>
    </row>
    <row r="579" spans="1:81" x14ac:dyDescent="0.25">
      <c r="A579" s="1" t="s">
        <v>419</v>
      </c>
      <c r="B579" s="34" t="s">
        <v>220</v>
      </c>
      <c r="C579" s="1" t="s">
        <v>146</v>
      </c>
      <c r="D579" s="1" t="s">
        <v>507</v>
      </c>
      <c r="E579" s="34" t="s">
        <v>219</v>
      </c>
      <c r="BY579" s="1" t="s">
        <v>464</v>
      </c>
    </row>
    <row r="580" spans="1:81" x14ac:dyDescent="0.25">
      <c r="A580" s="1" t="s">
        <v>419</v>
      </c>
      <c r="B580" s="34" t="s">
        <v>210</v>
      </c>
      <c r="C580" s="1" t="s">
        <v>82</v>
      </c>
      <c r="D580" s="1" t="s">
        <v>585</v>
      </c>
      <c r="BX580" s="34" t="s">
        <v>220</v>
      </c>
    </row>
    <row r="581" spans="1:81" x14ac:dyDescent="0.25">
      <c r="A581" s="1" t="s">
        <v>419</v>
      </c>
      <c r="B581" s="34" t="s">
        <v>224</v>
      </c>
      <c r="C581" s="1" t="s">
        <v>85</v>
      </c>
      <c r="D581" s="1" t="s">
        <v>530</v>
      </c>
      <c r="E581" s="34" t="s">
        <v>220</v>
      </c>
      <c r="BZ581" s="1" t="s">
        <v>126</v>
      </c>
      <c r="CA581" s="1" t="s">
        <v>452</v>
      </c>
    </row>
    <row r="582" spans="1:81" x14ac:dyDescent="0.25">
      <c r="A582" s="1" t="s">
        <v>419</v>
      </c>
      <c r="B582" s="34" t="s">
        <v>225</v>
      </c>
      <c r="C582" s="1" t="s">
        <v>82</v>
      </c>
      <c r="D582" s="1" t="s">
        <v>585</v>
      </c>
      <c r="BW582" s="34" t="s">
        <v>224</v>
      </c>
    </row>
    <row r="583" spans="1:81" x14ac:dyDescent="0.25">
      <c r="A583" s="1" t="s">
        <v>419</v>
      </c>
      <c r="B583" s="34" t="s">
        <v>229</v>
      </c>
      <c r="C583" s="1" t="s">
        <v>82</v>
      </c>
      <c r="D583" s="1" t="s">
        <v>563</v>
      </c>
      <c r="BX583" s="34" t="s">
        <v>224</v>
      </c>
      <c r="CC583" t="s">
        <v>310</v>
      </c>
    </row>
    <row r="584" spans="1:81" x14ac:dyDescent="0.25">
      <c r="A584" s="1" t="s">
        <v>419</v>
      </c>
      <c r="B584" s="34" t="s">
        <v>230</v>
      </c>
      <c r="C584" s="1" t="s">
        <v>82</v>
      </c>
      <c r="D584" s="1" t="s">
        <v>564</v>
      </c>
      <c r="BX584" s="34" t="s">
        <v>224</v>
      </c>
      <c r="CC584" t="s">
        <v>311</v>
      </c>
    </row>
    <row r="585" spans="1:81" x14ac:dyDescent="0.25">
      <c r="A585" s="1" t="s">
        <v>419</v>
      </c>
      <c r="B585" s="43" t="s">
        <v>238</v>
      </c>
      <c r="C585" s="1" t="s">
        <v>146</v>
      </c>
      <c r="D585" s="1" t="s">
        <v>501</v>
      </c>
      <c r="E585" s="34" t="s">
        <v>224</v>
      </c>
      <c r="BY585" s="1" t="s">
        <v>463</v>
      </c>
    </row>
    <row r="586" spans="1:81" x14ac:dyDescent="0.25">
      <c r="A586" s="1" t="s">
        <v>419</v>
      </c>
      <c r="B586" s="43" t="s">
        <v>239</v>
      </c>
      <c r="C586" s="26" t="s">
        <v>82</v>
      </c>
      <c r="D586" s="26" t="s">
        <v>565</v>
      </c>
      <c r="BW586" s="43" t="s">
        <v>238</v>
      </c>
    </row>
    <row r="587" spans="1:81" x14ac:dyDescent="0.25">
      <c r="A587" s="1" t="s">
        <v>419</v>
      </c>
      <c r="B587" s="43" t="s">
        <v>249</v>
      </c>
      <c r="C587" s="26" t="s">
        <v>85</v>
      </c>
      <c r="D587" s="1" t="s">
        <v>502</v>
      </c>
      <c r="E587" s="43" t="s">
        <v>238</v>
      </c>
      <c r="BW587" s="43"/>
      <c r="BZ587" s="1" t="s">
        <v>126</v>
      </c>
      <c r="CA587" s="1" t="s">
        <v>437</v>
      </c>
    </row>
    <row r="588" spans="1:81" x14ac:dyDescent="0.25">
      <c r="A588" s="1" t="s">
        <v>419</v>
      </c>
      <c r="B588" s="43" t="s">
        <v>250</v>
      </c>
      <c r="C588" s="26" t="s">
        <v>82</v>
      </c>
      <c r="D588" s="46" t="s">
        <v>540</v>
      </c>
      <c r="BW588" s="43" t="s">
        <v>249</v>
      </c>
      <c r="BX588" s="43"/>
    </row>
    <row r="589" spans="1:81" x14ac:dyDescent="0.25">
      <c r="A589" s="1" t="s">
        <v>419</v>
      </c>
      <c r="B589" s="34" t="s">
        <v>251</v>
      </c>
      <c r="C589" s="1" t="s">
        <v>82</v>
      </c>
      <c r="D589" s="1" t="s">
        <v>541</v>
      </c>
      <c r="BW589" s="34" t="s">
        <v>249</v>
      </c>
      <c r="BX589" s="43"/>
      <c r="CC589" t="s">
        <v>296</v>
      </c>
    </row>
    <row r="590" spans="1:81" x14ac:dyDescent="0.25">
      <c r="A590" s="1" t="s">
        <v>419</v>
      </c>
      <c r="B590" s="34" t="s">
        <v>252</v>
      </c>
      <c r="C590" s="1" t="s">
        <v>82</v>
      </c>
      <c r="D590" s="1" t="s">
        <v>574</v>
      </c>
      <c r="BW590" s="34" t="s">
        <v>249</v>
      </c>
    </row>
    <row r="591" spans="1:81" x14ac:dyDescent="0.25">
      <c r="A591" s="1" t="s">
        <v>419</v>
      </c>
      <c r="B591" s="43" t="s">
        <v>365</v>
      </c>
      <c r="C591" s="26" t="s">
        <v>82</v>
      </c>
      <c r="D591" s="26" t="s">
        <v>565</v>
      </c>
      <c r="BW591" s="43" t="s">
        <v>249</v>
      </c>
    </row>
    <row r="592" spans="1:81" x14ac:dyDescent="0.25">
      <c r="A592" s="1" t="s">
        <v>419</v>
      </c>
      <c r="B592" s="34" t="s">
        <v>253</v>
      </c>
      <c r="C592" s="1" t="s">
        <v>82</v>
      </c>
      <c r="D592" s="1" t="s">
        <v>542</v>
      </c>
      <c r="BX592" s="34" t="s">
        <v>249</v>
      </c>
      <c r="CC592" t="s">
        <v>297</v>
      </c>
    </row>
    <row r="593" spans="1:81" x14ac:dyDescent="0.25">
      <c r="A593" s="1" t="s">
        <v>419</v>
      </c>
      <c r="B593" s="34" t="s">
        <v>254</v>
      </c>
      <c r="C593" s="1" t="s">
        <v>146</v>
      </c>
      <c r="D593" s="1" t="s">
        <v>481</v>
      </c>
      <c r="E593" s="34" t="s">
        <v>249</v>
      </c>
      <c r="BY593" s="1" t="s">
        <v>458</v>
      </c>
    </row>
    <row r="594" spans="1:81" x14ac:dyDescent="0.25">
      <c r="A594" s="1" t="s">
        <v>419</v>
      </c>
      <c r="B594" s="34" t="s">
        <v>255</v>
      </c>
      <c r="C594" s="1" t="s">
        <v>82</v>
      </c>
      <c r="D594" s="1" t="s">
        <v>536</v>
      </c>
      <c r="BX594" s="34" t="s">
        <v>254</v>
      </c>
    </row>
    <row r="595" spans="1:81" x14ac:dyDescent="0.25">
      <c r="A595" s="1" t="s">
        <v>419</v>
      </c>
      <c r="B595" s="34" t="s">
        <v>256</v>
      </c>
      <c r="C595" s="1" t="s">
        <v>85</v>
      </c>
      <c r="D595" s="1" t="s">
        <v>503</v>
      </c>
      <c r="E595" s="34" t="s">
        <v>254</v>
      </c>
      <c r="BZ595" s="1" t="s">
        <v>126</v>
      </c>
      <c r="CA595" s="1" t="s">
        <v>438</v>
      </c>
    </row>
    <row r="596" spans="1:81" x14ac:dyDescent="0.25">
      <c r="A596" s="1" t="s">
        <v>419</v>
      </c>
      <c r="B596" s="34" t="s">
        <v>257</v>
      </c>
      <c r="C596" s="1" t="s">
        <v>82</v>
      </c>
      <c r="D596" s="1" t="s">
        <v>540</v>
      </c>
      <c r="BW596" s="34" t="s">
        <v>256</v>
      </c>
    </row>
    <row r="597" spans="1:81" x14ac:dyDescent="0.25">
      <c r="A597" s="1" t="s">
        <v>419</v>
      </c>
      <c r="B597" s="34" t="s">
        <v>258</v>
      </c>
      <c r="C597" s="1" t="s">
        <v>82</v>
      </c>
      <c r="D597" s="1" t="s">
        <v>543</v>
      </c>
      <c r="BW597" s="34" t="s">
        <v>256</v>
      </c>
      <c r="CC597" t="s">
        <v>280</v>
      </c>
    </row>
    <row r="598" spans="1:81" x14ac:dyDescent="0.25">
      <c r="A598" s="1" t="s">
        <v>419</v>
      </c>
      <c r="B598" s="34" t="s">
        <v>259</v>
      </c>
      <c r="C598" s="1" t="s">
        <v>82</v>
      </c>
      <c r="D598" s="1" t="s">
        <v>536</v>
      </c>
      <c r="BW598" s="34" t="s">
        <v>256</v>
      </c>
      <c r="CC598" t="s">
        <v>298</v>
      </c>
    </row>
    <row r="599" spans="1:81" x14ac:dyDescent="0.25">
      <c r="A599" s="1" t="s">
        <v>419</v>
      </c>
      <c r="B599" s="34" t="s">
        <v>260</v>
      </c>
      <c r="C599" s="1" t="s">
        <v>82</v>
      </c>
      <c r="D599" s="1" t="s">
        <v>544</v>
      </c>
      <c r="BX599" s="34" t="s">
        <v>256</v>
      </c>
      <c r="CC599" t="s">
        <v>282</v>
      </c>
    </row>
    <row r="600" spans="1:81" x14ac:dyDescent="0.25">
      <c r="A600" s="1" t="s">
        <v>419</v>
      </c>
      <c r="B600" s="34" t="s">
        <v>261</v>
      </c>
      <c r="C600" s="1" t="s">
        <v>146</v>
      </c>
      <c r="D600" s="1" t="s">
        <v>485</v>
      </c>
      <c r="E600" s="34" t="s">
        <v>256</v>
      </c>
      <c r="BY600" s="1" t="s">
        <v>460</v>
      </c>
    </row>
    <row r="601" spans="1:81" x14ac:dyDescent="0.25">
      <c r="A601" s="1" t="s">
        <v>419</v>
      </c>
      <c r="B601" s="34" t="s">
        <v>222</v>
      </c>
      <c r="C601" s="1" t="s">
        <v>83</v>
      </c>
      <c r="D601" s="1" t="s">
        <v>125</v>
      </c>
      <c r="E601" s="34" t="s">
        <v>261</v>
      </c>
    </row>
    <row r="602" spans="1:81" x14ac:dyDescent="0.25">
      <c r="A602" s="1" t="s">
        <v>420</v>
      </c>
      <c r="B602" s="34" t="s">
        <v>217</v>
      </c>
      <c r="C602" s="1" t="s">
        <v>81</v>
      </c>
      <c r="D602" s="1" t="s">
        <v>125</v>
      </c>
    </row>
    <row r="603" spans="1:81" x14ac:dyDescent="0.25">
      <c r="A603" s="1" t="s">
        <v>420</v>
      </c>
      <c r="B603" s="34" t="s">
        <v>219</v>
      </c>
      <c r="C603" s="1" t="s">
        <v>146</v>
      </c>
      <c r="D603" s="1" t="s">
        <v>479</v>
      </c>
      <c r="E603" s="34" t="s">
        <v>217</v>
      </c>
      <c r="BY603" s="1" t="s">
        <v>456</v>
      </c>
    </row>
    <row r="604" spans="1:81" x14ac:dyDescent="0.25">
      <c r="A604" s="1" t="s">
        <v>420</v>
      </c>
      <c r="B604" s="34" t="s">
        <v>221</v>
      </c>
      <c r="C604" s="1" t="s">
        <v>146</v>
      </c>
      <c r="D604" s="1" t="s">
        <v>499</v>
      </c>
      <c r="E604" s="34" t="s">
        <v>219</v>
      </c>
      <c r="BY604" s="1" t="s">
        <v>461</v>
      </c>
    </row>
    <row r="605" spans="1:81" x14ac:dyDescent="0.25">
      <c r="A605" s="1" t="s">
        <v>420</v>
      </c>
      <c r="B605" s="34" t="s">
        <v>238</v>
      </c>
      <c r="C605" s="1" t="s">
        <v>146</v>
      </c>
      <c r="D605" s="1" t="s">
        <v>531</v>
      </c>
      <c r="E605" s="34" t="s">
        <v>221</v>
      </c>
      <c r="BY605" s="1" t="s">
        <v>477</v>
      </c>
    </row>
    <row r="606" spans="1:81" x14ac:dyDescent="0.25">
      <c r="A606" s="1" t="s">
        <v>420</v>
      </c>
      <c r="B606" s="34" t="s">
        <v>239</v>
      </c>
      <c r="C606" s="1" t="s">
        <v>82</v>
      </c>
      <c r="D606" s="1" t="s">
        <v>565</v>
      </c>
      <c r="BW606" s="34" t="s">
        <v>238</v>
      </c>
    </row>
    <row r="607" spans="1:81" x14ac:dyDescent="0.25">
      <c r="A607" s="1" t="s">
        <v>420</v>
      </c>
      <c r="B607" s="34" t="s">
        <v>254</v>
      </c>
      <c r="C607" s="1" t="s">
        <v>146</v>
      </c>
      <c r="D607" s="1" t="s">
        <v>481</v>
      </c>
      <c r="E607" s="34" t="s">
        <v>238</v>
      </c>
      <c r="BY607" s="1" t="s">
        <v>458</v>
      </c>
    </row>
    <row r="608" spans="1:81" x14ac:dyDescent="0.25">
      <c r="A608" s="1" t="s">
        <v>420</v>
      </c>
      <c r="B608" s="34" t="s">
        <v>255</v>
      </c>
      <c r="C608" s="1" t="s">
        <v>82</v>
      </c>
      <c r="D608" s="1" t="s">
        <v>536</v>
      </c>
      <c r="BX608" s="34" t="s">
        <v>254</v>
      </c>
    </row>
    <row r="609" spans="1:83" x14ac:dyDescent="0.25">
      <c r="A609" s="1" t="s">
        <v>420</v>
      </c>
      <c r="B609" s="34" t="s">
        <v>256</v>
      </c>
      <c r="C609" s="1" t="s">
        <v>85</v>
      </c>
      <c r="D609" s="1" t="s">
        <v>503</v>
      </c>
      <c r="E609" s="34" t="s">
        <v>254</v>
      </c>
      <c r="BZ609" s="1" t="s">
        <v>126</v>
      </c>
      <c r="CA609" s="1" t="s">
        <v>438</v>
      </c>
    </row>
    <row r="610" spans="1:83" x14ac:dyDescent="0.25">
      <c r="A610" s="1" t="s">
        <v>420</v>
      </c>
      <c r="B610" s="34" t="s">
        <v>257</v>
      </c>
      <c r="C610" s="1" t="s">
        <v>82</v>
      </c>
      <c r="D610" s="1" t="s">
        <v>540</v>
      </c>
      <c r="BW610" s="34" t="s">
        <v>256</v>
      </c>
    </row>
    <row r="611" spans="1:83" x14ac:dyDescent="0.25">
      <c r="A611" s="1" t="s">
        <v>420</v>
      </c>
      <c r="B611" s="34" t="s">
        <v>258</v>
      </c>
      <c r="C611" s="1" t="s">
        <v>82</v>
      </c>
      <c r="D611" s="1" t="s">
        <v>543</v>
      </c>
      <c r="BW611" s="34" t="s">
        <v>256</v>
      </c>
      <c r="CC611" t="s">
        <v>280</v>
      </c>
    </row>
    <row r="612" spans="1:83" x14ac:dyDescent="0.25">
      <c r="A612" s="1" t="s">
        <v>420</v>
      </c>
      <c r="B612" s="34" t="s">
        <v>259</v>
      </c>
      <c r="C612" s="1" t="s">
        <v>82</v>
      </c>
      <c r="D612" s="1" t="s">
        <v>536</v>
      </c>
      <c r="BW612" s="34" t="s">
        <v>256</v>
      </c>
      <c r="CC612" t="s">
        <v>298</v>
      </c>
    </row>
    <row r="613" spans="1:83" x14ac:dyDescent="0.25">
      <c r="A613" s="1" t="s">
        <v>420</v>
      </c>
      <c r="B613" s="34" t="s">
        <v>260</v>
      </c>
      <c r="C613" s="1" t="s">
        <v>82</v>
      </c>
      <c r="D613" s="1" t="s">
        <v>544</v>
      </c>
      <c r="BX613" s="34" t="s">
        <v>256</v>
      </c>
      <c r="CC613" t="s">
        <v>282</v>
      </c>
    </row>
    <row r="614" spans="1:83" x14ac:dyDescent="0.25">
      <c r="A614" s="1" t="s">
        <v>420</v>
      </c>
      <c r="B614" s="34" t="s">
        <v>261</v>
      </c>
      <c r="C614" s="1" t="s">
        <v>146</v>
      </c>
      <c r="D614" s="1" t="s">
        <v>485</v>
      </c>
      <c r="E614" s="34" t="s">
        <v>256</v>
      </c>
      <c r="BY614" s="1" t="s">
        <v>460</v>
      </c>
    </row>
    <row r="615" spans="1:83" x14ac:dyDescent="0.25">
      <c r="A615" s="1" t="s">
        <v>420</v>
      </c>
      <c r="B615" s="34" t="s">
        <v>222</v>
      </c>
      <c r="C615" s="1" t="s">
        <v>83</v>
      </c>
      <c r="D615" s="1" t="s">
        <v>125</v>
      </c>
      <c r="E615" s="34" t="s">
        <v>261</v>
      </c>
    </row>
    <row r="616" spans="1:83" x14ac:dyDescent="0.25">
      <c r="A616" s="1" t="s">
        <v>421</v>
      </c>
      <c r="B616" s="34" t="s">
        <v>217</v>
      </c>
      <c r="C616" s="1" t="s">
        <v>81</v>
      </c>
      <c r="D616" s="1" t="s">
        <v>125</v>
      </c>
    </row>
    <row r="617" spans="1:83" x14ac:dyDescent="0.25">
      <c r="A617" s="1" t="s">
        <v>421</v>
      </c>
      <c r="B617" s="34" t="s">
        <v>218</v>
      </c>
      <c r="C617" s="1" t="s">
        <v>85</v>
      </c>
      <c r="D617" s="1" t="s">
        <v>532</v>
      </c>
      <c r="E617" s="34" t="s">
        <v>217</v>
      </c>
      <c r="BZ617" s="1" t="s">
        <v>126</v>
      </c>
      <c r="CA617" s="1" t="s">
        <v>453</v>
      </c>
      <c r="CE617" t="s">
        <v>127</v>
      </c>
    </row>
    <row r="618" spans="1:83" x14ac:dyDescent="0.25">
      <c r="A618" s="1" t="s">
        <v>421</v>
      </c>
      <c r="B618" s="34" t="s">
        <v>205</v>
      </c>
      <c r="C618" s="1" t="s">
        <v>82</v>
      </c>
      <c r="D618" s="1" t="s">
        <v>540</v>
      </c>
      <c r="BW618" s="34" t="s">
        <v>218</v>
      </c>
      <c r="CC618" t="s">
        <v>300</v>
      </c>
    </row>
    <row r="619" spans="1:83" x14ac:dyDescent="0.25">
      <c r="A619" s="1" t="s">
        <v>421</v>
      </c>
      <c r="B619" s="34" t="s">
        <v>353</v>
      </c>
      <c r="C619" s="1" t="s">
        <v>82</v>
      </c>
      <c r="D619" s="1" t="s">
        <v>565</v>
      </c>
      <c r="BW619" s="34" t="s">
        <v>218</v>
      </c>
    </row>
    <row r="620" spans="1:83" x14ac:dyDescent="0.25">
      <c r="A620" s="1" t="s">
        <v>421</v>
      </c>
      <c r="B620" s="34" t="s">
        <v>206</v>
      </c>
      <c r="C620" s="1" t="s">
        <v>82</v>
      </c>
      <c r="D620" s="1" t="s">
        <v>648</v>
      </c>
      <c r="BX620" s="34" t="s">
        <v>218</v>
      </c>
      <c r="CC620" t="s">
        <v>380</v>
      </c>
    </row>
    <row r="621" spans="1:83" x14ac:dyDescent="0.25">
      <c r="A621" s="1" t="s">
        <v>421</v>
      </c>
      <c r="B621" s="34" t="s">
        <v>359</v>
      </c>
      <c r="C621" s="1" t="s">
        <v>82</v>
      </c>
      <c r="D621" s="1" t="s">
        <v>649</v>
      </c>
      <c r="BX621" s="34" t="s">
        <v>218</v>
      </c>
      <c r="CC621" t="s">
        <v>381</v>
      </c>
    </row>
    <row r="622" spans="1:83" x14ac:dyDescent="0.25">
      <c r="A622" s="1" t="s">
        <v>421</v>
      </c>
      <c r="B622" s="34" t="s">
        <v>382</v>
      </c>
      <c r="C622" s="1" t="s">
        <v>82</v>
      </c>
      <c r="D622" s="1" t="s">
        <v>650</v>
      </c>
      <c r="BX622" s="34" t="s">
        <v>218</v>
      </c>
      <c r="CC622" t="s">
        <v>383</v>
      </c>
    </row>
    <row r="623" spans="1:83" x14ac:dyDescent="0.25">
      <c r="A623" s="1" t="s">
        <v>421</v>
      </c>
      <c r="B623" s="34" t="s">
        <v>219</v>
      </c>
      <c r="C623" s="1" t="s">
        <v>85</v>
      </c>
      <c r="D623" s="1" t="s">
        <v>487</v>
      </c>
      <c r="E623" s="34" t="s">
        <v>218</v>
      </c>
      <c r="BZ623" s="1" t="s">
        <v>126</v>
      </c>
      <c r="CA623" s="1" t="s">
        <v>425</v>
      </c>
    </row>
    <row r="624" spans="1:83" x14ac:dyDescent="0.25">
      <c r="A624" s="1" t="s">
        <v>421</v>
      </c>
      <c r="B624" s="34" t="s">
        <v>211</v>
      </c>
      <c r="C624" s="1" t="s">
        <v>82</v>
      </c>
      <c r="D624" s="1" t="s">
        <v>650</v>
      </c>
      <c r="BW624" s="34" t="s">
        <v>219</v>
      </c>
    </row>
    <row r="625" spans="1:83" x14ac:dyDescent="0.25">
      <c r="A625" s="1" t="s">
        <v>421</v>
      </c>
      <c r="B625" s="34" t="s">
        <v>212</v>
      </c>
      <c r="C625" s="1" t="s">
        <v>82</v>
      </c>
      <c r="D625" s="1" t="s">
        <v>649</v>
      </c>
      <c r="BW625" s="34" t="s">
        <v>219</v>
      </c>
      <c r="CC625" t="s">
        <v>144</v>
      </c>
    </row>
    <row r="626" spans="1:83" x14ac:dyDescent="0.25">
      <c r="A626" s="1" t="s">
        <v>421</v>
      </c>
      <c r="B626" s="34" t="s">
        <v>213</v>
      </c>
      <c r="C626" s="1" t="s">
        <v>82</v>
      </c>
      <c r="D626" s="1" t="s">
        <v>651</v>
      </c>
      <c r="BX626" s="34" t="s">
        <v>219</v>
      </c>
      <c r="CC626" t="s">
        <v>145</v>
      </c>
    </row>
    <row r="627" spans="1:83" x14ac:dyDescent="0.25">
      <c r="A627" s="1" t="s">
        <v>421</v>
      </c>
      <c r="B627" s="34" t="s">
        <v>220</v>
      </c>
      <c r="C627" s="1" t="s">
        <v>85</v>
      </c>
      <c r="D627" s="1" t="s">
        <v>533</v>
      </c>
      <c r="E627" s="34" t="s">
        <v>219</v>
      </c>
      <c r="BZ627" s="1" t="s">
        <v>126</v>
      </c>
      <c r="CA627" s="1" t="s">
        <v>454</v>
      </c>
      <c r="CE627" t="s">
        <v>127</v>
      </c>
    </row>
    <row r="628" spans="1:83" x14ac:dyDescent="0.25">
      <c r="A628" s="1" t="s">
        <v>421</v>
      </c>
      <c r="B628" s="34" t="s">
        <v>207</v>
      </c>
      <c r="C628" s="1" t="s">
        <v>82</v>
      </c>
      <c r="D628" s="1" t="s">
        <v>650</v>
      </c>
      <c r="BW628" s="34" t="s">
        <v>220</v>
      </c>
    </row>
    <row r="629" spans="1:83" x14ac:dyDescent="0.25">
      <c r="A629" s="1" t="s">
        <v>421</v>
      </c>
      <c r="B629" s="34" t="s">
        <v>208</v>
      </c>
      <c r="C629" s="1" t="s">
        <v>82</v>
      </c>
      <c r="D629" s="1" t="s">
        <v>651</v>
      </c>
      <c r="BW629" s="34" t="s">
        <v>220</v>
      </c>
      <c r="CC629" t="s">
        <v>184</v>
      </c>
      <c r="CD629" t="s">
        <v>129</v>
      </c>
    </row>
    <row r="630" spans="1:83" x14ac:dyDescent="0.25">
      <c r="A630" s="1" t="s">
        <v>421</v>
      </c>
      <c r="B630" s="34" t="s">
        <v>209</v>
      </c>
      <c r="C630" s="1" t="s">
        <v>82</v>
      </c>
      <c r="D630" s="1" t="s">
        <v>649</v>
      </c>
      <c r="BW630" s="34" t="s">
        <v>220</v>
      </c>
      <c r="CC630" t="s">
        <v>384</v>
      </c>
    </row>
    <row r="631" spans="1:83" x14ac:dyDescent="0.25">
      <c r="A631" s="1" t="s">
        <v>421</v>
      </c>
      <c r="B631" s="34" t="s">
        <v>232</v>
      </c>
      <c r="C631" s="1" t="s">
        <v>82</v>
      </c>
      <c r="D631" s="46" t="s">
        <v>565</v>
      </c>
      <c r="BW631" s="34" t="s">
        <v>220</v>
      </c>
    </row>
    <row r="632" spans="1:83" x14ac:dyDescent="0.25">
      <c r="A632" s="1" t="s">
        <v>421</v>
      </c>
      <c r="B632" s="34" t="s">
        <v>233</v>
      </c>
      <c r="C632" s="1" t="s">
        <v>82</v>
      </c>
      <c r="D632" s="46" t="s">
        <v>652</v>
      </c>
      <c r="BW632" s="34" t="s">
        <v>220</v>
      </c>
      <c r="CC632" t="s">
        <v>390</v>
      </c>
    </row>
    <row r="633" spans="1:83" x14ac:dyDescent="0.25">
      <c r="A633" s="1" t="s">
        <v>421</v>
      </c>
      <c r="B633" s="34" t="s">
        <v>234</v>
      </c>
      <c r="C633" s="1" t="s">
        <v>82</v>
      </c>
      <c r="D633" s="46" t="s">
        <v>571</v>
      </c>
      <c r="BW633" s="34" t="s">
        <v>220</v>
      </c>
      <c r="CC633" t="s">
        <v>286</v>
      </c>
    </row>
    <row r="634" spans="1:83" x14ac:dyDescent="0.25">
      <c r="A634" s="1" t="s">
        <v>421</v>
      </c>
      <c r="B634" s="34" t="s">
        <v>235</v>
      </c>
      <c r="C634" s="1" t="s">
        <v>82</v>
      </c>
      <c r="D634" s="46" t="s">
        <v>570</v>
      </c>
      <c r="BW634" s="34" t="s">
        <v>220</v>
      </c>
      <c r="CC634" t="s">
        <v>375</v>
      </c>
    </row>
    <row r="635" spans="1:83" x14ac:dyDescent="0.25">
      <c r="A635" s="1" t="s">
        <v>421</v>
      </c>
      <c r="B635" s="34" t="s">
        <v>241</v>
      </c>
      <c r="C635" s="1" t="s">
        <v>82</v>
      </c>
      <c r="D635" s="46" t="s">
        <v>566</v>
      </c>
      <c r="BW635" s="34" t="s">
        <v>220</v>
      </c>
      <c r="CC635" t="s">
        <v>315</v>
      </c>
    </row>
    <row r="636" spans="1:83" x14ac:dyDescent="0.25">
      <c r="A636" s="1" t="s">
        <v>421</v>
      </c>
      <c r="B636" s="34" t="s">
        <v>346</v>
      </c>
      <c r="C636" s="1" t="s">
        <v>82</v>
      </c>
      <c r="D636" s="46" t="s">
        <v>572</v>
      </c>
      <c r="BW636" s="34" t="s">
        <v>220</v>
      </c>
      <c r="CC636" t="s">
        <v>178</v>
      </c>
    </row>
    <row r="637" spans="1:83" x14ac:dyDescent="0.25">
      <c r="A637" s="1" t="s">
        <v>421</v>
      </c>
      <c r="B637" s="34" t="s">
        <v>372</v>
      </c>
      <c r="C637" s="1" t="s">
        <v>82</v>
      </c>
      <c r="D637" s="1" t="s">
        <v>563</v>
      </c>
      <c r="BW637" s="34" t="s">
        <v>220</v>
      </c>
      <c r="CC637" t="s">
        <v>313</v>
      </c>
    </row>
    <row r="638" spans="1:83" x14ac:dyDescent="0.25">
      <c r="A638" s="1" t="s">
        <v>421</v>
      </c>
      <c r="B638" s="34" t="s">
        <v>385</v>
      </c>
      <c r="C638" s="1" t="s">
        <v>82</v>
      </c>
      <c r="D638" s="1" t="s">
        <v>564</v>
      </c>
      <c r="BW638" s="34" t="s">
        <v>220</v>
      </c>
      <c r="CC638" t="s">
        <v>314</v>
      </c>
    </row>
    <row r="639" spans="1:83" x14ac:dyDescent="0.25">
      <c r="A639" s="1" t="s">
        <v>421</v>
      </c>
      <c r="B639" s="34" t="s">
        <v>389</v>
      </c>
      <c r="C639" s="1" t="s">
        <v>82</v>
      </c>
      <c r="D639" s="1" t="s">
        <v>478</v>
      </c>
      <c r="BW639" s="34" t="s">
        <v>220</v>
      </c>
      <c r="CB639" s="1" t="s">
        <v>129</v>
      </c>
      <c r="CC639" t="s">
        <v>291</v>
      </c>
    </row>
    <row r="640" spans="1:83" x14ac:dyDescent="0.25">
      <c r="A640" s="1" t="s">
        <v>421</v>
      </c>
      <c r="B640" s="34" t="s">
        <v>391</v>
      </c>
      <c r="C640" s="1" t="s">
        <v>82</v>
      </c>
      <c r="D640" s="1" t="s">
        <v>367</v>
      </c>
      <c r="BW640" s="34" t="s">
        <v>220</v>
      </c>
      <c r="CB640" s="1" t="s">
        <v>129</v>
      </c>
      <c r="CC640" t="s">
        <v>368</v>
      </c>
    </row>
    <row r="641" spans="1:83" x14ac:dyDescent="0.25">
      <c r="A641" s="1" t="s">
        <v>421</v>
      </c>
      <c r="B641" s="34" t="s">
        <v>210</v>
      </c>
      <c r="C641" s="1" t="s">
        <v>82</v>
      </c>
      <c r="D641" s="1" t="s">
        <v>653</v>
      </c>
      <c r="BX641" s="34" t="s">
        <v>220</v>
      </c>
      <c r="CC641" t="s">
        <v>386</v>
      </c>
    </row>
    <row r="642" spans="1:83" x14ac:dyDescent="0.25">
      <c r="A642" s="1" t="s">
        <v>421</v>
      </c>
      <c r="B642" s="34" t="s">
        <v>221</v>
      </c>
      <c r="C642" s="1" t="s">
        <v>85</v>
      </c>
      <c r="D642" s="1" t="s">
        <v>489</v>
      </c>
      <c r="E642" s="34" t="s">
        <v>220</v>
      </c>
      <c r="BZ642" s="1" t="s">
        <v>126</v>
      </c>
      <c r="CA642" s="1" t="s">
        <v>427</v>
      </c>
    </row>
    <row r="643" spans="1:83" x14ac:dyDescent="0.25">
      <c r="A643" s="1" t="s">
        <v>421</v>
      </c>
      <c r="B643" s="34" t="s">
        <v>214</v>
      </c>
      <c r="C643" s="1" t="s">
        <v>82</v>
      </c>
      <c r="D643" s="1" t="s">
        <v>650</v>
      </c>
      <c r="BW643" s="34" t="s">
        <v>221</v>
      </c>
    </row>
    <row r="644" spans="1:83" x14ac:dyDescent="0.25">
      <c r="A644" s="1" t="s">
        <v>421</v>
      </c>
      <c r="B644" s="34" t="s">
        <v>215</v>
      </c>
      <c r="C644" s="1" t="s">
        <v>82</v>
      </c>
      <c r="D644" s="1" t="s">
        <v>653</v>
      </c>
      <c r="BW644" s="34" t="s">
        <v>221</v>
      </c>
      <c r="CC644" t="s">
        <v>130</v>
      </c>
    </row>
    <row r="645" spans="1:83" x14ac:dyDescent="0.25">
      <c r="A645" s="1" t="s">
        <v>421</v>
      </c>
      <c r="B645" s="34" t="s">
        <v>216</v>
      </c>
      <c r="C645" s="1" t="s">
        <v>82</v>
      </c>
      <c r="D645" s="1" t="s">
        <v>654</v>
      </c>
      <c r="BX645" s="34" t="s">
        <v>221</v>
      </c>
      <c r="CC645" t="s">
        <v>131</v>
      </c>
    </row>
    <row r="646" spans="1:83" x14ac:dyDescent="0.25">
      <c r="A646" s="1" t="s">
        <v>421</v>
      </c>
      <c r="B646" s="34" t="s">
        <v>224</v>
      </c>
      <c r="C646" s="1" t="s">
        <v>85</v>
      </c>
      <c r="D646" s="1" t="s">
        <v>534</v>
      </c>
      <c r="E646" s="34" t="s">
        <v>221</v>
      </c>
      <c r="BZ646" s="1" t="s">
        <v>126</v>
      </c>
      <c r="CA646" s="1" t="s">
        <v>455</v>
      </c>
      <c r="CE646" t="s">
        <v>127</v>
      </c>
    </row>
    <row r="647" spans="1:83" x14ac:dyDescent="0.25">
      <c r="A647" s="1" t="s">
        <v>421</v>
      </c>
      <c r="B647" s="34" t="s">
        <v>225</v>
      </c>
      <c r="C647" s="1" t="s">
        <v>82</v>
      </c>
      <c r="D647" s="1" t="s">
        <v>650</v>
      </c>
      <c r="BW647" s="34" t="s">
        <v>224</v>
      </c>
    </row>
    <row r="648" spans="1:83" x14ac:dyDescent="0.25">
      <c r="A648" s="1" t="s">
        <v>421</v>
      </c>
      <c r="B648" s="34" t="s">
        <v>226</v>
      </c>
      <c r="C648" s="1" t="s">
        <v>82</v>
      </c>
      <c r="D648" s="1" t="s">
        <v>565</v>
      </c>
      <c r="BW648" s="34" t="s">
        <v>224</v>
      </c>
    </row>
    <row r="649" spans="1:83" x14ac:dyDescent="0.25">
      <c r="A649" s="1" t="s">
        <v>421</v>
      </c>
      <c r="B649" s="34" t="s">
        <v>227</v>
      </c>
      <c r="C649" s="1" t="s">
        <v>82</v>
      </c>
      <c r="D649" s="1" t="s">
        <v>648</v>
      </c>
      <c r="BW649" s="34" t="s">
        <v>224</v>
      </c>
      <c r="CC649" t="s">
        <v>387</v>
      </c>
    </row>
    <row r="650" spans="1:83" x14ac:dyDescent="0.25">
      <c r="A650" s="1" t="s">
        <v>421</v>
      </c>
      <c r="B650" s="34" t="s">
        <v>228</v>
      </c>
      <c r="C650" s="1" t="s">
        <v>82</v>
      </c>
      <c r="D650" s="1" t="s">
        <v>571</v>
      </c>
      <c r="BW650" s="34" t="s">
        <v>224</v>
      </c>
      <c r="CC650" t="s">
        <v>286</v>
      </c>
    </row>
    <row r="651" spans="1:83" x14ac:dyDescent="0.25">
      <c r="A651" s="1" t="s">
        <v>421</v>
      </c>
      <c r="B651" s="34" t="s">
        <v>231</v>
      </c>
      <c r="C651" s="1" t="s">
        <v>82</v>
      </c>
      <c r="D651" s="1" t="s">
        <v>541</v>
      </c>
      <c r="BW651" s="34" t="s">
        <v>224</v>
      </c>
      <c r="CC651" t="s">
        <v>296</v>
      </c>
    </row>
    <row r="652" spans="1:83" x14ac:dyDescent="0.25">
      <c r="A652" s="1" t="s">
        <v>421</v>
      </c>
      <c r="B652" s="34" t="s">
        <v>264</v>
      </c>
      <c r="C652" s="1" t="s">
        <v>82</v>
      </c>
      <c r="D652" s="1" t="s">
        <v>583</v>
      </c>
      <c r="BW652" s="34" t="s">
        <v>224</v>
      </c>
      <c r="CC652" t="s">
        <v>275</v>
      </c>
    </row>
    <row r="653" spans="1:83" x14ac:dyDescent="0.25">
      <c r="A653" s="1" t="s">
        <v>421</v>
      </c>
      <c r="B653" s="34" t="s">
        <v>369</v>
      </c>
      <c r="C653" s="1" t="s">
        <v>82</v>
      </c>
      <c r="D653" s="46" t="s">
        <v>572</v>
      </c>
      <c r="BW653" s="34" t="s">
        <v>224</v>
      </c>
      <c r="CC653" t="s">
        <v>178</v>
      </c>
    </row>
    <row r="654" spans="1:83" x14ac:dyDescent="0.25">
      <c r="A654" s="1" t="s">
        <v>421</v>
      </c>
      <c r="B654" s="34" t="s">
        <v>370</v>
      </c>
      <c r="C654" s="1" t="s">
        <v>82</v>
      </c>
      <c r="D654" s="1" t="s">
        <v>654</v>
      </c>
      <c r="BW654" s="34" t="s">
        <v>224</v>
      </c>
      <c r="CC654" t="s">
        <v>388</v>
      </c>
    </row>
    <row r="655" spans="1:83" x14ac:dyDescent="0.25">
      <c r="A655" s="1" t="s">
        <v>421</v>
      </c>
      <c r="B655" s="34" t="s">
        <v>373</v>
      </c>
      <c r="C655" s="1" t="s">
        <v>82</v>
      </c>
      <c r="D655" s="1" t="s">
        <v>478</v>
      </c>
      <c r="BW655" s="34" t="s">
        <v>224</v>
      </c>
      <c r="CB655" s="1" t="s">
        <v>129</v>
      </c>
      <c r="CC655" t="s">
        <v>291</v>
      </c>
    </row>
    <row r="656" spans="1:83" x14ac:dyDescent="0.25">
      <c r="A656" s="1" t="s">
        <v>421</v>
      </c>
      <c r="B656" s="34" t="s">
        <v>374</v>
      </c>
      <c r="C656" s="1" t="s">
        <v>82</v>
      </c>
      <c r="D656" s="1" t="s">
        <v>367</v>
      </c>
      <c r="BW656" s="34" t="s">
        <v>224</v>
      </c>
      <c r="CB656" s="1" t="s">
        <v>129</v>
      </c>
      <c r="CC656" t="s">
        <v>368</v>
      </c>
    </row>
    <row r="657" spans="1:81" x14ac:dyDescent="0.25">
      <c r="A657" s="1" t="s">
        <v>421</v>
      </c>
      <c r="B657" s="34" t="s">
        <v>229</v>
      </c>
      <c r="C657" s="1" t="s">
        <v>82</v>
      </c>
      <c r="D657" s="1" t="s">
        <v>574</v>
      </c>
      <c r="BX657" s="34" t="s">
        <v>224</v>
      </c>
      <c r="CC657" t="s">
        <v>179</v>
      </c>
    </row>
    <row r="658" spans="1:81" x14ac:dyDescent="0.25">
      <c r="A658" s="1" t="s">
        <v>421</v>
      </c>
      <c r="B658" s="34" t="s">
        <v>230</v>
      </c>
      <c r="C658" s="1" t="s">
        <v>82</v>
      </c>
      <c r="D658" s="1" t="s">
        <v>542</v>
      </c>
      <c r="BX658" s="34" t="s">
        <v>224</v>
      </c>
      <c r="CC658" t="s">
        <v>297</v>
      </c>
    </row>
    <row r="659" spans="1:81" x14ac:dyDescent="0.25">
      <c r="A659" s="1" t="s">
        <v>421</v>
      </c>
      <c r="B659" s="34" t="s">
        <v>222</v>
      </c>
      <c r="C659" s="1" t="s">
        <v>83</v>
      </c>
      <c r="D659" s="1" t="s">
        <v>125</v>
      </c>
      <c r="E659" s="34" t="s">
        <v>224</v>
      </c>
    </row>
  </sheetData>
  <sheetProtection autoFilter="0"/>
  <protectedRanges>
    <protectedRange sqref="A5:CE5" name="Data" securityDescriptor="O:WDG:WDD:(A;;CC;;;WD)"/>
  </protectedRanges>
  <autoFilter ref="A4:CA217" xr:uid="{00000000-0009-0000-0000-000000000000}">
    <sortState xmlns:xlrd2="http://schemas.microsoft.com/office/spreadsheetml/2017/richdata2" ref="A5:CA217">
      <sortCondition ref="A5:A33284"/>
      <sortCondition ref="C5:C33284"/>
      <sortCondition ref="D5:D33284"/>
    </sortState>
  </autoFilter>
  <sortState xmlns:xlrd2="http://schemas.microsoft.com/office/spreadsheetml/2017/richdata2" ref="A5:CA5">
    <sortCondition ref="A5:A37957"/>
    <sortCondition ref="B5:B37957"/>
  </sortState>
  <mergeCells count="1">
    <mergeCell ref="CC1:CD1"/>
  </mergeCells>
  <conditionalFormatting sqref="CD2:CD3">
    <cfRule type="cellIs" dxfId="0" priority="5" operator="equal">
      <formula>TRUE</formula>
    </cfRule>
  </conditionalFormatting>
  <dataValidations disablePrompts="1" count="1">
    <dataValidation allowBlank="1" showInputMessage="1" sqref="CE1" xr:uid="{00000000-0002-0000-0000-000000000000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9" r:id="rId4" name="CommandButton6">
          <controlPr defaultSize="0" autoLine="0" autoPict="0" r:id="rId5">
            <anchor moveWithCells="1">
              <from>
                <xdr:col>0</xdr:col>
                <xdr:colOff>114300</xdr:colOff>
                <xdr:row>1</xdr:row>
                <xdr:rowOff>0</xdr:rowOff>
              </from>
              <to>
                <xdr:col>0</xdr:col>
                <xdr:colOff>2324100</xdr:colOff>
                <xdr:row>2</xdr:row>
                <xdr:rowOff>161925</xdr:rowOff>
              </to>
            </anchor>
          </controlPr>
        </control>
      </mc:Choice>
      <mc:Fallback>
        <control shapeId="1059" r:id="rId4" name="CommandButton6"/>
      </mc:Fallback>
    </mc:AlternateContent>
    <mc:AlternateContent xmlns:mc="http://schemas.openxmlformats.org/markup-compatibility/2006">
      <mc:Choice Requires="x14">
        <control shapeId="1058" r:id="rId6" name="CommandButton5">
          <controlPr defaultSize="0" autoLine="0" r:id="rId7">
            <anchor moveWithCells="1">
              <from>
                <xdr:col>3</xdr:col>
                <xdr:colOff>3257550</xdr:colOff>
                <xdr:row>0</xdr:row>
                <xdr:rowOff>133350</xdr:rowOff>
              </from>
              <to>
                <xdr:col>10</xdr:col>
                <xdr:colOff>238125</xdr:colOff>
                <xdr:row>2</xdr:row>
                <xdr:rowOff>123825</xdr:rowOff>
              </to>
            </anchor>
          </controlPr>
        </control>
      </mc:Choice>
      <mc:Fallback>
        <control shapeId="1058" r:id="rId6" name="CommandButton5"/>
      </mc:Fallback>
    </mc:AlternateContent>
    <mc:AlternateContent xmlns:mc="http://schemas.openxmlformats.org/markup-compatibility/2006">
      <mc:Choice Requires="x14">
        <control shapeId="1057" r:id="rId8" name="CommandButton4">
          <controlPr defaultSize="0" autoLine="0" r:id="rId9">
            <anchor moveWithCells="1">
              <from>
                <xdr:col>4</xdr:col>
                <xdr:colOff>0</xdr:colOff>
                <xdr:row>1</xdr:row>
                <xdr:rowOff>66675</xdr:rowOff>
              </from>
              <to>
                <xdr:col>10</xdr:col>
                <xdr:colOff>95250</xdr:colOff>
                <xdr:row>2</xdr:row>
                <xdr:rowOff>142875</xdr:rowOff>
              </to>
            </anchor>
          </controlPr>
        </control>
      </mc:Choice>
      <mc:Fallback>
        <control shapeId="1057" r:id="rId8" name="CommandButton4"/>
      </mc:Fallback>
    </mc:AlternateContent>
    <mc:AlternateContent xmlns:mc="http://schemas.openxmlformats.org/markup-compatibility/2006">
      <mc:Choice Requires="x14">
        <control shapeId="1054" r:id="rId10" name="CommandButton1">
          <controlPr defaultSize="0" autoLine="0" autoPict="0" r:id="rId11">
            <anchor moveWithCells="1">
              <from>
                <xdr:col>0</xdr:col>
                <xdr:colOff>2438400</xdr:colOff>
                <xdr:row>0</xdr:row>
                <xdr:rowOff>171450</xdr:rowOff>
              </from>
              <to>
                <xdr:col>2</xdr:col>
                <xdr:colOff>0</xdr:colOff>
                <xdr:row>2</xdr:row>
                <xdr:rowOff>133350</xdr:rowOff>
              </to>
            </anchor>
          </controlPr>
        </control>
      </mc:Choice>
      <mc:Fallback>
        <control shapeId="1054" r:id="rId10" name="CommandButton1"/>
      </mc:Fallback>
    </mc:AlternateContent>
    <mc:AlternateContent xmlns:mc="http://schemas.openxmlformats.org/markup-compatibility/2006">
      <mc:Choice Requires="x14">
        <control shapeId="1055" r:id="rId12" name="CommandButton2">
          <controlPr defaultSize="0" autoLine="0" r:id="rId13">
            <anchor moveWithCells="1">
              <from>
                <xdr:col>10</xdr:col>
                <xdr:colOff>133350</xdr:colOff>
                <xdr:row>0</xdr:row>
                <xdr:rowOff>114300</xdr:rowOff>
              </from>
              <to>
                <xdr:col>77</xdr:col>
                <xdr:colOff>542925</xdr:colOff>
                <xdr:row>2</xdr:row>
                <xdr:rowOff>76200</xdr:rowOff>
              </to>
            </anchor>
          </controlPr>
        </control>
      </mc:Choice>
      <mc:Fallback>
        <control shapeId="1055" r:id="rId12" name="CommandButton2"/>
      </mc:Fallback>
    </mc:AlternateContent>
    <mc:AlternateContent xmlns:mc="http://schemas.openxmlformats.org/markup-compatibility/2006">
      <mc:Choice Requires="x14">
        <control shapeId="1056" r:id="rId14" name="CommandButton3">
          <controlPr defaultSize="0" autoLine="0" autoPict="0" r:id="rId15">
            <anchor moveWithCells="1">
              <from>
                <xdr:col>2</xdr:col>
                <xdr:colOff>57150</xdr:colOff>
                <xdr:row>0</xdr:row>
                <xdr:rowOff>152400</xdr:rowOff>
              </from>
              <to>
                <xdr:col>3</xdr:col>
                <xdr:colOff>1885950</xdr:colOff>
                <xdr:row>2</xdr:row>
                <xdr:rowOff>133350</xdr:rowOff>
              </to>
            </anchor>
          </controlPr>
        </control>
      </mc:Choice>
      <mc:Fallback>
        <control shapeId="1056" r:id="rId14" name="CommandButton3"/>
      </mc:Fallback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generateBPMN">
            <anchor moveWithCells="1" sizeWithCells="1">
              <from>
                <xdr:col>78</xdr:col>
                <xdr:colOff>304800</xdr:colOff>
                <xdr:row>0</xdr:row>
                <xdr:rowOff>133350</xdr:rowOff>
              </from>
              <to>
                <xdr:col>78</xdr:col>
                <xdr:colOff>2495550</xdr:colOff>
                <xdr:row>2</xdr:row>
                <xdr:rowOff>104775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B7"/>
  <sheetViews>
    <sheetView workbookViewId="0">
      <selection activeCell="B7" sqref="B7"/>
    </sheetView>
  </sheetViews>
  <sheetFormatPr defaultRowHeight="15" x14ac:dyDescent="0.25"/>
  <sheetData>
    <row r="1" spans="2:2" ht="15.75" thickBot="1" x14ac:dyDescent="0.3"/>
    <row r="2" spans="2:2" ht="70.5" x14ac:dyDescent="0.25">
      <c r="B2" s="8" t="s">
        <v>90</v>
      </c>
    </row>
    <row r="3" spans="2:2" x14ac:dyDescent="0.25">
      <c r="B3" s="9" t="s">
        <v>81</v>
      </c>
    </row>
    <row r="4" spans="2:2" x14ac:dyDescent="0.25">
      <c r="B4" s="9" t="s">
        <v>82</v>
      </c>
    </row>
    <row r="5" spans="2:2" x14ac:dyDescent="0.25">
      <c r="B5" s="9" t="s">
        <v>83</v>
      </c>
    </row>
    <row r="6" spans="2:2" x14ac:dyDescent="0.25">
      <c r="B6" s="9" t="s">
        <v>84</v>
      </c>
    </row>
    <row r="7" spans="2:2" ht="15.75" thickBot="1" x14ac:dyDescent="0.3">
      <c r="B7" s="10" t="s">
        <v>85</v>
      </c>
    </row>
  </sheetData>
  <sheetProtection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3997"/>
  <sheetViews>
    <sheetView topLeftCell="A4" zoomScale="80" zoomScaleNormal="80" workbookViewId="0">
      <pane xSplit="2" ySplit="1" topLeftCell="J625" activePane="bottomRight" state="frozen"/>
      <selection activeCell="A4" sqref="A4"/>
      <selection pane="topRight" activeCell="C4" sqref="C4"/>
      <selection pane="bottomLeft" activeCell="A5" sqref="A5"/>
      <selection pane="bottomRight" activeCell="A5" sqref="A5:CT659"/>
    </sheetView>
  </sheetViews>
  <sheetFormatPr defaultRowHeight="15" outlineLevelRow="1" x14ac:dyDescent="0.25"/>
  <cols>
    <col min="1" max="1" width="62.7109375" customWidth="1"/>
    <col min="2" max="2" width="37.42578125" customWidth="1"/>
  </cols>
  <sheetData>
    <row r="1" spans="1:29" hidden="1" outlineLevel="1" x14ac:dyDescent="0.25">
      <c r="A1">
        <v>1</v>
      </c>
      <c r="C1" s="1">
        <v>2</v>
      </c>
      <c r="D1">
        <v>3</v>
      </c>
      <c r="E1" s="1">
        <v>4</v>
      </c>
      <c r="F1">
        <v>5</v>
      </c>
      <c r="G1" s="1">
        <v>6</v>
      </c>
      <c r="H1">
        <v>7</v>
      </c>
      <c r="I1" s="1">
        <v>8</v>
      </c>
      <c r="J1">
        <v>9</v>
      </c>
      <c r="K1" s="1">
        <v>10</v>
      </c>
      <c r="L1">
        <v>11</v>
      </c>
      <c r="M1" s="1">
        <v>12</v>
      </c>
      <c r="N1">
        <v>13</v>
      </c>
      <c r="O1" s="1">
        <v>14</v>
      </c>
      <c r="P1">
        <v>15</v>
      </c>
      <c r="Q1" s="1">
        <v>16</v>
      </c>
      <c r="R1">
        <v>17</v>
      </c>
      <c r="S1" s="1">
        <v>18</v>
      </c>
      <c r="T1">
        <v>19</v>
      </c>
      <c r="U1" s="1">
        <v>20</v>
      </c>
      <c r="V1">
        <v>21</v>
      </c>
      <c r="W1" s="1">
        <v>22</v>
      </c>
      <c r="X1">
        <v>23</v>
      </c>
      <c r="Y1" s="1">
        <v>24</v>
      </c>
      <c r="Z1">
        <v>25</v>
      </c>
      <c r="AA1" s="1">
        <v>26</v>
      </c>
      <c r="AB1">
        <v>27</v>
      </c>
      <c r="AC1">
        <v>97</v>
      </c>
    </row>
    <row r="2" spans="1:29" hidden="1" outlineLevel="1" x14ac:dyDescent="0.25">
      <c r="C2" s="3"/>
      <c r="D2" s="3"/>
      <c r="G2" s="20"/>
    </row>
    <row r="3" spans="1:29" ht="15.75" hidden="1" outlineLevel="1" thickBot="1" x14ac:dyDescent="0.3"/>
    <row r="4" spans="1:29" ht="138.75" collapsed="1" x14ac:dyDescent="0.25">
      <c r="A4" s="22" t="s">
        <v>104</v>
      </c>
      <c r="B4" s="22" t="s">
        <v>113</v>
      </c>
      <c r="C4" s="22" t="s">
        <v>95</v>
      </c>
      <c r="D4" s="28" t="s">
        <v>114</v>
      </c>
      <c r="E4" s="21" t="s">
        <v>109</v>
      </c>
      <c r="F4" s="17" t="s">
        <v>106</v>
      </c>
      <c r="G4" s="17" t="s">
        <v>108</v>
      </c>
      <c r="H4" s="28" t="s">
        <v>114</v>
      </c>
      <c r="I4" s="28" t="s">
        <v>114</v>
      </c>
      <c r="J4" s="28" t="s">
        <v>114</v>
      </c>
      <c r="K4" s="28" t="s">
        <v>114</v>
      </c>
      <c r="L4" s="21" t="s">
        <v>110</v>
      </c>
      <c r="M4" s="16" t="s">
        <v>88</v>
      </c>
      <c r="N4" s="17" t="s">
        <v>79</v>
      </c>
      <c r="O4" s="17" t="s">
        <v>107</v>
      </c>
      <c r="P4" s="17" t="s">
        <v>80</v>
      </c>
      <c r="Q4" s="17" t="s">
        <v>96</v>
      </c>
      <c r="R4" s="17" t="s">
        <v>97</v>
      </c>
      <c r="S4" s="17" t="s">
        <v>98</v>
      </c>
      <c r="T4" s="17" t="s">
        <v>91</v>
      </c>
      <c r="U4" s="17" t="s">
        <v>103</v>
      </c>
      <c r="V4" s="17" t="s">
        <v>86</v>
      </c>
      <c r="W4" s="17" t="s">
        <v>87</v>
      </c>
      <c r="X4" s="17" t="s">
        <v>92</v>
      </c>
      <c r="Y4" s="17" t="s">
        <v>93</v>
      </c>
      <c r="Z4" s="17" t="s">
        <v>94</v>
      </c>
      <c r="AA4" s="17" t="s">
        <v>102</v>
      </c>
      <c r="AB4" s="17" t="s">
        <v>105</v>
      </c>
      <c r="AC4" s="18" t="s">
        <v>89</v>
      </c>
    </row>
    <row r="5" spans="1:29" x14ac:dyDescent="0.25">
      <c r="A5" s="1" t="str">
        <f>Data!A5&amp;"||"&amp;Data!B5</f>
        <v>Analytics/irmifrs9_data_preparation.bpmn||002</v>
      </c>
      <c r="B5" s="19"/>
      <c r="C5" s="24" t="b">
        <f>AND(UPPER(Data!A5)&lt;&gt;"EMPTY",Data!B5&lt;&gt;"")</f>
        <v>1</v>
      </c>
      <c r="D5" s="1"/>
      <c r="E5" s="25" t="b">
        <f ca="1">IF(C5,AND(F5:G5),TRUE)</f>
        <v>1</v>
      </c>
      <c r="F5" s="26" t="b">
        <f ca="1">IF(UPPER(Data!C5)="SUB PROCESS",NOT(ISERROR(MATCH(RIGHT(Data!BY5,LEN(Data!BY5)-5),OFFSET(Data,0,0,ItemsCount,1),0))),TRUE)</f>
        <v>1</v>
      </c>
      <c r="G5" s="26" t="b">
        <f ca="1">IF(MID(UPPER(Data!A5),1,13)="MISCELLANEOUS",NOT(ISERROR(MATCH("path="&amp;Data!A5,OFFSET(Data,0,76,ItemsCount,1),0))),TRUE)</f>
        <v>1</v>
      </c>
      <c r="L5" s="25" t="b">
        <f ca="1">IF(C5,AND(M5:AC5),TRUE)</f>
        <v>1</v>
      </c>
      <c r="M5" s="24" t="b">
        <f>IF(Checks!$C5,Data!A5&lt;&gt;"",TRUE)</f>
        <v>1</v>
      </c>
      <c r="N5" s="26" t="b">
        <f>IF(Checks!C5,Data!B5&lt;&gt;"",TRUE)</f>
        <v>1</v>
      </c>
      <c r="O5" s="26" t="b">
        <f>IF(Checks!C5,IF(AND(UPPER(Data!C5)="SERVICE TASK",UPPER(Data!BZ5)="TYPE=SAS"),NodeExists(TRIM(RIGHT(Data!CA5,LEN(Data!CA5)-FIND("=",Data!CA5)))),TRUE),TRUE)</f>
        <v>1</v>
      </c>
      <c r="P5" s="26" t="b">
        <f>IF(Checks!C5,IF(Data!C5="DATA OBJECT",OR(AND(Data!BW5&lt;&gt;"",Data!BX5=""),AND(Data!BW5="",Data!BX5&lt;&gt;"")),TRUE),TRUE)</f>
        <v>1</v>
      </c>
      <c r="Q5" s="26" t="b">
        <f>IF(Checks!C5,UPPER(RIGHT(Data!A5,5))=".BPMN",TRUE)</f>
        <v>1</v>
      </c>
      <c r="R5" s="26" t="b">
        <f>IF(Checks!C5,IF(UPPER(Data!C5)="SUB PROCESS",UPPER(RIGHT(Data!BY5,5))=".BPMN",TRUE),TRUE)</f>
        <v>1</v>
      </c>
      <c r="S5" s="26" t="b">
        <f>IF(Checks!C5,IF(UPPER(Data!C5)="SERVICE TASK",IF(UPPER(Data!BZ5)="TYPE=SAS",UPPER(RIGHT(Data!CA5,4))=".SAS",TRUE),TRUE),TRUE)</f>
        <v>1</v>
      </c>
      <c r="T5" s="26" t="b">
        <f>IF(Checks!C5,IF(Data!B5&lt;&gt;"",Data!D5&lt;&gt;"",TRUE),TRUE)</f>
        <v>1</v>
      </c>
      <c r="U5" s="26" t="b">
        <f>IF(Checks!C5,IF(UPPER(Data!C5)="DATA OBJECT",NOT(ISERROR(MATCH(Data!A5&amp;"||"&amp;Data!BW5&amp;Data!BX5,Key,0))),TRUE),TRUE)</f>
        <v>1</v>
      </c>
      <c r="V5" s="26" t="b">
        <f>IF(Checks!C5,IF(UPPER(Data!C5)="SUB PROCESS",Data!BY5&lt;&gt;"",TRUE),TRUE)</f>
        <v>1</v>
      </c>
      <c r="W5" s="26" t="b">
        <f>IF(Checks!C5,IF(UPPER(Data!C5)="SERVICE TASK",AND(Data!BZ5&lt;&gt;"",Data!CA5&lt;&gt;""),TRUE),TRUE)</f>
        <v>1</v>
      </c>
      <c r="X5" s="26" t="b">
        <f t="array" aca="1" ref="X5" ca="1">SUM((OFFSET(Data!B5,MAX(ROW(Data!$B$5)-ROW(Data!B5),-200),0,400,1)=Data!B5)*(OFFSET(Data!A5,MAX(ROW(Data!$B$5)-ROW(Data!B5),-200),0,400,1)=Data!A5))=1</f>
        <v>1</v>
      </c>
      <c r="Y5" s="26" t="b">
        <f t="array" aca="1" ref="Y5" ca="1">IF(UPPER(Data!C5)="START",SUM((OFFSET(Data!C5,MAX(ROW(Data!$C$5)-ROW(Data!C5),-200),0,400,1)="START")*(OFFSET(Data!A5,MAX(ROW(Data!$B$5)-ROW(Data!B5),-200),0,400,1)=Data!A5))=1,TRUE)</f>
        <v>1</v>
      </c>
      <c r="Z5" s="26" t="b">
        <f t="array" aca="1" ref="Z5" ca="1">IF(UPPER(Data!C5)="END",SUM((OFFSET(Data!C5,MAX(ROW(Data!$C$5)-ROW(Data!C5),-200),0,400,1)="END")*(OFFSET(Data!A5,MAX(ROW(Data!$B$5)-ROW(Data!B5),-200),0,400,1)=Data!A5))=1,TRUE)</f>
        <v>1</v>
      </c>
      <c r="AA5" s="26" t="b">
        <f>IF(Checks!C5,ISERROR(FIND("&amp;",Data!D5)),TRUE)</f>
        <v>1</v>
      </c>
      <c r="AB5" s="26" t="b">
        <f>IF(Checks!$C5,IF(AND(UPPER(Data!$C5)&lt;&gt;"START",UPPER(Data!$C5)&lt;&gt;"DATA OBJECT",Data!E5&lt;&gt;""),NOT(ISERROR(MATCH(Data!$A5&amp;"||"&amp;Data!E5,Key,0))),TRUE),TRUE)</f>
        <v>1</v>
      </c>
      <c r="AC5" s="27" t="b">
        <f>IF(Checks!C5,IF(UPPER(Data!C5)="END",Data!E5&lt;&gt;"",TRUE),TRUE)</f>
        <v>1</v>
      </c>
    </row>
    <row r="6" spans="1:29" x14ac:dyDescent="0.25">
      <c r="A6" s="1" t="str">
        <f>Data!A6&amp;"||"&amp;Data!B6</f>
        <v>Analytics/irmifrs9_data_preparation.bpmn||003</v>
      </c>
      <c r="B6" s="19"/>
      <c r="C6" s="24" t="b">
        <f>AND(UPPER(Data!A6)&lt;&gt;"EMPTY",Data!B6&lt;&gt;"")</f>
        <v>1</v>
      </c>
      <c r="D6" s="1"/>
      <c r="E6" s="25" t="b">
        <f t="shared" ref="E6:E69" ca="1" si="0">IF(C6,AND(F6:G6),TRUE)</f>
        <v>1</v>
      </c>
      <c r="F6" s="26" t="b">
        <f ca="1">IF(UPPER(Data!C6)="SUB PROCESS",NOT(ISERROR(MATCH(RIGHT(Data!BY6,LEN(Data!BY6)-5),OFFSET(Data,0,0,ItemsCount,1),0))),TRUE)</f>
        <v>1</v>
      </c>
      <c r="G6" s="26" t="b">
        <f ca="1">IF(MID(UPPER(Data!A6),1,13)="MISCELLANEOUS",NOT(ISERROR(MATCH("path="&amp;Data!A6,OFFSET(Data,0,76,ItemsCount,1),0))),TRUE)</f>
        <v>1</v>
      </c>
      <c r="L6" s="25" t="b">
        <f t="shared" ref="L6:L69" ca="1" si="1">IF(C6,AND(M6:AC6),TRUE)</f>
        <v>1</v>
      </c>
      <c r="M6" s="24" t="b">
        <f>IF(Checks!$C6,Data!A6&lt;&gt;"",TRUE)</f>
        <v>1</v>
      </c>
      <c r="N6" s="26" t="b">
        <f>IF(Checks!C6,Data!B6&lt;&gt;"",TRUE)</f>
        <v>1</v>
      </c>
      <c r="O6" s="26" t="b">
        <f>IF(Checks!C6,IF(AND(UPPER(Data!C6)="SERVICE TASK",UPPER(Data!BZ6)="TYPE=SAS"),NodeExists(TRIM(RIGHT(Data!CA6,LEN(Data!CA6)-FIND("=",Data!CA6)))),TRUE),TRUE)</f>
        <v>1</v>
      </c>
      <c r="P6" s="26" t="b">
        <f>IF(Checks!C6,IF(Data!C6="DATA OBJECT",OR(AND(Data!BW6&lt;&gt;"",Data!BX6=""),AND(Data!BW6="",Data!BX6&lt;&gt;"")),TRUE),TRUE)</f>
        <v>1</v>
      </c>
      <c r="Q6" s="26" t="b">
        <f>IF(Checks!C6,UPPER(RIGHT(Data!A6,5))=".BPMN",TRUE)</f>
        <v>1</v>
      </c>
      <c r="R6" s="26" t="b">
        <f>IF(Checks!C6,IF(UPPER(Data!C6)="SUB PROCESS",UPPER(RIGHT(Data!BY6,5))=".BPMN",TRUE),TRUE)</f>
        <v>1</v>
      </c>
      <c r="S6" s="26" t="b">
        <f>IF(Checks!C6,IF(UPPER(Data!C6)="SERVICE TASK",IF(UPPER(Data!BZ6)="TYPE=SAS",UPPER(RIGHT(Data!CA6,4))=".SAS",TRUE),TRUE),TRUE)</f>
        <v>1</v>
      </c>
      <c r="T6" s="26" t="b">
        <f>IF(Checks!C6,IF(Data!B6&lt;&gt;"",Data!D6&lt;&gt;"",TRUE),TRUE)</f>
        <v>1</v>
      </c>
      <c r="U6" s="26" t="b">
        <f>IF(Checks!C6,IF(UPPER(Data!C6)="DATA OBJECT",NOT(ISERROR(MATCH(Data!A6&amp;"||"&amp;Data!BW6&amp;Data!BX6,Key,0))),TRUE),TRUE)</f>
        <v>1</v>
      </c>
      <c r="V6" s="26" t="b">
        <f>IF(Checks!C6,IF(UPPER(Data!C6)="SUB PROCESS",Data!BY6&lt;&gt;"",TRUE),TRUE)</f>
        <v>1</v>
      </c>
      <c r="W6" s="26" t="b">
        <f>IF(Checks!C6,IF(UPPER(Data!C6)="SERVICE TASK",AND(Data!BZ6&lt;&gt;"",Data!CA6&lt;&gt;""),TRUE),TRUE)</f>
        <v>1</v>
      </c>
      <c r="X6" s="26" t="b">
        <f t="array" aca="1" ref="X6" ca="1">SUM((OFFSET(Data!B6,MAX(ROW(Data!$B$5)-ROW(Data!B6),-200),0,400,1)=Data!B6)*(OFFSET(Data!A6,MAX(ROW(Data!$B$5)-ROW(Data!B6),-200),0,400,1)=Data!A6))=1</f>
        <v>1</v>
      </c>
      <c r="Y6" s="26" t="b">
        <f t="array" aca="1" ref="Y6" ca="1">IF(UPPER(Data!C6)="START",SUM((OFFSET(Data!C6,MAX(ROW(Data!$C$5)-ROW(Data!C6),-200),0,400,1)="START")*(OFFSET(Data!A6,MAX(ROW(Data!$B$5)-ROW(Data!B6),-200),0,400,1)=Data!A6))=1,TRUE)</f>
        <v>1</v>
      </c>
      <c r="Z6" s="26" t="b">
        <f t="array" aca="1" ref="Z6" ca="1">IF(UPPER(Data!C6)="END",SUM((OFFSET(Data!C6,MAX(ROW(Data!$C$5)-ROW(Data!C6),-200),0,400,1)="END")*(OFFSET(Data!A6,MAX(ROW(Data!$B$5)-ROW(Data!B6),-200),0,400,1)=Data!A6))=1,TRUE)</f>
        <v>1</v>
      </c>
      <c r="AA6" s="26" t="b">
        <f>IF(Checks!C6,ISERROR(FIND("&amp;",Data!D6)),TRUE)</f>
        <v>1</v>
      </c>
      <c r="AB6" s="26" t="b">
        <f ca="1">IF(Checks!$C6,IF(AND(UPPER(Data!$C6)&lt;&gt;"START",UPPER(Data!$C6)&lt;&gt;"DATA OBJECT",Data!E6&lt;&gt;""),NOT(ISERROR(MATCH(Data!$A6&amp;"||"&amp;Data!E6,Key,0))),TRUE),TRUE)</f>
        <v>1</v>
      </c>
      <c r="AC6" s="27" t="b">
        <f>IF(Checks!C6,IF(UPPER(Data!C6)="END",Data!E6&lt;&gt;"",TRUE),TRUE)</f>
        <v>1</v>
      </c>
    </row>
    <row r="7" spans="1:29" x14ac:dyDescent="0.25">
      <c r="A7" s="1" t="str">
        <f>Data!A7&amp;"||"&amp;Data!B7</f>
        <v>Analytics/irmifrs9_data_preparation.bpmn||003_00_01</v>
      </c>
      <c r="B7" s="19"/>
      <c r="C7" s="24" t="b">
        <f>AND(UPPER(Data!A7)&lt;&gt;"EMPTY",Data!B7&lt;&gt;"")</f>
        <v>1</v>
      </c>
      <c r="D7" s="1"/>
      <c r="E7" s="25" t="b">
        <f t="shared" ca="1" si="0"/>
        <v>1</v>
      </c>
      <c r="F7" s="26" t="b">
        <f ca="1">IF(UPPER(Data!C7)="SUB PROCESS",NOT(ISERROR(MATCH(RIGHT(Data!BY7,LEN(Data!BY7)-5),OFFSET(Data,0,0,ItemsCount,1),0))),TRUE)</f>
        <v>1</v>
      </c>
      <c r="G7" s="26" t="b">
        <f ca="1">IF(MID(UPPER(Data!A7),1,13)="MISCELLANEOUS",NOT(ISERROR(MATCH("path="&amp;Data!A7,OFFSET(Data,0,76,ItemsCount,1),0))),TRUE)</f>
        <v>1</v>
      </c>
      <c r="L7" s="25" t="b">
        <f t="shared" ca="1" si="1"/>
        <v>1</v>
      </c>
      <c r="M7" s="24" t="b">
        <f>IF(Checks!$C7,Data!A7&lt;&gt;"",TRUE)</f>
        <v>1</v>
      </c>
      <c r="N7" s="26" t="b">
        <f>IF(Checks!C7,Data!B7&lt;&gt;"",TRUE)</f>
        <v>1</v>
      </c>
      <c r="O7" s="26" t="b">
        <f>IF(Checks!C7,IF(AND(UPPER(Data!C7)="SERVICE TASK",UPPER(Data!BZ7)="TYPE=SAS"),NodeExists(TRIM(RIGHT(Data!CA7,LEN(Data!CA7)-FIND("=",Data!CA7)))),TRUE),TRUE)</f>
        <v>1</v>
      </c>
      <c r="P7" s="26" t="b">
        <f>IF(Checks!C7,IF(Data!C7="DATA OBJECT",OR(AND(Data!BW7&lt;&gt;"",Data!BX7=""),AND(Data!BW7="",Data!BX7&lt;&gt;"")),TRUE),TRUE)</f>
        <v>1</v>
      </c>
      <c r="Q7" s="26" t="b">
        <f>IF(Checks!C7,UPPER(RIGHT(Data!A7,5))=".BPMN",TRUE)</f>
        <v>1</v>
      </c>
      <c r="R7" s="26" t="b">
        <f>IF(Checks!C7,IF(UPPER(Data!C7)="SUB PROCESS",UPPER(RIGHT(Data!BY7,5))=".BPMN",TRUE),TRUE)</f>
        <v>1</v>
      </c>
      <c r="S7" s="26" t="b">
        <f>IF(Checks!C7,IF(UPPER(Data!C7)="SERVICE TASK",IF(UPPER(Data!BZ7)="TYPE=SAS",UPPER(RIGHT(Data!CA7,4))=".SAS",TRUE),TRUE),TRUE)</f>
        <v>1</v>
      </c>
      <c r="T7" s="26" t="b">
        <f>IF(Checks!C7,IF(Data!B7&lt;&gt;"",Data!D7&lt;&gt;"",TRUE),TRUE)</f>
        <v>1</v>
      </c>
      <c r="U7" s="26" t="b">
        <f ca="1">IF(Checks!C7,IF(UPPER(Data!C7)="DATA OBJECT",NOT(ISERROR(MATCH(Data!A7&amp;"||"&amp;Data!BW7&amp;Data!BX7,Key,0))),TRUE),TRUE)</f>
        <v>1</v>
      </c>
      <c r="V7" s="26" t="b">
        <f>IF(Checks!C7,IF(UPPER(Data!C7)="SUB PROCESS",Data!BY7&lt;&gt;"",TRUE),TRUE)</f>
        <v>1</v>
      </c>
      <c r="W7" s="26" t="b">
        <f>IF(Checks!C7,IF(UPPER(Data!C7)="SERVICE TASK",AND(Data!BZ7&lt;&gt;"",Data!CA7&lt;&gt;""),TRUE),TRUE)</f>
        <v>1</v>
      </c>
      <c r="X7" s="26" t="b">
        <f t="array" aca="1" ref="X7" ca="1">SUM((OFFSET(Data!B7,MAX(ROW(Data!$B$5)-ROW(Data!B7),-200),0,400,1)=Data!B7)*(OFFSET(Data!A7,MAX(ROW(Data!$B$5)-ROW(Data!B7),-200),0,400,1)=Data!A7))=1</f>
        <v>1</v>
      </c>
      <c r="Y7" s="26" t="b">
        <f t="array" aca="1" ref="Y7" ca="1">IF(UPPER(Data!C7)="START",SUM((OFFSET(Data!C7,MAX(ROW(Data!$C$5)-ROW(Data!C7),-200),0,400,1)="START")*(OFFSET(Data!A7,MAX(ROW(Data!$B$5)-ROW(Data!B7),-200),0,400,1)=Data!A7))=1,TRUE)</f>
        <v>1</v>
      </c>
      <c r="Z7" s="26" t="b">
        <f t="array" aca="1" ref="Z7" ca="1">IF(UPPER(Data!C7)="END",SUM((OFFSET(Data!C7,MAX(ROW(Data!$C$5)-ROW(Data!C7),-200),0,400,1)="END")*(OFFSET(Data!A7,MAX(ROW(Data!$B$5)-ROW(Data!B7),-200),0,400,1)=Data!A7))=1,TRUE)</f>
        <v>1</v>
      </c>
      <c r="AA7" s="26" t="b">
        <f>IF(Checks!C7,ISERROR(FIND("&amp;",Data!D7)),TRUE)</f>
        <v>1</v>
      </c>
      <c r="AB7" s="26" t="b">
        <f>IF(Checks!$C7,IF(AND(UPPER(Data!$C7)&lt;&gt;"START",UPPER(Data!$C7)&lt;&gt;"DATA OBJECT",Data!E7&lt;&gt;""),NOT(ISERROR(MATCH(Data!$A7&amp;"||"&amp;Data!E7,Key,0))),TRUE),TRUE)</f>
        <v>1</v>
      </c>
      <c r="AC7" s="27" t="b">
        <f>IF(Checks!C7,IF(UPPER(Data!C7)="END",Data!E7&lt;&gt;"",TRUE),TRUE)</f>
        <v>1</v>
      </c>
    </row>
    <row r="8" spans="1:29" x14ac:dyDescent="0.25">
      <c r="A8" s="1" t="str">
        <f>Data!A8&amp;"||"&amp;Data!B8</f>
        <v>Analytics/irmifrs9_data_preparation.bpmn||005</v>
      </c>
      <c r="B8" s="19"/>
      <c r="C8" s="24" t="b">
        <f>AND(UPPER(Data!A8)&lt;&gt;"EMPTY",Data!B8&lt;&gt;"")</f>
        <v>1</v>
      </c>
      <c r="D8" s="1"/>
      <c r="E8" s="25" t="b">
        <f t="shared" ca="1" si="0"/>
        <v>1</v>
      </c>
      <c r="F8" s="26" t="b">
        <f ca="1">IF(UPPER(Data!C8)="SUB PROCESS",NOT(ISERROR(MATCH(RIGHT(Data!BY8,LEN(Data!BY8)-5),OFFSET(Data,0,0,ItemsCount,1),0))),TRUE)</f>
        <v>1</v>
      </c>
      <c r="G8" s="26" t="b">
        <f ca="1">IF(MID(UPPER(Data!A8),1,13)="MISCELLANEOUS",NOT(ISERROR(MATCH("path="&amp;Data!A8,OFFSET(Data,0,76,ItemsCount,1),0))),TRUE)</f>
        <v>1</v>
      </c>
      <c r="L8" s="25" t="b">
        <f t="shared" ca="1" si="1"/>
        <v>1</v>
      </c>
      <c r="M8" s="24" t="b">
        <f>IF(Checks!$C8,Data!A8&lt;&gt;"",TRUE)</f>
        <v>1</v>
      </c>
      <c r="N8" s="26" t="b">
        <f>IF(Checks!C8,Data!B8&lt;&gt;"",TRUE)</f>
        <v>1</v>
      </c>
      <c r="O8" s="26" t="b">
        <f>IF(Checks!C8,IF(AND(UPPER(Data!C8)="SERVICE TASK",UPPER(Data!BZ8)="TYPE=SAS"),NodeExists(TRIM(RIGHT(Data!CA8,LEN(Data!CA8)-FIND("=",Data!CA8)))),TRUE),TRUE)</f>
        <v>1</v>
      </c>
      <c r="P8" s="26" t="b">
        <f>IF(Checks!C8,IF(Data!C8="DATA OBJECT",OR(AND(Data!BW8&lt;&gt;"",Data!BX8=""),AND(Data!BW8="",Data!BX8&lt;&gt;"")),TRUE),TRUE)</f>
        <v>1</v>
      </c>
      <c r="Q8" s="26" t="b">
        <f>IF(Checks!C8,UPPER(RIGHT(Data!A8,5))=".BPMN",TRUE)</f>
        <v>1</v>
      </c>
      <c r="R8" s="26" t="b">
        <f>IF(Checks!C8,IF(UPPER(Data!C8)="SUB PROCESS",UPPER(RIGHT(Data!BY8,5))=".BPMN",TRUE),TRUE)</f>
        <v>1</v>
      </c>
      <c r="S8" s="26" t="b">
        <f>IF(Checks!C8,IF(UPPER(Data!C8)="SERVICE TASK",IF(UPPER(Data!BZ8)="TYPE=SAS",UPPER(RIGHT(Data!CA8,4))=".SAS",TRUE),TRUE),TRUE)</f>
        <v>1</v>
      </c>
      <c r="T8" s="26" t="b">
        <f>IF(Checks!C8,IF(Data!B8&lt;&gt;"",Data!D8&lt;&gt;"",TRUE),TRUE)</f>
        <v>1</v>
      </c>
      <c r="U8" s="26" t="b">
        <f>IF(Checks!C8,IF(UPPER(Data!C8)="DATA OBJECT",NOT(ISERROR(MATCH(Data!A8&amp;"||"&amp;Data!BW8&amp;Data!BX8,Key,0))),TRUE),TRUE)</f>
        <v>1</v>
      </c>
      <c r="V8" s="26" t="b">
        <f>IF(Checks!C8,IF(UPPER(Data!C8)="SUB PROCESS",Data!BY8&lt;&gt;"",TRUE),TRUE)</f>
        <v>1</v>
      </c>
      <c r="W8" s="26" t="b">
        <f>IF(Checks!C8,IF(UPPER(Data!C8)="SERVICE TASK",AND(Data!BZ8&lt;&gt;"",Data!CA8&lt;&gt;""),TRUE),TRUE)</f>
        <v>1</v>
      </c>
      <c r="X8" s="26" t="b">
        <f t="array" aca="1" ref="X8" ca="1">SUM((OFFSET(Data!B8,MAX(ROW(Data!$B$5)-ROW(Data!B8),-200),0,400,1)=Data!B8)*(OFFSET(Data!A8,MAX(ROW(Data!$B$5)-ROW(Data!B8),-200),0,400,1)=Data!A8))=1</f>
        <v>1</v>
      </c>
      <c r="Y8" s="26" t="b">
        <f t="array" aca="1" ref="Y8" ca="1">IF(UPPER(Data!C8)="START",SUM((OFFSET(Data!C8,MAX(ROW(Data!$C$5)-ROW(Data!C8),-200),0,400,1)="START")*(OFFSET(Data!A8,MAX(ROW(Data!$B$5)-ROW(Data!B8),-200),0,400,1)=Data!A8))=1,TRUE)</f>
        <v>1</v>
      </c>
      <c r="Z8" s="26" t="b">
        <f t="array" aca="1" ref="Z8" ca="1">IF(UPPER(Data!C8)="END",SUM((OFFSET(Data!C8,MAX(ROW(Data!$C$5)-ROW(Data!C8),-200),0,400,1)="END")*(OFFSET(Data!A8,MAX(ROW(Data!$B$5)-ROW(Data!B8),-200),0,400,1)=Data!A8))=1,TRUE)</f>
        <v>1</v>
      </c>
      <c r="AA8" s="26" t="b">
        <f>IF(Checks!C8,ISERROR(FIND("&amp;",Data!D8)),TRUE)</f>
        <v>1</v>
      </c>
      <c r="AB8" s="26" t="b">
        <f ca="1">IF(Checks!$C8,IF(AND(UPPER(Data!$C8)&lt;&gt;"START",UPPER(Data!$C8)&lt;&gt;"DATA OBJECT",Data!E8&lt;&gt;""),NOT(ISERROR(MATCH(Data!$A8&amp;"||"&amp;Data!E8,Key,0))),TRUE),TRUE)</f>
        <v>1</v>
      </c>
      <c r="AC8" s="27" t="b">
        <f>IF(Checks!C8,IF(UPPER(Data!C8)="END",Data!E8&lt;&gt;"",TRUE),TRUE)</f>
        <v>1</v>
      </c>
    </row>
    <row r="9" spans="1:29" x14ac:dyDescent="0.25">
      <c r="A9" s="1" t="str">
        <f>Data!A9&amp;"||"&amp;Data!B9</f>
        <v>Analytics/irmifrs9_data_preparation.bpmn||006</v>
      </c>
      <c r="B9" s="19"/>
      <c r="C9" s="24" t="b">
        <f>AND(UPPER(Data!A9)&lt;&gt;"EMPTY",Data!B9&lt;&gt;"")</f>
        <v>1</v>
      </c>
      <c r="D9" s="1"/>
      <c r="E9" s="25" t="b">
        <f t="shared" ca="1" si="0"/>
        <v>1</v>
      </c>
      <c r="F9" s="26" t="b">
        <f ca="1">IF(UPPER(Data!C9)="SUB PROCESS",NOT(ISERROR(MATCH(RIGHT(Data!BY9,LEN(Data!BY9)-5),OFFSET(Data,0,0,ItemsCount,1),0))),TRUE)</f>
        <v>1</v>
      </c>
      <c r="G9" s="26" t="b">
        <f ca="1">IF(MID(UPPER(Data!A9),1,13)="MISCELLANEOUS",NOT(ISERROR(MATCH("path="&amp;Data!A9,OFFSET(Data,0,76,ItemsCount,1),0))),TRUE)</f>
        <v>1</v>
      </c>
      <c r="L9" s="25" t="b">
        <f t="shared" ca="1" si="1"/>
        <v>1</v>
      </c>
      <c r="M9" s="24" t="b">
        <f>IF(Checks!$C9,Data!A9&lt;&gt;"",TRUE)</f>
        <v>1</v>
      </c>
      <c r="N9" s="26" t="b">
        <f>IF(Checks!C9,Data!B9&lt;&gt;"",TRUE)</f>
        <v>1</v>
      </c>
      <c r="O9" s="26" t="b">
        <f>IF(Checks!C9,IF(AND(UPPER(Data!C9)="SERVICE TASK",UPPER(Data!BZ9)="TYPE=SAS"),NodeExists(TRIM(RIGHT(Data!CA9,LEN(Data!CA9)-FIND("=",Data!CA9)))),TRUE),TRUE)</f>
        <v>1</v>
      </c>
      <c r="P9" s="26" t="b">
        <f>IF(Checks!C9,IF(Data!C9="DATA OBJECT",OR(AND(Data!BW9&lt;&gt;"",Data!BX9=""),AND(Data!BW9="",Data!BX9&lt;&gt;"")),TRUE),TRUE)</f>
        <v>1</v>
      </c>
      <c r="Q9" s="26" t="b">
        <f>IF(Checks!C9,UPPER(RIGHT(Data!A9,5))=".BPMN",TRUE)</f>
        <v>1</v>
      </c>
      <c r="R9" s="26" t="b">
        <f>IF(Checks!C9,IF(UPPER(Data!C9)="SUB PROCESS",UPPER(RIGHT(Data!BY9,5))=".BPMN",TRUE),TRUE)</f>
        <v>1</v>
      </c>
      <c r="S9" s="26" t="b">
        <f>IF(Checks!C9,IF(UPPER(Data!C9)="SERVICE TASK",IF(UPPER(Data!BZ9)="TYPE=SAS",UPPER(RIGHT(Data!CA9,4))=".SAS",TRUE),TRUE),TRUE)</f>
        <v>1</v>
      </c>
      <c r="T9" s="26" t="b">
        <f>IF(Checks!C9,IF(Data!B9&lt;&gt;"",Data!D9&lt;&gt;"",TRUE),TRUE)</f>
        <v>1</v>
      </c>
      <c r="U9" s="26" t="b">
        <f>IF(Checks!C9,IF(UPPER(Data!C9)="DATA OBJECT",NOT(ISERROR(MATCH(Data!A9&amp;"||"&amp;Data!BW9&amp;Data!BX9,Key,0))),TRUE),TRUE)</f>
        <v>1</v>
      </c>
      <c r="V9" s="26" t="b">
        <f>IF(Checks!C9,IF(UPPER(Data!C9)="SUB PROCESS",Data!BY9&lt;&gt;"",TRUE),TRUE)</f>
        <v>1</v>
      </c>
      <c r="W9" s="26" t="b">
        <f>IF(Checks!C9,IF(UPPER(Data!C9)="SERVICE TASK",AND(Data!BZ9&lt;&gt;"",Data!CA9&lt;&gt;""),TRUE),TRUE)</f>
        <v>1</v>
      </c>
      <c r="X9" s="26" t="b">
        <f t="array" aca="1" ref="X9" ca="1">SUM((OFFSET(Data!B9,MAX(ROW(Data!$B$5)-ROW(Data!B9),-200),0,400,1)=Data!B9)*(OFFSET(Data!A9,MAX(ROW(Data!$B$5)-ROW(Data!B9),-200),0,400,1)=Data!A9))=1</f>
        <v>1</v>
      </c>
      <c r="Y9" s="26" t="b">
        <f t="array" aca="1" ref="Y9" ca="1">IF(UPPER(Data!C9)="START",SUM((OFFSET(Data!C9,MAX(ROW(Data!$C$5)-ROW(Data!C9),-200),0,400,1)="START")*(OFFSET(Data!A9,MAX(ROW(Data!$B$5)-ROW(Data!B9),-200),0,400,1)=Data!A9))=1,TRUE)</f>
        <v>1</v>
      </c>
      <c r="Z9" s="26" t="b">
        <f t="array" aca="1" ref="Z9" ca="1">IF(UPPER(Data!C9)="END",SUM((OFFSET(Data!C9,MAX(ROW(Data!$C$5)-ROW(Data!C9),-200),0,400,1)="END")*(OFFSET(Data!A9,MAX(ROW(Data!$B$5)-ROW(Data!B9),-200),0,400,1)=Data!A9))=1,TRUE)</f>
        <v>1</v>
      </c>
      <c r="AA9" s="26" t="b">
        <f>IF(Checks!C9,ISERROR(FIND("&amp;",Data!D9)),TRUE)</f>
        <v>1</v>
      </c>
      <c r="AB9" s="26" t="b">
        <f ca="1">IF(Checks!$C9,IF(AND(UPPER(Data!$C9)&lt;&gt;"START",UPPER(Data!$C9)&lt;&gt;"DATA OBJECT",Data!E9&lt;&gt;""),NOT(ISERROR(MATCH(Data!$A9&amp;"||"&amp;Data!E9,Key,0))),TRUE),TRUE)</f>
        <v>1</v>
      </c>
      <c r="AC9" s="27" t="b">
        <f>IF(Checks!C9,IF(UPPER(Data!C9)="END",Data!E9&lt;&gt;"",TRUE),TRUE)</f>
        <v>1</v>
      </c>
    </row>
    <row r="10" spans="1:29" x14ac:dyDescent="0.25">
      <c r="A10" s="1" t="str">
        <f>Data!A10&amp;"||"&amp;Data!B10</f>
        <v>Analytics/irmifrs9_data_preparation.bpmn||006_01_00</v>
      </c>
      <c r="B10" s="19"/>
      <c r="C10" s="24" t="b">
        <f>AND(UPPER(Data!A10)&lt;&gt;"EMPTY",Data!B10&lt;&gt;"")</f>
        <v>1</v>
      </c>
      <c r="D10" s="1"/>
      <c r="E10" s="25" t="b">
        <f t="shared" ca="1" si="0"/>
        <v>1</v>
      </c>
      <c r="F10" s="26" t="b">
        <f ca="1">IF(UPPER(Data!C10)="SUB PROCESS",NOT(ISERROR(MATCH(RIGHT(Data!BY10,LEN(Data!BY10)-5),OFFSET(Data,0,0,ItemsCount,1),0))),TRUE)</f>
        <v>1</v>
      </c>
      <c r="G10" s="26" t="b">
        <f ca="1">IF(MID(UPPER(Data!A10),1,13)="MISCELLANEOUS",NOT(ISERROR(MATCH("path="&amp;Data!A10,OFFSET(Data,0,76,ItemsCount,1),0))),TRUE)</f>
        <v>1</v>
      </c>
      <c r="L10" s="25" t="b">
        <f t="shared" ca="1" si="1"/>
        <v>1</v>
      </c>
      <c r="M10" s="24" t="b">
        <f>IF(Checks!$C10,Data!A10&lt;&gt;"",TRUE)</f>
        <v>1</v>
      </c>
      <c r="N10" s="26" t="b">
        <f>IF(Checks!C10,Data!B10&lt;&gt;"",TRUE)</f>
        <v>1</v>
      </c>
      <c r="O10" s="26" t="b">
        <f>IF(Checks!C10,IF(AND(UPPER(Data!C10)="SERVICE TASK",UPPER(Data!BZ10)="TYPE=SAS"),NodeExists(TRIM(RIGHT(Data!CA10,LEN(Data!CA10)-FIND("=",Data!CA10)))),TRUE),TRUE)</f>
        <v>1</v>
      </c>
      <c r="P10" s="26" t="b">
        <f>IF(Checks!C10,IF(Data!C10="DATA OBJECT",OR(AND(Data!BW10&lt;&gt;"",Data!BX10=""),AND(Data!BW10="",Data!BX10&lt;&gt;"")),TRUE),TRUE)</f>
        <v>1</v>
      </c>
      <c r="Q10" s="26" t="b">
        <f>IF(Checks!C10,UPPER(RIGHT(Data!A10,5))=".BPMN",TRUE)</f>
        <v>1</v>
      </c>
      <c r="R10" s="26" t="b">
        <f>IF(Checks!C10,IF(UPPER(Data!C10)="SUB PROCESS",UPPER(RIGHT(Data!BY10,5))=".BPMN",TRUE),TRUE)</f>
        <v>1</v>
      </c>
      <c r="S10" s="26" t="b">
        <f>IF(Checks!C10,IF(UPPER(Data!C10)="SERVICE TASK",IF(UPPER(Data!BZ10)="TYPE=SAS",UPPER(RIGHT(Data!CA10,4))=".SAS",TRUE),TRUE),TRUE)</f>
        <v>1</v>
      </c>
      <c r="T10" s="26" t="b">
        <f>IF(Checks!C10,IF(Data!B10&lt;&gt;"",Data!D10&lt;&gt;"",TRUE),TRUE)</f>
        <v>1</v>
      </c>
      <c r="U10" s="26" t="b">
        <f ca="1">IF(Checks!C10,IF(UPPER(Data!C10)="DATA OBJECT",NOT(ISERROR(MATCH(Data!A10&amp;"||"&amp;Data!BW10&amp;Data!BX10,Key,0))),TRUE),TRUE)</f>
        <v>1</v>
      </c>
      <c r="V10" s="26" t="b">
        <f>IF(Checks!C10,IF(UPPER(Data!C10)="SUB PROCESS",Data!BY10&lt;&gt;"",TRUE),TRUE)</f>
        <v>1</v>
      </c>
      <c r="W10" s="26" t="b">
        <f>IF(Checks!C10,IF(UPPER(Data!C10)="SERVICE TASK",AND(Data!BZ10&lt;&gt;"",Data!CA10&lt;&gt;""),TRUE),TRUE)</f>
        <v>1</v>
      </c>
      <c r="X10" s="26" t="b">
        <f t="array" aca="1" ref="X10" ca="1">SUM((OFFSET(Data!B10,MAX(ROW(Data!$B$5)-ROW(Data!B10),-200),0,400,1)=Data!B10)*(OFFSET(Data!A10,MAX(ROW(Data!$B$5)-ROW(Data!B10),-200),0,400,1)=Data!A10))=1</f>
        <v>1</v>
      </c>
      <c r="Y10" s="26" t="b">
        <f t="array" aca="1" ref="Y10" ca="1">IF(UPPER(Data!C10)="START",SUM((OFFSET(Data!C10,MAX(ROW(Data!$C$5)-ROW(Data!C10),-200),0,400,1)="START")*(OFFSET(Data!A10,MAX(ROW(Data!$B$5)-ROW(Data!B10),-200),0,400,1)=Data!A10))=1,TRUE)</f>
        <v>1</v>
      </c>
      <c r="Z10" s="26" t="b">
        <f t="array" aca="1" ref="Z10" ca="1">IF(UPPER(Data!C10)="END",SUM((OFFSET(Data!C10,MAX(ROW(Data!$C$5)-ROW(Data!C10),-200),0,400,1)="END")*(OFFSET(Data!A10,MAX(ROW(Data!$B$5)-ROW(Data!B10),-200),0,400,1)=Data!A10))=1,TRUE)</f>
        <v>1</v>
      </c>
      <c r="AA10" s="26" t="b">
        <f>IF(Checks!C10,ISERROR(FIND("&amp;",Data!D10)),TRUE)</f>
        <v>1</v>
      </c>
      <c r="AB10" s="26" t="b">
        <f>IF(Checks!$C10,IF(AND(UPPER(Data!$C10)&lt;&gt;"START",UPPER(Data!$C10)&lt;&gt;"DATA OBJECT",Data!E10&lt;&gt;""),NOT(ISERROR(MATCH(Data!$A10&amp;"||"&amp;Data!E10,Key,0))),TRUE),TRUE)</f>
        <v>1</v>
      </c>
      <c r="AC10" s="27" t="b">
        <f>IF(Checks!C10,IF(UPPER(Data!C10)="END",Data!E10&lt;&gt;"",TRUE),TRUE)</f>
        <v>1</v>
      </c>
    </row>
    <row r="11" spans="1:29" x14ac:dyDescent="0.25">
      <c r="A11" s="1" t="str">
        <f>Data!A11&amp;"||"&amp;Data!B11</f>
        <v>Analytics/irmifrs9_data_preparation.bpmn||008</v>
      </c>
      <c r="B11" s="19"/>
      <c r="C11" s="24" t="b">
        <f>AND(UPPER(Data!A11)&lt;&gt;"EMPTY",Data!B11&lt;&gt;"")</f>
        <v>1</v>
      </c>
      <c r="D11" s="1"/>
      <c r="E11" s="25" t="b">
        <f t="shared" ca="1" si="0"/>
        <v>1</v>
      </c>
      <c r="F11" s="26" t="b">
        <f ca="1">IF(UPPER(Data!C11)="SUB PROCESS",NOT(ISERROR(MATCH(RIGHT(Data!BY11,LEN(Data!BY11)-5),OFFSET(Data,0,0,ItemsCount,1),0))),TRUE)</f>
        <v>1</v>
      </c>
      <c r="G11" s="26" t="b">
        <f ca="1">IF(MID(UPPER(Data!A11),1,13)="MISCELLANEOUS",NOT(ISERROR(MATCH("path="&amp;Data!A11,OFFSET(Data,0,76,ItemsCount,1),0))),TRUE)</f>
        <v>1</v>
      </c>
      <c r="L11" s="25" t="b">
        <f t="shared" ca="1" si="1"/>
        <v>1</v>
      </c>
      <c r="M11" s="24" t="b">
        <f>IF(Checks!$C11,Data!A11&lt;&gt;"",TRUE)</f>
        <v>1</v>
      </c>
      <c r="N11" s="26" t="b">
        <f>IF(Checks!C11,Data!B11&lt;&gt;"",TRUE)</f>
        <v>1</v>
      </c>
      <c r="O11" s="26" t="b">
        <f>IF(Checks!C11,IF(AND(UPPER(Data!C11)="SERVICE TASK",UPPER(Data!BZ11)="TYPE=SAS"),NodeExists(TRIM(RIGHT(Data!CA11,LEN(Data!CA11)-FIND("=",Data!CA11)))),TRUE),TRUE)</f>
        <v>1</v>
      </c>
      <c r="P11" s="26" t="b">
        <f>IF(Checks!C11,IF(Data!C11="DATA OBJECT",OR(AND(Data!BW11&lt;&gt;"",Data!BX11=""),AND(Data!BW11="",Data!BX11&lt;&gt;"")),TRUE),TRUE)</f>
        <v>1</v>
      </c>
      <c r="Q11" s="26" t="b">
        <f>IF(Checks!C11,UPPER(RIGHT(Data!A11,5))=".BPMN",TRUE)</f>
        <v>1</v>
      </c>
      <c r="R11" s="26" t="b">
        <f>IF(Checks!C11,IF(UPPER(Data!C11)="SUB PROCESS",UPPER(RIGHT(Data!BY11,5))=".BPMN",TRUE),TRUE)</f>
        <v>1</v>
      </c>
      <c r="S11" s="26" t="b">
        <f>IF(Checks!C11,IF(UPPER(Data!C11)="SERVICE TASK",IF(UPPER(Data!BZ11)="TYPE=SAS",UPPER(RIGHT(Data!CA11,4))=".SAS",TRUE),TRUE),TRUE)</f>
        <v>1</v>
      </c>
      <c r="T11" s="26" t="b">
        <f>IF(Checks!C11,IF(Data!B11&lt;&gt;"",Data!D11&lt;&gt;"",TRUE),TRUE)</f>
        <v>1</v>
      </c>
      <c r="U11" s="26" t="b">
        <f>IF(Checks!C11,IF(UPPER(Data!C11)="DATA OBJECT",NOT(ISERROR(MATCH(Data!A11&amp;"||"&amp;Data!BW11&amp;Data!BX11,Key,0))),TRUE),TRUE)</f>
        <v>1</v>
      </c>
      <c r="V11" s="26" t="b">
        <f>IF(Checks!C11,IF(UPPER(Data!C11)="SUB PROCESS",Data!BY11&lt;&gt;"",TRUE),TRUE)</f>
        <v>1</v>
      </c>
      <c r="W11" s="26" t="b">
        <f>IF(Checks!C11,IF(UPPER(Data!C11)="SERVICE TASK",AND(Data!BZ11&lt;&gt;"",Data!CA11&lt;&gt;""),TRUE),TRUE)</f>
        <v>1</v>
      </c>
      <c r="X11" s="26" t="b">
        <f t="array" aca="1" ref="X11" ca="1">SUM((OFFSET(Data!B11,MAX(ROW(Data!$B$5)-ROW(Data!B11),-200),0,400,1)=Data!B11)*(OFFSET(Data!A11,MAX(ROW(Data!$B$5)-ROW(Data!B11),-200),0,400,1)=Data!A11))=1</f>
        <v>1</v>
      </c>
      <c r="Y11" s="26" t="b">
        <f t="array" aca="1" ref="Y11" ca="1">IF(UPPER(Data!C11)="START",SUM((OFFSET(Data!C11,MAX(ROW(Data!$C$5)-ROW(Data!C11),-200),0,400,1)="START")*(OFFSET(Data!A11,MAX(ROW(Data!$B$5)-ROW(Data!B11),-200),0,400,1)=Data!A11))=1,TRUE)</f>
        <v>1</v>
      </c>
      <c r="Z11" s="26" t="b">
        <f t="array" aca="1" ref="Z11" ca="1">IF(UPPER(Data!C11)="END",SUM((OFFSET(Data!C11,MAX(ROW(Data!$C$5)-ROW(Data!C11),-200),0,400,1)="END")*(OFFSET(Data!A11,MAX(ROW(Data!$B$5)-ROW(Data!B11),-200),0,400,1)=Data!A11))=1,TRUE)</f>
        <v>1</v>
      </c>
      <c r="AA11" s="26" t="b">
        <f>IF(Checks!C11,ISERROR(FIND("&amp;",Data!D11)),TRUE)</f>
        <v>1</v>
      </c>
      <c r="AB11" s="26" t="b">
        <f ca="1">IF(Checks!$C11,IF(AND(UPPER(Data!$C11)&lt;&gt;"START",UPPER(Data!$C11)&lt;&gt;"DATA OBJECT",Data!E11&lt;&gt;""),NOT(ISERROR(MATCH(Data!$A11&amp;"||"&amp;Data!E11,Key,0))),TRUE),TRUE)</f>
        <v>1</v>
      </c>
      <c r="AC11" s="27" t="b">
        <f>IF(Checks!C11,IF(UPPER(Data!C11)="END",Data!E11&lt;&gt;"",TRUE),TRUE)</f>
        <v>1</v>
      </c>
    </row>
    <row r="12" spans="1:29" x14ac:dyDescent="0.25">
      <c r="A12" s="1" t="str">
        <f>Data!A12&amp;"||"&amp;Data!B12</f>
        <v>Analytics/irmifrs9_data_quality.bpmn||002</v>
      </c>
      <c r="B12" s="19"/>
      <c r="C12" s="24" t="b">
        <f>AND(UPPER(Data!A12)&lt;&gt;"EMPTY",Data!B12&lt;&gt;"")</f>
        <v>1</v>
      </c>
      <c r="D12" s="1"/>
      <c r="E12" s="25" t="b">
        <f t="shared" ca="1" si="0"/>
        <v>1</v>
      </c>
      <c r="F12" s="26" t="b">
        <f ca="1">IF(UPPER(Data!C12)="SUB PROCESS",NOT(ISERROR(MATCH(RIGHT(Data!BY12,LEN(Data!BY12)-5),OFFSET(Data,0,0,ItemsCount,1),0))),TRUE)</f>
        <v>1</v>
      </c>
      <c r="G12" s="26" t="b">
        <f ca="1">IF(MID(UPPER(Data!A12),1,13)="MISCELLANEOUS",NOT(ISERROR(MATCH("path="&amp;Data!A12,OFFSET(Data,0,76,ItemsCount,1),0))),TRUE)</f>
        <v>1</v>
      </c>
      <c r="L12" s="25" t="b">
        <f t="shared" ca="1" si="1"/>
        <v>1</v>
      </c>
      <c r="M12" s="24" t="b">
        <f>IF(Checks!$C12,Data!A12&lt;&gt;"",TRUE)</f>
        <v>1</v>
      </c>
      <c r="N12" s="26" t="b">
        <f>IF(Checks!C12,Data!B12&lt;&gt;"",TRUE)</f>
        <v>1</v>
      </c>
      <c r="O12" s="26" t="b">
        <f>IF(Checks!C12,IF(AND(UPPER(Data!C12)="SERVICE TASK",UPPER(Data!BZ12)="TYPE=SAS"),NodeExists(TRIM(RIGHT(Data!CA12,LEN(Data!CA12)-FIND("=",Data!CA12)))),TRUE),TRUE)</f>
        <v>1</v>
      </c>
      <c r="P12" s="26" t="b">
        <f>IF(Checks!C12,IF(Data!C12="DATA OBJECT",OR(AND(Data!BW12&lt;&gt;"",Data!BX12=""),AND(Data!BW12="",Data!BX12&lt;&gt;"")),TRUE),TRUE)</f>
        <v>1</v>
      </c>
      <c r="Q12" s="26" t="b">
        <f>IF(Checks!C12,UPPER(RIGHT(Data!A12,5))=".BPMN",TRUE)</f>
        <v>1</v>
      </c>
      <c r="R12" s="26" t="b">
        <f>IF(Checks!C12,IF(UPPER(Data!C12)="SUB PROCESS",UPPER(RIGHT(Data!BY12,5))=".BPMN",TRUE),TRUE)</f>
        <v>1</v>
      </c>
      <c r="S12" s="26" t="b">
        <f>IF(Checks!C12,IF(UPPER(Data!C12)="SERVICE TASK",IF(UPPER(Data!BZ12)="TYPE=SAS",UPPER(RIGHT(Data!CA12,4))=".SAS",TRUE),TRUE),TRUE)</f>
        <v>1</v>
      </c>
      <c r="T12" s="26" t="b">
        <f>IF(Checks!C12,IF(Data!B12&lt;&gt;"",Data!D12&lt;&gt;"",TRUE),TRUE)</f>
        <v>1</v>
      </c>
      <c r="U12" s="26" t="b">
        <f>IF(Checks!C12,IF(UPPER(Data!C12)="DATA OBJECT",NOT(ISERROR(MATCH(Data!A12&amp;"||"&amp;Data!BW12&amp;Data!BX12,Key,0))),TRUE),TRUE)</f>
        <v>1</v>
      </c>
      <c r="V12" s="26" t="b">
        <f>IF(Checks!C12,IF(UPPER(Data!C12)="SUB PROCESS",Data!BY12&lt;&gt;"",TRUE),TRUE)</f>
        <v>1</v>
      </c>
      <c r="W12" s="26" t="b">
        <f>IF(Checks!C12,IF(UPPER(Data!C12)="SERVICE TASK",AND(Data!BZ12&lt;&gt;"",Data!CA12&lt;&gt;""),TRUE),TRUE)</f>
        <v>1</v>
      </c>
      <c r="X12" s="26" t="b">
        <f t="array" aca="1" ref="X12" ca="1">SUM((OFFSET(Data!B12,MAX(ROW(Data!$B$5)-ROW(Data!B12),-200),0,400,1)=Data!B12)*(OFFSET(Data!A12,MAX(ROW(Data!$B$5)-ROW(Data!B12),-200),0,400,1)=Data!A12))=1</f>
        <v>1</v>
      </c>
      <c r="Y12" s="26" t="b">
        <f t="array" aca="1" ref="Y12" ca="1">IF(UPPER(Data!C12)="START",SUM((OFFSET(Data!C12,MAX(ROW(Data!$C$5)-ROW(Data!C12),-200),0,400,1)="START")*(OFFSET(Data!A12,MAX(ROW(Data!$B$5)-ROW(Data!B12),-200),0,400,1)=Data!A12))=1,TRUE)</f>
        <v>1</v>
      </c>
      <c r="Z12" s="26" t="b">
        <f t="array" aca="1" ref="Z12" ca="1">IF(UPPER(Data!C12)="END",SUM((OFFSET(Data!C12,MAX(ROW(Data!$C$5)-ROW(Data!C12),-200),0,400,1)="END")*(OFFSET(Data!A12,MAX(ROW(Data!$B$5)-ROW(Data!B12),-200),0,400,1)=Data!A12))=1,TRUE)</f>
        <v>1</v>
      </c>
      <c r="AA12" s="26" t="b">
        <f>IF(Checks!C12,ISERROR(FIND("&amp;",Data!D12)),TRUE)</f>
        <v>1</v>
      </c>
      <c r="AB12" s="26" t="b">
        <f>IF(Checks!$C12,IF(AND(UPPER(Data!$C12)&lt;&gt;"START",UPPER(Data!$C12)&lt;&gt;"DATA OBJECT",Data!E12&lt;&gt;""),NOT(ISERROR(MATCH(Data!$A12&amp;"||"&amp;Data!E12,Key,0))),TRUE),TRUE)</f>
        <v>1</v>
      </c>
      <c r="AC12" s="27" t="b">
        <f>IF(Checks!C12,IF(UPPER(Data!C12)="END",Data!E12&lt;&gt;"",TRUE),TRUE)</f>
        <v>1</v>
      </c>
    </row>
    <row r="13" spans="1:29" x14ac:dyDescent="0.25">
      <c r="A13" s="1" t="str">
        <f>Data!A13&amp;"||"&amp;Data!B13</f>
        <v>Analytics/irmifrs9_data_quality.bpmn||003</v>
      </c>
      <c r="B13" s="19"/>
      <c r="C13" s="24" t="b">
        <f>AND(UPPER(Data!A13)&lt;&gt;"EMPTY",Data!B13&lt;&gt;"")</f>
        <v>1</v>
      </c>
      <c r="D13" s="1"/>
      <c r="E13" s="25" t="b">
        <f t="shared" ca="1" si="0"/>
        <v>1</v>
      </c>
      <c r="F13" s="26" t="b">
        <f ca="1">IF(UPPER(Data!C13)="SUB PROCESS",NOT(ISERROR(MATCH(RIGHT(Data!BY13,LEN(Data!BY13)-5),OFFSET(Data,0,0,ItemsCount,1),0))),TRUE)</f>
        <v>1</v>
      </c>
      <c r="G13" s="26" t="b">
        <f ca="1">IF(MID(UPPER(Data!A13),1,13)="MISCELLANEOUS",NOT(ISERROR(MATCH("path="&amp;Data!A13,OFFSET(Data,0,76,ItemsCount,1),0))),TRUE)</f>
        <v>1</v>
      </c>
      <c r="L13" s="25" t="b">
        <f t="shared" ca="1" si="1"/>
        <v>1</v>
      </c>
      <c r="M13" s="24" t="b">
        <f>IF(Checks!$C13,Data!A13&lt;&gt;"",TRUE)</f>
        <v>1</v>
      </c>
      <c r="N13" s="26" t="b">
        <f>IF(Checks!C13,Data!B13&lt;&gt;"",TRUE)</f>
        <v>1</v>
      </c>
      <c r="O13" s="26" t="b">
        <f>IF(Checks!C13,IF(AND(UPPER(Data!C13)="SERVICE TASK",UPPER(Data!BZ13)="TYPE=SAS"),NodeExists(TRIM(RIGHT(Data!CA13,LEN(Data!CA13)-FIND("=",Data!CA13)))),TRUE),TRUE)</f>
        <v>1</v>
      </c>
      <c r="P13" s="26" t="b">
        <f>IF(Checks!C13,IF(Data!C13="DATA OBJECT",OR(AND(Data!BW13&lt;&gt;"",Data!BX13=""),AND(Data!BW13="",Data!BX13&lt;&gt;"")),TRUE),TRUE)</f>
        <v>1</v>
      </c>
      <c r="Q13" s="26" t="b">
        <f>IF(Checks!C13,UPPER(RIGHT(Data!A13,5))=".BPMN",TRUE)</f>
        <v>1</v>
      </c>
      <c r="R13" s="26" t="b">
        <f>IF(Checks!C13,IF(UPPER(Data!C13)="SUB PROCESS",UPPER(RIGHT(Data!BY13,5))=".BPMN",TRUE),TRUE)</f>
        <v>1</v>
      </c>
      <c r="S13" s="26" t="b">
        <f>IF(Checks!C13,IF(UPPER(Data!C13)="SERVICE TASK",IF(UPPER(Data!BZ13)="TYPE=SAS",UPPER(RIGHT(Data!CA13,4))=".SAS",TRUE),TRUE),TRUE)</f>
        <v>1</v>
      </c>
      <c r="T13" s="26" t="b">
        <f>IF(Checks!C13,IF(Data!B13&lt;&gt;"",Data!D13&lt;&gt;"",TRUE),TRUE)</f>
        <v>1</v>
      </c>
      <c r="U13" s="26" t="b">
        <f>IF(Checks!C13,IF(UPPER(Data!C13)="DATA OBJECT",NOT(ISERROR(MATCH(Data!A13&amp;"||"&amp;Data!BW13&amp;Data!BX13,Key,0))),TRUE),TRUE)</f>
        <v>1</v>
      </c>
      <c r="V13" s="26" t="b">
        <f>IF(Checks!C13,IF(UPPER(Data!C13)="SUB PROCESS",Data!BY13&lt;&gt;"",TRUE),TRUE)</f>
        <v>1</v>
      </c>
      <c r="W13" s="26" t="b">
        <f>IF(Checks!C13,IF(UPPER(Data!C13)="SERVICE TASK",AND(Data!BZ13&lt;&gt;"",Data!CA13&lt;&gt;""),TRUE),TRUE)</f>
        <v>1</v>
      </c>
      <c r="X13" s="26" t="b">
        <f t="array" aca="1" ref="X13" ca="1">SUM((OFFSET(Data!B13,MAX(ROW(Data!$B$5)-ROW(Data!B13),-200),0,400,1)=Data!B13)*(OFFSET(Data!A13,MAX(ROW(Data!$B$5)-ROW(Data!B13),-200),0,400,1)=Data!A13))=1</f>
        <v>1</v>
      </c>
      <c r="Y13" s="26" t="b">
        <f t="array" aca="1" ref="Y13" ca="1">IF(UPPER(Data!C13)="START",SUM((OFFSET(Data!C13,MAX(ROW(Data!$C$5)-ROW(Data!C13),-200),0,400,1)="START")*(OFFSET(Data!A13,MAX(ROW(Data!$B$5)-ROW(Data!B13),-200),0,400,1)=Data!A13))=1,TRUE)</f>
        <v>1</v>
      </c>
      <c r="Z13" s="26" t="b">
        <f t="array" aca="1" ref="Z13" ca="1">IF(UPPER(Data!C13)="END",SUM((OFFSET(Data!C13,MAX(ROW(Data!$C$5)-ROW(Data!C13),-200),0,400,1)="END")*(OFFSET(Data!A13,MAX(ROW(Data!$B$5)-ROW(Data!B13),-200),0,400,1)=Data!A13))=1,TRUE)</f>
        <v>1</v>
      </c>
      <c r="AA13" s="26" t="b">
        <f>IF(Checks!C13,ISERROR(FIND("&amp;",Data!D13)),TRUE)</f>
        <v>1</v>
      </c>
      <c r="AB13" s="26" t="b">
        <f ca="1">IF(Checks!$C13,IF(AND(UPPER(Data!$C13)&lt;&gt;"START",UPPER(Data!$C13)&lt;&gt;"DATA OBJECT",Data!E13&lt;&gt;""),NOT(ISERROR(MATCH(Data!$A13&amp;"||"&amp;Data!E13,Key,0))),TRUE),TRUE)</f>
        <v>1</v>
      </c>
      <c r="AC13" s="27" t="b">
        <f>IF(Checks!C13,IF(UPPER(Data!C13)="END",Data!E13&lt;&gt;"",TRUE),TRUE)</f>
        <v>1</v>
      </c>
    </row>
    <row r="14" spans="1:29" x14ac:dyDescent="0.25">
      <c r="A14" s="1" t="str">
        <f>Data!A14&amp;"||"&amp;Data!B14</f>
        <v>Analytics/irmifrs9_data_quality.bpmn||003_00_01</v>
      </c>
      <c r="B14" s="19"/>
      <c r="C14" s="24" t="b">
        <f>AND(UPPER(Data!A14)&lt;&gt;"EMPTY",Data!B14&lt;&gt;"")</f>
        <v>1</v>
      </c>
      <c r="D14" s="1"/>
      <c r="E14" s="25" t="b">
        <f t="shared" ca="1" si="0"/>
        <v>1</v>
      </c>
      <c r="F14" s="26" t="b">
        <f ca="1">IF(UPPER(Data!C14)="SUB PROCESS",NOT(ISERROR(MATCH(RIGHT(Data!BY14,LEN(Data!BY14)-5),OFFSET(Data,0,0,ItemsCount,1),0))),TRUE)</f>
        <v>1</v>
      </c>
      <c r="G14" s="26" t="b">
        <f ca="1">IF(MID(UPPER(Data!A14),1,13)="MISCELLANEOUS",NOT(ISERROR(MATCH("path="&amp;Data!A14,OFFSET(Data,0,76,ItemsCount,1),0))),TRUE)</f>
        <v>1</v>
      </c>
      <c r="L14" s="25" t="b">
        <f t="shared" ca="1" si="1"/>
        <v>1</v>
      </c>
      <c r="M14" s="24" t="b">
        <f>IF(Checks!$C14,Data!A14&lt;&gt;"",TRUE)</f>
        <v>1</v>
      </c>
      <c r="N14" s="26" t="b">
        <f>IF(Checks!C14,Data!B14&lt;&gt;"",TRUE)</f>
        <v>1</v>
      </c>
      <c r="O14" s="26" t="b">
        <f>IF(Checks!C14,IF(AND(UPPER(Data!C14)="SERVICE TASK",UPPER(Data!BZ14)="TYPE=SAS"),NodeExists(TRIM(RIGHT(Data!CA14,LEN(Data!CA14)-FIND("=",Data!CA14)))),TRUE),TRUE)</f>
        <v>1</v>
      </c>
      <c r="P14" s="26" t="b">
        <f>IF(Checks!C14,IF(Data!C14="DATA OBJECT",OR(AND(Data!BW14&lt;&gt;"",Data!BX14=""),AND(Data!BW14="",Data!BX14&lt;&gt;"")),TRUE),TRUE)</f>
        <v>1</v>
      </c>
      <c r="Q14" s="26" t="b">
        <f>IF(Checks!C14,UPPER(RIGHT(Data!A14,5))=".BPMN",TRUE)</f>
        <v>1</v>
      </c>
      <c r="R14" s="26" t="b">
        <f>IF(Checks!C14,IF(UPPER(Data!C14)="SUB PROCESS",UPPER(RIGHT(Data!BY14,5))=".BPMN",TRUE),TRUE)</f>
        <v>1</v>
      </c>
      <c r="S14" s="26" t="b">
        <f>IF(Checks!C14,IF(UPPER(Data!C14)="SERVICE TASK",IF(UPPER(Data!BZ14)="TYPE=SAS",UPPER(RIGHT(Data!CA14,4))=".SAS",TRUE),TRUE),TRUE)</f>
        <v>1</v>
      </c>
      <c r="T14" s="26" t="b">
        <f>IF(Checks!C14,IF(Data!B14&lt;&gt;"",Data!D14&lt;&gt;"",TRUE),TRUE)</f>
        <v>1</v>
      </c>
      <c r="U14" s="26" t="b">
        <f ca="1">IF(Checks!C14,IF(UPPER(Data!C14)="DATA OBJECT",NOT(ISERROR(MATCH(Data!A14&amp;"||"&amp;Data!BW14&amp;Data!BX14,Key,0))),TRUE),TRUE)</f>
        <v>1</v>
      </c>
      <c r="V14" s="26" t="b">
        <f>IF(Checks!C14,IF(UPPER(Data!C14)="SUB PROCESS",Data!BY14&lt;&gt;"",TRUE),TRUE)</f>
        <v>1</v>
      </c>
      <c r="W14" s="26" t="b">
        <f>IF(Checks!C14,IF(UPPER(Data!C14)="SERVICE TASK",AND(Data!BZ14&lt;&gt;"",Data!CA14&lt;&gt;""),TRUE),TRUE)</f>
        <v>1</v>
      </c>
      <c r="X14" s="26" t="b">
        <f t="array" aca="1" ref="X14" ca="1">SUM((OFFSET(Data!B14,MAX(ROW(Data!$B$5)-ROW(Data!B14),-200),0,400,1)=Data!B14)*(OFFSET(Data!A14,MAX(ROW(Data!$B$5)-ROW(Data!B14),-200),0,400,1)=Data!A14))=1</f>
        <v>1</v>
      </c>
      <c r="Y14" s="26" t="b">
        <f t="array" aca="1" ref="Y14" ca="1">IF(UPPER(Data!C14)="START",SUM((OFFSET(Data!C14,MAX(ROW(Data!$C$5)-ROW(Data!C14),-200),0,400,1)="START")*(OFFSET(Data!A14,MAX(ROW(Data!$B$5)-ROW(Data!B14),-200),0,400,1)=Data!A14))=1,TRUE)</f>
        <v>1</v>
      </c>
      <c r="Z14" s="26" t="b">
        <f t="array" aca="1" ref="Z14" ca="1">IF(UPPER(Data!C14)="END",SUM((OFFSET(Data!C14,MAX(ROW(Data!$C$5)-ROW(Data!C14),-200),0,400,1)="END")*(OFFSET(Data!A14,MAX(ROW(Data!$B$5)-ROW(Data!B14),-200),0,400,1)=Data!A14))=1,TRUE)</f>
        <v>1</v>
      </c>
      <c r="AA14" s="26" t="b">
        <f>IF(Checks!C14,ISERROR(FIND("&amp;",Data!D14)),TRUE)</f>
        <v>1</v>
      </c>
      <c r="AB14" s="26" t="b">
        <f>IF(Checks!$C14,IF(AND(UPPER(Data!$C14)&lt;&gt;"START",UPPER(Data!$C14)&lt;&gt;"DATA OBJECT",Data!E14&lt;&gt;""),NOT(ISERROR(MATCH(Data!$A14&amp;"||"&amp;Data!E14,Key,0))),TRUE),TRUE)</f>
        <v>1</v>
      </c>
      <c r="AC14" s="27" t="b">
        <f>IF(Checks!C14,IF(UPPER(Data!C14)="END",Data!E14&lt;&gt;"",TRUE),TRUE)</f>
        <v>1</v>
      </c>
    </row>
    <row r="15" spans="1:29" x14ac:dyDescent="0.25">
      <c r="A15" s="1" t="str">
        <f>Data!A15&amp;"||"&amp;Data!B15</f>
        <v>Analytics/irmifrs9_data_quality.bpmn||005</v>
      </c>
      <c r="B15" s="19"/>
      <c r="C15" s="24" t="b">
        <f>AND(UPPER(Data!A15)&lt;&gt;"EMPTY",Data!B15&lt;&gt;"")</f>
        <v>1</v>
      </c>
      <c r="D15" s="1"/>
      <c r="E15" s="25" t="b">
        <f t="shared" ca="1" si="0"/>
        <v>1</v>
      </c>
      <c r="F15" s="26" t="b">
        <f ca="1">IF(UPPER(Data!C15)="SUB PROCESS",NOT(ISERROR(MATCH(RIGHT(Data!BY15,LEN(Data!BY15)-5),OFFSET(Data,0,0,ItemsCount,1),0))),TRUE)</f>
        <v>1</v>
      </c>
      <c r="G15" s="26" t="b">
        <f ca="1">IF(MID(UPPER(Data!A15),1,13)="MISCELLANEOUS",NOT(ISERROR(MATCH("path="&amp;Data!A15,OFFSET(Data,0,76,ItemsCount,1),0))),TRUE)</f>
        <v>1</v>
      </c>
      <c r="L15" s="25" t="b">
        <f t="shared" ca="1" si="1"/>
        <v>1</v>
      </c>
      <c r="M15" s="24" t="b">
        <f>IF(Checks!$C15,Data!A15&lt;&gt;"",TRUE)</f>
        <v>1</v>
      </c>
      <c r="N15" s="26" t="b">
        <f>IF(Checks!C15,Data!B15&lt;&gt;"",TRUE)</f>
        <v>1</v>
      </c>
      <c r="O15" s="26" t="b">
        <f>IF(Checks!C15,IF(AND(UPPER(Data!C15)="SERVICE TASK",UPPER(Data!BZ15)="TYPE=SAS"),NodeExists(TRIM(RIGHT(Data!CA15,LEN(Data!CA15)-FIND("=",Data!CA15)))),TRUE),TRUE)</f>
        <v>1</v>
      </c>
      <c r="P15" s="26" t="b">
        <f>IF(Checks!C15,IF(Data!C15="DATA OBJECT",OR(AND(Data!BW15&lt;&gt;"",Data!BX15=""),AND(Data!BW15="",Data!BX15&lt;&gt;"")),TRUE),TRUE)</f>
        <v>1</v>
      </c>
      <c r="Q15" s="26" t="b">
        <f>IF(Checks!C15,UPPER(RIGHT(Data!A15,5))=".BPMN",TRUE)</f>
        <v>1</v>
      </c>
      <c r="R15" s="26" t="b">
        <f>IF(Checks!C15,IF(UPPER(Data!C15)="SUB PROCESS",UPPER(RIGHT(Data!BY15,5))=".BPMN",TRUE),TRUE)</f>
        <v>1</v>
      </c>
      <c r="S15" s="26" t="b">
        <f>IF(Checks!C15,IF(UPPER(Data!C15)="SERVICE TASK",IF(UPPER(Data!BZ15)="TYPE=SAS",UPPER(RIGHT(Data!CA15,4))=".SAS",TRUE),TRUE),TRUE)</f>
        <v>1</v>
      </c>
      <c r="T15" s="26" t="b">
        <f>IF(Checks!C15,IF(Data!B15&lt;&gt;"",Data!D15&lt;&gt;"",TRUE),TRUE)</f>
        <v>1</v>
      </c>
      <c r="U15" s="26" t="b">
        <f>IF(Checks!C15,IF(UPPER(Data!C15)="DATA OBJECT",NOT(ISERROR(MATCH(Data!A15&amp;"||"&amp;Data!BW15&amp;Data!BX15,Key,0))),TRUE),TRUE)</f>
        <v>1</v>
      </c>
      <c r="V15" s="26" t="b">
        <f>IF(Checks!C15,IF(UPPER(Data!C15)="SUB PROCESS",Data!BY15&lt;&gt;"",TRUE),TRUE)</f>
        <v>1</v>
      </c>
      <c r="W15" s="26" t="b">
        <f>IF(Checks!C15,IF(UPPER(Data!C15)="SERVICE TASK",AND(Data!BZ15&lt;&gt;"",Data!CA15&lt;&gt;""),TRUE),TRUE)</f>
        <v>1</v>
      </c>
      <c r="X15" s="26" t="b">
        <f t="array" aca="1" ref="X15" ca="1">SUM((OFFSET(Data!B15,MAX(ROW(Data!$B$5)-ROW(Data!B15),-200),0,400,1)=Data!B15)*(OFFSET(Data!A15,MAX(ROW(Data!$B$5)-ROW(Data!B15),-200),0,400,1)=Data!A15))=1</f>
        <v>1</v>
      </c>
      <c r="Y15" s="26" t="b">
        <f t="array" aca="1" ref="Y15" ca="1">IF(UPPER(Data!C15)="START",SUM((OFFSET(Data!C15,MAX(ROW(Data!$C$5)-ROW(Data!C15),-200),0,400,1)="START")*(OFFSET(Data!A15,MAX(ROW(Data!$B$5)-ROW(Data!B15),-200),0,400,1)=Data!A15))=1,TRUE)</f>
        <v>1</v>
      </c>
      <c r="Z15" s="26" t="b">
        <f t="array" aca="1" ref="Z15" ca="1">IF(UPPER(Data!C15)="END",SUM((OFFSET(Data!C15,MAX(ROW(Data!$C$5)-ROW(Data!C15),-200),0,400,1)="END")*(OFFSET(Data!A15,MAX(ROW(Data!$B$5)-ROW(Data!B15),-200),0,400,1)=Data!A15))=1,TRUE)</f>
        <v>1</v>
      </c>
      <c r="AA15" s="26" t="b">
        <f>IF(Checks!C15,ISERROR(FIND("&amp;",Data!D15)),TRUE)</f>
        <v>1</v>
      </c>
      <c r="AB15" s="26" t="b">
        <f ca="1">IF(Checks!$C15,IF(AND(UPPER(Data!$C15)&lt;&gt;"START",UPPER(Data!$C15)&lt;&gt;"DATA OBJECT",Data!E15&lt;&gt;""),NOT(ISERROR(MATCH(Data!$A15&amp;"||"&amp;Data!E15,Key,0))),TRUE),TRUE)</f>
        <v>1</v>
      </c>
      <c r="AC15" s="27" t="b">
        <f>IF(Checks!C15,IF(UPPER(Data!C15)="END",Data!E15&lt;&gt;"",TRUE),TRUE)</f>
        <v>1</v>
      </c>
    </row>
    <row r="16" spans="1:29" x14ac:dyDescent="0.25">
      <c r="A16" s="1" t="str">
        <f>Data!A16&amp;"||"&amp;Data!B16</f>
        <v>Analytics/irmifrs9_data_quality.bpmn||005_00_02</v>
      </c>
      <c r="B16" s="19"/>
      <c r="C16" s="24" t="b">
        <f>AND(UPPER(Data!A16)&lt;&gt;"EMPTY",Data!B16&lt;&gt;"")</f>
        <v>1</v>
      </c>
      <c r="D16" s="1"/>
      <c r="E16" s="25" t="b">
        <f t="shared" ca="1" si="0"/>
        <v>1</v>
      </c>
      <c r="F16" s="26" t="b">
        <f ca="1">IF(UPPER(Data!C16)="SUB PROCESS",NOT(ISERROR(MATCH(RIGHT(Data!BY16,LEN(Data!BY16)-5),OFFSET(Data,0,0,ItemsCount,1),0))),TRUE)</f>
        <v>1</v>
      </c>
      <c r="G16" s="26" t="b">
        <f ca="1">IF(MID(UPPER(Data!A16),1,13)="MISCELLANEOUS",NOT(ISERROR(MATCH("path="&amp;Data!A16,OFFSET(Data,0,76,ItemsCount,1),0))),TRUE)</f>
        <v>1</v>
      </c>
      <c r="L16" s="25" t="b">
        <f t="shared" ca="1" si="1"/>
        <v>1</v>
      </c>
      <c r="M16" s="24" t="b">
        <f>IF(Checks!$C16,Data!A16&lt;&gt;"",TRUE)</f>
        <v>1</v>
      </c>
      <c r="N16" s="26" t="b">
        <f>IF(Checks!C16,Data!B16&lt;&gt;"",TRUE)</f>
        <v>1</v>
      </c>
      <c r="O16" s="26" t="b">
        <f>IF(Checks!C16,IF(AND(UPPER(Data!C16)="SERVICE TASK",UPPER(Data!BZ16)="TYPE=SAS"),NodeExists(TRIM(RIGHT(Data!CA16,LEN(Data!CA16)-FIND("=",Data!CA16)))),TRUE),TRUE)</f>
        <v>1</v>
      </c>
      <c r="P16" s="26" t="b">
        <f>IF(Checks!C16,IF(Data!C16="DATA OBJECT",OR(AND(Data!BW16&lt;&gt;"",Data!BX16=""),AND(Data!BW16="",Data!BX16&lt;&gt;"")),TRUE),TRUE)</f>
        <v>1</v>
      </c>
      <c r="Q16" s="26" t="b">
        <f>IF(Checks!C16,UPPER(RIGHT(Data!A16,5))=".BPMN",TRUE)</f>
        <v>1</v>
      </c>
      <c r="R16" s="26" t="b">
        <f>IF(Checks!C16,IF(UPPER(Data!C16)="SUB PROCESS",UPPER(RIGHT(Data!BY16,5))=".BPMN",TRUE),TRUE)</f>
        <v>1</v>
      </c>
      <c r="S16" s="26" t="b">
        <f>IF(Checks!C16,IF(UPPER(Data!C16)="SERVICE TASK",IF(UPPER(Data!BZ16)="TYPE=SAS",UPPER(RIGHT(Data!CA16,4))=".SAS",TRUE),TRUE),TRUE)</f>
        <v>1</v>
      </c>
      <c r="T16" s="26" t="b">
        <f>IF(Checks!C16,IF(Data!B16&lt;&gt;"",Data!D16&lt;&gt;"",TRUE),TRUE)</f>
        <v>1</v>
      </c>
      <c r="U16" s="26" t="b">
        <f ca="1">IF(Checks!C16,IF(UPPER(Data!C16)="DATA OBJECT",NOT(ISERROR(MATCH(Data!A16&amp;"||"&amp;Data!BW16&amp;Data!BX16,Key,0))),TRUE),TRUE)</f>
        <v>1</v>
      </c>
      <c r="V16" s="26" t="b">
        <f>IF(Checks!C16,IF(UPPER(Data!C16)="SUB PROCESS",Data!BY16&lt;&gt;"",TRUE),TRUE)</f>
        <v>1</v>
      </c>
      <c r="W16" s="26" t="b">
        <f>IF(Checks!C16,IF(UPPER(Data!C16)="SERVICE TASK",AND(Data!BZ16&lt;&gt;"",Data!CA16&lt;&gt;""),TRUE),TRUE)</f>
        <v>1</v>
      </c>
      <c r="X16" s="26" t="b">
        <f t="array" aca="1" ref="X16" ca="1">SUM((OFFSET(Data!B16,MAX(ROW(Data!$B$5)-ROW(Data!B16),-200),0,400,1)=Data!B16)*(OFFSET(Data!A16,MAX(ROW(Data!$B$5)-ROW(Data!B16),-200),0,400,1)=Data!A16))=1</f>
        <v>1</v>
      </c>
      <c r="Y16" s="26" t="b">
        <f t="array" aca="1" ref="Y16" ca="1">IF(UPPER(Data!C16)="START",SUM((OFFSET(Data!C16,MAX(ROW(Data!$C$5)-ROW(Data!C16),-200),0,400,1)="START")*(OFFSET(Data!A16,MAX(ROW(Data!$B$5)-ROW(Data!B16),-200),0,400,1)=Data!A16))=1,TRUE)</f>
        <v>1</v>
      </c>
      <c r="Z16" s="26" t="b">
        <f t="array" aca="1" ref="Z16" ca="1">IF(UPPER(Data!C16)="END",SUM((OFFSET(Data!C16,MAX(ROW(Data!$C$5)-ROW(Data!C16),-200),0,400,1)="END")*(OFFSET(Data!A16,MAX(ROW(Data!$B$5)-ROW(Data!B16),-200),0,400,1)=Data!A16))=1,TRUE)</f>
        <v>1</v>
      </c>
      <c r="AA16" s="26" t="b">
        <f>IF(Checks!C16,ISERROR(FIND("&amp;",Data!D16)),TRUE)</f>
        <v>1</v>
      </c>
      <c r="AB16" s="26" t="b">
        <f>IF(Checks!$C16,IF(AND(UPPER(Data!$C16)&lt;&gt;"START",UPPER(Data!$C16)&lt;&gt;"DATA OBJECT",Data!E16&lt;&gt;""),NOT(ISERROR(MATCH(Data!$A16&amp;"||"&amp;Data!E16,Key,0))),TRUE),TRUE)</f>
        <v>1</v>
      </c>
      <c r="AC16" s="27" t="b">
        <f>IF(Checks!C16,IF(UPPER(Data!C16)="END",Data!E16&lt;&gt;"",TRUE),TRUE)</f>
        <v>1</v>
      </c>
    </row>
    <row r="17" spans="1:29" x14ac:dyDescent="0.25">
      <c r="A17" s="1" t="str">
        <f>Data!A17&amp;"||"&amp;Data!B17</f>
        <v>Analytics/irmifrs9_data_quality.bpmn||005_01_00</v>
      </c>
      <c r="B17" s="19"/>
      <c r="C17" s="24" t="b">
        <f>AND(UPPER(Data!A17)&lt;&gt;"EMPTY",Data!B17&lt;&gt;"")</f>
        <v>1</v>
      </c>
      <c r="D17" s="1"/>
      <c r="E17" s="25" t="b">
        <f t="shared" ca="1" si="0"/>
        <v>1</v>
      </c>
      <c r="F17" s="26" t="b">
        <f ca="1">IF(UPPER(Data!C17)="SUB PROCESS",NOT(ISERROR(MATCH(RIGHT(Data!BY17,LEN(Data!BY17)-5),OFFSET(Data,0,0,ItemsCount,1),0))),TRUE)</f>
        <v>1</v>
      </c>
      <c r="G17" s="26" t="b">
        <f ca="1">IF(MID(UPPER(Data!A17),1,13)="MISCELLANEOUS",NOT(ISERROR(MATCH("path="&amp;Data!A17,OFFSET(Data,0,76,ItemsCount,1),0))),TRUE)</f>
        <v>1</v>
      </c>
      <c r="L17" s="25" t="b">
        <f t="shared" ca="1" si="1"/>
        <v>1</v>
      </c>
      <c r="M17" s="24" t="b">
        <f>IF(Checks!$C17,Data!A17&lt;&gt;"",TRUE)</f>
        <v>1</v>
      </c>
      <c r="N17" s="26" t="b">
        <f>IF(Checks!C17,Data!B17&lt;&gt;"",TRUE)</f>
        <v>1</v>
      </c>
      <c r="O17" s="26" t="b">
        <f>IF(Checks!C17,IF(AND(UPPER(Data!C17)="SERVICE TASK",UPPER(Data!BZ17)="TYPE=SAS"),NodeExists(TRIM(RIGHT(Data!CA17,LEN(Data!CA17)-FIND("=",Data!CA17)))),TRUE),TRUE)</f>
        <v>1</v>
      </c>
      <c r="P17" s="26" t="b">
        <f>IF(Checks!C17,IF(Data!C17="DATA OBJECT",OR(AND(Data!BW17&lt;&gt;"",Data!BX17=""),AND(Data!BW17="",Data!BX17&lt;&gt;"")),TRUE),TRUE)</f>
        <v>1</v>
      </c>
      <c r="Q17" s="26" t="b">
        <f>IF(Checks!C17,UPPER(RIGHT(Data!A17,5))=".BPMN",TRUE)</f>
        <v>1</v>
      </c>
      <c r="R17" s="26" t="b">
        <f>IF(Checks!C17,IF(UPPER(Data!C17)="SUB PROCESS",UPPER(RIGHT(Data!BY17,5))=".BPMN",TRUE),TRUE)</f>
        <v>1</v>
      </c>
      <c r="S17" s="26" t="b">
        <f>IF(Checks!C17,IF(UPPER(Data!C17)="SERVICE TASK",IF(UPPER(Data!BZ17)="TYPE=SAS",UPPER(RIGHT(Data!CA17,4))=".SAS",TRUE),TRUE),TRUE)</f>
        <v>1</v>
      </c>
      <c r="T17" s="26" t="b">
        <f>IF(Checks!C17,IF(Data!B17&lt;&gt;"",Data!D17&lt;&gt;"",TRUE),TRUE)</f>
        <v>1</v>
      </c>
      <c r="U17" s="26" t="b">
        <f ca="1">IF(Checks!C17,IF(UPPER(Data!C17)="DATA OBJECT",NOT(ISERROR(MATCH(Data!A17&amp;"||"&amp;Data!BW17&amp;Data!BX17,Key,0))),TRUE),TRUE)</f>
        <v>1</v>
      </c>
      <c r="V17" s="26" t="b">
        <f>IF(Checks!C17,IF(UPPER(Data!C17)="SUB PROCESS",Data!BY17&lt;&gt;"",TRUE),TRUE)</f>
        <v>1</v>
      </c>
      <c r="W17" s="26" t="b">
        <f>IF(Checks!C17,IF(UPPER(Data!C17)="SERVICE TASK",AND(Data!BZ17&lt;&gt;"",Data!CA17&lt;&gt;""),TRUE),TRUE)</f>
        <v>1</v>
      </c>
      <c r="X17" s="26" t="b">
        <f t="array" aca="1" ref="X17" ca="1">SUM((OFFSET(Data!B17,MAX(ROW(Data!$B$5)-ROW(Data!B17),-200),0,400,1)=Data!B17)*(OFFSET(Data!A17,MAX(ROW(Data!$B$5)-ROW(Data!B17),-200),0,400,1)=Data!A17))=1</f>
        <v>1</v>
      </c>
      <c r="Y17" s="26" t="b">
        <f t="array" aca="1" ref="Y17" ca="1">IF(UPPER(Data!C17)="START",SUM((OFFSET(Data!C17,MAX(ROW(Data!$C$5)-ROW(Data!C17),-200),0,400,1)="START")*(OFFSET(Data!A17,MAX(ROW(Data!$B$5)-ROW(Data!B17),-200),0,400,1)=Data!A17))=1,TRUE)</f>
        <v>1</v>
      </c>
      <c r="Z17" s="26" t="b">
        <f t="array" aca="1" ref="Z17" ca="1">IF(UPPER(Data!C17)="END",SUM((OFFSET(Data!C17,MAX(ROW(Data!$C$5)-ROW(Data!C17),-200),0,400,1)="END")*(OFFSET(Data!A17,MAX(ROW(Data!$B$5)-ROW(Data!B17),-200),0,400,1)=Data!A17))=1,TRUE)</f>
        <v>1</v>
      </c>
      <c r="AA17" s="26" t="b">
        <f>IF(Checks!C17,ISERROR(FIND("&amp;",Data!D17)),TRUE)</f>
        <v>1</v>
      </c>
      <c r="AB17" s="26" t="b">
        <f>IF(Checks!$C17,IF(AND(UPPER(Data!$C17)&lt;&gt;"START",UPPER(Data!$C17)&lt;&gt;"DATA OBJECT",Data!E17&lt;&gt;""),NOT(ISERROR(MATCH(Data!$A17&amp;"||"&amp;Data!E17,Key,0))),TRUE),TRUE)</f>
        <v>1</v>
      </c>
      <c r="AC17" s="27" t="b">
        <f>IF(Checks!C17,IF(UPPER(Data!C17)="END",Data!E17&lt;&gt;"",TRUE),TRUE)</f>
        <v>1</v>
      </c>
    </row>
    <row r="18" spans="1:29" x14ac:dyDescent="0.25">
      <c r="A18" s="1" t="str">
        <f>Data!A18&amp;"||"&amp;Data!B18</f>
        <v>Analytics/irmifrs9_data_quality.bpmn||005_02_00</v>
      </c>
      <c r="B18" s="19"/>
      <c r="C18" s="24" t="b">
        <f>AND(UPPER(Data!A18)&lt;&gt;"EMPTY",Data!B18&lt;&gt;"")</f>
        <v>1</v>
      </c>
      <c r="D18" s="1"/>
      <c r="E18" s="25" t="b">
        <f t="shared" ca="1" si="0"/>
        <v>1</v>
      </c>
      <c r="F18" s="26" t="b">
        <f ca="1">IF(UPPER(Data!C18)="SUB PROCESS",NOT(ISERROR(MATCH(RIGHT(Data!BY18,LEN(Data!BY18)-5),OFFSET(Data,0,0,ItemsCount,1),0))),TRUE)</f>
        <v>1</v>
      </c>
      <c r="G18" s="26" t="b">
        <f ca="1">IF(MID(UPPER(Data!A18),1,13)="MISCELLANEOUS",NOT(ISERROR(MATCH("path="&amp;Data!A18,OFFSET(Data,0,76,ItemsCount,1),0))),TRUE)</f>
        <v>1</v>
      </c>
      <c r="L18" s="25" t="b">
        <f t="shared" ca="1" si="1"/>
        <v>1</v>
      </c>
      <c r="M18" s="24" t="b">
        <f>IF(Checks!$C18,Data!A18&lt;&gt;"",TRUE)</f>
        <v>1</v>
      </c>
      <c r="N18" s="26" t="b">
        <f>IF(Checks!C18,Data!B18&lt;&gt;"",TRUE)</f>
        <v>1</v>
      </c>
      <c r="O18" s="26" t="b">
        <f>IF(Checks!C18,IF(AND(UPPER(Data!C18)="SERVICE TASK",UPPER(Data!BZ18)="TYPE=SAS"),NodeExists(TRIM(RIGHT(Data!CA18,LEN(Data!CA18)-FIND("=",Data!CA18)))),TRUE),TRUE)</f>
        <v>1</v>
      </c>
      <c r="P18" s="26" t="b">
        <f>IF(Checks!C18,IF(Data!C18="DATA OBJECT",OR(AND(Data!BW18&lt;&gt;"",Data!BX18=""),AND(Data!BW18="",Data!BX18&lt;&gt;"")),TRUE),TRUE)</f>
        <v>1</v>
      </c>
      <c r="Q18" s="26" t="b">
        <f>IF(Checks!C18,UPPER(RIGHT(Data!A18,5))=".BPMN",TRUE)</f>
        <v>1</v>
      </c>
      <c r="R18" s="26" t="b">
        <f>IF(Checks!C18,IF(UPPER(Data!C18)="SUB PROCESS",UPPER(RIGHT(Data!BY18,5))=".BPMN",TRUE),TRUE)</f>
        <v>1</v>
      </c>
      <c r="S18" s="26" t="b">
        <f>IF(Checks!C18,IF(UPPER(Data!C18)="SERVICE TASK",IF(UPPER(Data!BZ18)="TYPE=SAS",UPPER(RIGHT(Data!CA18,4))=".SAS",TRUE),TRUE),TRUE)</f>
        <v>1</v>
      </c>
      <c r="T18" s="26" t="b">
        <f>IF(Checks!C18,IF(Data!B18&lt;&gt;"",Data!D18&lt;&gt;"",TRUE),TRUE)</f>
        <v>1</v>
      </c>
      <c r="U18" s="26" t="b">
        <f ca="1">IF(Checks!C18,IF(UPPER(Data!C18)="DATA OBJECT",NOT(ISERROR(MATCH(Data!A18&amp;"||"&amp;Data!BW18&amp;Data!BX18,Key,0))),TRUE),TRUE)</f>
        <v>1</v>
      </c>
      <c r="V18" s="26" t="b">
        <f>IF(Checks!C18,IF(UPPER(Data!C18)="SUB PROCESS",Data!BY18&lt;&gt;"",TRUE),TRUE)</f>
        <v>1</v>
      </c>
      <c r="W18" s="26" t="b">
        <f>IF(Checks!C18,IF(UPPER(Data!C18)="SERVICE TASK",AND(Data!BZ18&lt;&gt;"",Data!CA18&lt;&gt;""),TRUE),TRUE)</f>
        <v>1</v>
      </c>
      <c r="X18" s="26" t="b">
        <f t="array" aca="1" ref="X18" ca="1">SUM((OFFSET(Data!B18,MAX(ROW(Data!$B$5)-ROW(Data!B18),-200),0,400,1)=Data!B18)*(OFFSET(Data!A18,MAX(ROW(Data!$B$5)-ROW(Data!B18),-200),0,400,1)=Data!A18))=1</f>
        <v>1</v>
      </c>
      <c r="Y18" s="26" t="b">
        <f t="array" aca="1" ref="Y18" ca="1">IF(UPPER(Data!C18)="START",SUM((OFFSET(Data!C18,MAX(ROW(Data!$C$5)-ROW(Data!C18),-200),0,400,1)="START")*(OFFSET(Data!A18,MAX(ROW(Data!$B$5)-ROW(Data!B18),-200),0,400,1)=Data!A18))=1,TRUE)</f>
        <v>1</v>
      </c>
      <c r="Z18" s="26" t="b">
        <f t="array" aca="1" ref="Z18" ca="1">IF(UPPER(Data!C18)="END",SUM((OFFSET(Data!C18,MAX(ROW(Data!$C$5)-ROW(Data!C18),-200),0,400,1)="END")*(OFFSET(Data!A18,MAX(ROW(Data!$B$5)-ROW(Data!B18),-200),0,400,1)=Data!A18))=1,TRUE)</f>
        <v>1</v>
      </c>
      <c r="AA18" s="26" t="b">
        <f>IF(Checks!C18,ISERROR(FIND("&amp;",Data!D18)),TRUE)</f>
        <v>1</v>
      </c>
      <c r="AB18" s="26" t="b">
        <f>IF(Checks!$C18,IF(AND(UPPER(Data!$C18)&lt;&gt;"START",UPPER(Data!$C18)&lt;&gt;"DATA OBJECT",Data!E18&lt;&gt;""),NOT(ISERROR(MATCH(Data!$A18&amp;"||"&amp;Data!E18,Key,0))),TRUE),TRUE)</f>
        <v>1</v>
      </c>
      <c r="AC18" s="27" t="b">
        <f>IF(Checks!C18,IF(UPPER(Data!C18)="END",Data!E18&lt;&gt;"",TRUE),TRUE)</f>
        <v>1</v>
      </c>
    </row>
    <row r="19" spans="1:29" x14ac:dyDescent="0.25">
      <c r="A19" s="1" t="str">
        <f>Data!A19&amp;"||"&amp;Data!B19</f>
        <v>Analytics/irmifrs9_data_quality.bpmn||009</v>
      </c>
      <c r="B19" s="19"/>
      <c r="C19" s="24" t="b">
        <f>AND(UPPER(Data!A19)&lt;&gt;"EMPTY",Data!B19&lt;&gt;"")</f>
        <v>1</v>
      </c>
      <c r="D19" s="1"/>
      <c r="E19" s="25" t="b">
        <f t="shared" ca="1" si="0"/>
        <v>1</v>
      </c>
      <c r="F19" s="26" t="b">
        <f ca="1">IF(UPPER(Data!C19)="SUB PROCESS",NOT(ISERROR(MATCH(RIGHT(Data!BY19,LEN(Data!BY19)-5),OFFSET(Data,0,0,ItemsCount,1),0))),TRUE)</f>
        <v>1</v>
      </c>
      <c r="G19" s="26" t="b">
        <f ca="1">IF(MID(UPPER(Data!A19),1,13)="MISCELLANEOUS",NOT(ISERROR(MATCH("path="&amp;Data!A19,OFFSET(Data,0,76,ItemsCount,1),0))),TRUE)</f>
        <v>1</v>
      </c>
      <c r="L19" s="25" t="b">
        <f t="shared" ca="1" si="1"/>
        <v>1</v>
      </c>
      <c r="M19" s="24" t="b">
        <f>IF(Checks!$C19,Data!A19&lt;&gt;"",TRUE)</f>
        <v>1</v>
      </c>
      <c r="N19" s="26" t="b">
        <f>IF(Checks!C19,Data!B19&lt;&gt;"",TRUE)</f>
        <v>1</v>
      </c>
      <c r="O19" s="26" t="b">
        <f>IF(Checks!C19,IF(AND(UPPER(Data!C19)="SERVICE TASK",UPPER(Data!BZ19)="TYPE=SAS"),NodeExists(TRIM(RIGHT(Data!CA19,LEN(Data!CA19)-FIND("=",Data!CA19)))),TRUE),TRUE)</f>
        <v>1</v>
      </c>
      <c r="P19" s="26" t="b">
        <f>IF(Checks!C19,IF(Data!C19="DATA OBJECT",OR(AND(Data!BW19&lt;&gt;"",Data!BX19=""),AND(Data!BW19="",Data!BX19&lt;&gt;"")),TRUE),TRUE)</f>
        <v>1</v>
      </c>
      <c r="Q19" s="26" t="b">
        <f>IF(Checks!C19,UPPER(RIGHT(Data!A19,5))=".BPMN",TRUE)</f>
        <v>1</v>
      </c>
      <c r="R19" s="26" t="b">
        <f>IF(Checks!C19,IF(UPPER(Data!C19)="SUB PROCESS",UPPER(RIGHT(Data!BY19,5))=".BPMN",TRUE),TRUE)</f>
        <v>1</v>
      </c>
      <c r="S19" s="26" t="b">
        <f>IF(Checks!C19,IF(UPPER(Data!C19)="SERVICE TASK",IF(UPPER(Data!BZ19)="TYPE=SAS",UPPER(RIGHT(Data!CA19,4))=".SAS",TRUE),TRUE),TRUE)</f>
        <v>1</v>
      </c>
      <c r="T19" s="26" t="b">
        <f>IF(Checks!C19,IF(Data!B19&lt;&gt;"",Data!D19&lt;&gt;"",TRUE),TRUE)</f>
        <v>1</v>
      </c>
      <c r="U19" s="26" t="b">
        <f>IF(Checks!C19,IF(UPPER(Data!C19)="DATA OBJECT",NOT(ISERROR(MATCH(Data!A19&amp;"||"&amp;Data!BW19&amp;Data!BX19,Key,0))),TRUE),TRUE)</f>
        <v>1</v>
      </c>
      <c r="V19" s="26" t="b">
        <f>IF(Checks!C19,IF(UPPER(Data!C19)="SUB PROCESS",Data!BY19&lt;&gt;"",TRUE),TRUE)</f>
        <v>1</v>
      </c>
      <c r="W19" s="26" t="b">
        <f>IF(Checks!C19,IF(UPPER(Data!C19)="SERVICE TASK",AND(Data!BZ19&lt;&gt;"",Data!CA19&lt;&gt;""),TRUE),TRUE)</f>
        <v>1</v>
      </c>
      <c r="X19" s="26" t="b">
        <f t="array" aca="1" ref="X19" ca="1">SUM((OFFSET(Data!B19,MAX(ROW(Data!$B$5)-ROW(Data!B19),-200),0,400,1)=Data!B19)*(OFFSET(Data!A19,MAX(ROW(Data!$B$5)-ROW(Data!B19),-200),0,400,1)=Data!A19))=1</f>
        <v>1</v>
      </c>
      <c r="Y19" s="26" t="b">
        <f t="array" aca="1" ref="Y19" ca="1">IF(UPPER(Data!C19)="START",SUM((OFFSET(Data!C19,MAX(ROW(Data!$C$5)-ROW(Data!C19),-200),0,400,1)="START")*(OFFSET(Data!A19,MAX(ROW(Data!$B$5)-ROW(Data!B19),-200),0,400,1)=Data!A19))=1,TRUE)</f>
        <v>1</v>
      </c>
      <c r="Z19" s="26" t="b">
        <f t="array" aca="1" ref="Z19" ca="1">IF(UPPER(Data!C19)="END",SUM((OFFSET(Data!C19,MAX(ROW(Data!$C$5)-ROW(Data!C19),-200),0,400,1)="END")*(OFFSET(Data!A19,MAX(ROW(Data!$B$5)-ROW(Data!B19),-200),0,400,1)=Data!A19))=1,TRUE)</f>
        <v>1</v>
      </c>
      <c r="AA19" s="26" t="b">
        <f>IF(Checks!C19,ISERROR(FIND("&amp;",Data!D19)),TRUE)</f>
        <v>1</v>
      </c>
      <c r="AB19" s="26" t="b">
        <f ca="1">IF(Checks!$C19,IF(AND(UPPER(Data!$C19)&lt;&gt;"START",UPPER(Data!$C19)&lt;&gt;"DATA OBJECT",Data!E19&lt;&gt;""),NOT(ISERROR(MATCH(Data!$A19&amp;"||"&amp;Data!E19,Key,0))),TRUE),TRUE)</f>
        <v>1</v>
      </c>
      <c r="AC19" s="27" t="b">
        <f>IF(Checks!C19,IF(UPPER(Data!C19)="END",Data!E19&lt;&gt;"",TRUE),TRUE)</f>
        <v>1</v>
      </c>
    </row>
    <row r="20" spans="1:29" x14ac:dyDescent="0.25">
      <c r="A20" s="1" t="str">
        <f>Data!A20&amp;"||"&amp;Data!B20</f>
        <v>Analytics/irmifrs9_data_quality.bpmn||009_00_03</v>
      </c>
      <c r="B20" s="19"/>
      <c r="C20" s="24" t="b">
        <f>AND(UPPER(Data!A20)&lt;&gt;"EMPTY",Data!B20&lt;&gt;"")</f>
        <v>1</v>
      </c>
      <c r="D20" s="1"/>
      <c r="E20" s="25" t="b">
        <f t="shared" ca="1" si="0"/>
        <v>1</v>
      </c>
      <c r="F20" s="26" t="b">
        <f ca="1">IF(UPPER(Data!C20)="SUB PROCESS",NOT(ISERROR(MATCH(RIGHT(Data!BY20,LEN(Data!BY20)-5),OFFSET(Data,0,0,ItemsCount,1),0))),TRUE)</f>
        <v>1</v>
      </c>
      <c r="G20" s="26" t="b">
        <f ca="1">IF(MID(UPPER(Data!A20),1,13)="MISCELLANEOUS",NOT(ISERROR(MATCH("path="&amp;Data!A20,OFFSET(Data,0,76,ItemsCount,1),0))),TRUE)</f>
        <v>1</v>
      </c>
      <c r="L20" s="25" t="b">
        <f t="shared" ca="1" si="1"/>
        <v>1</v>
      </c>
      <c r="M20" s="24" t="b">
        <f>IF(Checks!$C20,Data!A20&lt;&gt;"",TRUE)</f>
        <v>1</v>
      </c>
      <c r="N20" s="26" t="b">
        <f>IF(Checks!C20,Data!B20&lt;&gt;"",TRUE)</f>
        <v>1</v>
      </c>
      <c r="O20" s="26" t="b">
        <f>IF(Checks!C20,IF(AND(UPPER(Data!C20)="SERVICE TASK",UPPER(Data!BZ20)="TYPE=SAS"),NodeExists(TRIM(RIGHT(Data!CA20,LEN(Data!CA20)-FIND("=",Data!CA20)))),TRUE),TRUE)</f>
        <v>1</v>
      </c>
      <c r="P20" s="26" t="b">
        <f>IF(Checks!C20,IF(Data!C20="DATA OBJECT",OR(AND(Data!BW20&lt;&gt;"",Data!BX20=""),AND(Data!BW20="",Data!BX20&lt;&gt;"")),TRUE),TRUE)</f>
        <v>1</v>
      </c>
      <c r="Q20" s="26" t="b">
        <f>IF(Checks!C20,UPPER(RIGHT(Data!A20,5))=".BPMN",TRUE)</f>
        <v>1</v>
      </c>
      <c r="R20" s="26" t="b">
        <f>IF(Checks!C20,IF(UPPER(Data!C20)="SUB PROCESS",UPPER(RIGHT(Data!BY20,5))=".BPMN",TRUE),TRUE)</f>
        <v>1</v>
      </c>
      <c r="S20" s="26" t="b">
        <f>IF(Checks!C20,IF(UPPER(Data!C20)="SERVICE TASK",IF(UPPER(Data!BZ20)="TYPE=SAS",UPPER(RIGHT(Data!CA20,4))=".SAS",TRUE),TRUE),TRUE)</f>
        <v>1</v>
      </c>
      <c r="T20" s="26" t="b">
        <f>IF(Checks!C20,IF(Data!B20&lt;&gt;"",Data!D20&lt;&gt;"",TRUE),TRUE)</f>
        <v>1</v>
      </c>
      <c r="U20" s="26" t="b">
        <f ca="1">IF(Checks!C20,IF(UPPER(Data!C20)="DATA OBJECT",NOT(ISERROR(MATCH(Data!A20&amp;"||"&amp;Data!BW20&amp;Data!BX20,Key,0))),TRUE),TRUE)</f>
        <v>1</v>
      </c>
      <c r="V20" s="26" t="b">
        <f>IF(Checks!C20,IF(UPPER(Data!C20)="SUB PROCESS",Data!BY20&lt;&gt;"",TRUE),TRUE)</f>
        <v>1</v>
      </c>
      <c r="W20" s="26" t="b">
        <f>IF(Checks!C20,IF(UPPER(Data!C20)="SERVICE TASK",AND(Data!BZ20&lt;&gt;"",Data!CA20&lt;&gt;""),TRUE),TRUE)</f>
        <v>1</v>
      </c>
      <c r="X20" s="26" t="b">
        <f t="array" aca="1" ref="X20" ca="1">SUM((OFFSET(Data!B20,MAX(ROW(Data!$B$5)-ROW(Data!B20),-200),0,400,1)=Data!B20)*(OFFSET(Data!A20,MAX(ROW(Data!$B$5)-ROW(Data!B20),-200),0,400,1)=Data!A20))=1</f>
        <v>1</v>
      </c>
      <c r="Y20" s="26" t="b">
        <f t="array" aca="1" ref="Y20" ca="1">IF(UPPER(Data!C20)="START",SUM((OFFSET(Data!C20,MAX(ROW(Data!$C$5)-ROW(Data!C20),-200),0,400,1)="START")*(OFFSET(Data!A20,MAX(ROW(Data!$B$5)-ROW(Data!B20),-200),0,400,1)=Data!A20))=1,TRUE)</f>
        <v>1</v>
      </c>
      <c r="Z20" s="26" t="b">
        <f t="array" aca="1" ref="Z20" ca="1">IF(UPPER(Data!C20)="END",SUM((OFFSET(Data!C20,MAX(ROW(Data!$C$5)-ROW(Data!C20),-200),0,400,1)="END")*(OFFSET(Data!A20,MAX(ROW(Data!$B$5)-ROW(Data!B20),-200),0,400,1)=Data!A20))=1,TRUE)</f>
        <v>1</v>
      </c>
      <c r="AA20" s="26" t="b">
        <f>IF(Checks!C20,ISERROR(FIND("&amp;",Data!D20)),TRUE)</f>
        <v>1</v>
      </c>
      <c r="AB20" s="26" t="b">
        <f>IF(Checks!$C20,IF(AND(UPPER(Data!$C20)&lt;&gt;"START",UPPER(Data!$C20)&lt;&gt;"DATA OBJECT",Data!E20&lt;&gt;""),NOT(ISERROR(MATCH(Data!$A20&amp;"||"&amp;Data!E20,Key,0))),TRUE),TRUE)</f>
        <v>1</v>
      </c>
      <c r="AC20" s="27" t="b">
        <f>IF(Checks!C20,IF(UPPER(Data!C20)="END",Data!E20&lt;&gt;"",TRUE),TRUE)</f>
        <v>1</v>
      </c>
    </row>
    <row r="21" spans="1:29" x14ac:dyDescent="0.25">
      <c r="A21" s="1" t="str">
        <f>Data!A21&amp;"||"&amp;Data!B21</f>
        <v>Analytics/irmifrs9_data_quality.bpmn||009_00_04</v>
      </c>
      <c r="B21" s="19"/>
      <c r="C21" s="24" t="b">
        <f>AND(UPPER(Data!A21)&lt;&gt;"EMPTY",Data!B21&lt;&gt;"")</f>
        <v>1</v>
      </c>
      <c r="D21" s="1"/>
      <c r="E21" s="25" t="b">
        <f t="shared" ca="1" si="0"/>
        <v>1</v>
      </c>
      <c r="F21" s="26" t="b">
        <f ca="1">IF(UPPER(Data!C21)="SUB PROCESS",NOT(ISERROR(MATCH(RIGHT(Data!BY21,LEN(Data!BY21)-5),OFFSET(Data,0,0,ItemsCount,1),0))),TRUE)</f>
        <v>1</v>
      </c>
      <c r="G21" s="26" t="b">
        <f ca="1">IF(MID(UPPER(Data!A21),1,13)="MISCELLANEOUS",NOT(ISERROR(MATCH("path="&amp;Data!A21,OFFSET(Data,0,76,ItemsCount,1),0))),TRUE)</f>
        <v>1</v>
      </c>
      <c r="L21" s="25" t="b">
        <f t="shared" ca="1" si="1"/>
        <v>1</v>
      </c>
      <c r="M21" s="24" t="b">
        <f>IF(Checks!$C21,Data!A21&lt;&gt;"",TRUE)</f>
        <v>1</v>
      </c>
      <c r="N21" s="26" t="b">
        <f>IF(Checks!C21,Data!B21&lt;&gt;"",TRUE)</f>
        <v>1</v>
      </c>
      <c r="O21" s="26" t="b">
        <f>IF(Checks!C21,IF(AND(UPPER(Data!C21)="SERVICE TASK",UPPER(Data!BZ21)="TYPE=SAS"),NodeExists(TRIM(RIGHT(Data!CA21,LEN(Data!CA21)-FIND("=",Data!CA21)))),TRUE),TRUE)</f>
        <v>1</v>
      </c>
      <c r="P21" s="26" t="b">
        <f>IF(Checks!C21,IF(Data!C21="DATA OBJECT",OR(AND(Data!BW21&lt;&gt;"",Data!BX21=""),AND(Data!BW21="",Data!BX21&lt;&gt;"")),TRUE),TRUE)</f>
        <v>1</v>
      </c>
      <c r="Q21" s="26" t="b">
        <f>IF(Checks!C21,UPPER(RIGHT(Data!A21,5))=".BPMN",TRUE)</f>
        <v>1</v>
      </c>
      <c r="R21" s="26" t="b">
        <f>IF(Checks!C21,IF(UPPER(Data!C21)="SUB PROCESS",UPPER(RIGHT(Data!BY21,5))=".BPMN",TRUE),TRUE)</f>
        <v>1</v>
      </c>
      <c r="S21" s="26" t="b">
        <f>IF(Checks!C21,IF(UPPER(Data!C21)="SERVICE TASK",IF(UPPER(Data!BZ21)="TYPE=SAS",UPPER(RIGHT(Data!CA21,4))=".SAS",TRUE),TRUE),TRUE)</f>
        <v>1</v>
      </c>
      <c r="T21" s="26" t="b">
        <f>IF(Checks!C21,IF(Data!B21&lt;&gt;"",Data!D21&lt;&gt;"",TRUE),TRUE)</f>
        <v>1</v>
      </c>
      <c r="U21" s="26" t="b">
        <f ca="1">IF(Checks!C21,IF(UPPER(Data!C21)="DATA OBJECT",NOT(ISERROR(MATCH(Data!A21&amp;"||"&amp;Data!BW21&amp;Data!BX21,Key,0))),TRUE),TRUE)</f>
        <v>1</v>
      </c>
      <c r="V21" s="26" t="b">
        <f>IF(Checks!C21,IF(UPPER(Data!C21)="SUB PROCESS",Data!BY21&lt;&gt;"",TRUE),TRUE)</f>
        <v>1</v>
      </c>
      <c r="W21" s="26" t="b">
        <f>IF(Checks!C21,IF(UPPER(Data!C21)="SERVICE TASK",AND(Data!BZ21&lt;&gt;"",Data!CA21&lt;&gt;""),TRUE),TRUE)</f>
        <v>1</v>
      </c>
      <c r="X21" s="26" t="b">
        <f t="array" aca="1" ref="X21" ca="1">SUM((OFFSET(Data!B21,MAX(ROW(Data!$B$5)-ROW(Data!B21),-200),0,400,1)=Data!B21)*(OFFSET(Data!A21,MAX(ROW(Data!$B$5)-ROW(Data!B21),-200),0,400,1)=Data!A21))=1</f>
        <v>1</v>
      </c>
      <c r="Y21" s="26" t="b">
        <f t="array" aca="1" ref="Y21" ca="1">IF(UPPER(Data!C21)="START",SUM((OFFSET(Data!C21,MAX(ROW(Data!$C$5)-ROW(Data!C21),-200),0,400,1)="START")*(OFFSET(Data!A21,MAX(ROW(Data!$B$5)-ROW(Data!B21),-200),0,400,1)=Data!A21))=1,TRUE)</f>
        <v>1</v>
      </c>
      <c r="Z21" s="26" t="b">
        <f t="array" aca="1" ref="Z21" ca="1">IF(UPPER(Data!C21)="END",SUM((OFFSET(Data!C21,MAX(ROW(Data!$C$5)-ROW(Data!C21),-200),0,400,1)="END")*(OFFSET(Data!A21,MAX(ROW(Data!$B$5)-ROW(Data!B21),-200),0,400,1)=Data!A21))=1,TRUE)</f>
        <v>1</v>
      </c>
      <c r="AA21" s="26" t="b">
        <f>IF(Checks!C21,ISERROR(FIND("&amp;",Data!D21)),TRUE)</f>
        <v>1</v>
      </c>
      <c r="AB21" s="26" t="b">
        <f>IF(Checks!$C21,IF(AND(UPPER(Data!$C21)&lt;&gt;"START",UPPER(Data!$C21)&lt;&gt;"DATA OBJECT",Data!E21&lt;&gt;""),NOT(ISERROR(MATCH(Data!$A21&amp;"||"&amp;Data!E21,Key,0))),TRUE),TRUE)</f>
        <v>1</v>
      </c>
      <c r="AC21" s="27" t="b">
        <f>IF(Checks!C21,IF(UPPER(Data!C21)="END",Data!E21&lt;&gt;"",TRUE),TRUE)</f>
        <v>1</v>
      </c>
    </row>
    <row r="22" spans="1:29" x14ac:dyDescent="0.25">
      <c r="A22" s="1" t="str">
        <f>Data!A22&amp;"||"&amp;Data!B22</f>
        <v>Analytics/irmifrs9_data_quality.bpmn||009_00_05</v>
      </c>
      <c r="B22" s="19"/>
      <c r="C22" s="24" t="b">
        <f>AND(UPPER(Data!A22)&lt;&gt;"EMPTY",Data!B22&lt;&gt;"")</f>
        <v>1</v>
      </c>
      <c r="D22" s="1"/>
      <c r="E22" s="25" t="b">
        <f t="shared" ca="1" si="0"/>
        <v>1</v>
      </c>
      <c r="F22" s="26" t="b">
        <f ca="1">IF(UPPER(Data!C22)="SUB PROCESS",NOT(ISERROR(MATCH(RIGHT(Data!BY22,LEN(Data!BY22)-5),OFFSET(Data,0,0,ItemsCount,1),0))),TRUE)</f>
        <v>1</v>
      </c>
      <c r="G22" s="26" t="b">
        <f ca="1">IF(MID(UPPER(Data!A22),1,13)="MISCELLANEOUS",NOT(ISERROR(MATCH("path="&amp;Data!A22,OFFSET(Data,0,76,ItemsCount,1),0))),TRUE)</f>
        <v>1</v>
      </c>
      <c r="L22" s="25" t="b">
        <f t="shared" ca="1" si="1"/>
        <v>1</v>
      </c>
      <c r="M22" s="24" t="b">
        <f>IF(Checks!$C22,Data!A22&lt;&gt;"",TRUE)</f>
        <v>1</v>
      </c>
      <c r="N22" s="26" t="b">
        <f>IF(Checks!C22,Data!B22&lt;&gt;"",TRUE)</f>
        <v>1</v>
      </c>
      <c r="O22" s="26" t="b">
        <f>IF(Checks!C22,IF(AND(UPPER(Data!C22)="SERVICE TASK",UPPER(Data!BZ22)="TYPE=SAS"),NodeExists(TRIM(RIGHT(Data!CA22,LEN(Data!CA22)-FIND("=",Data!CA22)))),TRUE),TRUE)</f>
        <v>1</v>
      </c>
      <c r="P22" s="26" t="b">
        <f>IF(Checks!C22,IF(Data!C22="DATA OBJECT",OR(AND(Data!BW22&lt;&gt;"",Data!BX22=""),AND(Data!BW22="",Data!BX22&lt;&gt;"")),TRUE),TRUE)</f>
        <v>1</v>
      </c>
      <c r="Q22" s="26" t="b">
        <f>IF(Checks!C22,UPPER(RIGHT(Data!A22,5))=".BPMN",TRUE)</f>
        <v>1</v>
      </c>
      <c r="R22" s="26" t="b">
        <f>IF(Checks!C22,IF(UPPER(Data!C22)="SUB PROCESS",UPPER(RIGHT(Data!BY22,5))=".BPMN",TRUE),TRUE)</f>
        <v>1</v>
      </c>
      <c r="S22" s="26" t="b">
        <f>IF(Checks!C22,IF(UPPER(Data!C22)="SERVICE TASK",IF(UPPER(Data!BZ22)="TYPE=SAS",UPPER(RIGHT(Data!CA22,4))=".SAS",TRUE),TRUE),TRUE)</f>
        <v>1</v>
      </c>
      <c r="T22" s="26" t="b">
        <f>IF(Checks!C22,IF(Data!B22&lt;&gt;"",Data!D22&lt;&gt;"",TRUE),TRUE)</f>
        <v>1</v>
      </c>
      <c r="U22" s="26" t="b">
        <f ca="1">IF(Checks!C22,IF(UPPER(Data!C22)="DATA OBJECT",NOT(ISERROR(MATCH(Data!A22&amp;"||"&amp;Data!BW22&amp;Data!BX22,Key,0))),TRUE),TRUE)</f>
        <v>1</v>
      </c>
      <c r="V22" s="26" t="b">
        <f>IF(Checks!C22,IF(UPPER(Data!C22)="SUB PROCESS",Data!BY22&lt;&gt;"",TRUE),TRUE)</f>
        <v>1</v>
      </c>
      <c r="W22" s="26" t="b">
        <f>IF(Checks!C22,IF(UPPER(Data!C22)="SERVICE TASK",AND(Data!BZ22&lt;&gt;"",Data!CA22&lt;&gt;""),TRUE),TRUE)</f>
        <v>1</v>
      </c>
      <c r="X22" s="26" t="b">
        <f t="array" aca="1" ref="X22" ca="1">SUM((OFFSET(Data!B22,MAX(ROW(Data!$B$5)-ROW(Data!B22),-200),0,400,1)=Data!B22)*(OFFSET(Data!A22,MAX(ROW(Data!$B$5)-ROW(Data!B22),-200),0,400,1)=Data!A22))=1</f>
        <v>1</v>
      </c>
      <c r="Y22" s="26" t="b">
        <f t="array" aca="1" ref="Y22" ca="1">IF(UPPER(Data!C22)="START",SUM((OFFSET(Data!C22,MAX(ROW(Data!$C$5)-ROW(Data!C22),-200),0,400,1)="START")*(OFFSET(Data!A22,MAX(ROW(Data!$B$5)-ROW(Data!B22),-200),0,400,1)=Data!A22))=1,TRUE)</f>
        <v>1</v>
      </c>
      <c r="Z22" s="26" t="b">
        <f t="array" aca="1" ref="Z22" ca="1">IF(UPPER(Data!C22)="END",SUM((OFFSET(Data!C22,MAX(ROW(Data!$C$5)-ROW(Data!C22),-200),0,400,1)="END")*(OFFSET(Data!A22,MAX(ROW(Data!$B$5)-ROW(Data!B22),-200),0,400,1)=Data!A22))=1,TRUE)</f>
        <v>1</v>
      </c>
      <c r="AA22" s="26" t="b">
        <f>IF(Checks!C22,ISERROR(FIND("&amp;",Data!D22)),TRUE)</f>
        <v>1</v>
      </c>
      <c r="AB22" s="26" t="b">
        <f>IF(Checks!$C22,IF(AND(UPPER(Data!$C22)&lt;&gt;"START",UPPER(Data!$C22)&lt;&gt;"DATA OBJECT",Data!E22&lt;&gt;""),NOT(ISERROR(MATCH(Data!$A22&amp;"||"&amp;Data!E22,Key,0))),TRUE),TRUE)</f>
        <v>1</v>
      </c>
      <c r="AC22" s="27" t="b">
        <f>IF(Checks!C22,IF(UPPER(Data!C22)="END",Data!E22&lt;&gt;"",TRUE),TRUE)</f>
        <v>1</v>
      </c>
    </row>
    <row r="23" spans="1:29" x14ac:dyDescent="0.25">
      <c r="A23" s="1" t="str">
        <f>Data!A23&amp;"||"&amp;Data!B23</f>
        <v>Analytics/irmifrs9_data_quality.bpmn||009_00_06</v>
      </c>
      <c r="B23" s="19"/>
      <c r="C23" s="24" t="b">
        <f>AND(UPPER(Data!A23)&lt;&gt;"EMPTY",Data!B23&lt;&gt;"")</f>
        <v>1</v>
      </c>
      <c r="D23" s="1"/>
      <c r="E23" s="25" t="b">
        <f t="shared" ca="1" si="0"/>
        <v>1</v>
      </c>
      <c r="F23" s="26" t="b">
        <f ca="1">IF(UPPER(Data!C23)="SUB PROCESS",NOT(ISERROR(MATCH(RIGHT(Data!BY23,LEN(Data!BY23)-5),OFFSET(Data,0,0,ItemsCount,1),0))),TRUE)</f>
        <v>1</v>
      </c>
      <c r="G23" s="26" t="b">
        <f ca="1">IF(MID(UPPER(Data!A23),1,13)="MISCELLANEOUS",NOT(ISERROR(MATCH("path="&amp;Data!A23,OFFSET(Data,0,76,ItemsCount,1),0))),TRUE)</f>
        <v>1</v>
      </c>
      <c r="L23" s="25" t="b">
        <f t="shared" ca="1" si="1"/>
        <v>1</v>
      </c>
      <c r="M23" s="24" t="b">
        <f>IF(Checks!$C23,Data!A23&lt;&gt;"",TRUE)</f>
        <v>1</v>
      </c>
      <c r="N23" s="26" t="b">
        <f>IF(Checks!C23,Data!B23&lt;&gt;"",TRUE)</f>
        <v>1</v>
      </c>
      <c r="O23" s="26" t="b">
        <f>IF(Checks!C23,IF(AND(UPPER(Data!C23)="SERVICE TASK",UPPER(Data!BZ23)="TYPE=SAS"),NodeExists(TRIM(RIGHT(Data!CA23,LEN(Data!CA23)-FIND("=",Data!CA23)))),TRUE),TRUE)</f>
        <v>1</v>
      </c>
      <c r="P23" s="26" t="b">
        <f>IF(Checks!C23,IF(Data!C23="DATA OBJECT",OR(AND(Data!BW23&lt;&gt;"",Data!BX23=""),AND(Data!BW23="",Data!BX23&lt;&gt;"")),TRUE),TRUE)</f>
        <v>1</v>
      </c>
      <c r="Q23" s="26" t="b">
        <f>IF(Checks!C23,UPPER(RIGHT(Data!A23,5))=".BPMN",TRUE)</f>
        <v>1</v>
      </c>
      <c r="R23" s="26" t="b">
        <f>IF(Checks!C23,IF(UPPER(Data!C23)="SUB PROCESS",UPPER(RIGHT(Data!BY23,5))=".BPMN",TRUE),TRUE)</f>
        <v>1</v>
      </c>
      <c r="S23" s="26" t="b">
        <f>IF(Checks!C23,IF(UPPER(Data!C23)="SERVICE TASK",IF(UPPER(Data!BZ23)="TYPE=SAS",UPPER(RIGHT(Data!CA23,4))=".SAS",TRUE),TRUE),TRUE)</f>
        <v>1</v>
      </c>
      <c r="T23" s="26" t="b">
        <f>IF(Checks!C23,IF(Data!B23&lt;&gt;"",Data!D23&lt;&gt;"",TRUE),TRUE)</f>
        <v>1</v>
      </c>
      <c r="U23" s="26" t="b">
        <f ca="1">IF(Checks!C23,IF(UPPER(Data!C23)="DATA OBJECT",NOT(ISERROR(MATCH(Data!A23&amp;"||"&amp;Data!BW23&amp;Data!BX23,Key,0))),TRUE),TRUE)</f>
        <v>1</v>
      </c>
      <c r="V23" s="26" t="b">
        <f>IF(Checks!C23,IF(UPPER(Data!C23)="SUB PROCESS",Data!BY23&lt;&gt;"",TRUE),TRUE)</f>
        <v>1</v>
      </c>
      <c r="W23" s="26" t="b">
        <f>IF(Checks!C23,IF(UPPER(Data!C23)="SERVICE TASK",AND(Data!BZ23&lt;&gt;"",Data!CA23&lt;&gt;""),TRUE),TRUE)</f>
        <v>1</v>
      </c>
      <c r="X23" s="26" t="b">
        <f t="array" aca="1" ref="X23" ca="1">SUM((OFFSET(Data!B23,MAX(ROW(Data!$B$5)-ROW(Data!B23),-200),0,400,1)=Data!B23)*(OFFSET(Data!A23,MAX(ROW(Data!$B$5)-ROW(Data!B23),-200),0,400,1)=Data!A23))=1</f>
        <v>1</v>
      </c>
      <c r="Y23" s="26" t="b">
        <f t="array" aca="1" ref="Y23" ca="1">IF(UPPER(Data!C23)="START",SUM((OFFSET(Data!C23,MAX(ROW(Data!$C$5)-ROW(Data!C23),-200),0,400,1)="START")*(OFFSET(Data!A23,MAX(ROW(Data!$B$5)-ROW(Data!B23),-200),0,400,1)=Data!A23))=1,TRUE)</f>
        <v>1</v>
      </c>
      <c r="Z23" s="26" t="b">
        <f t="array" aca="1" ref="Z23" ca="1">IF(UPPER(Data!C23)="END",SUM((OFFSET(Data!C23,MAX(ROW(Data!$C$5)-ROW(Data!C23),-200),0,400,1)="END")*(OFFSET(Data!A23,MAX(ROW(Data!$B$5)-ROW(Data!B23),-200),0,400,1)=Data!A23))=1,TRUE)</f>
        <v>1</v>
      </c>
      <c r="AA23" s="26" t="b">
        <f>IF(Checks!C23,ISERROR(FIND("&amp;",Data!D23)),TRUE)</f>
        <v>1</v>
      </c>
      <c r="AB23" s="26" t="b">
        <f>IF(Checks!$C23,IF(AND(UPPER(Data!$C23)&lt;&gt;"START",UPPER(Data!$C23)&lt;&gt;"DATA OBJECT",Data!E23&lt;&gt;""),NOT(ISERROR(MATCH(Data!$A23&amp;"||"&amp;Data!E23,Key,0))),TRUE),TRUE)</f>
        <v>1</v>
      </c>
      <c r="AC23" s="27" t="b">
        <f>IF(Checks!C23,IF(UPPER(Data!C23)="END",Data!E23&lt;&gt;"",TRUE),TRUE)</f>
        <v>1</v>
      </c>
    </row>
    <row r="24" spans="1:29" x14ac:dyDescent="0.25">
      <c r="A24" s="1" t="str">
        <f>Data!A24&amp;"||"&amp;Data!B24</f>
        <v>Analytics/irmifrs9_data_quality.bpmn||009_04_00</v>
      </c>
      <c r="B24" s="19"/>
      <c r="C24" s="24" t="b">
        <f>AND(UPPER(Data!A24)&lt;&gt;"EMPTY",Data!B24&lt;&gt;"")</f>
        <v>1</v>
      </c>
      <c r="D24" s="1"/>
      <c r="E24" s="25" t="b">
        <f t="shared" ca="1" si="0"/>
        <v>1</v>
      </c>
      <c r="F24" s="26" t="b">
        <f ca="1">IF(UPPER(Data!C24)="SUB PROCESS",NOT(ISERROR(MATCH(RIGHT(Data!BY24,LEN(Data!BY24)-5),OFFSET(Data,0,0,ItemsCount,1),0))),TRUE)</f>
        <v>1</v>
      </c>
      <c r="G24" s="26" t="b">
        <f ca="1">IF(MID(UPPER(Data!A24),1,13)="MISCELLANEOUS",NOT(ISERROR(MATCH("path="&amp;Data!A24,OFFSET(Data,0,76,ItemsCount,1),0))),TRUE)</f>
        <v>1</v>
      </c>
      <c r="L24" s="25" t="b">
        <f t="shared" ca="1" si="1"/>
        <v>1</v>
      </c>
      <c r="M24" s="24" t="b">
        <f>IF(Checks!$C24,Data!A24&lt;&gt;"",TRUE)</f>
        <v>1</v>
      </c>
      <c r="N24" s="26" t="b">
        <f>IF(Checks!C24,Data!B24&lt;&gt;"",TRUE)</f>
        <v>1</v>
      </c>
      <c r="O24" s="26" t="b">
        <f>IF(Checks!C24,IF(AND(UPPER(Data!C24)="SERVICE TASK",UPPER(Data!BZ24)="TYPE=SAS"),NodeExists(TRIM(RIGHT(Data!CA24,LEN(Data!CA24)-FIND("=",Data!CA24)))),TRUE),TRUE)</f>
        <v>1</v>
      </c>
      <c r="P24" s="26" t="b">
        <f>IF(Checks!C24,IF(Data!C24="DATA OBJECT",OR(AND(Data!BW24&lt;&gt;"",Data!BX24=""),AND(Data!BW24="",Data!BX24&lt;&gt;"")),TRUE),TRUE)</f>
        <v>1</v>
      </c>
      <c r="Q24" s="26" t="b">
        <f>IF(Checks!C24,UPPER(RIGHT(Data!A24,5))=".BPMN",TRUE)</f>
        <v>1</v>
      </c>
      <c r="R24" s="26" t="b">
        <f>IF(Checks!C24,IF(UPPER(Data!C24)="SUB PROCESS",UPPER(RIGHT(Data!BY24,5))=".BPMN",TRUE),TRUE)</f>
        <v>1</v>
      </c>
      <c r="S24" s="26" t="b">
        <f>IF(Checks!C24,IF(UPPER(Data!C24)="SERVICE TASK",IF(UPPER(Data!BZ24)="TYPE=SAS",UPPER(RIGHT(Data!CA24,4))=".SAS",TRUE),TRUE),TRUE)</f>
        <v>1</v>
      </c>
      <c r="T24" s="26" t="b">
        <f>IF(Checks!C24,IF(Data!B24&lt;&gt;"",Data!D24&lt;&gt;"",TRUE),TRUE)</f>
        <v>1</v>
      </c>
      <c r="U24" s="26" t="b">
        <f ca="1">IF(Checks!C24,IF(UPPER(Data!C24)="DATA OBJECT",NOT(ISERROR(MATCH(Data!A24&amp;"||"&amp;Data!BW24&amp;Data!BX24,Key,0))),TRUE),TRUE)</f>
        <v>1</v>
      </c>
      <c r="V24" s="26" t="b">
        <f>IF(Checks!C24,IF(UPPER(Data!C24)="SUB PROCESS",Data!BY24&lt;&gt;"",TRUE),TRUE)</f>
        <v>1</v>
      </c>
      <c r="W24" s="26" t="b">
        <f>IF(Checks!C24,IF(UPPER(Data!C24)="SERVICE TASK",AND(Data!BZ24&lt;&gt;"",Data!CA24&lt;&gt;""),TRUE),TRUE)</f>
        <v>1</v>
      </c>
      <c r="X24" s="26" t="b">
        <f t="array" aca="1" ref="X24" ca="1">SUM((OFFSET(Data!B24,MAX(ROW(Data!$B$5)-ROW(Data!B24),-200),0,400,1)=Data!B24)*(OFFSET(Data!A24,MAX(ROW(Data!$B$5)-ROW(Data!B24),-200),0,400,1)=Data!A24))=1</f>
        <v>1</v>
      </c>
      <c r="Y24" s="26" t="b">
        <f t="array" aca="1" ref="Y24" ca="1">IF(UPPER(Data!C24)="START",SUM((OFFSET(Data!C24,MAX(ROW(Data!$C$5)-ROW(Data!C24),-200),0,400,1)="START")*(OFFSET(Data!A24,MAX(ROW(Data!$B$5)-ROW(Data!B24),-200),0,400,1)=Data!A24))=1,TRUE)</f>
        <v>1</v>
      </c>
      <c r="Z24" s="26" t="b">
        <f t="array" aca="1" ref="Z24" ca="1">IF(UPPER(Data!C24)="END",SUM((OFFSET(Data!C24,MAX(ROW(Data!$C$5)-ROW(Data!C24),-200),0,400,1)="END")*(OFFSET(Data!A24,MAX(ROW(Data!$B$5)-ROW(Data!B24),-200),0,400,1)=Data!A24))=1,TRUE)</f>
        <v>1</v>
      </c>
      <c r="AA24" s="26" t="b">
        <f>IF(Checks!C24,ISERROR(FIND("&amp;",Data!D24)),TRUE)</f>
        <v>1</v>
      </c>
      <c r="AB24" s="26" t="b">
        <f>IF(Checks!$C24,IF(AND(UPPER(Data!$C24)&lt;&gt;"START",UPPER(Data!$C24)&lt;&gt;"DATA OBJECT",Data!E24&lt;&gt;""),NOT(ISERROR(MATCH(Data!$A24&amp;"||"&amp;Data!E24,Key,0))),TRUE),TRUE)</f>
        <v>1</v>
      </c>
      <c r="AC24" s="27" t="b">
        <f>IF(Checks!C24,IF(UPPER(Data!C24)="END",Data!E24&lt;&gt;"",TRUE),TRUE)</f>
        <v>1</v>
      </c>
    </row>
    <row r="25" spans="1:29" x14ac:dyDescent="0.25">
      <c r="A25" s="1" t="str">
        <f>Data!A25&amp;"||"&amp;Data!B25</f>
        <v>Analytics/irmifrs9_data_quality.bpmn||015</v>
      </c>
      <c r="B25" s="19"/>
      <c r="C25" s="24" t="b">
        <f>AND(UPPER(Data!A25)&lt;&gt;"EMPTY",Data!B25&lt;&gt;"")</f>
        <v>1</v>
      </c>
      <c r="D25" s="1"/>
      <c r="E25" s="25" t="b">
        <f t="shared" ca="1" si="0"/>
        <v>1</v>
      </c>
      <c r="F25" s="26" t="b">
        <f ca="1">IF(UPPER(Data!C25)="SUB PROCESS",NOT(ISERROR(MATCH(RIGHT(Data!BY25,LEN(Data!BY25)-5),OFFSET(Data,0,0,ItemsCount,1),0))),TRUE)</f>
        <v>1</v>
      </c>
      <c r="G25" s="26" t="b">
        <f ca="1">IF(MID(UPPER(Data!A25),1,13)="MISCELLANEOUS",NOT(ISERROR(MATCH("path="&amp;Data!A25,OFFSET(Data,0,76,ItemsCount,1),0))),TRUE)</f>
        <v>1</v>
      </c>
      <c r="L25" s="25" t="b">
        <f t="shared" ca="1" si="1"/>
        <v>1</v>
      </c>
      <c r="M25" s="24" t="b">
        <f>IF(Checks!$C25,Data!A25&lt;&gt;"",TRUE)</f>
        <v>1</v>
      </c>
      <c r="N25" s="26" t="b">
        <f>IF(Checks!C25,Data!B25&lt;&gt;"",TRUE)</f>
        <v>1</v>
      </c>
      <c r="O25" s="26" t="b">
        <f>IF(Checks!C25,IF(AND(UPPER(Data!C25)="SERVICE TASK",UPPER(Data!BZ25)="TYPE=SAS"),NodeExists(TRIM(RIGHT(Data!CA25,LEN(Data!CA25)-FIND("=",Data!CA25)))),TRUE),TRUE)</f>
        <v>1</v>
      </c>
      <c r="P25" s="26" t="b">
        <f>IF(Checks!C25,IF(Data!C25="DATA OBJECT",OR(AND(Data!BW25&lt;&gt;"",Data!BX25=""),AND(Data!BW25="",Data!BX25&lt;&gt;"")),TRUE),TRUE)</f>
        <v>1</v>
      </c>
      <c r="Q25" s="26" t="b">
        <f>IF(Checks!C25,UPPER(RIGHT(Data!A25,5))=".BPMN",TRUE)</f>
        <v>1</v>
      </c>
      <c r="R25" s="26" t="b">
        <f>IF(Checks!C25,IF(UPPER(Data!C25)="SUB PROCESS",UPPER(RIGHT(Data!BY25,5))=".BPMN",TRUE),TRUE)</f>
        <v>1</v>
      </c>
      <c r="S25" s="26" t="b">
        <f>IF(Checks!C25,IF(UPPER(Data!C25)="SERVICE TASK",IF(UPPER(Data!BZ25)="TYPE=SAS",UPPER(RIGHT(Data!CA25,4))=".SAS",TRUE),TRUE),TRUE)</f>
        <v>1</v>
      </c>
      <c r="T25" s="26" t="b">
        <f>IF(Checks!C25,IF(Data!B25&lt;&gt;"",Data!D25&lt;&gt;"",TRUE),TRUE)</f>
        <v>1</v>
      </c>
      <c r="U25" s="26" t="b">
        <f>IF(Checks!C25,IF(UPPER(Data!C25)="DATA OBJECT",NOT(ISERROR(MATCH(Data!A25&amp;"||"&amp;Data!BW25&amp;Data!BX25,Key,0))),TRUE),TRUE)</f>
        <v>1</v>
      </c>
      <c r="V25" s="26" t="b">
        <f>IF(Checks!C25,IF(UPPER(Data!C25)="SUB PROCESS",Data!BY25&lt;&gt;"",TRUE),TRUE)</f>
        <v>1</v>
      </c>
      <c r="W25" s="26" t="b">
        <f>IF(Checks!C25,IF(UPPER(Data!C25)="SERVICE TASK",AND(Data!BZ25&lt;&gt;"",Data!CA25&lt;&gt;""),TRUE),TRUE)</f>
        <v>1</v>
      </c>
      <c r="X25" s="26" t="b">
        <f t="array" aca="1" ref="X25" ca="1">SUM((OFFSET(Data!B25,MAX(ROW(Data!$B$5)-ROW(Data!B25),-200),0,400,1)=Data!B25)*(OFFSET(Data!A25,MAX(ROW(Data!$B$5)-ROW(Data!B25),-200),0,400,1)=Data!A25))=1</f>
        <v>1</v>
      </c>
      <c r="Y25" s="26" t="b">
        <f t="array" aca="1" ref="Y25" ca="1">IF(UPPER(Data!C25)="START",SUM((OFFSET(Data!C25,MAX(ROW(Data!$C$5)-ROW(Data!C25),-200),0,400,1)="START")*(OFFSET(Data!A25,MAX(ROW(Data!$B$5)-ROW(Data!B25),-200),0,400,1)=Data!A25))=1,TRUE)</f>
        <v>1</v>
      </c>
      <c r="Z25" s="26" t="b">
        <f t="array" aca="1" ref="Z25" ca="1">IF(UPPER(Data!C25)="END",SUM((OFFSET(Data!C25,MAX(ROW(Data!$C$5)-ROW(Data!C25),-200),0,400,1)="END")*(OFFSET(Data!A25,MAX(ROW(Data!$B$5)-ROW(Data!B25),-200),0,400,1)=Data!A25))=1,TRUE)</f>
        <v>1</v>
      </c>
      <c r="AA25" s="26" t="b">
        <f>IF(Checks!C25,ISERROR(FIND("&amp;",Data!D25)),TRUE)</f>
        <v>1</v>
      </c>
      <c r="AB25" s="26" t="b">
        <f ca="1">IF(Checks!$C25,IF(AND(UPPER(Data!$C25)&lt;&gt;"START",UPPER(Data!$C25)&lt;&gt;"DATA OBJECT",Data!E25&lt;&gt;""),NOT(ISERROR(MATCH(Data!$A25&amp;"||"&amp;Data!E25,Key,0))),TRUE),TRUE)</f>
        <v>1</v>
      </c>
      <c r="AC25" s="27" t="b">
        <f>IF(Checks!C25,IF(UPPER(Data!C25)="END",Data!E25&lt;&gt;"",TRUE),TRUE)</f>
        <v>1</v>
      </c>
    </row>
    <row r="26" spans="1:29" x14ac:dyDescent="0.25">
      <c r="A26" s="1" t="str">
        <f>Data!A26&amp;"||"&amp;Data!B26</f>
        <v>Analytics/irmifrs9_data_quality.bpmn||015_03_00</v>
      </c>
      <c r="B26" s="19"/>
      <c r="C26" s="24" t="b">
        <f>AND(UPPER(Data!A26)&lt;&gt;"EMPTY",Data!B26&lt;&gt;"")</f>
        <v>1</v>
      </c>
      <c r="D26" s="1"/>
      <c r="E26" s="25" t="b">
        <f t="shared" ca="1" si="0"/>
        <v>1</v>
      </c>
      <c r="F26" s="26" t="b">
        <f ca="1">IF(UPPER(Data!C26)="SUB PROCESS",NOT(ISERROR(MATCH(RIGHT(Data!BY26,LEN(Data!BY26)-5),OFFSET(Data,0,0,ItemsCount,1),0))),TRUE)</f>
        <v>1</v>
      </c>
      <c r="G26" s="26" t="b">
        <f ca="1">IF(MID(UPPER(Data!A26),1,13)="MISCELLANEOUS",NOT(ISERROR(MATCH("path="&amp;Data!A26,OFFSET(Data,0,76,ItemsCount,1),0))),TRUE)</f>
        <v>1</v>
      </c>
      <c r="L26" s="25" t="b">
        <f t="shared" ca="1" si="1"/>
        <v>1</v>
      </c>
      <c r="M26" s="24" t="b">
        <f>IF(Checks!$C26,Data!A26&lt;&gt;"",TRUE)</f>
        <v>1</v>
      </c>
      <c r="N26" s="26" t="b">
        <f>IF(Checks!C26,Data!B26&lt;&gt;"",TRUE)</f>
        <v>1</v>
      </c>
      <c r="O26" s="26" t="b">
        <f>IF(Checks!C26,IF(AND(UPPER(Data!C26)="SERVICE TASK",UPPER(Data!BZ26)="TYPE=SAS"),NodeExists(TRIM(RIGHT(Data!CA26,LEN(Data!CA26)-FIND("=",Data!CA26)))),TRUE),TRUE)</f>
        <v>1</v>
      </c>
      <c r="P26" s="26" t="b">
        <f>IF(Checks!C26,IF(Data!C26="DATA OBJECT",OR(AND(Data!BW26&lt;&gt;"",Data!BX26=""),AND(Data!BW26="",Data!BX26&lt;&gt;"")),TRUE),TRUE)</f>
        <v>1</v>
      </c>
      <c r="Q26" s="26" t="b">
        <f>IF(Checks!C26,UPPER(RIGHT(Data!A26,5))=".BPMN",TRUE)</f>
        <v>1</v>
      </c>
      <c r="R26" s="26" t="b">
        <f>IF(Checks!C26,IF(UPPER(Data!C26)="SUB PROCESS",UPPER(RIGHT(Data!BY26,5))=".BPMN",TRUE),TRUE)</f>
        <v>1</v>
      </c>
      <c r="S26" s="26" t="b">
        <f>IF(Checks!C26,IF(UPPER(Data!C26)="SERVICE TASK",IF(UPPER(Data!BZ26)="TYPE=SAS",UPPER(RIGHT(Data!CA26,4))=".SAS",TRUE),TRUE),TRUE)</f>
        <v>1</v>
      </c>
      <c r="T26" s="26" t="b">
        <f>IF(Checks!C26,IF(Data!B26&lt;&gt;"",Data!D26&lt;&gt;"",TRUE),TRUE)</f>
        <v>1</v>
      </c>
      <c r="U26" s="26" t="b">
        <f ca="1">IF(Checks!C26,IF(UPPER(Data!C26)="DATA OBJECT",NOT(ISERROR(MATCH(Data!A26&amp;"||"&amp;Data!BW26&amp;Data!BX26,Key,0))),TRUE),TRUE)</f>
        <v>1</v>
      </c>
      <c r="V26" s="26" t="b">
        <f>IF(Checks!C26,IF(UPPER(Data!C26)="SUB PROCESS",Data!BY26&lt;&gt;"",TRUE),TRUE)</f>
        <v>1</v>
      </c>
      <c r="W26" s="26" t="b">
        <f>IF(Checks!C26,IF(UPPER(Data!C26)="SERVICE TASK",AND(Data!BZ26&lt;&gt;"",Data!CA26&lt;&gt;""),TRUE),TRUE)</f>
        <v>1</v>
      </c>
      <c r="X26" s="26" t="b">
        <f t="array" aca="1" ref="X26" ca="1">SUM((OFFSET(Data!B26,MAX(ROW(Data!$B$5)-ROW(Data!B26),-200),0,400,1)=Data!B26)*(OFFSET(Data!A26,MAX(ROW(Data!$B$5)-ROW(Data!B26),-200),0,400,1)=Data!A26))=1</f>
        <v>1</v>
      </c>
      <c r="Y26" s="26" t="b">
        <f t="array" aca="1" ref="Y26" ca="1">IF(UPPER(Data!C26)="START",SUM((OFFSET(Data!C26,MAX(ROW(Data!$C$5)-ROW(Data!C26),-200),0,400,1)="START")*(OFFSET(Data!A26,MAX(ROW(Data!$B$5)-ROW(Data!B26),-200),0,400,1)=Data!A26))=1,TRUE)</f>
        <v>1</v>
      </c>
      <c r="Z26" s="26" t="b">
        <f t="array" aca="1" ref="Z26" ca="1">IF(UPPER(Data!C26)="END",SUM((OFFSET(Data!C26,MAX(ROW(Data!$C$5)-ROW(Data!C26),-200),0,400,1)="END")*(OFFSET(Data!A26,MAX(ROW(Data!$B$5)-ROW(Data!B26),-200),0,400,1)=Data!A26))=1,TRUE)</f>
        <v>1</v>
      </c>
      <c r="AA26" s="26" t="b">
        <f>IF(Checks!C26,ISERROR(FIND("&amp;",Data!D26)),TRUE)</f>
        <v>1</v>
      </c>
      <c r="AB26" s="26" t="b">
        <f>IF(Checks!$C26,IF(AND(UPPER(Data!$C26)&lt;&gt;"START",UPPER(Data!$C26)&lt;&gt;"DATA OBJECT",Data!E26&lt;&gt;""),NOT(ISERROR(MATCH(Data!$A26&amp;"||"&amp;Data!E26,Key,0))),TRUE),TRUE)</f>
        <v>1</v>
      </c>
      <c r="AC26" s="27" t="b">
        <f>IF(Checks!C26,IF(UPPER(Data!C26)="END",Data!E26&lt;&gt;"",TRUE),TRUE)</f>
        <v>1</v>
      </c>
    </row>
    <row r="27" spans="1:29" x14ac:dyDescent="0.25">
      <c r="A27" s="1" t="str">
        <f>Data!A27&amp;"||"&amp;Data!B27</f>
        <v>Analytics/irmifrs9_data_quality.bpmn||017</v>
      </c>
      <c r="B27" s="19"/>
      <c r="C27" s="24" t="b">
        <f>AND(UPPER(Data!A27)&lt;&gt;"EMPTY",Data!B27&lt;&gt;"")</f>
        <v>1</v>
      </c>
      <c r="D27" s="1"/>
      <c r="E27" s="25" t="b">
        <f t="shared" ca="1" si="0"/>
        <v>1</v>
      </c>
      <c r="F27" s="26" t="b">
        <f ca="1">IF(UPPER(Data!C27)="SUB PROCESS",NOT(ISERROR(MATCH(RIGHT(Data!BY27,LEN(Data!BY27)-5),OFFSET(Data,0,0,ItemsCount,1),0))),TRUE)</f>
        <v>1</v>
      </c>
      <c r="G27" s="26" t="b">
        <f ca="1">IF(MID(UPPER(Data!A27),1,13)="MISCELLANEOUS",NOT(ISERROR(MATCH("path="&amp;Data!A27,OFFSET(Data,0,76,ItemsCount,1),0))),TRUE)</f>
        <v>1</v>
      </c>
      <c r="L27" s="25" t="b">
        <f t="shared" ca="1" si="1"/>
        <v>1</v>
      </c>
      <c r="M27" s="24" t="b">
        <f>IF(Checks!$C27,Data!A27&lt;&gt;"",TRUE)</f>
        <v>1</v>
      </c>
      <c r="N27" s="26" t="b">
        <f>IF(Checks!C27,Data!B27&lt;&gt;"",TRUE)</f>
        <v>1</v>
      </c>
      <c r="O27" s="26" t="b">
        <f>IF(Checks!C27,IF(AND(UPPER(Data!C27)="SERVICE TASK",UPPER(Data!BZ27)="TYPE=SAS"),NodeExists(TRIM(RIGHT(Data!CA27,LEN(Data!CA27)-FIND("=",Data!CA27)))),TRUE),TRUE)</f>
        <v>1</v>
      </c>
      <c r="P27" s="26" t="b">
        <f>IF(Checks!C27,IF(Data!C27="DATA OBJECT",OR(AND(Data!BW27&lt;&gt;"",Data!BX27=""),AND(Data!BW27="",Data!BX27&lt;&gt;"")),TRUE),TRUE)</f>
        <v>1</v>
      </c>
      <c r="Q27" s="26" t="b">
        <f>IF(Checks!C27,UPPER(RIGHT(Data!A27,5))=".BPMN",TRUE)</f>
        <v>1</v>
      </c>
      <c r="R27" s="26" t="b">
        <f>IF(Checks!C27,IF(UPPER(Data!C27)="SUB PROCESS",UPPER(RIGHT(Data!BY27,5))=".BPMN",TRUE),TRUE)</f>
        <v>1</v>
      </c>
      <c r="S27" s="26" t="b">
        <f>IF(Checks!C27,IF(UPPER(Data!C27)="SERVICE TASK",IF(UPPER(Data!BZ27)="TYPE=SAS",UPPER(RIGHT(Data!CA27,4))=".SAS",TRUE),TRUE),TRUE)</f>
        <v>1</v>
      </c>
      <c r="T27" s="26" t="b">
        <f>IF(Checks!C27,IF(Data!B27&lt;&gt;"",Data!D27&lt;&gt;"",TRUE),TRUE)</f>
        <v>1</v>
      </c>
      <c r="U27" s="26" t="b">
        <f>IF(Checks!C27,IF(UPPER(Data!C27)="DATA OBJECT",NOT(ISERROR(MATCH(Data!A27&amp;"||"&amp;Data!BW27&amp;Data!BX27,Key,0))),TRUE),TRUE)</f>
        <v>1</v>
      </c>
      <c r="V27" s="26" t="b">
        <f>IF(Checks!C27,IF(UPPER(Data!C27)="SUB PROCESS",Data!BY27&lt;&gt;"",TRUE),TRUE)</f>
        <v>1</v>
      </c>
      <c r="W27" s="26" t="b">
        <f>IF(Checks!C27,IF(UPPER(Data!C27)="SERVICE TASK",AND(Data!BZ27&lt;&gt;"",Data!CA27&lt;&gt;""),TRUE),TRUE)</f>
        <v>1</v>
      </c>
      <c r="X27" s="26" t="b">
        <f t="array" aca="1" ref="X27" ca="1">SUM((OFFSET(Data!B27,MAX(ROW(Data!$B$5)-ROW(Data!B27),-200),0,400,1)=Data!B27)*(OFFSET(Data!A27,MAX(ROW(Data!$B$5)-ROW(Data!B27),-200),0,400,1)=Data!A27))=1</f>
        <v>1</v>
      </c>
      <c r="Y27" s="26" t="b">
        <f t="array" aca="1" ref="Y27" ca="1">IF(UPPER(Data!C27)="START",SUM((OFFSET(Data!C27,MAX(ROW(Data!$C$5)-ROW(Data!C27),-200),0,400,1)="START")*(OFFSET(Data!A27,MAX(ROW(Data!$B$5)-ROW(Data!B27),-200),0,400,1)=Data!A27))=1,TRUE)</f>
        <v>1</v>
      </c>
      <c r="Z27" s="26" t="b">
        <f t="array" aca="1" ref="Z27" ca="1">IF(UPPER(Data!C27)="END",SUM((OFFSET(Data!C27,MAX(ROW(Data!$C$5)-ROW(Data!C27),-200),0,400,1)="END")*(OFFSET(Data!A27,MAX(ROW(Data!$B$5)-ROW(Data!B27),-200),0,400,1)=Data!A27))=1,TRUE)</f>
        <v>1</v>
      </c>
      <c r="AA27" s="26" t="b">
        <f>IF(Checks!C27,ISERROR(FIND("&amp;",Data!D27)),TRUE)</f>
        <v>1</v>
      </c>
      <c r="AB27" s="26" t="b">
        <f ca="1">IF(Checks!$C27,IF(AND(UPPER(Data!$C27)&lt;&gt;"START",UPPER(Data!$C27)&lt;&gt;"DATA OBJECT",Data!E27&lt;&gt;""),NOT(ISERROR(MATCH(Data!$A27&amp;"||"&amp;Data!E27,Key,0))),TRUE),TRUE)</f>
        <v>1</v>
      </c>
      <c r="AC27" s="27" t="b">
        <f>IF(Checks!C27,IF(UPPER(Data!C27)="END",Data!E27&lt;&gt;"",TRUE),TRUE)</f>
        <v>1</v>
      </c>
    </row>
    <row r="28" spans="1:29" x14ac:dyDescent="0.25">
      <c r="A28" s="1" t="str">
        <f>Data!A28&amp;"||"&amp;Data!B28</f>
        <v>Analytics/irmifrs9_data_quality.bpmn||017_00_07</v>
      </c>
      <c r="B28" s="19"/>
      <c r="C28" s="24" t="b">
        <f>AND(UPPER(Data!A28)&lt;&gt;"EMPTY",Data!B28&lt;&gt;"")</f>
        <v>1</v>
      </c>
      <c r="D28" s="1"/>
      <c r="E28" s="25" t="b">
        <f t="shared" ca="1" si="0"/>
        <v>1</v>
      </c>
      <c r="F28" s="26" t="b">
        <f ca="1">IF(UPPER(Data!C28)="SUB PROCESS",NOT(ISERROR(MATCH(RIGHT(Data!BY28,LEN(Data!BY28)-5),OFFSET(Data,0,0,ItemsCount,1),0))),TRUE)</f>
        <v>1</v>
      </c>
      <c r="G28" s="26" t="b">
        <f ca="1">IF(MID(UPPER(Data!A28),1,13)="MISCELLANEOUS",NOT(ISERROR(MATCH("path="&amp;Data!A28,OFFSET(Data,0,76,ItemsCount,1),0))),TRUE)</f>
        <v>1</v>
      </c>
      <c r="L28" s="25" t="b">
        <f t="shared" ca="1" si="1"/>
        <v>1</v>
      </c>
      <c r="M28" s="24" t="b">
        <f>IF(Checks!$C28,Data!A28&lt;&gt;"",TRUE)</f>
        <v>1</v>
      </c>
      <c r="N28" s="26" t="b">
        <f>IF(Checks!C28,Data!B28&lt;&gt;"",TRUE)</f>
        <v>1</v>
      </c>
      <c r="O28" s="26" t="b">
        <f>IF(Checks!C28,IF(AND(UPPER(Data!C28)="SERVICE TASK",UPPER(Data!BZ28)="TYPE=SAS"),NodeExists(TRIM(RIGHT(Data!CA28,LEN(Data!CA28)-FIND("=",Data!CA28)))),TRUE),TRUE)</f>
        <v>1</v>
      </c>
      <c r="P28" s="26" t="b">
        <f>IF(Checks!C28,IF(Data!C28="DATA OBJECT",OR(AND(Data!BW28&lt;&gt;"",Data!BX28=""),AND(Data!BW28="",Data!BX28&lt;&gt;"")),TRUE),TRUE)</f>
        <v>1</v>
      </c>
      <c r="Q28" s="26" t="b">
        <f>IF(Checks!C28,UPPER(RIGHT(Data!A28,5))=".BPMN",TRUE)</f>
        <v>1</v>
      </c>
      <c r="R28" s="26" t="b">
        <f>IF(Checks!C28,IF(UPPER(Data!C28)="SUB PROCESS",UPPER(RIGHT(Data!BY28,5))=".BPMN",TRUE),TRUE)</f>
        <v>1</v>
      </c>
      <c r="S28" s="26" t="b">
        <f>IF(Checks!C28,IF(UPPER(Data!C28)="SERVICE TASK",IF(UPPER(Data!BZ28)="TYPE=SAS",UPPER(RIGHT(Data!CA28,4))=".SAS",TRUE),TRUE),TRUE)</f>
        <v>1</v>
      </c>
      <c r="T28" s="26" t="b">
        <f>IF(Checks!C28,IF(Data!B28&lt;&gt;"",Data!D28&lt;&gt;"",TRUE),TRUE)</f>
        <v>1</v>
      </c>
      <c r="U28" s="26" t="b">
        <f ca="1">IF(Checks!C28,IF(UPPER(Data!C28)="DATA OBJECT",NOT(ISERROR(MATCH(Data!A28&amp;"||"&amp;Data!BW28&amp;Data!BX28,Key,0))),TRUE),TRUE)</f>
        <v>1</v>
      </c>
      <c r="V28" s="26" t="b">
        <f>IF(Checks!C28,IF(UPPER(Data!C28)="SUB PROCESS",Data!BY28&lt;&gt;"",TRUE),TRUE)</f>
        <v>1</v>
      </c>
      <c r="W28" s="26" t="b">
        <f>IF(Checks!C28,IF(UPPER(Data!C28)="SERVICE TASK",AND(Data!BZ28&lt;&gt;"",Data!CA28&lt;&gt;""),TRUE),TRUE)</f>
        <v>1</v>
      </c>
      <c r="X28" s="26" t="b">
        <f t="array" aca="1" ref="X28" ca="1">SUM((OFFSET(Data!B28,MAX(ROW(Data!$B$5)-ROW(Data!B28),-200),0,400,1)=Data!B28)*(OFFSET(Data!A28,MAX(ROW(Data!$B$5)-ROW(Data!B28),-200),0,400,1)=Data!A28))=1</f>
        <v>1</v>
      </c>
      <c r="Y28" s="26" t="b">
        <f t="array" aca="1" ref="Y28" ca="1">IF(UPPER(Data!C28)="START",SUM((OFFSET(Data!C28,MAX(ROW(Data!$C$5)-ROW(Data!C28),-200),0,400,1)="START")*(OFFSET(Data!A28,MAX(ROW(Data!$B$5)-ROW(Data!B28),-200),0,400,1)=Data!A28))=1,TRUE)</f>
        <v>1</v>
      </c>
      <c r="Z28" s="26" t="b">
        <f t="array" aca="1" ref="Z28" ca="1">IF(UPPER(Data!C28)="END",SUM((OFFSET(Data!C28,MAX(ROW(Data!$C$5)-ROW(Data!C28),-200),0,400,1)="END")*(OFFSET(Data!A28,MAX(ROW(Data!$B$5)-ROW(Data!B28),-200),0,400,1)=Data!A28))=1,TRUE)</f>
        <v>1</v>
      </c>
      <c r="AA28" s="26" t="b">
        <f>IF(Checks!C28,ISERROR(FIND("&amp;",Data!D28)),TRUE)</f>
        <v>1</v>
      </c>
      <c r="AB28" s="26" t="b">
        <f>IF(Checks!$C28,IF(AND(UPPER(Data!$C28)&lt;&gt;"START",UPPER(Data!$C28)&lt;&gt;"DATA OBJECT",Data!E28&lt;&gt;""),NOT(ISERROR(MATCH(Data!$A28&amp;"||"&amp;Data!E28,Key,0))),TRUE),TRUE)</f>
        <v>1</v>
      </c>
      <c r="AC28" s="27" t="b">
        <f>IF(Checks!C28,IF(UPPER(Data!C28)="END",Data!E28&lt;&gt;"",TRUE),TRUE)</f>
        <v>1</v>
      </c>
    </row>
    <row r="29" spans="1:29" x14ac:dyDescent="0.25">
      <c r="A29" s="1" t="str">
        <f>Data!A29&amp;"||"&amp;Data!B29</f>
        <v>Analytics/irmifrs9_data_quality.bpmn||017_00_08</v>
      </c>
      <c r="B29" s="19"/>
      <c r="C29" s="24" t="b">
        <f>AND(UPPER(Data!A29)&lt;&gt;"EMPTY",Data!B29&lt;&gt;"")</f>
        <v>1</v>
      </c>
      <c r="D29" s="1"/>
      <c r="E29" s="25" t="b">
        <f t="shared" ca="1" si="0"/>
        <v>1</v>
      </c>
      <c r="F29" s="26" t="b">
        <f ca="1">IF(UPPER(Data!C29)="SUB PROCESS",NOT(ISERROR(MATCH(RIGHT(Data!BY29,LEN(Data!BY29)-5),OFFSET(Data,0,0,ItemsCount,1),0))),TRUE)</f>
        <v>1</v>
      </c>
      <c r="G29" s="26" t="b">
        <f ca="1">IF(MID(UPPER(Data!A29),1,13)="MISCELLANEOUS",NOT(ISERROR(MATCH("path="&amp;Data!A29,OFFSET(Data,0,76,ItemsCount,1),0))),TRUE)</f>
        <v>1</v>
      </c>
      <c r="L29" s="25" t="b">
        <f t="shared" ca="1" si="1"/>
        <v>1</v>
      </c>
      <c r="M29" s="24" t="b">
        <f>IF(Checks!$C29,Data!A29&lt;&gt;"",TRUE)</f>
        <v>1</v>
      </c>
      <c r="N29" s="26" t="b">
        <f>IF(Checks!C29,Data!B29&lt;&gt;"",TRUE)</f>
        <v>1</v>
      </c>
      <c r="O29" s="26" t="b">
        <f>IF(Checks!C29,IF(AND(UPPER(Data!C29)="SERVICE TASK",UPPER(Data!BZ29)="TYPE=SAS"),NodeExists(TRIM(RIGHT(Data!CA29,LEN(Data!CA29)-FIND("=",Data!CA29)))),TRUE),TRUE)</f>
        <v>1</v>
      </c>
      <c r="P29" s="26" t="b">
        <f>IF(Checks!C29,IF(Data!C29="DATA OBJECT",OR(AND(Data!BW29&lt;&gt;"",Data!BX29=""),AND(Data!BW29="",Data!BX29&lt;&gt;"")),TRUE),TRUE)</f>
        <v>1</v>
      </c>
      <c r="Q29" s="26" t="b">
        <f>IF(Checks!C29,UPPER(RIGHT(Data!A29,5))=".BPMN",TRUE)</f>
        <v>1</v>
      </c>
      <c r="R29" s="26" t="b">
        <f>IF(Checks!C29,IF(UPPER(Data!C29)="SUB PROCESS",UPPER(RIGHT(Data!BY29,5))=".BPMN",TRUE),TRUE)</f>
        <v>1</v>
      </c>
      <c r="S29" s="26" t="b">
        <f>IF(Checks!C29,IF(UPPER(Data!C29)="SERVICE TASK",IF(UPPER(Data!BZ29)="TYPE=SAS",UPPER(RIGHT(Data!CA29,4))=".SAS",TRUE),TRUE),TRUE)</f>
        <v>1</v>
      </c>
      <c r="T29" s="26" t="b">
        <f>IF(Checks!C29,IF(Data!B29&lt;&gt;"",Data!D29&lt;&gt;"",TRUE),TRUE)</f>
        <v>1</v>
      </c>
      <c r="U29" s="26" t="b">
        <f ca="1">IF(Checks!C29,IF(UPPER(Data!C29)="DATA OBJECT",NOT(ISERROR(MATCH(Data!A29&amp;"||"&amp;Data!BW29&amp;Data!BX29,Key,0))),TRUE),TRUE)</f>
        <v>1</v>
      </c>
      <c r="V29" s="26" t="b">
        <f>IF(Checks!C29,IF(UPPER(Data!C29)="SUB PROCESS",Data!BY29&lt;&gt;"",TRUE),TRUE)</f>
        <v>1</v>
      </c>
      <c r="W29" s="26" t="b">
        <f>IF(Checks!C29,IF(UPPER(Data!C29)="SERVICE TASK",AND(Data!BZ29&lt;&gt;"",Data!CA29&lt;&gt;""),TRUE),TRUE)</f>
        <v>1</v>
      </c>
      <c r="X29" s="26" t="b">
        <f t="array" aca="1" ref="X29" ca="1">SUM((OFFSET(Data!B29,MAX(ROW(Data!$B$5)-ROW(Data!B29),-200),0,400,1)=Data!B29)*(OFFSET(Data!A29,MAX(ROW(Data!$B$5)-ROW(Data!B29),-200),0,400,1)=Data!A29))=1</f>
        <v>1</v>
      </c>
      <c r="Y29" s="26" t="b">
        <f t="array" aca="1" ref="Y29" ca="1">IF(UPPER(Data!C29)="START",SUM((OFFSET(Data!C29,MAX(ROW(Data!$C$5)-ROW(Data!C29),-200),0,400,1)="START")*(OFFSET(Data!A29,MAX(ROW(Data!$B$5)-ROW(Data!B29),-200),0,400,1)=Data!A29))=1,TRUE)</f>
        <v>1</v>
      </c>
      <c r="Z29" s="26" t="b">
        <f t="array" aca="1" ref="Z29" ca="1">IF(UPPER(Data!C29)="END",SUM((OFFSET(Data!C29,MAX(ROW(Data!$C$5)-ROW(Data!C29),-200),0,400,1)="END")*(OFFSET(Data!A29,MAX(ROW(Data!$B$5)-ROW(Data!B29),-200),0,400,1)=Data!A29))=1,TRUE)</f>
        <v>1</v>
      </c>
      <c r="AA29" s="26" t="b">
        <f>IF(Checks!C29,ISERROR(FIND("&amp;",Data!D29)),TRUE)</f>
        <v>1</v>
      </c>
      <c r="AB29" s="26" t="b">
        <f>IF(Checks!$C29,IF(AND(UPPER(Data!$C29)&lt;&gt;"START",UPPER(Data!$C29)&lt;&gt;"DATA OBJECT",Data!E29&lt;&gt;""),NOT(ISERROR(MATCH(Data!$A29&amp;"||"&amp;Data!E29,Key,0))),TRUE),TRUE)</f>
        <v>1</v>
      </c>
      <c r="AC29" s="27" t="b">
        <f>IF(Checks!C29,IF(UPPER(Data!C29)="END",Data!E29&lt;&gt;"",TRUE),TRUE)</f>
        <v>1</v>
      </c>
    </row>
    <row r="30" spans="1:29" x14ac:dyDescent="0.25">
      <c r="A30" s="1" t="str">
        <f>Data!A30&amp;"||"&amp;Data!B30</f>
        <v>Analytics/irmifrs9_data_quality.bpmn||017_00_09</v>
      </c>
      <c r="B30" s="19"/>
      <c r="C30" s="24" t="b">
        <f>AND(UPPER(Data!A30)&lt;&gt;"EMPTY",Data!B30&lt;&gt;"")</f>
        <v>1</v>
      </c>
      <c r="D30" s="1"/>
      <c r="E30" s="25" t="b">
        <f t="shared" ca="1" si="0"/>
        <v>1</v>
      </c>
      <c r="F30" s="26" t="b">
        <f ca="1">IF(UPPER(Data!C30)="SUB PROCESS",NOT(ISERROR(MATCH(RIGHT(Data!BY30,LEN(Data!BY30)-5),OFFSET(Data,0,0,ItemsCount,1),0))),TRUE)</f>
        <v>1</v>
      </c>
      <c r="G30" s="26" t="b">
        <f ca="1">IF(MID(UPPER(Data!A30),1,13)="MISCELLANEOUS",NOT(ISERROR(MATCH("path="&amp;Data!A30,OFFSET(Data,0,76,ItemsCount,1),0))),TRUE)</f>
        <v>1</v>
      </c>
      <c r="L30" s="25" t="b">
        <f t="shared" ca="1" si="1"/>
        <v>1</v>
      </c>
      <c r="M30" s="24" t="b">
        <f>IF(Checks!$C30,Data!A30&lt;&gt;"",TRUE)</f>
        <v>1</v>
      </c>
      <c r="N30" s="26" t="b">
        <f>IF(Checks!C30,Data!B30&lt;&gt;"",TRUE)</f>
        <v>1</v>
      </c>
      <c r="O30" s="26" t="b">
        <f>IF(Checks!C30,IF(AND(UPPER(Data!C30)="SERVICE TASK",UPPER(Data!BZ30)="TYPE=SAS"),NodeExists(TRIM(RIGHT(Data!CA30,LEN(Data!CA30)-FIND("=",Data!CA30)))),TRUE),TRUE)</f>
        <v>1</v>
      </c>
      <c r="P30" s="26" t="b">
        <f>IF(Checks!C30,IF(Data!C30="DATA OBJECT",OR(AND(Data!BW30&lt;&gt;"",Data!BX30=""),AND(Data!BW30="",Data!BX30&lt;&gt;"")),TRUE),TRUE)</f>
        <v>1</v>
      </c>
      <c r="Q30" s="26" t="b">
        <f>IF(Checks!C30,UPPER(RIGHT(Data!A30,5))=".BPMN",TRUE)</f>
        <v>1</v>
      </c>
      <c r="R30" s="26" t="b">
        <f>IF(Checks!C30,IF(UPPER(Data!C30)="SUB PROCESS",UPPER(RIGHT(Data!BY30,5))=".BPMN",TRUE),TRUE)</f>
        <v>1</v>
      </c>
      <c r="S30" s="26" t="b">
        <f>IF(Checks!C30,IF(UPPER(Data!C30)="SERVICE TASK",IF(UPPER(Data!BZ30)="TYPE=SAS",UPPER(RIGHT(Data!CA30,4))=".SAS",TRUE),TRUE),TRUE)</f>
        <v>1</v>
      </c>
      <c r="T30" s="26" t="b">
        <f>IF(Checks!C30,IF(Data!B30&lt;&gt;"",Data!D30&lt;&gt;"",TRUE),TRUE)</f>
        <v>1</v>
      </c>
      <c r="U30" s="26" t="b">
        <f ca="1">IF(Checks!C30,IF(UPPER(Data!C30)="DATA OBJECT",NOT(ISERROR(MATCH(Data!A30&amp;"||"&amp;Data!BW30&amp;Data!BX30,Key,0))),TRUE),TRUE)</f>
        <v>1</v>
      </c>
      <c r="V30" s="26" t="b">
        <f>IF(Checks!C30,IF(UPPER(Data!C30)="SUB PROCESS",Data!BY30&lt;&gt;"",TRUE),TRUE)</f>
        <v>1</v>
      </c>
      <c r="W30" s="26" t="b">
        <f>IF(Checks!C30,IF(UPPER(Data!C30)="SERVICE TASK",AND(Data!BZ30&lt;&gt;"",Data!CA30&lt;&gt;""),TRUE),TRUE)</f>
        <v>1</v>
      </c>
      <c r="X30" s="26" t="b">
        <f t="array" aca="1" ref="X30" ca="1">SUM((OFFSET(Data!B30,MAX(ROW(Data!$B$5)-ROW(Data!B30),-200),0,400,1)=Data!B30)*(OFFSET(Data!A30,MAX(ROW(Data!$B$5)-ROW(Data!B30),-200),0,400,1)=Data!A30))=1</f>
        <v>1</v>
      </c>
      <c r="Y30" s="26" t="b">
        <f t="array" aca="1" ref="Y30" ca="1">IF(UPPER(Data!C30)="START",SUM((OFFSET(Data!C30,MAX(ROW(Data!$C$5)-ROW(Data!C30),-200),0,400,1)="START")*(OFFSET(Data!A30,MAX(ROW(Data!$B$5)-ROW(Data!B30),-200),0,400,1)=Data!A30))=1,TRUE)</f>
        <v>1</v>
      </c>
      <c r="Z30" s="26" t="b">
        <f t="array" aca="1" ref="Z30" ca="1">IF(UPPER(Data!C30)="END",SUM((OFFSET(Data!C30,MAX(ROW(Data!$C$5)-ROW(Data!C30),-200),0,400,1)="END")*(OFFSET(Data!A30,MAX(ROW(Data!$B$5)-ROW(Data!B30),-200),0,400,1)=Data!A30))=1,TRUE)</f>
        <v>1</v>
      </c>
      <c r="AA30" s="26" t="b">
        <f>IF(Checks!C30,ISERROR(FIND("&amp;",Data!D30)),TRUE)</f>
        <v>1</v>
      </c>
      <c r="AB30" s="26" t="b">
        <f>IF(Checks!$C30,IF(AND(UPPER(Data!$C30)&lt;&gt;"START",UPPER(Data!$C30)&lt;&gt;"DATA OBJECT",Data!E30&lt;&gt;""),NOT(ISERROR(MATCH(Data!$A30&amp;"||"&amp;Data!E30,Key,0))),TRUE),TRUE)</f>
        <v>1</v>
      </c>
      <c r="AC30" s="27" t="b">
        <f>IF(Checks!C30,IF(UPPER(Data!C30)="END",Data!E30&lt;&gt;"",TRUE),TRUE)</f>
        <v>1</v>
      </c>
    </row>
    <row r="31" spans="1:29" x14ac:dyDescent="0.25">
      <c r="A31" s="1" t="str">
        <f>Data!A31&amp;"||"&amp;Data!B31</f>
        <v>Analytics/irmifrs9_data_quality.bpmn||017_05_00</v>
      </c>
      <c r="B31" s="19"/>
      <c r="C31" s="24" t="b">
        <f>AND(UPPER(Data!A31)&lt;&gt;"EMPTY",Data!B31&lt;&gt;"")</f>
        <v>1</v>
      </c>
      <c r="D31" s="1"/>
      <c r="E31" s="25" t="b">
        <f t="shared" ca="1" si="0"/>
        <v>1</v>
      </c>
      <c r="F31" s="26" t="b">
        <f ca="1">IF(UPPER(Data!C31)="SUB PROCESS",NOT(ISERROR(MATCH(RIGHT(Data!BY31,LEN(Data!BY31)-5),OFFSET(Data,0,0,ItemsCount,1),0))),TRUE)</f>
        <v>1</v>
      </c>
      <c r="G31" s="26" t="b">
        <f ca="1">IF(MID(UPPER(Data!A31),1,13)="MISCELLANEOUS",NOT(ISERROR(MATCH("path="&amp;Data!A31,OFFSET(Data,0,76,ItemsCount,1),0))),TRUE)</f>
        <v>1</v>
      </c>
      <c r="L31" s="25" t="b">
        <f t="shared" ca="1" si="1"/>
        <v>1</v>
      </c>
      <c r="M31" s="24" t="b">
        <f>IF(Checks!$C31,Data!A31&lt;&gt;"",TRUE)</f>
        <v>1</v>
      </c>
      <c r="N31" s="26" t="b">
        <f>IF(Checks!C31,Data!B31&lt;&gt;"",TRUE)</f>
        <v>1</v>
      </c>
      <c r="O31" s="26" t="b">
        <f>IF(Checks!C31,IF(AND(UPPER(Data!C31)="SERVICE TASK",UPPER(Data!BZ31)="TYPE=SAS"),NodeExists(TRIM(RIGHT(Data!CA31,LEN(Data!CA31)-FIND("=",Data!CA31)))),TRUE),TRUE)</f>
        <v>1</v>
      </c>
      <c r="P31" s="26" t="b">
        <f>IF(Checks!C31,IF(Data!C31="DATA OBJECT",OR(AND(Data!BW31&lt;&gt;"",Data!BX31=""),AND(Data!BW31="",Data!BX31&lt;&gt;"")),TRUE),TRUE)</f>
        <v>1</v>
      </c>
      <c r="Q31" s="26" t="b">
        <f>IF(Checks!C31,UPPER(RIGHT(Data!A31,5))=".BPMN",TRUE)</f>
        <v>1</v>
      </c>
      <c r="R31" s="26" t="b">
        <f>IF(Checks!C31,IF(UPPER(Data!C31)="SUB PROCESS",UPPER(RIGHT(Data!BY31,5))=".BPMN",TRUE),TRUE)</f>
        <v>1</v>
      </c>
      <c r="S31" s="26" t="b">
        <f>IF(Checks!C31,IF(UPPER(Data!C31)="SERVICE TASK",IF(UPPER(Data!BZ31)="TYPE=SAS",UPPER(RIGHT(Data!CA31,4))=".SAS",TRUE),TRUE),TRUE)</f>
        <v>1</v>
      </c>
      <c r="T31" s="26" t="b">
        <f>IF(Checks!C31,IF(Data!B31&lt;&gt;"",Data!D31&lt;&gt;"",TRUE),TRUE)</f>
        <v>1</v>
      </c>
      <c r="U31" s="26" t="b">
        <f ca="1">IF(Checks!C31,IF(UPPER(Data!C31)="DATA OBJECT",NOT(ISERROR(MATCH(Data!A31&amp;"||"&amp;Data!BW31&amp;Data!BX31,Key,0))),TRUE),TRUE)</f>
        <v>1</v>
      </c>
      <c r="V31" s="26" t="b">
        <f>IF(Checks!C31,IF(UPPER(Data!C31)="SUB PROCESS",Data!BY31&lt;&gt;"",TRUE),TRUE)</f>
        <v>1</v>
      </c>
      <c r="W31" s="26" t="b">
        <f>IF(Checks!C31,IF(UPPER(Data!C31)="SERVICE TASK",AND(Data!BZ31&lt;&gt;"",Data!CA31&lt;&gt;""),TRUE),TRUE)</f>
        <v>1</v>
      </c>
      <c r="X31" s="26" t="b">
        <f t="array" aca="1" ref="X31" ca="1">SUM((OFFSET(Data!B31,MAX(ROW(Data!$B$5)-ROW(Data!B31),-200),0,400,1)=Data!B31)*(OFFSET(Data!A31,MAX(ROW(Data!$B$5)-ROW(Data!B31),-200),0,400,1)=Data!A31))=1</f>
        <v>1</v>
      </c>
      <c r="Y31" s="26" t="b">
        <f t="array" aca="1" ref="Y31" ca="1">IF(UPPER(Data!C31)="START",SUM((OFFSET(Data!C31,MAX(ROW(Data!$C$5)-ROW(Data!C31),-200),0,400,1)="START")*(OFFSET(Data!A31,MAX(ROW(Data!$B$5)-ROW(Data!B31),-200),0,400,1)=Data!A31))=1,TRUE)</f>
        <v>1</v>
      </c>
      <c r="Z31" s="26" t="b">
        <f t="array" aca="1" ref="Z31" ca="1">IF(UPPER(Data!C31)="END",SUM((OFFSET(Data!C31,MAX(ROW(Data!$C$5)-ROW(Data!C31),-200),0,400,1)="END")*(OFFSET(Data!A31,MAX(ROW(Data!$B$5)-ROW(Data!B31),-200),0,400,1)=Data!A31))=1,TRUE)</f>
        <v>1</v>
      </c>
      <c r="AA31" s="26" t="b">
        <f>IF(Checks!C31,ISERROR(FIND("&amp;",Data!D31)),TRUE)</f>
        <v>1</v>
      </c>
      <c r="AB31" s="26" t="b">
        <f>IF(Checks!$C31,IF(AND(UPPER(Data!$C31)&lt;&gt;"START",UPPER(Data!$C31)&lt;&gt;"DATA OBJECT",Data!E31&lt;&gt;""),NOT(ISERROR(MATCH(Data!$A31&amp;"||"&amp;Data!E31,Key,0))),TRUE),TRUE)</f>
        <v>1</v>
      </c>
      <c r="AC31" s="27" t="b">
        <f>IF(Checks!C31,IF(UPPER(Data!C31)="END",Data!E31&lt;&gt;"",TRUE),TRUE)</f>
        <v>1</v>
      </c>
    </row>
    <row r="32" spans="1:29" x14ac:dyDescent="0.25">
      <c r="A32" s="1" t="str">
        <f>Data!A32&amp;"||"&amp;Data!B32</f>
        <v>Analytics/irmifrs9_data_quality.bpmn||022</v>
      </c>
      <c r="B32" s="19"/>
      <c r="C32" s="24" t="b">
        <f>AND(UPPER(Data!A32)&lt;&gt;"EMPTY",Data!B32&lt;&gt;"")</f>
        <v>1</v>
      </c>
      <c r="D32" s="1"/>
      <c r="E32" s="25" t="b">
        <f t="shared" ca="1" si="0"/>
        <v>1</v>
      </c>
      <c r="F32" s="26" t="b">
        <f ca="1">IF(UPPER(Data!C32)="SUB PROCESS",NOT(ISERROR(MATCH(RIGHT(Data!BY32,LEN(Data!BY32)-5),OFFSET(Data,0,0,ItemsCount,1),0))),TRUE)</f>
        <v>1</v>
      </c>
      <c r="G32" s="26" t="b">
        <f ca="1">IF(MID(UPPER(Data!A32),1,13)="MISCELLANEOUS",NOT(ISERROR(MATCH("path="&amp;Data!A32,OFFSET(Data,0,76,ItemsCount,1),0))),TRUE)</f>
        <v>1</v>
      </c>
      <c r="L32" s="25" t="b">
        <f t="shared" ca="1" si="1"/>
        <v>1</v>
      </c>
      <c r="M32" s="24" t="b">
        <f>IF(Checks!$C32,Data!A32&lt;&gt;"",TRUE)</f>
        <v>1</v>
      </c>
      <c r="N32" s="26" t="b">
        <f>IF(Checks!C32,Data!B32&lt;&gt;"",TRUE)</f>
        <v>1</v>
      </c>
      <c r="O32" s="26" t="b">
        <f>IF(Checks!C32,IF(AND(UPPER(Data!C32)="SERVICE TASK",UPPER(Data!BZ32)="TYPE=SAS"),NodeExists(TRIM(RIGHT(Data!CA32,LEN(Data!CA32)-FIND("=",Data!CA32)))),TRUE),TRUE)</f>
        <v>1</v>
      </c>
      <c r="P32" s="26" t="b">
        <f>IF(Checks!C32,IF(Data!C32="DATA OBJECT",OR(AND(Data!BW32&lt;&gt;"",Data!BX32=""),AND(Data!BW32="",Data!BX32&lt;&gt;"")),TRUE),TRUE)</f>
        <v>1</v>
      </c>
      <c r="Q32" s="26" t="b">
        <f>IF(Checks!C32,UPPER(RIGHT(Data!A32,5))=".BPMN",TRUE)</f>
        <v>1</v>
      </c>
      <c r="R32" s="26" t="b">
        <f>IF(Checks!C32,IF(UPPER(Data!C32)="SUB PROCESS",UPPER(RIGHT(Data!BY32,5))=".BPMN",TRUE),TRUE)</f>
        <v>1</v>
      </c>
      <c r="S32" s="26" t="b">
        <f>IF(Checks!C32,IF(UPPER(Data!C32)="SERVICE TASK",IF(UPPER(Data!BZ32)="TYPE=SAS",UPPER(RIGHT(Data!CA32,4))=".SAS",TRUE),TRUE),TRUE)</f>
        <v>1</v>
      </c>
      <c r="T32" s="26" t="b">
        <f>IF(Checks!C32,IF(Data!B32&lt;&gt;"",Data!D32&lt;&gt;"",TRUE),TRUE)</f>
        <v>1</v>
      </c>
      <c r="U32" s="26" t="b">
        <f>IF(Checks!C32,IF(UPPER(Data!C32)="DATA OBJECT",NOT(ISERROR(MATCH(Data!A32&amp;"||"&amp;Data!BW32&amp;Data!BX32,Key,0))),TRUE),TRUE)</f>
        <v>1</v>
      </c>
      <c r="V32" s="26" t="b">
        <f>IF(Checks!C32,IF(UPPER(Data!C32)="SUB PROCESS",Data!BY32&lt;&gt;"",TRUE),TRUE)</f>
        <v>1</v>
      </c>
      <c r="W32" s="26" t="b">
        <f>IF(Checks!C32,IF(UPPER(Data!C32)="SERVICE TASK",AND(Data!BZ32&lt;&gt;"",Data!CA32&lt;&gt;""),TRUE),TRUE)</f>
        <v>1</v>
      </c>
      <c r="X32" s="26" t="b">
        <f t="array" aca="1" ref="X32" ca="1">SUM((OFFSET(Data!B32,MAX(ROW(Data!$B$5)-ROW(Data!B32),-200),0,400,1)=Data!B32)*(OFFSET(Data!A32,MAX(ROW(Data!$B$5)-ROW(Data!B32),-200),0,400,1)=Data!A32))=1</f>
        <v>1</v>
      </c>
      <c r="Y32" s="26" t="b">
        <f t="array" aca="1" ref="Y32" ca="1">IF(UPPER(Data!C32)="START",SUM((OFFSET(Data!C32,MAX(ROW(Data!$C$5)-ROW(Data!C32),-200),0,400,1)="START")*(OFFSET(Data!A32,MAX(ROW(Data!$B$5)-ROW(Data!B32),-200),0,400,1)=Data!A32))=1,TRUE)</f>
        <v>1</v>
      </c>
      <c r="Z32" s="26" t="b">
        <f t="array" aca="1" ref="Z32" ca="1">IF(UPPER(Data!C32)="END",SUM((OFFSET(Data!C32,MAX(ROW(Data!$C$5)-ROW(Data!C32),-200),0,400,1)="END")*(OFFSET(Data!A32,MAX(ROW(Data!$B$5)-ROW(Data!B32),-200),0,400,1)=Data!A32))=1,TRUE)</f>
        <v>1</v>
      </c>
      <c r="AA32" s="26" t="b">
        <f>IF(Checks!C32,ISERROR(FIND("&amp;",Data!D32)),TRUE)</f>
        <v>1</v>
      </c>
      <c r="AB32" s="26" t="b">
        <f ca="1">IF(Checks!$C32,IF(AND(UPPER(Data!$C32)&lt;&gt;"START",UPPER(Data!$C32)&lt;&gt;"DATA OBJECT",Data!E32&lt;&gt;""),NOT(ISERROR(MATCH(Data!$A32&amp;"||"&amp;Data!E32,Key,0))),TRUE),TRUE)</f>
        <v>1</v>
      </c>
      <c r="AC32" s="27" t="b">
        <f>IF(Checks!C32,IF(UPPER(Data!C32)="END",Data!E32&lt;&gt;"",TRUE),TRUE)</f>
        <v>1</v>
      </c>
    </row>
    <row r="33" spans="1:29" x14ac:dyDescent="0.25">
      <c r="A33" s="1" t="str">
        <f>Data!A33&amp;"||"&amp;Data!B33</f>
        <v>Analytics/irmifrs9_data_quality.bpmn||023</v>
      </c>
      <c r="B33" s="19"/>
      <c r="C33" s="24" t="b">
        <f>AND(UPPER(Data!A33)&lt;&gt;"EMPTY",Data!B33&lt;&gt;"")</f>
        <v>1</v>
      </c>
      <c r="D33" s="1"/>
      <c r="E33" s="25" t="b">
        <f t="shared" ca="1" si="0"/>
        <v>1</v>
      </c>
      <c r="F33" s="26" t="b">
        <f ca="1">IF(UPPER(Data!C33)="SUB PROCESS",NOT(ISERROR(MATCH(RIGHT(Data!BY33,LEN(Data!BY33)-5),OFFSET(Data,0,0,ItemsCount,1),0))),TRUE)</f>
        <v>1</v>
      </c>
      <c r="G33" s="26" t="b">
        <f ca="1">IF(MID(UPPER(Data!A33),1,13)="MISCELLANEOUS",NOT(ISERROR(MATCH("path="&amp;Data!A33,OFFSET(Data,0,76,ItemsCount,1),0))),TRUE)</f>
        <v>1</v>
      </c>
      <c r="L33" s="25" t="b">
        <f t="shared" ca="1" si="1"/>
        <v>1</v>
      </c>
      <c r="M33" s="24" t="b">
        <f>IF(Checks!$C33,Data!A33&lt;&gt;"",TRUE)</f>
        <v>1</v>
      </c>
      <c r="N33" s="26" t="b">
        <f>IF(Checks!C33,Data!B33&lt;&gt;"",TRUE)</f>
        <v>1</v>
      </c>
      <c r="O33" s="26" t="b">
        <f>IF(Checks!C33,IF(AND(UPPER(Data!C33)="SERVICE TASK",UPPER(Data!BZ33)="TYPE=SAS"),NodeExists(TRIM(RIGHT(Data!CA33,LEN(Data!CA33)-FIND("=",Data!CA33)))),TRUE),TRUE)</f>
        <v>1</v>
      </c>
      <c r="P33" s="26" t="b">
        <f>IF(Checks!C33,IF(Data!C33="DATA OBJECT",OR(AND(Data!BW33&lt;&gt;"",Data!BX33=""),AND(Data!BW33="",Data!BX33&lt;&gt;"")),TRUE),TRUE)</f>
        <v>1</v>
      </c>
      <c r="Q33" s="26" t="b">
        <f>IF(Checks!C33,UPPER(RIGHT(Data!A33,5))=".BPMN",TRUE)</f>
        <v>1</v>
      </c>
      <c r="R33" s="26" t="b">
        <f>IF(Checks!C33,IF(UPPER(Data!C33)="SUB PROCESS",UPPER(RIGHT(Data!BY33,5))=".BPMN",TRUE),TRUE)</f>
        <v>1</v>
      </c>
      <c r="S33" s="26" t="b">
        <f>IF(Checks!C33,IF(UPPER(Data!C33)="SERVICE TASK",IF(UPPER(Data!BZ33)="TYPE=SAS",UPPER(RIGHT(Data!CA33,4))=".SAS",TRUE),TRUE),TRUE)</f>
        <v>1</v>
      </c>
      <c r="T33" s="26" t="b">
        <f>IF(Checks!C33,IF(Data!B33&lt;&gt;"",Data!D33&lt;&gt;"",TRUE),TRUE)</f>
        <v>1</v>
      </c>
      <c r="U33" s="26" t="b">
        <f>IF(Checks!C33,IF(UPPER(Data!C33)="DATA OBJECT",NOT(ISERROR(MATCH(Data!A33&amp;"||"&amp;Data!BW33&amp;Data!BX33,Key,0))),TRUE),TRUE)</f>
        <v>1</v>
      </c>
      <c r="V33" s="26" t="b">
        <f>IF(Checks!C33,IF(UPPER(Data!C33)="SUB PROCESS",Data!BY33&lt;&gt;"",TRUE),TRUE)</f>
        <v>1</v>
      </c>
      <c r="W33" s="26" t="b">
        <f>IF(Checks!C33,IF(UPPER(Data!C33)="SERVICE TASK",AND(Data!BZ33&lt;&gt;"",Data!CA33&lt;&gt;""),TRUE),TRUE)</f>
        <v>1</v>
      </c>
      <c r="X33" s="26" t="b">
        <f t="array" aca="1" ref="X33" ca="1">SUM((OFFSET(Data!B33,MAX(ROW(Data!$B$5)-ROW(Data!B33),-200),0,400,1)=Data!B33)*(OFFSET(Data!A33,MAX(ROW(Data!$B$5)-ROW(Data!B33),-200),0,400,1)=Data!A33))=1</f>
        <v>1</v>
      </c>
      <c r="Y33" s="26" t="b">
        <f t="array" aca="1" ref="Y33" ca="1">IF(UPPER(Data!C33)="START",SUM((OFFSET(Data!C33,MAX(ROW(Data!$C$5)-ROW(Data!C33),-200),0,400,1)="START")*(OFFSET(Data!A33,MAX(ROW(Data!$B$5)-ROW(Data!B33),-200),0,400,1)=Data!A33))=1,TRUE)</f>
        <v>1</v>
      </c>
      <c r="Z33" s="26" t="b">
        <f t="array" aca="1" ref="Z33" ca="1">IF(UPPER(Data!C33)="END",SUM((OFFSET(Data!C33,MAX(ROW(Data!$C$5)-ROW(Data!C33),-200),0,400,1)="END")*(OFFSET(Data!A33,MAX(ROW(Data!$B$5)-ROW(Data!B33),-200),0,400,1)=Data!A33))=1,TRUE)</f>
        <v>1</v>
      </c>
      <c r="AA33" s="26" t="b">
        <f>IF(Checks!C33,ISERROR(FIND("&amp;",Data!D33)),TRUE)</f>
        <v>1</v>
      </c>
      <c r="AB33" s="26" t="b">
        <f ca="1">IF(Checks!$C33,IF(AND(UPPER(Data!$C33)&lt;&gt;"START",UPPER(Data!$C33)&lt;&gt;"DATA OBJECT",Data!E33&lt;&gt;""),NOT(ISERROR(MATCH(Data!$A33&amp;"||"&amp;Data!E33,Key,0))),TRUE),TRUE)</f>
        <v>1</v>
      </c>
      <c r="AC33" s="27" t="b">
        <f>IF(Checks!C33,IF(UPPER(Data!C33)="END",Data!E33&lt;&gt;"",TRUE),TRUE)</f>
        <v>1</v>
      </c>
    </row>
    <row r="34" spans="1:29" x14ac:dyDescent="0.25">
      <c r="A34" s="1" t="str">
        <f>Data!A34&amp;"||"&amp;Data!B34</f>
        <v>Miscellaneous/subflow/irmifrs9_data_quality.bpmn||002</v>
      </c>
      <c r="B34" s="19"/>
      <c r="C34" s="24" t="b">
        <f>AND(UPPER(Data!A34)&lt;&gt;"EMPTY",Data!B34&lt;&gt;"")</f>
        <v>1</v>
      </c>
      <c r="D34" s="1"/>
      <c r="E34" s="25" t="b">
        <f t="shared" ca="1" si="0"/>
        <v>1</v>
      </c>
      <c r="F34" s="26" t="b">
        <f ca="1">IF(UPPER(Data!C34)="SUB PROCESS",NOT(ISERROR(MATCH(RIGHT(Data!BY34,LEN(Data!BY34)-5),OFFSET(Data,0,0,ItemsCount,1),0))),TRUE)</f>
        <v>1</v>
      </c>
      <c r="G34" s="26" t="b">
        <f ca="1">IF(MID(UPPER(Data!A34),1,13)="MISCELLANEOUS",NOT(ISERROR(MATCH("path="&amp;Data!A34,OFFSET(Data,0,76,ItemsCount,1),0))),TRUE)</f>
        <v>1</v>
      </c>
      <c r="L34" s="25" t="b">
        <f t="shared" ca="1" si="1"/>
        <v>1</v>
      </c>
      <c r="M34" s="24" t="b">
        <f>IF(Checks!$C34,Data!A34&lt;&gt;"",TRUE)</f>
        <v>1</v>
      </c>
      <c r="N34" s="26" t="b">
        <f>IF(Checks!C34,Data!B34&lt;&gt;"",TRUE)</f>
        <v>1</v>
      </c>
      <c r="O34" s="26" t="b">
        <f>IF(Checks!C34,IF(AND(UPPER(Data!C34)="SERVICE TASK",UPPER(Data!BZ34)="TYPE=SAS"),NodeExists(TRIM(RIGHT(Data!CA34,LEN(Data!CA34)-FIND("=",Data!CA34)))),TRUE),TRUE)</f>
        <v>1</v>
      </c>
      <c r="P34" s="26" t="b">
        <f>IF(Checks!C34,IF(Data!C34="DATA OBJECT",OR(AND(Data!BW34&lt;&gt;"",Data!BX34=""),AND(Data!BW34="",Data!BX34&lt;&gt;"")),TRUE),TRUE)</f>
        <v>1</v>
      </c>
      <c r="Q34" s="26" t="b">
        <f>IF(Checks!C34,UPPER(RIGHT(Data!A34,5))=".BPMN",TRUE)</f>
        <v>1</v>
      </c>
      <c r="R34" s="26" t="b">
        <f>IF(Checks!C34,IF(UPPER(Data!C34)="SUB PROCESS",UPPER(RIGHT(Data!BY34,5))=".BPMN",TRUE),TRUE)</f>
        <v>1</v>
      </c>
      <c r="S34" s="26" t="b">
        <f>IF(Checks!C34,IF(UPPER(Data!C34)="SERVICE TASK",IF(UPPER(Data!BZ34)="TYPE=SAS",UPPER(RIGHT(Data!CA34,4))=".SAS",TRUE),TRUE),TRUE)</f>
        <v>1</v>
      </c>
      <c r="T34" s="26" t="b">
        <f>IF(Checks!C34,IF(Data!B34&lt;&gt;"",Data!D34&lt;&gt;"",TRUE),TRUE)</f>
        <v>1</v>
      </c>
      <c r="U34" s="26" t="b">
        <f>IF(Checks!C34,IF(UPPER(Data!C34)="DATA OBJECT",NOT(ISERROR(MATCH(Data!A34&amp;"||"&amp;Data!BW34&amp;Data!BX34,Key,0))),TRUE),TRUE)</f>
        <v>1</v>
      </c>
      <c r="V34" s="26" t="b">
        <f>IF(Checks!C34,IF(UPPER(Data!C34)="SUB PROCESS",Data!BY34&lt;&gt;"",TRUE),TRUE)</f>
        <v>1</v>
      </c>
      <c r="W34" s="26" t="b">
        <f>IF(Checks!C34,IF(UPPER(Data!C34)="SERVICE TASK",AND(Data!BZ34&lt;&gt;"",Data!CA34&lt;&gt;""),TRUE),TRUE)</f>
        <v>1</v>
      </c>
      <c r="X34" s="26" t="b">
        <f t="array" aca="1" ref="X34" ca="1">SUM((OFFSET(Data!B34,MAX(ROW(Data!$B$5)-ROW(Data!B34),-200),0,400,1)=Data!B34)*(OFFSET(Data!A34,MAX(ROW(Data!$B$5)-ROW(Data!B34),-200),0,400,1)=Data!A34))=1</f>
        <v>1</v>
      </c>
      <c r="Y34" s="26" t="b">
        <f t="array" aca="1" ref="Y34" ca="1">IF(UPPER(Data!C34)="START",SUM((OFFSET(Data!C34,MAX(ROW(Data!$C$5)-ROW(Data!C34),-200),0,400,1)="START")*(OFFSET(Data!A34,MAX(ROW(Data!$B$5)-ROW(Data!B34),-200),0,400,1)=Data!A34))=1,TRUE)</f>
        <v>1</v>
      </c>
      <c r="Z34" s="26" t="b">
        <f t="array" aca="1" ref="Z34" ca="1">IF(UPPER(Data!C34)="END",SUM((OFFSET(Data!C34,MAX(ROW(Data!$C$5)-ROW(Data!C34),-200),0,400,1)="END")*(OFFSET(Data!A34,MAX(ROW(Data!$B$5)-ROW(Data!B34),-200),0,400,1)=Data!A34))=1,TRUE)</f>
        <v>1</v>
      </c>
      <c r="AA34" s="26" t="b">
        <f>IF(Checks!C34,ISERROR(FIND("&amp;",Data!D34)),TRUE)</f>
        <v>1</v>
      </c>
      <c r="AB34" s="26" t="b">
        <f>IF(Checks!$C34,IF(AND(UPPER(Data!$C34)&lt;&gt;"START",UPPER(Data!$C34)&lt;&gt;"DATA OBJECT",Data!E34&lt;&gt;""),NOT(ISERROR(MATCH(Data!$A34&amp;"||"&amp;Data!E34,Key,0))),TRUE),TRUE)</f>
        <v>1</v>
      </c>
      <c r="AC34" s="27" t="b">
        <f>IF(Checks!C34,IF(UPPER(Data!C34)="END",Data!E34&lt;&gt;"",TRUE),TRUE)</f>
        <v>1</v>
      </c>
    </row>
    <row r="35" spans="1:29" x14ac:dyDescent="0.25">
      <c r="A35" s="1" t="str">
        <f>Data!A35&amp;"||"&amp;Data!B35</f>
        <v>Miscellaneous/subflow/irmifrs9_data_quality.bpmn||003</v>
      </c>
      <c r="B35" s="19"/>
      <c r="C35" s="24" t="b">
        <f>AND(UPPER(Data!A35)&lt;&gt;"EMPTY",Data!B35&lt;&gt;"")</f>
        <v>1</v>
      </c>
      <c r="D35" s="1"/>
      <c r="E35" s="25" t="b">
        <f t="shared" ca="1" si="0"/>
        <v>1</v>
      </c>
      <c r="F35" s="26" t="b">
        <f ca="1">IF(UPPER(Data!C35)="SUB PROCESS",NOT(ISERROR(MATCH(RIGHT(Data!BY35,LEN(Data!BY35)-5),OFFSET(Data,0,0,ItemsCount,1),0))),TRUE)</f>
        <v>1</v>
      </c>
      <c r="G35" s="26" t="b">
        <f ca="1">IF(MID(UPPER(Data!A35),1,13)="MISCELLANEOUS",NOT(ISERROR(MATCH("path="&amp;Data!A35,OFFSET(Data,0,76,ItemsCount,1),0))),TRUE)</f>
        <v>1</v>
      </c>
      <c r="L35" s="25" t="b">
        <f t="shared" ca="1" si="1"/>
        <v>1</v>
      </c>
      <c r="M35" s="24" t="b">
        <f>IF(Checks!$C35,Data!A35&lt;&gt;"",TRUE)</f>
        <v>1</v>
      </c>
      <c r="N35" s="26" t="b">
        <f>IF(Checks!C35,Data!B35&lt;&gt;"",TRUE)</f>
        <v>1</v>
      </c>
      <c r="O35" s="26" t="b">
        <f>IF(Checks!C35,IF(AND(UPPER(Data!C35)="SERVICE TASK",UPPER(Data!BZ35)="TYPE=SAS"),NodeExists(TRIM(RIGHT(Data!CA35,LEN(Data!CA35)-FIND("=",Data!CA35)))),TRUE),TRUE)</f>
        <v>1</v>
      </c>
      <c r="P35" s="26" t="b">
        <f>IF(Checks!C35,IF(Data!C35="DATA OBJECT",OR(AND(Data!BW35&lt;&gt;"",Data!BX35=""),AND(Data!BW35="",Data!BX35&lt;&gt;"")),TRUE),TRUE)</f>
        <v>1</v>
      </c>
      <c r="Q35" s="26" t="b">
        <f>IF(Checks!C35,UPPER(RIGHT(Data!A35,5))=".BPMN",TRUE)</f>
        <v>1</v>
      </c>
      <c r="R35" s="26" t="b">
        <f>IF(Checks!C35,IF(UPPER(Data!C35)="SUB PROCESS",UPPER(RIGHT(Data!BY35,5))=".BPMN",TRUE),TRUE)</f>
        <v>1</v>
      </c>
      <c r="S35" s="26" t="b">
        <f>IF(Checks!C35,IF(UPPER(Data!C35)="SERVICE TASK",IF(UPPER(Data!BZ35)="TYPE=SAS",UPPER(RIGHT(Data!CA35,4))=".SAS",TRUE),TRUE),TRUE)</f>
        <v>1</v>
      </c>
      <c r="T35" s="26" t="b">
        <f>IF(Checks!C35,IF(Data!B35&lt;&gt;"",Data!D35&lt;&gt;"",TRUE),TRUE)</f>
        <v>1</v>
      </c>
      <c r="U35" s="26" t="b">
        <f>IF(Checks!C35,IF(UPPER(Data!C35)="DATA OBJECT",NOT(ISERROR(MATCH(Data!A35&amp;"||"&amp;Data!BW35&amp;Data!BX35,Key,0))),TRUE),TRUE)</f>
        <v>1</v>
      </c>
      <c r="V35" s="26" t="b">
        <f>IF(Checks!C35,IF(UPPER(Data!C35)="SUB PROCESS",Data!BY35&lt;&gt;"",TRUE),TRUE)</f>
        <v>1</v>
      </c>
      <c r="W35" s="26" t="b">
        <f>IF(Checks!C35,IF(UPPER(Data!C35)="SERVICE TASK",AND(Data!BZ35&lt;&gt;"",Data!CA35&lt;&gt;""),TRUE),TRUE)</f>
        <v>1</v>
      </c>
      <c r="X35" s="26" t="b">
        <f t="array" aca="1" ref="X35" ca="1">SUM((OFFSET(Data!B35,MAX(ROW(Data!$B$5)-ROW(Data!B35),-200),0,400,1)=Data!B35)*(OFFSET(Data!A35,MAX(ROW(Data!$B$5)-ROW(Data!B35),-200),0,400,1)=Data!A35))=1</f>
        <v>1</v>
      </c>
      <c r="Y35" s="26" t="b">
        <f t="array" aca="1" ref="Y35" ca="1">IF(UPPER(Data!C35)="START",SUM((OFFSET(Data!C35,MAX(ROW(Data!$C$5)-ROW(Data!C35),-200),0,400,1)="START")*(OFFSET(Data!A35,MAX(ROW(Data!$B$5)-ROW(Data!B35),-200),0,400,1)=Data!A35))=1,TRUE)</f>
        <v>1</v>
      </c>
      <c r="Z35" s="26" t="b">
        <f t="array" aca="1" ref="Z35" ca="1">IF(UPPER(Data!C35)="END",SUM((OFFSET(Data!C35,MAX(ROW(Data!$C$5)-ROW(Data!C35),-200),0,400,1)="END")*(OFFSET(Data!A35,MAX(ROW(Data!$B$5)-ROW(Data!B35),-200),0,400,1)=Data!A35))=1,TRUE)</f>
        <v>1</v>
      </c>
      <c r="AA35" s="26" t="b">
        <f>IF(Checks!C35,ISERROR(FIND("&amp;",Data!D35)),TRUE)</f>
        <v>1</v>
      </c>
      <c r="AB35" s="26" t="b">
        <f ca="1">IF(Checks!$C35,IF(AND(UPPER(Data!$C35)&lt;&gt;"START",UPPER(Data!$C35)&lt;&gt;"DATA OBJECT",Data!E35&lt;&gt;""),NOT(ISERROR(MATCH(Data!$A35&amp;"||"&amp;Data!E35,Key,0))),TRUE),TRUE)</f>
        <v>1</v>
      </c>
      <c r="AC35" s="27" t="b">
        <f>IF(Checks!C35,IF(UPPER(Data!C35)="END",Data!E35&lt;&gt;"",TRUE),TRUE)</f>
        <v>1</v>
      </c>
    </row>
    <row r="36" spans="1:29" x14ac:dyDescent="0.25">
      <c r="A36" s="1" t="str">
        <f>Data!A36&amp;"||"&amp;Data!B36</f>
        <v>Miscellaneous/subflow/irmifrs9_data_quality.bpmn||003_00_01</v>
      </c>
      <c r="B36" s="19"/>
      <c r="C36" s="24" t="b">
        <f>AND(UPPER(Data!A36)&lt;&gt;"EMPTY",Data!B36&lt;&gt;"")</f>
        <v>1</v>
      </c>
      <c r="D36" s="1"/>
      <c r="E36" s="25" t="b">
        <f t="shared" ca="1" si="0"/>
        <v>1</v>
      </c>
      <c r="F36" s="26" t="b">
        <f ca="1">IF(UPPER(Data!C36)="SUB PROCESS",NOT(ISERROR(MATCH(RIGHT(Data!BY36,LEN(Data!BY36)-5),OFFSET(Data,0,0,ItemsCount,1),0))),TRUE)</f>
        <v>1</v>
      </c>
      <c r="G36" s="26" t="b">
        <f ca="1">IF(MID(UPPER(Data!A36),1,13)="MISCELLANEOUS",NOT(ISERROR(MATCH("path="&amp;Data!A36,OFFSET(Data,0,76,ItemsCount,1),0))),TRUE)</f>
        <v>1</v>
      </c>
      <c r="L36" s="25" t="b">
        <f t="shared" ca="1" si="1"/>
        <v>1</v>
      </c>
      <c r="M36" s="24" t="b">
        <f>IF(Checks!$C36,Data!A36&lt;&gt;"",TRUE)</f>
        <v>1</v>
      </c>
      <c r="N36" s="26" t="b">
        <f>IF(Checks!C36,Data!B36&lt;&gt;"",TRUE)</f>
        <v>1</v>
      </c>
      <c r="O36" s="26" t="b">
        <f>IF(Checks!C36,IF(AND(UPPER(Data!C36)="SERVICE TASK",UPPER(Data!BZ36)="TYPE=SAS"),NodeExists(TRIM(RIGHT(Data!CA36,LEN(Data!CA36)-FIND("=",Data!CA36)))),TRUE),TRUE)</f>
        <v>1</v>
      </c>
      <c r="P36" s="26" t="b">
        <f>IF(Checks!C36,IF(Data!C36="DATA OBJECT",OR(AND(Data!BW36&lt;&gt;"",Data!BX36=""),AND(Data!BW36="",Data!BX36&lt;&gt;"")),TRUE),TRUE)</f>
        <v>1</v>
      </c>
      <c r="Q36" s="26" t="b">
        <f>IF(Checks!C36,UPPER(RIGHT(Data!A36,5))=".BPMN",TRUE)</f>
        <v>1</v>
      </c>
      <c r="R36" s="26" t="b">
        <f>IF(Checks!C36,IF(UPPER(Data!C36)="SUB PROCESS",UPPER(RIGHT(Data!BY36,5))=".BPMN",TRUE),TRUE)</f>
        <v>1</v>
      </c>
      <c r="S36" s="26" t="b">
        <f>IF(Checks!C36,IF(UPPER(Data!C36)="SERVICE TASK",IF(UPPER(Data!BZ36)="TYPE=SAS",UPPER(RIGHT(Data!CA36,4))=".SAS",TRUE),TRUE),TRUE)</f>
        <v>1</v>
      </c>
      <c r="T36" s="26" t="b">
        <f>IF(Checks!C36,IF(Data!B36&lt;&gt;"",Data!D36&lt;&gt;"",TRUE),TRUE)</f>
        <v>1</v>
      </c>
      <c r="U36" s="26" t="b">
        <f ca="1">IF(Checks!C36,IF(UPPER(Data!C36)="DATA OBJECT",NOT(ISERROR(MATCH(Data!A36&amp;"||"&amp;Data!BW36&amp;Data!BX36,Key,0))),TRUE),TRUE)</f>
        <v>1</v>
      </c>
      <c r="V36" s="26" t="b">
        <f>IF(Checks!C36,IF(UPPER(Data!C36)="SUB PROCESS",Data!BY36&lt;&gt;"",TRUE),TRUE)</f>
        <v>1</v>
      </c>
      <c r="W36" s="26" t="b">
        <f>IF(Checks!C36,IF(UPPER(Data!C36)="SERVICE TASK",AND(Data!BZ36&lt;&gt;"",Data!CA36&lt;&gt;""),TRUE),TRUE)</f>
        <v>1</v>
      </c>
      <c r="X36" s="26" t="b">
        <f t="array" aca="1" ref="X36" ca="1">SUM((OFFSET(Data!B36,MAX(ROW(Data!$B$5)-ROW(Data!B36),-200),0,400,1)=Data!B36)*(OFFSET(Data!A36,MAX(ROW(Data!$B$5)-ROW(Data!B36),-200),0,400,1)=Data!A36))=1</f>
        <v>1</v>
      </c>
      <c r="Y36" s="26" t="b">
        <f t="array" aca="1" ref="Y36" ca="1">IF(UPPER(Data!C36)="START",SUM((OFFSET(Data!C36,MAX(ROW(Data!$C$5)-ROW(Data!C36),-200),0,400,1)="START")*(OFFSET(Data!A36,MAX(ROW(Data!$B$5)-ROW(Data!B36),-200),0,400,1)=Data!A36))=1,TRUE)</f>
        <v>1</v>
      </c>
      <c r="Z36" s="26" t="b">
        <f t="array" aca="1" ref="Z36" ca="1">IF(UPPER(Data!C36)="END",SUM((OFFSET(Data!C36,MAX(ROW(Data!$C$5)-ROW(Data!C36),-200),0,400,1)="END")*(OFFSET(Data!A36,MAX(ROW(Data!$B$5)-ROW(Data!B36),-200),0,400,1)=Data!A36))=1,TRUE)</f>
        <v>1</v>
      </c>
      <c r="AA36" s="26" t="b">
        <f>IF(Checks!C36,ISERROR(FIND("&amp;",Data!D36)),TRUE)</f>
        <v>1</v>
      </c>
      <c r="AB36" s="26" t="b">
        <f>IF(Checks!$C36,IF(AND(UPPER(Data!$C36)&lt;&gt;"START",UPPER(Data!$C36)&lt;&gt;"DATA OBJECT",Data!E36&lt;&gt;""),NOT(ISERROR(MATCH(Data!$A36&amp;"||"&amp;Data!E36,Key,0))),TRUE),TRUE)</f>
        <v>1</v>
      </c>
      <c r="AC36" s="27" t="b">
        <f>IF(Checks!C36,IF(UPPER(Data!C36)="END",Data!E36&lt;&gt;"",TRUE),TRUE)</f>
        <v>1</v>
      </c>
    </row>
    <row r="37" spans="1:29" x14ac:dyDescent="0.25">
      <c r="A37" s="1" t="str">
        <f>Data!A37&amp;"||"&amp;Data!B37</f>
        <v>Miscellaneous/subflow/irmifrs9_data_quality.bpmn||003_01_00</v>
      </c>
      <c r="B37" s="19"/>
      <c r="C37" s="24" t="b">
        <f>AND(UPPER(Data!A37)&lt;&gt;"EMPTY",Data!B37&lt;&gt;"")</f>
        <v>1</v>
      </c>
      <c r="D37" s="1"/>
      <c r="E37" s="25" t="b">
        <f t="shared" ca="1" si="0"/>
        <v>1</v>
      </c>
      <c r="F37" s="26" t="b">
        <f ca="1">IF(UPPER(Data!C37)="SUB PROCESS",NOT(ISERROR(MATCH(RIGHT(Data!BY37,LEN(Data!BY37)-5),OFFSET(Data,0,0,ItemsCount,1),0))),TRUE)</f>
        <v>1</v>
      </c>
      <c r="G37" s="26" t="b">
        <f ca="1">IF(MID(UPPER(Data!A37),1,13)="MISCELLANEOUS",NOT(ISERROR(MATCH("path="&amp;Data!A37,OFFSET(Data,0,76,ItemsCount,1),0))),TRUE)</f>
        <v>1</v>
      </c>
      <c r="L37" s="25" t="b">
        <f t="shared" ca="1" si="1"/>
        <v>1</v>
      </c>
      <c r="M37" s="24" t="b">
        <f>IF(Checks!$C37,Data!A37&lt;&gt;"",TRUE)</f>
        <v>1</v>
      </c>
      <c r="N37" s="26" t="b">
        <f>IF(Checks!C37,Data!B37&lt;&gt;"",TRUE)</f>
        <v>1</v>
      </c>
      <c r="O37" s="26" t="b">
        <f>IF(Checks!C37,IF(AND(UPPER(Data!C37)="SERVICE TASK",UPPER(Data!BZ37)="TYPE=SAS"),NodeExists(TRIM(RIGHT(Data!CA37,LEN(Data!CA37)-FIND("=",Data!CA37)))),TRUE),TRUE)</f>
        <v>1</v>
      </c>
      <c r="P37" s="26" t="b">
        <f>IF(Checks!C37,IF(Data!C37="DATA OBJECT",OR(AND(Data!BW37&lt;&gt;"",Data!BX37=""),AND(Data!BW37="",Data!BX37&lt;&gt;"")),TRUE),TRUE)</f>
        <v>1</v>
      </c>
      <c r="Q37" s="26" t="b">
        <f>IF(Checks!C37,UPPER(RIGHT(Data!A37,5))=".BPMN",TRUE)</f>
        <v>1</v>
      </c>
      <c r="R37" s="26" t="b">
        <f>IF(Checks!C37,IF(UPPER(Data!C37)="SUB PROCESS",UPPER(RIGHT(Data!BY37,5))=".BPMN",TRUE),TRUE)</f>
        <v>1</v>
      </c>
      <c r="S37" s="26" t="b">
        <f>IF(Checks!C37,IF(UPPER(Data!C37)="SERVICE TASK",IF(UPPER(Data!BZ37)="TYPE=SAS",UPPER(RIGHT(Data!CA37,4))=".SAS",TRUE),TRUE),TRUE)</f>
        <v>1</v>
      </c>
      <c r="T37" s="26" t="b">
        <f>IF(Checks!C37,IF(Data!B37&lt;&gt;"",Data!D37&lt;&gt;"",TRUE),TRUE)</f>
        <v>1</v>
      </c>
      <c r="U37" s="26" t="b">
        <f ca="1">IF(Checks!C37,IF(UPPER(Data!C37)="DATA OBJECT",NOT(ISERROR(MATCH(Data!A37&amp;"||"&amp;Data!BW37&amp;Data!BX37,Key,0))),TRUE),TRUE)</f>
        <v>1</v>
      </c>
      <c r="V37" s="26" t="b">
        <f>IF(Checks!C37,IF(UPPER(Data!C37)="SUB PROCESS",Data!BY37&lt;&gt;"",TRUE),TRUE)</f>
        <v>1</v>
      </c>
      <c r="W37" s="26" t="b">
        <f>IF(Checks!C37,IF(UPPER(Data!C37)="SERVICE TASK",AND(Data!BZ37&lt;&gt;"",Data!CA37&lt;&gt;""),TRUE),TRUE)</f>
        <v>1</v>
      </c>
      <c r="X37" s="26" t="b">
        <f t="array" aca="1" ref="X37" ca="1">SUM((OFFSET(Data!B37,MAX(ROW(Data!$B$5)-ROW(Data!B37),-200),0,400,1)=Data!B37)*(OFFSET(Data!A37,MAX(ROW(Data!$B$5)-ROW(Data!B37),-200),0,400,1)=Data!A37))=1</f>
        <v>1</v>
      </c>
      <c r="Y37" s="26" t="b">
        <f t="array" aca="1" ref="Y37" ca="1">IF(UPPER(Data!C37)="START",SUM((OFFSET(Data!C37,MAX(ROW(Data!$C$5)-ROW(Data!C37),-200),0,400,1)="START")*(OFFSET(Data!A37,MAX(ROW(Data!$B$5)-ROW(Data!B37),-200),0,400,1)=Data!A37))=1,TRUE)</f>
        <v>1</v>
      </c>
      <c r="Z37" s="26" t="b">
        <f t="array" aca="1" ref="Z37" ca="1">IF(UPPER(Data!C37)="END",SUM((OFFSET(Data!C37,MAX(ROW(Data!$C$5)-ROW(Data!C37),-200),0,400,1)="END")*(OFFSET(Data!A37,MAX(ROW(Data!$B$5)-ROW(Data!B37),-200),0,400,1)=Data!A37))=1,TRUE)</f>
        <v>1</v>
      </c>
      <c r="AA37" s="26" t="b">
        <f>IF(Checks!C37,ISERROR(FIND("&amp;",Data!D37)),TRUE)</f>
        <v>1</v>
      </c>
      <c r="AB37" s="26" t="b">
        <f>IF(Checks!$C37,IF(AND(UPPER(Data!$C37)&lt;&gt;"START",UPPER(Data!$C37)&lt;&gt;"DATA OBJECT",Data!E37&lt;&gt;""),NOT(ISERROR(MATCH(Data!$A37&amp;"||"&amp;Data!E37,Key,0))),TRUE),TRUE)</f>
        <v>1</v>
      </c>
      <c r="AC37" s="27" t="b">
        <f>IF(Checks!C37,IF(UPPER(Data!C37)="END",Data!E37&lt;&gt;"",TRUE),TRUE)</f>
        <v>1</v>
      </c>
    </row>
    <row r="38" spans="1:29" x14ac:dyDescent="0.25">
      <c r="A38" s="1" t="str">
        <f>Data!A38&amp;"||"&amp;Data!B38</f>
        <v>Miscellaneous/subflow/irmifrs9_data_quality.bpmn||006</v>
      </c>
      <c r="B38" s="19"/>
      <c r="C38" s="24" t="b">
        <f>AND(UPPER(Data!A38)&lt;&gt;"EMPTY",Data!B38&lt;&gt;"")</f>
        <v>1</v>
      </c>
      <c r="D38" s="1"/>
      <c r="E38" s="25" t="b">
        <f t="shared" ca="1" si="0"/>
        <v>1</v>
      </c>
      <c r="F38" s="26" t="b">
        <f ca="1">IF(UPPER(Data!C38)="SUB PROCESS",NOT(ISERROR(MATCH(RIGHT(Data!BY38,LEN(Data!BY38)-5),OFFSET(Data,0,0,ItemsCount,1),0))),TRUE)</f>
        <v>1</v>
      </c>
      <c r="G38" s="26" t="b">
        <f ca="1">IF(MID(UPPER(Data!A38),1,13)="MISCELLANEOUS",NOT(ISERROR(MATCH("path="&amp;Data!A38,OFFSET(Data,0,76,ItemsCount,1),0))),TRUE)</f>
        <v>1</v>
      </c>
      <c r="L38" s="25" t="b">
        <f t="shared" ca="1" si="1"/>
        <v>1</v>
      </c>
      <c r="M38" s="24" t="b">
        <f>IF(Checks!$C38,Data!A38&lt;&gt;"",TRUE)</f>
        <v>1</v>
      </c>
      <c r="N38" s="26" t="b">
        <f>IF(Checks!C38,Data!B38&lt;&gt;"",TRUE)</f>
        <v>1</v>
      </c>
      <c r="O38" s="26" t="b">
        <f>IF(Checks!C38,IF(AND(UPPER(Data!C38)="SERVICE TASK",UPPER(Data!BZ38)="TYPE=SAS"),NodeExists(TRIM(RIGHT(Data!CA38,LEN(Data!CA38)-FIND("=",Data!CA38)))),TRUE),TRUE)</f>
        <v>1</v>
      </c>
      <c r="P38" s="26" t="b">
        <f>IF(Checks!C38,IF(Data!C38="DATA OBJECT",OR(AND(Data!BW38&lt;&gt;"",Data!BX38=""),AND(Data!BW38="",Data!BX38&lt;&gt;"")),TRUE),TRUE)</f>
        <v>1</v>
      </c>
      <c r="Q38" s="26" t="b">
        <f>IF(Checks!C38,UPPER(RIGHT(Data!A38,5))=".BPMN",TRUE)</f>
        <v>1</v>
      </c>
      <c r="R38" s="26" t="b">
        <f>IF(Checks!C38,IF(UPPER(Data!C38)="SUB PROCESS",UPPER(RIGHT(Data!BY38,5))=".BPMN",TRUE),TRUE)</f>
        <v>1</v>
      </c>
      <c r="S38" s="26" t="b">
        <f>IF(Checks!C38,IF(UPPER(Data!C38)="SERVICE TASK",IF(UPPER(Data!BZ38)="TYPE=SAS",UPPER(RIGHT(Data!CA38,4))=".SAS",TRUE),TRUE),TRUE)</f>
        <v>1</v>
      </c>
      <c r="T38" s="26" t="b">
        <f>IF(Checks!C38,IF(Data!B38&lt;&gt;"",Data!D38&lt;&gt;"",TRUE),TRUE)</f>
        <v>1</v>
      </c>
      <c r="U38" s="26" t="b">
        <f>IF(Checks!C38,IF(UPPER(Data!C38)="DATA OBJECT",NOT(ISERROR(MATCH(Data!A38&amp;"||"&amp;Data!BW38&amp;Data!BX38,Key,0))),TRUE),TRUE)</f>
        <v>1</v>
      </c>
      <c r="V38" s="26" t="b">
        <f>IF(Checks!C38,IF(UPPER(Data!C38)="SUB PROCESS",Data!BY38&lt;&gt;"",TRUE),TRUE)</f>
        <v>1</v>
      </c>
      <c r="W38" s="26" t="b">
        <f>IF(Checks!C38,IF(UPPER(Data!C38)="SERVICE TASK",AND(Data!BZ38&lt;&gt;"",Data!CA38&lt;&gt;""),TRUE),TRUE)</f>
        <v>1</v>
      </c>
      <c r="X38" s="26" t="b">
        <f t="array" aca="1" ref="X38" ca="1">SUM((OFFSET(Data!B38,MAX(ROW(Data!$B$5)-ROW(Data!B38),-200),0,400,1)=Data!B38)*(OFFSET(Data!A38,MAX(ROW(Data!$B$5)-ROW(Data!B38),-200),0,400,1)=Data!A38))=1</f>
        <v>1</v>
      </c>
      <c r="Y38" s="26" t="b">
        <f t="array" aca="1" ref="Y38" ca="1">IF(UPPER(Data!C38)="START",SUM((OFFSET(Data!C38,MAX(ROW(Data!$C$5)-ROW(Data!C38),-200),0,400,1)="START")*(OFFSET(Data!A38,MAX(ROW(Data!$B$5)-ROW(Data!B38),-200),0,400,1)=Data!A38))=1,TRUE)</f>
        <v>1</v>
      </c>
      <c r="Z38" s="26" t="b">
        <f t="array" aca="1" ref="Z38" ca="1">IF(UPPER(Data!C38)="END",SUM((OFFSET(Data!C38,MAX(ROW(Data!$C$5)-ROW(Data!C38),-200),0,400,1)="END")*(OFFSET(Data!A38,MAX(ROW(Data!$B$5)-ROW(Data!B38),-200),0,400,1)=Data!A38))=1,TRUE)</f>
        <v>1</v>
      </c>
      <c r="AA38" s="26" t="b">
        <f>IF(Checks!C38,ISERROR(FIND("&amp;",Data!D38)),TRUE)</f>
        <v>1</v>
      </c>
      <c r="AB38" s="26" t="b">
        <f ca="1">IF(Checks!$C38,IF(AND(UPPER(Data!$C38)&lt;&gt;"START",UPPER(Data!$C38)&lt;&gt;"DATA OBJECT",Data!E38&lt;&gt;""),NOT(ISERROR(MATCH(Data!$A38&amp;"||"&amp;Data!E38,Key,0))),TRUE),TRUE)</f>
        <v>1</v>
      </c>
      <c r="AC38" s="27" t="b">
        <f>IF(Checks!C38,IF(UPPER(Data!C38)="END",Data!E38&lt;&gt;"",TRUE),TRUE)</f>
        <v>1</v>
      </c>
    </row>
    <row r="39" spans="1:29" x14ac:dyDescent="0.25">
      <c r="A39" s="1" t="str">
        <f>Data!A39&amp;"||"&amp;Data!B39</f>
        <v>Miscellaneous/subflow/irmifrs9_data_quality.bpmn||006_00_02</v>
      </c>
      <c r="B39" s="19"/>
      <c r="C39" s="24" t="b">
        <f>AND(UPPER(Data!A39)&lt;&gt;"EMPTY",Data!B39&lt;&gt;"")</f>
        <v>1</v>
      </c>
      <c r="D39" s="1"/>
      <c r="E39" s="25" t="b">
        <f t="shared" ca="1" si="0"/>
        <v>1</v>
      </c>
      <c r="F39" s="26" t="b">
        <f ca="1">IF(UPPER(Data!C39)="SUB PROCESS",NOT(ISERROR(MATCH(RIGHT(Data!BY39,LEN(Data!BY39)-5),OFFSET(Data,0,0,ItemsCount,1),0))),TRUE)</f>
        <v>1</v>
      </c>
      <c r="G39" s="26" t="b">
        <f ca="1">IF(MID(UPPER(Data!A39),1,13)="MISCELLANEOUS",NOT(ISERROR(MATCH("path="&amp;Data!A39,OFFSET(Data,0,76,ItemsCount,1),0))),TRUE)</f>
        <v>1</v>
      </c>
      <c r="L39" s="25" t="b">
        <f t="shared" ca="1" si="1"/>
        <v>1</v>
      </c>
      <c r="M39" s="24" t="b">
        <f>IF(Checks!$C39,Data!A39&lt;&gt;"",TRUE)</f>
        <v>1</v>
      </c>
      <c r="N39" s="26" t="b">
        <f>IF(Checks!C39,Data!B39&lt;&gt;"",TRUE)</f>
        <v>1</v>
      </c>
      <c r="O39" s="26" t="b">
        <f>IF(Checks!C39,IF(AND(UPPER(Data!C39)="SERVICE TASK",UPPER(Data!BZ39)="TYPE=SAS"),NodeExists(TRIM(RIGHT(Data!CA39,LEN(Data!CA39)-FIND("=",Data!CA39)))),TRUE),TRUE)</f>
        <v>1</v>
      </c>
      <c r="P39" s="26" t="b">
        <f>IF(Checks!C39,IF(Data!C39="DATA OBJECT",OR(AND(Data!BW39&lt;&gt;"",Data!BX39=""),AND(Data!BW39="",Data!BX39&lt;&gt;"")),TRUE),TRUE)</f>
        <v>1</v>
      </c>
      <c r="Q39" s="26" t="b">
        <f>IF(Checks!C39,UPPER(RIGHT(Data!A39,5))=".BPMN",TRUE)</f>
        <v>1</v>
      </c>
      <c r="R39" s="26" t="b">
        <f>IF(Checks!C39,IF(UPPER(Data!C39)="SUB PROCESS",UPPER(RIGHT(Data!BY39,5))=".BPMN",TRUE),TRUE)</f>
        <v>1</v>
      </c>
      <c r="S39" s="26" t="b">
        <f>IF(Checks!C39,IF(UPPER(Data!C39)="SERVICE TASK",IF(UPPER(Data!BZ39)="TYPE=SAS",UPPER(RIGHT(Data!CA39,4))=".SAS",TRUE),TRUE),TRUE)</f>
        <v>1</v>
      </c>
      <c r="T39" s="26" t="b">
        <f>IF(Checks!C39,IF(Data!B39&lt;&gt;"",Data!D39&lt;&gt;"",TRUE),TRUE)</f>
        <v>1</v>
      </c>
      <c r="U39" s="26" t="b">
        <f ca="1">IF(Checks!C39,IF(UPPER(Data!C39)="DATA OBJECT",NOT(ISERROR(MATCH(Data!A39&amp;"||"&amp;Data!BW39&amp;Data!BX39,Key,0))),TRUE),TRUE)</f>
        <v>1</v>
      </c>
      <c r="V39" s="26" t="b">
        <f>IF(Checks!C39,IF(UPPER(Data!C39)="SUB PROCESS",Data!BY39&lt;&gt;"",TRUE),TRUE)</f>
        <v>1</v>
      </c>
      <c r="W39" s="26" t="b">
        <f>IF(Checks!C39,IF(UPPER(Data!C39)="SERVICE TASK",AND(Data!BZ39&lt;&gt;"",Data!CA39&lt;&gt;""),TRUE),TRUE)</f>
        <v>1</v>
      </c>
      <c r="X39" s="26" t="b">
        <f t="array" aca="1" ref="X39" ca="1">SUM((OFFSET(Data!B39,MAX(ROW(Data!$B$5)-ROW(Data!B39),-200),0,400,1)=Data!B39)*(OFFSET(Data!A39,MAX(ROW(Data!$B$5)-ROW(Data!B39),-200),0,400,1)=Data!A39))=1</f>
        <v>1</v>
      </c>
      <c r="Y39" s="26" t="b">
        <f t="array" aca="1" ref="Y39" ca="1">IF(UPPER(Data!C39)="START",SUM((OFFSET(Data!C39,MAX(ROW(Data!$C$5)-ROW(Data!C39),-200),0,400,1)="START")*(OFFSET(Data!A39,MAX(ROW(Data!$B$5)-ROW(Data!B39),-200),0,400,1)=Data!A39))=1,TRUE)</f>
        <v>1</v>
      </c>
      <c r="Z39" s="26" t="b">
        <f t="array" aca="1" ref="Z39" ca="1">IF(UPPER(Data!C39)="END",SUM((OFFSET(Data!C39,MAX(ROW(Data!$C$5)-ROW(Data!C39),-200),0,400,1)="END")*(OFFSET(Data!A39,MAX(ROW(Data!$B$5)-ROW(Data!B39),-200),0,400,1)=Data!A39))=1,TRUE)</f>
        <v>1</v>
      </c>
      <c r="AA39" s="26" t="b">
        <f>IF(Checks!C39,ISERROR(FIND("&amp;",Data!D39)),TRUE)</f>
        <v>1</v>
      </c>
      <c r="AB39" s="26" t="b">
        <f>IF(Checks!$C39,IF(AND(UPPER(Data!$C39)&lt;&gt;"START",UPPER(Data!$C39)&lt;&gt;"DATA OBJECT",Data!E39&lt;&gt;""),NOT(ISERROR(MATCH(Data!$A39&amp;"||"&amp;Data!E39,Key,0))),TRUE),TRUE)</f>
        <v>1</v>
      </c>
      <c r="AC39" s="27" t="b">
        <f>IF(Checks!C39,IF(UPPER(Data!C39)="END",Data!E39&lt;&gt;"",TRUE),TRUE)</f>
        <v>1</v>
      </c>
    </row>
    <row r="40" spans="1:29" x14ac:dyDescent="0.25">
      <c r="A40" s="1" t="str">
        <f>Data!A40&amp;"||"&amp;Data!B40</f>
        <v>Miscellaneous/subflow/irmifrs9_data_quality.bpmn||006_00_03</v>
      </c>
      <c r="B40" s="19"/>
      <c r="C40" s="24" t="b">
        <f>AND(UPPER(Data!A40)&lt;&gt;"EMPTY",Data!B40&lt;&gt;"")</f>
        <v>1</v>
      </c>
      <c r="D40" s="1"/>
      <c r="E40" s="25" t="b">
        <f t="shared" ca="1" si="0"/>
        <v>1</v>
      </c>
      <c r="F40" s="26" t="b">
        <f ca="1">IF(UPPER(Data!C40)="SUB PROCESS",NOT(ISERROR(MATCH(RIGHT(Data!BY40,LEN(Data!BY40)-5),OFFSET(Data,0,0,ItemsCount,1),0))),TRUE)</f>
        <v>1</v>
      </c>
      <c r="G40" s="26" t="b">
        <f ca="1">IF(MID(UPPER(Data!A40),1,13)="MISCELLANEOUS",NOT(ISERROR(MATCH("path="&amp;Data!A40,OFFSET(Data,0,76,ItemsCount,1),0))),TRUE)</f>
        <v>1</v>
      </c>
      <c r="L40" s="25" t="b">
        <f t="shared" ca="1" si="1"/>
        <v>1</v>
      </c>
      <c r="M40" s="24" t="b">
        <f>IF(Checks!$C40,Data!A40&lt;&gt;"",TRUE)</f>
        <v>1</v>
      </c>
      <c r="N40" s="26" t="b">
        <f>IF(Checks!C40,Data!B40&lt;&gt;"",TRUE)</f>
        <v>1</v>
      </c>
      <c r="O40" s="26" t="b">
        <f>IF(Checks!C40,IF(AND(UPPER(Data!C40)="SERVICE TASK",UPPER(Data!BZ40)="TYPE=SAS"),NodeExists(TRIM(RIGHT(Data!CA40,LEN(Data!CA40)-FIND("=",Data!CA40)))),TRUE),TRUE)</f>
        <v>1</v>
      </c>
      <c r="P40" s="26" t="b">
        <f>IF(Checks!C40,IF(Data!C40="DATA OBJECT",OR(AND(Data!BW40&lt;&gt;"",Data!BX40=""),AND(Data!BW40="",Data!BX40&lt;&gt;"")),TRUE),TRUE)</f>
        <v>1</v>
      </c>
      <c r="Q40" s="26" t="b">
        <f>IF(Checks!C40,UPPER(RIGHT(Data!A40,5))=".BPMN",TRUE)</f>
        <v>1</v>
      </c>
      <c r="R40" s="26" t="b">
        <f>IF(Checks!C40,IF(UPPER(Data!C40)="SUB PROCESS",UPPER(RIGHT(Data!BY40,5))=".BPMN",TRUE),TRUE)</f>
        <v>1</v>
      </c>
      <c r="S40" s="26" t="b">
        <f>IF(Checks!C40,IF(UPPER(Data!C40)="SERVICE TASK",IF(UPPER(Data!BZ40)="TYPE=SAS",UPPER(RIGHT(Data!CA40,4))=".SAS",TRUE),TRUE),TRUE)</f>
        <v>1</v>
      </c>
      <c r="T40" s="26" t="b">
        <f>IF(Checks!C40,IF(Data!B40&lt;&gt;"",Data!D40&lt;&gt;"",TRUE),TRUE)</f>
        <v>1</v>
      </c>
      <c r="U40" s="26" t="b">
        <f ca="1">IF(Checks!C40,IF(UPPER(Data!C40)="DATA OBJECT",NOT(ISERROR(MATCH(Data!A40&amp;"||"&amp;Data!BW40&amp;Data!BX40,Key,0))),TRUE),TRUE)</f>
        <v>1</v>
      </c>
      <c r="V40" s="26" t="b">
        <f>IF(Checks!C40,IF(UPPER(Data!C40)="SUB PROCESS",Data!BY40&lt;&gt;"",TRUE),TRUE)</f>
        <v>1</v>
      </c>
      <c r="W40" s="26" t="b">
        <f>IF(Checks!C40,IF(UPPER(Data!C40)="SERVICE TASK",AND(Data!BZ40&lt;&gt;"",Data!CA40&lt;&gt;""),TRUE),TRUE)</f>
        <v>1</v>
      </c>
      <c r="X40" s="26" t="b">
        <f t="array" aca="1" ref="X40" ca="1">SUM((OFFSET(Data!B40,MAX(ROW(Data!$B$5)-ROW(Data!B40),-200),0,400,1)=Data!B40)*(OFFSET(Data!A40,MAX(ROW(Data!$B$5)-ROW(Data!B40),-200),0,400,1)=Data!A40))=1</f>
        <v>1</v>
      </c>
      <c r="Y40" s="26" t="b">
        <f t="array" aca="1" ref="Y40" ca="1">IF(UPPER(Data!C40)="START",SUM((OFFSET(Data!C40,MAX(ROW(Data!$C$5)-ROW(Data!C40),-200),0,400,1)="START")*(OFFSET(Data!A40,MAX(ROW(Data!$B$5)-ROW(Data!B40),-200),0,400,1)=Data!A40))=1,TRUE)</f>
        <v>1</v>
      </c>
      <c r="Z40" s="26" t="b">
        <f t="array" aca="1" ref="Z40" ca="1">IF(UPPER(Data!C40)="END",SUM((OFFSET(Data!C40,MAX(ROW(Data!$C$5)-ROW(Data!C40),-200),0,400,1)="END")*(OFFSET(Data!A40,MAX(ROW(Data!$B$5)-ROW(Data!B40),-200),0,400,1)=Data!A40))=1,TRUE)</f>
        <v>1</v>
      </c>
      <c r="AA40" s="26" t="b">
        <f>IF(Checks!C40,ISERROR(FIND("&amp;",Data!D40)),TRUE)</f>
        <v>1</v>
      </c>
      <c r="AB40" s="26" t="b">
        <f>IF(Checks!$C40,IF(AND(UPPER(Data!$C40)&lt;&gt;"START",UPPER(Data!$C40)&lt;&gt;"DATA OBJECT",Data!E40&lt;&gt;""),NOT(ISERROR(MATCH(Data!$A40&amp;"||"&amp;Data!E40,Key,0))),TRUE),TRUE)</f>
        <v>1</v>
      </c>
      <c r="AC40" s="27" t="b">
        <f>IF(Checks!C40,IF(UPPER(Data!C40)="END",Data!E40&lt;&gt;"",TRUE),TRUE)</f>
        <v>1</v>
      </c>
    </row>
    <row r="41" spans="1:29" x14ac:dyDescent="0.25">
      <c r="A41" s="1" t="str">
        <f>Data!A41&amp;"||"&amp;Data!B41</f>
        <v>Miscellaneous/subflow/irmifrs9_data_quality.bpmn||006_02_00</v>
      </c>
      <c r="B41" s="19"/>
      <c r="C41" s="24" t="b">
        <f>AND(UPPER(Data!A41)&lt;&gt;"EMPTY",Data!B41&lt;&gt;"")</f>
        <v>1</v>
      </c>
      <c r="D41" s="1"/>
      <c r="E41" s="25" t="b">
        <f t="shared" ca="1" si="0"/>
        <v>1</v>
      </c>
      <c r="F41" s="26" t="b">
        <f ca="1">IF(UPPER(Data!C41)="SUB PROCESS",NOT(ISERROR(MATCH(RIGHT(Data!BY41,LEN(Data!BY41)-5),OFFSET(Data,0,0,ItemsCount,1),0))),TRUE)</f>
        <v>1</v>
      </c>
      <c r="G41" s="26" t="b">
        <f ca="1">IF(MID(UPPER(Data!A41),1,13)="MISCELLANEOUS",NOT(ISERROR(MATCH("path="&amp;Data!A41,OFFSET(Data,0,76,ItemsCount,1),0))),TRUE)</f>
        <v>1</v>
      </c>
      <c r="L41" s="25" t="b">
        <f t="shared" ca="1" si="1"/>
        <v>1</v>
      </c>
      <c r="M41" s="24" t="b">
        <f>IF(Checks!$C41,Data!A41&lt;&gt;"",TRUE)</f>
        <v>1</v>
      </c>
      <c r="N41" s="26" t="b">
        <f>IF(Checks!C41,Data!B41&lt;&gt;"",TRUE)</f>
        <v>1</v>
      </c>
      <c r="O41" s="26" t="b">
        <f>IF(Checks!C41,IF(AND(UPPER(Data!C41)="SERVICE TASK",UPPER(Data!BZ41)="TYPE=SAS"),NodeExists(TRIM(RIGHT(Data!CA41,LEN(Data!CA41)-FIND("=",Data!CA41)))),TRUE),TRUE)</f>
        <v>1</v>
      </c>
      <c r="P41" s="26" t="b">
        <f>IF(Checks!C41,IF(Data!C41="DATA OBJECT",OR(AND(Data!BW41&lt;&gt;"",Data!BX41=""),AND(Data!BW41="",Data!BX41&lt;&gt;"")),TRUE),TRUE)</f>
        <v>1</v>
      </c>
      <c r="Q41" s="26" t="b">
        <f>IF(Checks!C41,UPPER(RIGHT(Data!A41,5))=".BPMN",TRUE)</f>
        <v>1</v>
      </c>
      <c r="R41" s="26" t="b">
        <f>IF(Checks!C41,IF(UPPER(Data!C41)="SUB PROCESS",UPPER(RIGHT(Data!BY41,5))=".BPMN",TRUE),TRUE)</f>
        <v>1</v>
      </c>
      <c r="S41" s="26" t="b">
        <f>IF(Checks!C41,IF(UPPER(Data!C41)="SERVICE TASK",IF(UPPER(Data!BZ41)="TYPE=SAS",UPPER(RIGHT(Data!CA41,4))=".SAS",TRUE),TRUE),TRUE)</f>
        <v>1</v>
      </c>
      <c r="T41" s="26" t="b">
        <f>IF(Checks!C41,IF(Data!B41&lt;&gt;"",Data!D41&lt;&gt;"",TRUE),TRUE)</f>
        <v>1</v>
      </c>
      <c r="U41" s="26" t="b">
        <f ca="1">IF(Checks!C41,IF(UPPER(Data!C41)="DATA OBJECT",NOT(ISERROR(MATCH(Data!A41&amp;"||"&amp;Data!BW41&amp;Data!BX41,Key,0))),TRUE),TRUE)</f>
        <v>1</v>
      </c>
      <c r="V41" s="26" t="b">
        <f>IF(Checks!C41,IF(UPPER(Data!C41)="SUB PROCESS",Data!BY41&lt;&gt;"",TRUE),TRUE)</f>
        <v>1</v>
      </c>
      <c r="W41" s="26" t="b">
        <f>IF(Checks!C41,IF(UPPER(Data!C41)="SERVICE TASK",AND(Data!BZ41&lt;&gt;"",Data!CA41&lt;&gt;""),TRUE),TRUE)</f>
        <v>1</v>
      </c>
      <c r="X41" s="26" t="b">
        <f t="array" aca="1" ref="X41" ca="1">SUM((OFFSET(Data!B41,MAX(ROW(Data!$B$5)-ROW(Data!B41),-200),0,400,1)=Data!B41)*(OFFSET(Data!A41,MAX(ROW(Data!$B$5)-ROW(Data!B41),-200),0,400,1)=Data!A41))=1</f>
        <v>1</v>
      </c>
      <c r="Y41" s="26" t="b">
        <f t="array" aca="1" ref="Y41" ca="1">IF(UPPER(Data!C41)="START",SUM((OFFSET(Data!C41,MAX(ROW(Data!$C$5)-ROW(Data!C41),-200),0,400,1)="START")*(OFFSET(Data!A41,MAX(ROW(Data!$B$5)-ROW(Data!B41),-200),0,400,1)=Data!A41))=1,TRUE)</f>
        <v>1</v>
      </c>
      <c r="Z41" s="26" t="b">
        <f t="array" aca="1" ref="Z41" ca="1">IF(UPPER(Data!C41)="END",SUM((OFFSET(Data!C41,MAX(ROW(Data!$C$5)-ROW(Data!C41),-200),0,400,1)="END")*(OFFSET(Data!A41,MAX(ROW(Data!$B$5)-ROW(Data!B41),-200),0,400,1)=Data!A41))=1,TRUE)</f>
        <v>1</v>
      </c>
      <c r="AA41" s="26" t="b">
        <f>IF(Checks!C41,ISERROR(FIND("&amp;",Data!D41)),TRUE)</f>
        <v>1</v>
      </c>
      <c r="AB41" s="26" t="b">
        <f>IF(Checks!$C41,IF(AND(UPPER(Data!$C41)&lt;&gt;"START",UPPER(Data!$C41)&lt;&gt;"DATA OBJECT",Data!E41&lt;&gt;""),NOT(ISERROR(MATCH(Data!$A41&amp;"||"&amp;Data!E41,Key,0))),TRUE),TRUE)</f>
        <v>1</v>
      </c>
      <c r="AC41" s="27" t="b">
        <f>IF(Checks!C41,IF(UPPER(Data!C41)="END",Data!E41&lt;&gt;"",TRUE),TRUE)</f>
        <v>1</v>
      </c>
    </row>
    <row r="42" spans="1:29" x14ac:dyDescent="0.25">
      <c r="A42" s="1" t="str">
        <f>Data!A42&amp;"||"&amp;Data!B42</f>
        <v>Miscellaneous/subflow/irmifrs9_data_quality.bpmn||010</v>
      </c>
      <c r="B42" s="19"/>
      <c r="C42" s="24" t="b">
        <f>AND(UPPER(Data!A42)&lt;&gt;"EMPTY",Data!B42&lt;&gt;"")</f>
        <v>1</v>
      </c>
      <c r="D42" s="1"/>
      <c r="E42" s="25" t="b">
        <f t="shared" ca="1" si="0"/>
        <v>1</v>
      </c>
      <c r="F42" s="26" t="b">
        <f ca="1">IF(UPPER(Data!C42)="SUB PROCESS",NOT(ISERROR(MATCH(RIGHT(Data!BY42,LEN(Data!BY42)-5),OFFSET(Data,0,0,ItemsCount,1),0))),TRUE)</f>
        <v>1</v>
      </c>
      <c r="G42" s="26" t="b">
        <f ca="1">IF(MID(UPPER(Data!A42),1,13)="MISCELLANEOUS",NOT(ISERROR(MATCH("path="&amp;Data!A42,OFFSET(Data,0,76,ItemsCount,1),0))),TRUE)</f>
        <v>1</v>
      </c>
      <c r="L42" s="25" t="b">
        <f t="shared" ca="1" si="1"/>
        <v>1</v>
      </c>
      <c r="M42" s="24" t="b">
        <f>IF(Checks!$C42,Data!A42&lt;&gt;"",TRUE)</f>
        <v>1</v>
      </c>
      <c r="N42" s="26" t="b">
        <f>IF(Checks!C42,Data!B42&lt;&gt;"",TRUE)</f>
        <v>1</v>
      </c>
      <c r="O42" s="26" t="b">
        <f>IF(Checks!C42,IF(AND(UPPER(Data!C42)="SERVICE TASK",UPPER(Data!BZ42)="TYPE=SAS"),NodeExists(TRIM(RIGHT(Data!CA42,LEN(Data!CA42)-FIND("=",Data!CA42)))),TRUE),TRUE)</f>
        <v>1</v>
      </c>
      <c r="P42" s="26" t="b">
        <f>IF(Checks!C42,IF(Data!C42="DATA OBJECT",OR(AND(Data!BW42&lt;&gt;"",Data!BX42=""),AND(Data!BW42="",Data!BX42&lt;&gt;"")),TRUE),TRUE)</f>
        <v>1</v>
      </c>
      <c r="Q42" s="26" t="b">
        <f>IF(Checks!C42,UPPER(RIGHT(Data!A42,5))=".BPMN",TRUE)</f>
        <v>1</v>
      </c>
      <c r="R42" s="26" t="b">
        <f>IF(Checks!C42,IF(UPPER(Data!C42)="SUB PROCESS",UPPER(RIGHT(Data!BY42,5))=".BPMN",TRUE),TRUE)</f>
        <v>1</v>
      </c>
      <c r="S42" s="26" t="b">
        <f>IF(Checks!C42,IF(UPPER(Data!C42)="SERVICE TASK",IF(UPPER(Data!BZ42)="TYPE=SAS",UPPER(RIGHT(Data!CA42,4))=".SAS",TRUE),TRUE),TRUE)</f>
        <v>1</v>
      </c>
      <c r="T42" s="26" t="b">
        <f>IF(Checks!C42,IF(Data!B42&lt;&gt;"",Data!D42&lt;&gt;"",TRUE),TRUE)</f>
        <v>1</v>
      </c>
      <c r="U42" s="26" t="b">
        <f>IF(Checks!C42,IF(UPPER(Data!C42)="DATA OBJECT",NOT(ISERROR(MATCH(Data!A42&amp;"||"&amp;Data!BW42&amp;Data!BX42,Key,0))),TRUE),TRUE)</f>
        <v>1</v>
      </c>
      <c r="V42" s="26" t="b">
        <f>IF(Checks!C42,IF(UPPER(Data!C42)="SUB PROCESS",Data!BY42&lt;&gt;"",TRUE),TRUE)</f>
        <v>1</v>
      </c>
      <c r="W42" s="26" t="b">
        <f>IF(Checks!C42,IF(UPPER(Data!C42)="SERVICE TASK",AND(Data!BZ42&lt;&gt;"",Data!CA42&lt;&gt;""),TRUE),TRUE)</f>
        <v>1</v>
      </c>
      <c r="X42" s="26" t="b">
        <f t="array" aca="1" ref="X42" ca="1">SUM((OFFSET(Data!B42,MAX(ROW(Data!$B$5)-ROW(Data!B42),-200),0,400,1)=Data!B42)*(OFFSET(Data!A42,MAX(ROW(Data!$B$5)-ROW(Data!B42),-200),0,400,1)=Data!A42))=1</f>
        <v>1</v>
      </c>
      <c r="Y42" s="26" t="b">
        <f t="array" aca="1" ref="Y42" ca="1">IF(UPPER(Data!C42)="START",SUM((OFFSET(Data!C42,MAX(ROW(Data!$C$5)-ROW(Data!C42),-200),0,400,1)="START")*(OFFSET(Data!A42,MAX(ROW(Data!$B$5)-ROW(Data!B42),-200),0,400,1)=Data!A42))=1,TRUE)</f>
        <v>1</v>
      </c>
      <c r="Z42" s="26" t="b">
        <f t="array" aca="1" ref="Z42" ca="1">IF(UPPER(Data!C42)="END",SUM((OFFSET(Data!C42,MAX(ROW(Data!$C$5)-ROW(Data!C42),-200),0,400,1)="END")*(OFFSET(Data!A42,MAX(ROW(Data!$B$5)-ROW(Data!B42),-200),0,400,1)=Data!A42))=1,TRUE)</f>
        <v>1</v>
      </c>
      <c r="AA42" s="26" t="b">
        <f>IF(Checks!C42,ISERROR(FIND("&amp;",Data!D42)),TRUE)</f>
        <v>1</v>
      </c>
      <c r="AB42" s="26" t="b">
        <f ca="1">IF(Checks!$C42,IF(AND(UPPER(Data!$C42)&lt;&gt;"START",UPPER(Data!$C42)&lt;&gt;"DATA OBJECT",Data!E42&lt;&gt;""),NOT(ISERROR(MATCH(Data!$A42&amp;"||"&amp;Data!E42,Key,0))),TRUE),TRUE)</f>
        <v>1</v>
      </c>
      <c r="AC42" s="27" t="b">
        <f>IF(Checks!C42,IF(UPPER(Data!C42)="END",Data!E42&lt;&gt;"",TRUE),TRUE)</f>
        <v>1</v>
      </c>
    </row>
    <row r="43" spans="1:29" x14ac:dyDescent="0.25">
      <c r="A43" s="1" t="str">
        <f>Data!A43&amp;"||"&amp;Data!B43</f>
        <v>Miscellaneous/subflow/irmifrs9_data_quality.bpmn||010_00_04</v>
      </c>
      <c r="B43" s="19"/>
      <c r="C43" s="24" t="b">
        <f>AND(UPPER(Data!A43)&lt;&gt;"EMPTY",Data!B43&lt;&gt;"")</f>
        <v>1</v>
      </c>
      <c r="D43" s="1"/>
      <c r="E43" s="25" t="b">
        <f t="shared" ca="1" si="0"/>
        <v>1</v>
      </c>
      <c r="F43" s="26" t="b">
        <f ca="1">IF(UPPER(Data!C43)="SUB PROCESS",NOT(ISERROR(MATCH(RIGHT(Data!BY43,LEN(Data!BY43)-5),OFFSET(Data,0,0,ItemsCount,1),0))),TRUE)</f>
        <v>1</v>
      </c>
      <c r="G43" s="26" t="b">
        <f ca="1">IF(MID(UPPER(Data!A43),1,13)="MISCELLANEOUS",NOT(ISERROR(MATCH("path="&amp;Data!A43,OFFSET(Data,0,76,ItemsCount,1),0))),TRUE)</f>
        <v>1</v>
      </c>
      <c r="L43" s="25" t="b">
        <f t="shared" ca="1" si="1"/>
        <v>1</v>
      </c>
      <c r="M43" s="24" t="b">
        <f>IF(Checks!$C43,Data!A43&lt;&gt;"",TRUE)</f>
        <v>1</v>
      </c>
      <c r="N43" s="26" t="b">
        <f>IF(Checks!C43,Data!B43&lt;&gt;"",TRUE)</f>
        <v>1</v>
      </c>
      <c r="O43" s="26" t="b">
        <f>IF(Checks!C43,IF(AND(UPPER(Data!C43)="SERVICE TASK",UPPER(Data!BZ43)="TYPE=SAS"),NodeExists(TRIM(RIGHT(Data!CA43,LEN(Data!CA43)-FIND("=",Data!CA43)))),TRUE),TRUE)</f>
        <v>1</v>
      </c>
      <c r="P43" s="26" t="b">
        <f>IF(Checks!C43,IF(Data!C43="DATA OBJECT",OR(AND(Data!BW43&lt;&gt;"",Data!BX43=""),AND(Data!BW43="",Data!BX43&lt;&gt;"")),TRUE),TRUE)</f>
        <v>1</v>
      </c>
      <c r="Q43" s="26" t="b">
        <f>IF(Checks!C43,UPPER(RIGHT(Data!A43,5))=".BPMN",TRUE)</f>
        <v>1</v>
      </c>
      <c r="R43" s="26" t="b">
        <f>IF(Checks!C43,IF(UPPER(Data!C43)="SUB PROCESS",UPPER(RIGHT(Data!BY43,5))=".BPMN",TRUE),TRUE)</f>
        <v>1</v>
      </c>
      <c r="S43" s="26" t="b">
        <f>IF(Checks!C43,IF(UPPER(Data!C43)="SERVICE TASK",IF(UPPER(Data!BZ43)="TYPE=SAS",UPPER(RIGHT(Data!CA43,4))=".SAS",TRUE),TRUE),TRUE)</f>
        <v>1</v>
      </c>
      <c r="T43" s="26" t="b">
        <f>IF(Checks!C43,IF(Data!B43&lt;&gt;"",Data!D43&lt;&gt;"",TRUE),TRUE)</f>
        <v>1</v>
      </c>
      <c r="U43" s="26" t="b">
        <f ca="1">IF(Checks!C43,IF(UPPER(Data!C43)="DATA OBJECT",NOT(ISERROR(MATCH(Data!A43&amp;"||"&amp;Data!BW43&amp;Data!BX43,Key,0))),TRUE),TRUE)</f>
        <v>1</v>
      </c>
      <c r="V43" s="26" t="b">
        <f>IF(Checks!C43,IF(UPPER(Data!C43)="SUB PROCESS",Data!BY43&lt;&gt;"",TRUE),TRUE)</f>
        <v>1</v>
      </c>
      <c r="W43" s="26" t="b">
        <f>IF(Checks!C43,IF(UPPER(Data!C43)="SERVICE TASK",AND(Data!BZ43&lt;&gt;"",Data!CA43&lt;&gt;""),TRUE),TRUE)</f>
        <v>1</v>
      </c>
      <c r="X43" s="26" t="b">
        <f t="array" aca="1" ref="X43" ca="1">SUM((OFFSET(Data!B43,MAX(ROW(Data!$B$5)-ROW(Data!B43),-200),0,400,1)=Data!B43)*(OFFSET(Data!A43,MAX(ROW(Data!$B$5)-ROW(Data!B43),-200),0,400,1)=Data!A43))=1</f>
        <v>1</v>
      </c>
      <c r="Y43" s="26" t="b">
        <f t="array" aca="1" ref="Y43" ca="1">IF(UPPER(Data!C43)="START",SUM((OFFSET(Data!C43,MAX(ROW(Data!$C$5)-ROW(Data!C43),-200),0,400,1)="START")*(OFFSET(Data!A43,MAX(ROW(Data!$B$5)-ROW(Data!B43),-200),0,400,1)=Data!A43))=1,TRUE)</f>
        <v>1</v>
      </c>
      <c r="Z43" s="26" t="b">
        <f t="array" aca="1" ref="Z43" ca="1">IF(UPPER(Data!C43)="END",SUM((OFFSET(Data!C43,MAX(ROW(Data!$C$5)-ROW(Data!C43),-200),0,400,1)="END")*(OFFSET(Data!A43,MAX(ROW(Data!$B$5)-ROW(Data!B43),-200),0,400,1)=Data!A43))=1,TRUE)</f>
        <v>1</v>
      </c>
      <c r="AA43" s="26" t="b">
        <f>IF(Checks!C43,ISERROR(FIND("&amp;",Data!D43)),TRUE)</f>
        <v>1</v>
      </c>
      <c r="AB43" s="26" t="b">
        <f>IF(Checks!$C43,IF(AND(UPPER(Data!$C43)&lt;&gt;"START",UPPER(Data!$C43)&lt;&gt;"DATA OBJECT",Data!E43&lt;&gt;""),NOT(ISERROR(MATCH(Data!$A43&amp;"||"&amp;Data!E43,Key,0))),TRUE),TRUE)</f>
        <v>1</v>
      </c>
      <c r="AC43" s="27" t="b">
        <f>IF(Checks!C43,IF(UPPER(Data!C43)="END",Data!E43&lt;&gt;"",TRUE),TRUE)</f>
        <v>1</v>
      </c>
    </row>
    <row r="44" spans="1:29" x14ac:dyDescent="0.25">
      <c r="A44" s="1" t="str">
        <f>Data!A44&amp;"||"&amp;Data!B44</f>
        <v>Miscellaneous/subflow/irmifrs9_data_quality.bpmn||010_00_05</v>
      </c>
      <c r="B44" s="19"/>
      <c r="C44" s="24" t="b">
        <f>AND(UPPER(Data!A44)&lt;&gt;"EMPTY",Data!B44&lt;&gt;"")</f>
        <v>1</v>
      </c>
      <c r="D44" s="1"/>
      <c r="E44" s="25" t="b">
        <f t="shared" ca="1" si="0"/>
        <v>1</v>
      </c>
      <c r="F44" s="26" t="b">
        <f ca="1">IF(UPPER(Data!C44)="SUB PROCESS",NOT(ISERROR(MATCH(RIGHT(Data!BY44,LEN(Data!BY44)-5),OFFSET(Data,0,0,ItemsCount,1),0))),TRUE)</f>
        <v>1</v>
      </c>
      <c r="G44" s="26" t="b">
        <f ca="1">IF(MID(UPPER(Data!A44),1,13)="MISCELLANEOUS",NOT(ISERROR(MATCH("path="&amp;Data!A44,OFFSET(Data,0,76,ItemsCount,1),0))),TRUE)</f>
        <v>1</v>
      </c>
      <c r="L44" s="25" t="b">
        <f t="shared" ca="1" si="1"/>
        <v>1</v>
      </c>
      <c r="M44" s="24" t="b">
        <f>IF(Checks!$C44,Data!A44&lt;&gt;"",TRUE)</f>
        <v>1</v>
      </c>
      <c r="N44" s="26" t="b">
        <f>IF(Checks!C44,Data!B44&lt;&gt;"",TRUE)</f>
        <v>1</v>
      </c>
      <c r="O44" s="26" t="b">
        <f>IF(Checks!C44,IF(AND(UPPER(Data!C44)="SERVICE TASK",UPPER(Data!BZ44)="TYPE=SAS"),NodeExists(TRIM(RIGHT(Data!CA44,LEN(Data!CA44)-FIND("=",Data!CA44)))),TRUE),TRUE)</f>
        <v>1</v>
      </c>
      <c r="P44" s="26" t="b">
        <f>IF(Checks!C44,IF(Data!C44="DATA OBJECT",OR(AND(Data!BW44&lt;&gt;"",Data!BX44=""),AND(Data!BW44="",Data!BX44&lt;&gt;"")),TRUE),TRUE)</f>
        <v>1</v>
      </c>
      <c r="Q44" s="26" t="b">
        <f>IF(Checks!C44,UPPER(RIGHT(Data!A44,5))=".BPMN",TRUE)</f>
        <v>1</v>
      </c>
      <c r="R44" s="26" t="b">
        <f>IF(Checks!C44,IF(UPPER(Data!C44)="SUB PROCESS",UPPER(RIGHT(Data!BY44,5))=".BPMN",TRUE),TRUE)</f>
        <v>1</v>
      </c>
      <c r="S44" s="26" t="b">
        <f>IF(Checks!C44,IF(UPPER(Data!C44)="SERVICE TASK",IF(UPPER(Data!BZ44)="TYPE=SAS",UPPER(RIGHT(Data!CA44,4))=".SAS",TRUE),TRUE),TRUE)</f>
        <v>1</v>
      </c>
      <c r="T44" s="26" t="b">
        <f>IF(Checks!C44,IF(Data!B44&lt;&gt;"",Data!D44&lt;&gt;"",TRUE),TRUE)</f>
        <v>1</v>
      </c>
      <c r="U44" s="26" t="b">
        <f ca="1">IF(Checks!C44,IF(UPPER(Data!C44)="DATA OBJECT",NOT(ISERROR(MATCH(Data!A44&amp;"||"&amp;Data!BW44&amp;Data!BX44,Key,0))),TRUE),TRUE)</f>
        <v>1</v>
      </c>
      <c r="V44" s="26" t="b">
        <f>IF(Checks!C44,IF(UPPER(Data!C44)="SUB PROCESS",Data!BY44&lt;&gt;"",TRUE),TRUE)</f>
        <v>1</v>
      </c>
      <c r="W44" s="26" t="b">
        <f>IF(Checks!C44,IF(UPPER(Data!C44)="SERVICE TASK",AND(Data!BZ44&lt;&gt;"",Data!CA44&lt;&gt;""),TRUE),TRUE)</f>
        <v>1</v>
      </c>
      <c r="X44" s="26" t="b">
        <f t="array" aca="1" ref="X44" ca="1">SUM((OFFSET(Data!B44,MAX(ROW(Data!$B$5)-ROW(Data!B44),-200),0,400,1)=Data!B44)*(OFFSET(Data!A44,MAX(ROW(Data!$B$5)-ROW(Data!B44),-200),0,400,1)=Data!A44))=1</f>
        <v>1</v>
      </c>
      <c r="Y44" s="26" t="b">
        <f t="array" aca="1" ref="Y44" ca="1">IF(UPPER(Data!C44)="START",SUM((OFFSET(Data!C44,MAX(ROW(Data!$C$5)-ROW(Data!C44),-200),0,400,1)="START")*(OFFSET(Data!A44,MAX(ROW(Data!$B$5)-ROW(Data!B44),-200),0,400,1)=Data!A44))=1,TRUE)</f>
        <v>1</v>
      </c>
      <c r="Z44" s="26" t="b">
        <f t="array" aca="1" ref="Z44" ca="1">IF(UPPER(Data!C44)="END",SUM((OFFSET(Data!C44,MAX(ROW(Data!$C$5)-ROW(Data!C44),-200),0,400,1)="END")*(OFFSET(Data!A44,MAX(ROW(Data!$B$5)-ROW(Data!B44),-200),0,400,1)=Data!A44))=1,TRUE)</f>
        <v>1</v>
      </c>
      <c r="AA44" s="26" t="b">
        <f>IF(Checks!C44,ISERROR(FIND("&amp;",Data!D44)),TRUE)</f>
        <v>1</v>
      </c>
      <c r="AB44" s="26" t="b">
        <f>IF(Checks!$C44,IF(AND(UPPER(Data!$C44)&lt;&gt;"START",UPPER(Data!$C44)&lt;&gt;"DATA OBJECT",Data!E44&lt;&gt;""),NOT(ISERROR(MATCH(Data!$A44&amp;"||"&amp;Data!E44,Key,0))),TRUE),TRUE)</f>
        <v>1</v>
      </c>
      <c r="AC44" s="27" t="b">
        <f>IF(Checks!C44,IF(UPPER(Data!C44)="END",Data!E44&lt;&gt;"",TRUE),TRUE)</f>
        <v>1</v>
      </c>
    </row>
    <row r="45" spans="1:29" x14ac:dyDescent="0.25">
      <c r="A45" s="1" t="str">
        <f>Data!A45&amp;"||"&amp;Data!B45</f>
        <v>Miscellaneous/subflow/irmifrs9_data_quality.bpmn||010_00_06</v>
      </c>
      <c r="B45" s="19"/>
      <c r="C45" s="24" t="b">
        <f>AND(UPPER(Data!A45)&lt;&gt;"EMPTY",Data!B45&lt;&gt;"")</f>
        <v>1</v>
      </c>
      <c r="D45" s="1"/>
      <c r="E45" s="25" t="b">
        <f t="shared" ca="1" si="0"/>
        <v>1</v>
      </c>
      <c r="F45" s="26" t="b">
        <f ca="1">IF(UPPER(Data!C45)="SUB PROCESS",NOT(ISERROR(MATCH(RIGHT(Data!BY45,LEN(Data!BY45)-5),OFFSET(Data,0,0,ItemsCount,1),0))),TRUE)</f>
        <v>1</v>
      </c>
      <c r="G45" s="26" t="b">
        <f ca="1">IF(MID(UPPER(Data!A45),1,13)="MISCELLANEOUS",NOT(ISERROR(MATCH("path="&amp;Data!A45,OFFSET(Data,0,76,ItemsCount,1),0))),TRUE)</f>
        <v>1</v>
      </c>
      <c r="L45" s="25" t="b">
        <f t="shared" ca="1" si="1"/>
        <v>1</v>
      </c>
      <c r="M45" s="24" t="b">
        <f>IF(Checks!$C45,Data!A45&lt;&gt;"",TRUE)</f>
        <v>1</v>
      </c>
      <c r="N45" s="26" t="b">
        <f>IF(Checks!C45,Data!B45&lt;&gt;"",TRUE)</f>
        <v>1</v>
      </c>
      <c r="O45" s="26" t="b">
        <f>IF(Checks!C45,IF(AND(UPPER(Data!C45)="SERVICE TASK",UPPER(Data!BZ45)="TYPE=SAS"),NodeExists(TRIM(RIGHT(Data!CA45,LEN(Data!CA45)-FIND("=",Data!CA45)))),TRUE),TRUE)</f>
        <v>1</v>
      </c>
      <c r="P45" s="26" t="b">
        <f>IF(Checks!C45,IF(Data!C45="DATA OBJECT",OR(AND(Data!BW45&lt;&gt;"",Data!BX45=""),AND(Data!BW45="",Data!BX45&lt;&gt;"")),TRUE),TRUE)</f>
        <v>1</v>
      </c>
      <c r="Q45" s="26" t="b">
        <f>IF(Checks!C45,UPPER(RIGHT(Data!A45,5))=".BPMN",TRUE)</f>
        <v>1</v>
      </c>
      <c r="R45" s="26" t="b">
        <f>IF(Checks!C45,IF(UPPER(Data!C45)="SUB PROCESS",UPPER(RIGHT(Data!BY45,5))=".BPMN",TRUE),TRUE)</f>
        <v>1</v>
      </c>
      <c r="S45" s="26" t="b">
        <f>IF(Checks!C45,IF(UPPER(Data!C45)="SERVICE TASK",IF(UPPER(Data!BZ45)="TYPE=SAS",UPPER(RIGHT(Data!CA45,4))=".SAS",TRUE),TRUE),TRUE)</f>
        <v>1</v>
      </c>
      <c r="T45" s="26" t="b">
        <f>IF(Checks!C45,IF(Data!B45&lt;&gt;"",Data!D45&lt;&gt;"",TRUE),TRUE)</f>
        <v>1</v>
      </c>
      <c r="U45" s="26" t="b">
        <f ca="1">IF(Checks!C45,IF(UPPER(Data!C45)="DATA OBJECT",NOT(ISERROR(MATCH(Data!A45&amp;"||"&amp;Data!BW45&amp;Data!BX45,Key,0))),TRUE),TRUE)</f>
        <v>1</v>
      </c>
      <c r="V45" s="26" t="b">
        <f>IF(Checks!C45,IF(UPPER(Data!C45)="SUB PROCESS",Data!BY45&lt;&gt;"",TRUE),TRUE)</f>
        <v>1</v>
      </c>
      <c r="W45" s="26" t="b">
        <f>IF(Checks!C45,IF(UPPER(Data!C45)="SERVICE TASK",AND(Data!BZ45&lt;&gt;"",Data!CA45&lt;&gt;""),TRUE),TRUE)</f>
        <v>1</v>
      </c>
      <c r="X45" s="26" t="b">
        <f t="array" aca="1" ref="X45" ca="1">SUM((OFFSET(Data!B45,MAX(ROW(Data!$B$5)-ROW(Data!B45),-200),0,400,1)=Data!B45)*(OFFSET(Data!A45,MAX(ROW(Data!$B$5)-ROW(Data!B45),-200),0,400,1)=Data!A45))=1</f>
        <v>1</v>
      </c>
      <c r="Y45" s="26" t="b">
        <f t="array" aca="1" ref="Y45" ca="1">IF(UPPER(Data!C45)="START",SUM((OFFSET(Data!C45,MAX(ROW(Data!$C$5)-ROW(Data!C45),-200),0,400,1)="START")*(OFFSET(Data!A45,MAX(ROW(Data!$B$5)-ROW(Data!B45),-200),0,400,1)=Data!A45))=1,TRUE)</f>
        <v>1</v>
      </c>
      <c r="Z45" s="26" t="b">
        <f t="array" aca="1" ref="Z45" ca="1">IF(UPPER(Data!C45)="END",SUM((OFFSET(Data!C45,MAX(ROW(Data!$C$5)-ROW(Data!C45),-200),0,400,1)="END")*(OFFSET(Data!A45,MAX(ROW(Data!$B$5)-ROW(Data!B45),-200),0,400,1)=Data!A45))=1,TRUE)</f>
        <v>1</v>
      </c>
      <c r="AA45" s="26" t="b">
        <f>IF(Checks!C45,ISERROR(FIND("&amp;",Data!D45)),TRUE)</f>
        <v>1</v>
      </c>
      <c r="AB45" s="26" t="b">
        <f>IF(Checks!$C45,IF(AND(UPPER(Data!$C45)&lt;&gt;"START",UPPER(Data!$C45)&lt;&gt;"DATA OBJECT",Data!E45&lt;&gt;""),NOT(ISERROR(MATCH(Data!$A45&amp;"||"&amp;Data!E45,Key,0))),TRUE),TRUE)</f>
        <v>1</v>
      </c>
      <c r="AC45" s="27" t="b">
        <f>IF(Checks!C45,IF(UPPER(Data!C45)="END",Data!E45&lt;&gt;"",TRUE),TRUE)</f>
        <v>1</v>
      </c>
    </row>
    <row r="46" spans="1:29" x14ac:dyDescent="0.25">
      <c r="A46" s="1" t="str">
        <f>Data!A46&amp;"||"&amp;Data!B46</f>
        <v>Miscellaneous/subflow/irmifrs9_data_quality.bpmn||010_00_07</v>
      </c>
      <c r="B46" s="19"/>
      <c r="C46" s="24" t="b">
        <f>AND(UPPER(Data!A46)&lt;&gt;"EMPTY",Data!B46&lt;&gt;"")</f>
        <v>1</v>
      </c>
      <c r="D46" s="1"/>
      <c r="E46" s="25" t="b">
        <f t="shared" ca="1" si="0"/>
        <v>1</v>
      </c>
      <c r="F46" s="26" t="b">
        <f ca="1">IF(UPPER(Data!C46)="SUB PROCESS",NOT(ISERROR(MATCH(RIGHT(Data!BY46,LEN(Data!BY46)-5),OFFSET(Data,0,0,ItemsCount,1),0))),TRUE)</f>
        <v>1</v>
      </c>
      <c r="G46" s="26" t="b">
        <f ca="1">IF(MID(UPPER(Data!A46),1,13)="MISCELLANEOUS",NOT(ISERROR(MATCH("path="&amp;Data!A46,OFFSET(Data,0,76,ItemsCount,1),0))),TRUE)</f>
        <v>1</v>
      </c>
      <c r="L46" s="25" t="b">
        <f t="shared" ca="1" si="1"/>
        <v>1</v>
      </c>
      <c r="M46" s="24" t="b">
        <f>IF(Checks!$C46,Data!A46&lt;&gt;"",TRUE)</f>
        <v>1</v>
      </c>
      <c r="N46" s="26" t="b">
        <f>IF(Checks!C46,Data!B46&lt;&gt;"",TRUE)</f>
        <v>1</v>
      </c>
      <c r="O46" s="26" t="b">
        <f>IF(Checks!C46,IF(AND(UPPER(Data!C46)="SERVICE TASK",UPPER(Data!BZ46)="TYPE=SAS"),NodeExists(TRIM(RIGHT(Data!CA46,LEN(Data!CA46)-FIND("=",Data!CA46)))),TRUE),TRUE)</f>
        <v>1</v>
      </c>
      <c r="P46" s="26" t="b">
        <f>IF(Checks!C46,IF(Data!C46="DATA OBJECT",OR(AND(Data!BW46&lt;&gt;"",Data!BX46=""),AND(Data!BW46="",Data!BX46&lt;&gt;"")),TRUE),TRUE)</f>
        <v>1</v>
      </c>
      <c r="Q46" s="26" t="b">
        <f>IF(Checks!C46,UPPER(RIGHT(Data!A46,5))=".BPMN",TRUE)</f>
        <v>1</v>
      </c>
      <c r="R46" s="26" t="b">
        <f>IF(Checks!C46,IF(UPPER(Data!C46)="SUB PROCESS",UPPER(RIGHT(Data!BY46,5))=".BPMN",TRUE),TRUE)</f>
        <v>1</v>
      </c>
      <c r="S46" s="26" t="b">
        <f>IF(Checks!C46,IF(UPPER(Data!C46)="SERVICE TASK",IF(UPPER(Data!BZ46)="TYPE=SAS",UPPER(RIGHT(Data!CA46,4))=".SAS",TRUE),TRUE),TRUE)</f>
        <v>1</v>
      </c>
      <c r="T46" s="26" t="b">
        <f>IF(Checks!C46,IF(Data!B46&lt;&gt;"",Data!D46&lt;&gt;"",TRUE),TRUE)</f>
        <v>1</v>
      </c>
      <c r="U46" s="26" t="b">
        <f ca="1">IF(Checks!C46,IF(UPPER(Data!C46)="DATA OBJECT",NOT(ISERROR(MATCH(Data!A46&amp;"||"&amp;Data!BW46&amp;Data!BX46,Key,0))),TRUE),TRUE)</f>
        <v>1</v>
      </c>
      <c r="V46" s="26" t="b">
        <f>IF(Checks!C46,IF(UPPER(Data!C46)="SUB PROCESS",Data!BY46&lt;&gt;"",TRUE),TRUE)</f>
        <v>1</v>
      </c>
      <c r="W46" s="26" t="b">
        <f>IF(Checks!C46,IF(UPPER(Data!C46)="SERVICE TASK",AND(Data!BZ46&lt;&gt;"",Data!CA46&lt;&gt;""),TRUE),TRUE)</f>
        <v>1</v>
      </c>
      <c r="X46" s="26" t="b">
        <f t="array" aca="1" ref="X46" ca="1">SUM((OFFSET(Data!B46,MAX(ROW(Data!$B$5)-ROW(Data!B46),-200),0,400,1)=Data!B46)*(OFFSET(Data!A46,MAX(ROW(Data!$B$5)-ROW(Data!B46),-200),0,400,1)=Data!A46))=1</f>
        <v>1</v>
      </c>
      <c r="Y46" s="26" t="b">
        <f t="array" aca="1" ref="Y46" ca="1">IF(UPPER(Data!C46)="START",SUM((OFFSET(Data!C46,MAX(ROW(Data!$C$5)-ROW(Data!C46),-200),0,400,1)="START")*(OFFSET(Data!A46,MAX(ROW(Data!$B$5)-ROW(Data!B46),-200),0,400,1)=Data!A46))=1,TRUE)</f>
        <v>1</v>
      </c>
      <c r="Z46" s="26" t="b">
        <f t="array" aca="1" ref="Z46" ca="1">IF(UPPER(Data!C46)="END",SUM((OFFSET(Data!C46,MAX(ROW(Data!$C$5)-ROW(Data!C46),-200),0,400,1)="END")*(OFFSET(Data!A46,MAX(ROW(Data!$B$5)-ROW(Data!B46),-200),0,400,1)=Data!A46))=1,TRUE)</f>
        <v>1</v>
      </c>
      <c r="AA46" s="26" t="b">
        <f>IF(Checks!C46,ISERROR(FIND("&amp;",Data!D46)),TRUE)</f>
        <v>1</v>
      </c>
      <c r="AB46" s="26" t="b">
        <f>IF(Checks!$C46,IF(AND(UPPER(Data!$C46)&lt;&gt;"START",UPPER(Data!$C46)&lt;&gt;"DATA OBJECT",Data!E46&lt;&gt;""),NOT(ISERROR(MATCH(Data!$A46&amp;"||"&amp;Data!E46,Key,0))),TRUE),TRUE)</f>
        <v>1</v>
      </c>
      <c r="AC46" s="27" t="b">
        <f>IF(Checks!C46,IF(UPPER(Data!C46)="END",Data!E46&lt;&gt;"",TRUE),TRUE)</f>
        <v>1</v>
      </c>
    </row>
    <row r="47" spans="1:29" x14ac:dyDescent="0.25">
      <c r="A47" s="1" t="str">
        <f>Data!A47&amp;"||"&amp;Data!B47</f>
        <v>Miscellaneous/subflow/irmifrs9_data_quality.bpmn||010_03_00</v>
      </c>
      <c r="B47" s="19"/>
      <c r="C47" s="24" t="b">
        <f>AND(UPPER(Data!A47)&lt;&gt;"EMPTY",Data!B47&lt;&gt;"")</f>
        <v>1</v>
      </c>
      <c r="D47" s="1"/>
      <c r="E47" s="25" t="b">
        <f t="shared" ca="1" si="0"/>
        <v>1</v>
      </c>
      <c r="F47" s="26" t="b">
        <f ca="1">IF(UPPER(Data!C47)="SUB PROCESS",NOT(ISERROR(MATCH(RIGHT(Data!BY47,LEN(Data!BY47)-5),OFFSET(Data,0,0,ItemsCount,1),0))),TRUE)</f>
        <v>1</v>
      </c>
      <c r="G47" s="26" t="b">
        <f ca="1">IF(MID(UPPER(Data!A47),1,13)="MISCELLANEOUS",NOT(ISERROR(MATCH("path="&amp;Data!A47,OFFSET(Data,0,76,ItemsCount,1),0))),TRUE)</f>
        <v>1</v>
      </c>
      <c r="L47" s="25" t="b">
        <f t="shared" ca="1" si="1"/>
        <v>1</v>
      </c>
      <c r="M47" s="24" t="b">
        <f>IF(Checks!$C47,Data!A47&lt;&gt;"",TRUE)</f>
        <v>1</v>
      </c>
      <c r="N47" s="26" t="b">
        <f>IF(Checks!C47,Data!B47&lt;&gt;"",TRUE)</f>
        <v>1</v>
      </c>
      <c r="O47" s="26" t="b">
        <f>IF(Checks!C47,IF(AND(UPPER(Data!C47)="SERVICE TASK",UPPER(Data!BZ47)="TYPE=SAS"),NodeExists(TRIM(RIGHT(Data!CA47,LEN(Data!CA47)-FIND("=",Data!CA47)))),TRUE),TRUE)</f>
        <v>1</v>
      </c>
      <c r="P47" s="26" t="b">
        <f>IF(Checks!C47,IF(Data!C47="DATA OBJECT",OR(AND(Data!BW47&lt;&gt;"",Data!BX47=""),AND(Data!BW47="",Data!BX47&lt;&gt;"")),TRUE),TRUE)</f>
        <v>1</v>
      </c>
      <c r="Q47" s="26" t="b">
        <f>IF(Checks!C47,UPPER(RIGHT(Data!A47,5))=".BPMN",TRUE)</f>
        <v>1</v>
      </c>
      <c r="R47" s="26" t="b">
        <f>IF(Checks!C47,IF(UPPER(Data!C47)="SUB PROCESS",UPPER(RIGHT(Data!BY47,5))=".BPMN",TRUE),TRUE)</f>
        <v>1</v>
      </c>
      <c r="S47" s="26" t="b">
        <f>IF(Checks!C47,IF(UPPER(Data!C47)="SERVICE TASK",IF(UPPER(Data!BZ47)="TYPE=SAS",UPPER(RIGHT(Data!CA47,4))=".SAS",TRUE),TRUE),TRUE)</f>
        <v>1</v>
      </c>
      <c r="T47" s="26" t="b">
        <f>IF(Checks!C47,IF(Data!B47&lt;&gt;"",Data!D47&lt;&gt;"",TRUE),TRUE)</f>
        <v>1</v>
      </c>
      <c r="U47" s="26" t="b">
        <f ca="1">IF(Checks!C47,IF(UPPER(Data!C47)="DATA OBJECT",NOT(ISERROR(MATCH(Data!A47&amp;"||"&amp;Data!BW47&amp;Data!BX47,Key,0))),TRUE),TRUE)</f>
        <v>1</v>
      </c>
      <c r="V47" s="26" t="b">
        <f>IF(Checks!C47,IF(UPPER(Data!C47)="SUB PROCESS",Data!BY47&lt;&gt;"",TRUE),TRUE)</f>
        <v>1</v>
      </c>
      <c r="W47" s="26" t="b">
        <f>IF(Checks!C47,IF(UPPER(Data!C47)="SERVICE TASK",AND(Data!BZ47&lt;&gt;"",Data!CA47&lt;&gt;""),TRUE),TRUE)</f>
        <v>1</v>
      </c>
      <c r="X47" s="26" t="b">
        <f t="array" aca="1" ref="X47" ca="1">SUM((OFFSET(Data!B47,MAX(ROW(Data!$B$5)-ROW(Data!B47),-200),0,400,1)=Data!B47)*(OFFSET(Data!A47,MAX(ROW(Data!$B$5)-ROW(Data!B47),-200),0,400,1)=Data!A47))=1</f>
        <v>1</v>
      </c>
      <c r="Y47" s="26" t="b">
        <f t="array" aca="1" ref="Y47" ca="1">IF(UPPER(Data!C47)="START",SUM((OFFSET(Data!C47,MAX(ROW(Data!$C$5)-ROW(Data!C47),-200),0,400,1)="START")*(OFFSET(Data!A47,MAX(ROW(Data!$B$5)-ROW(Data!B47),-200),0,400,1)=Data!A47))=1,TRUE)</f>
        <v>1</v>
      </c>
      <c r="Z47" s="26" t="b">
        <f t="array" aca="1" ref="Z47" ca="1">IF(UPPER(Data!C47)="END",SUM((OFFSET(Data!C47,MAX(ROW(Data!$C$5)-ROW(Data!C47),-200),0,400,1)="END")*(OFFSET(Data!A47,MAX(ROW(Data!$B$5)-ROW(Data!B47),-200),0,400,1)=Data!A47))=1,TRUE)</f>
        <v>1</v>
      </c>
      <c r="AA47" s="26" t="b">
        <f>IF(Checks!C47,ISERROR(FIND("&amp;",Data!D47)),TRUE)</f>
        <v>1</v>
      </c>
      <c r="AB47" s="26" t="b">
        <f>IF(Checks!$C47,IF(AND(UPPER(Data!$C47)&lt;&gt;"START",UPPER(Data!$C47)&lt;&gt;"DATA OBJECT",Data!E47&lt;&gt;""),NOT(ISERROR(MATCH(Data!$A47&amp;"||"&amp;Data!E47,Key,0))),TRUE),TRUE)</f>
        <v>1</v>
      </c>
      <c r="AC47" s="27" t="b">
        <f>IF(Checks!C47,IF(UPPER(Data!C47)="END",Data!E47&lt;&gt;"",TRUE),TRUE)</f>
        <v>1</v>
      </c>
    </row>
    <row r="48" spans="1:29" x14ac:dyDescent="0.25">
      <c r="A48" s="1" t="str">
        <f>Data!A48&amp;"||"&amp;Data!B48</f>
        <v>Miscellaneous/subflow/irmifrs9_data_quality.bpmn||010_04_00</v>
      </c>
      <c r="B48" s="19"/>
      <c r="C48" s="24" t="b">
        <f>AND(UPPER(Data!A48)&lt;&gt;"EMPTY",Data!B48&lt;&gt;"")</f>
        <v>1</v>
      </c>
      <c r="D48" s="1"/>
      <c r="E48" s="25" t="b">
        <f t="shared" ca="1" si="0"/>
        <v>1</v>
      </c>
      <c r="F48" s="26" t="b">
        <f ca="1">IF(UPPER(Data!C48)="SUB PROCESS",NOT(ISERROR(MATCH(RIGHT(Data!BY48,LEN(Data!BY48)-5),OFFSET(Data,0,0,ItemsCount,1),0))),TRUE)</f>
        <v>1</v>
      </c>
      <c r="G48" s="26" t="b">
        <f ca="1">IF(MID(UPPER(Data!A48),1,13)="MISCELLANEOUS",NOT(ISERROR(MATCH("path="&amp;Data!A48,OFFSET(Data,0,76,ItemsCount,1),0))),TRUE)</f>
        <v>1</v>
      </c>
      <c r="L48" s="25" t="b">
        <f t="shared" ca="1" si="1"/>
        <v>1</v>
      </c>
      <c r="M48" s="24" t="b">
        <f>IF(Checks!$C48,Data!A48&lt;&gt;"",TRUE)</f>
        <v>1</v>
      </c>
      <c r="N48" s="26" t="b">
        <f>IF(Checks!C48,Data!B48&lt;&gt;"",TRUE)</f>
        <v>1</v>
      </c>
      <c r="O48" s="26" t="b">
        <f>IF(Checks!C48,IF(AND(UPPER(Data!C48)="SERVICE TASK",UPPER(Data!BZ48)="TYPE=SAS"),NodeExists(TRIM(RIGHT(Data!CA48,LEN(Data!CA48)-FIND("=",Data!CA48)))),TRUE),TRUE)</f>
        <v>1</v>
      </c>
      <c r="P48" s="26" t="b">
        <f>IF(Checks!C48,IF(Data!C48="DATA OBJECT",OR(AND(Data!BW48&lt;&gt;"",Data!BX48=""),AND(Data!BW48="",Data!BX48&lt;&gt;"")),TRUE),TRUE)</f>
        <v>1</v>
      </c>
      <c r="Q48" s="26" t="b">
        <f>IF(Checks!C48,UPPER(RIGHT(Data!A48,5))=".BPMN",TRUE)</f>
        <v>1</v>
      </c>
      <c r="R48" s="26" t="b">
        <f>IF(Checks!C48,IF(UPPER(Data!C48)="SUB PROCESS",UPPER(RIGHT(Data!BY48,5))=".BPMN",TRUE),TRUE)</f>
        <v>1</v>
      </c>
      <c r="S48" s="26" t="b">
        <f>IF(Checks!C48,IF(UPPER(Data!C48)="SERVICE TASK",IF(UPPER(Data!BZ48)="TYPE=SAS",UPPER(RIGHT(Data!CA48,4))=".SAS",TRUE),TRUE),TRUE)</f>
        <v>1</v>
      </c>
      <c r="T48" s="26" t="b">
        <f>IF(Checks!C48,IF(Data!B48&lt;&gt;"",Data!D48&lt;&gt;"",TRUE),TRUE)</f>
        <v>1</v>
      </c>
      <c r="U48" s="26" t="b">
        <f ca="1">IF(Checks!C48,IF(UPPER(Data!C48)="DATA OBJECT",NOT(ISERROR(MATCH(Data!A48&amp;"||"&amp;Data!BW48&amp;Data!BX48,Key,0))),TRUE),TRUE)</f>
        <v>1</v>
      </c>
      <c r="V48" s="26" t="b">
        <f>IF(Checks!C48,IF(UPPER(Data!C48)="SUB PROCESS",Data!BY48&lt;&gt;"",TRUE),TRUE)</f>
        <v>1</v>
      </c>
      <c r="W48" s="26" t="b">
        <f>IF(Checks!C48,IF(UPPER(Data!C48)="SERVICE TASK",AND(Data!BZ48&lt;&gt;"",Data!CA48&lt;&gt;""),TRUE),TRUE)</f>
        <v>1</v>
      </c>
      <c r="X48" s="26" t="b">
        <f t="array" aca="1" ref="X48" ca="1">SUM((OFFSET(Data!B48,MAX(ROW(Data!$B$5)-ROW(Data!B48),-200),0,400,1)=Data!B48)*(OFFSET(Data!A48,MAX(ROW(Data!$B$5)-ROW(Data!B48),-200),0,400,1)=Data!A48))=1</f>
        <v>1</v>
      </c>
      <c r="Y48" s="26" t="b">
        <f t="array" aca="1" ref="Y48" ca="1">IF(UPPER(Data!C48)="START",SUM((OFFSET(Data!C48,MAX(ROW(Data!$C$5)-ROW(Data!C48),-200),0,400,1)="START")*(OFFSET(Data!A48,MAX(ROW(Data!$B$5)-ROW(Data!B48),-200),0,400,1)=Data!A48))=1,TRUE)</f>
        <v>1</v>
      </c>
      <c r="Z48" s="26" t="b">
        <f t="array" aca="1" ref="Z48" ca="1">IF(UPPER(Data!C48)="END",SUM((OFFSET(Data!C48,MAX(ROW(Data!$C$5)-ROW(Data!C48),-200),0,400,1)="END")*(OFFSET(Data!A48,MAX(ROW(Data!$B$5)-ROW(Data!B48),-200),0,400,1)=Data!A48))=1,TRUE)</f>
        <v>1</v>
      </c>
      <c r="AA48" s="26" t="b">
        <f>IF(Checks!C48,ISERROR(FIND("&amp;",Data!D48)),TRUE)</f>
        <v>1</v>
      </c>
      <c r="AB48" s="26" t="b">
        <f>IF(Checks!$C48,IF(AND(UPPER(Data!$C48)&lt;&gt;"START",UPPER(Data!$C48)&lt;&gt;"DATA OBJECT",Data!E48&lt;&gt;""),NOT(ISERROR(MATCH(Data!$A48&amp;"||"&amp;Data!E48,Key,0))),TRUE),TRUE)</f>
        <v>1</v>
      </c>
      <c r="AC48" s="27" t="b">
        <f>IF(Checks!C48,IF(UPPER(Data!C48)="END",Data!E48&lt;&gt;"",TRUE),TRUE)</f>
        <v>1</v>
      </c>
    </row>
    <row r="49" spans="1:29" x14ac:dyDescent="0.25">
      <c r="A49" s="1" t="str">
        <f>Data!A49&amp;"||"&amp;Data!B49</f>
        <v>Miscellaneous/subflow/irmifrs9_data_quality.bpmn||017</v>
      </c>
      <c r="B49" s="19"/>
      <c r="C49" s="24" t="b">
        <f>AND(UPPER(Data!A49)&lt;&gt;"EMPTY",Data!B49&lt;&gt;"")</f>
        <v>1</v>
      </c>
      <c r="D49" s="1"/>
      <c r="E49" s="25" t="b">
        <f t="shared" ca="1" si="0"/>
        <v>1</v>
      </c>
      <c r="F49" s="26" t="b">
        <f ca="1">IF(UPPER(Data!C49)="SUB PROCESS",NOT(ISERROR(MATCH(RIGHT(Data!BY49,LEN(Data!BY49)-5),OFFSET(Data,0,0,ItemsCount,1),0))),TRUE)</f>
        <v>1</v>
      </c>
      <c r="G49" s="26" t="b">
        <f ca="1">IF(MID(UPPER(Data!A49),1,13)="MISCELLANEOUS",NOT(ISERROR(MATCH("path="&amp;Data!A49,OFFSET(Data,0,76,ItemsCount,1),0))),TRUE)</f>
        <v>1</v>
      </c>
      <c r="L49" s="25" t="b">
        <f t="shared" ca="1" si="1"/>
        <v>1</v>
      </c>
      <c r="M49" s="24" t="b">
        <f>IF(Checks!$C49,Data!A49&lt;&gt;"",TRUE)</f>
        <v>1</v>
      </c>
      <c r="N49" s="26" t="b">
        <f>IF(Checks!C49,Data!B49&lt;&gt;"",TRUE)</f>
        <v>1</v>
      </c>
      <c r="O49" s="26" t="b">
        <f>IF(Checks!C49,IF(AND(UPPER(Data!C49)="SERVICE TASK",UPPER(Data!BZ49)="TYPE=SAS"),NodeExists(TRIM(RIGHT(Data!CA49,LEN(Data!CA49)-FIND("=",Data!CA49)))),TRUE),TRUE)</f>
        <v>1</v>
      </c>
      <c r="P49" s="26" t="b">
        <f>IF(Checks!C49,IF(Data!C49="DATA OBJECT",OR(AND(Data!BW49&lt;&gt;"",Data!BX49=""),AND(Data!BW49="",Data!BX49&lt;&gt;"")),TRUE),TRUE)</f>
        <v>1</v>
      </c>
      <c r="Q49" s="26" t="b">
        <f>IF(Checks!C49,UPPER(RIGHT(Data!A49,5))=".BPMN",TRUE)</f>
        <v>1</v>
      </c>
      <c r="R49" s="26" t="b">
        <f>IF(Checks!C49,IF(UPPER(Data!C49)="SUB PROCESS",UPPER(RIGHT(Data!BY49,5))=".BPMN",TRUE),TRUE)</f>
        <v>1</v>
      </c>
      <c r="S49" s="26" t="b">
        <f>IF(Checks!C49,IF(UPPER(Data!C49)="SERVICE TASK",IF(UPPER(Data!BZ49)="TYPE=SAS",UPPER(RIGHT(Data!CA49,4))=".SAS",TRUE),TRUE),TRUE)</f>
        <v>1</v>
      </c>
      <c r="T49" s="26" t="b">
        <f>IF(Checks!C49,IF(Data!B49&lt;&gt;"",Data!D49&lt;&gt;"",TRUE),TRUE)</f>
        <v>1</v>
      </c>
      <c r="U49" s="26" t="b">
        <f>IF(Checks!C49,IF(UPPER(Data!C49)="DATA OBJECT",NOT(ISERROR(MATCH(Data!A49&amp;"||"&amp;Data!BW49&amp;Data!BX49,Key,0))),TRUE),TRUE)</f>
        <v>1</v>
      </c>
      <c r="V49" s="26" t="b">
        <f>IF(Checks!C49,IF(UPPER(Data!C49)="SUB PROCESS",Data!BY49&lt;&gt;"",TRUE),TRUE)</f>
        <v>1</v>
      </c>
      <c r="W49" s="26" t="b">
        <f>IF(Checks!C49,IF(UPPER(Data!C49)="SERVICE TASK",AND(Data!BZ49&lt;&gt;"",Data!CA49&lt;&gt;""),TRUE),TRUE)</f>
        <v>1</v>
      </c>
      <c r="X49" s="26" t="b">
        <f t="array" aca="1" ref="X49" ca="1">SUM((OFFSET(Data!B49,MAX(ROW(Data!$B$5)-ROW(Data!B49),-200),0,400,1)=Data!B49)*(OFFSET(Data!A49,MAX(ROW(Data!$B$5)-ROW(Data!B49),-200),0,400,1)=Data!A49))=1</f>
        <v>1</v>
      </c>
      <c r="Y49" s="26" t="b">
        <f t="array" aca="1" ref="Y49" ca="1">IF(UPPER(Data!C49)="START",SUM((OFFSET(Data!C49,MAX(ROW(Data!$C$5)-ROW(Data!C49),-200),0,400,1)="START")*(OFFSET(Data!A49,MAX(ROW(Data!$B$5)-ROW(Data!B49),-200),0,400,1)=Data!A49))=1,TRUE)</f>
        <v>1</v>
      </c>
      <c r="Z49" s="26" t="b">
        <f t="array" aca="1" ref="Z49" ca="1">IF(UPPER(Data!C49)="END",SUM((OFFSET(Data!C49,MAX(ROW(Data!$C$5)-ROW(Data!C49),-200),0,400,1)="END")*(OFFSET(Data!A49,MAX(ROW(Data!$B$5)-ROW(Data!B49),-200),0,400,1)=Data!A49))=1,TRUE)</f>
        <v>1</v>
      </c>
      <c r="AA49" s="26" t="b">
        <f>IF(Checks!C49,ISERROR(FIND("&amp;",Data!D49)),TRUE)</f>
        <v>1</v>
      </c>
      <c r="AB49" s="26" t="b">
        <f ca="1">IF(Checks!$C49,IF(AND(UPPER(Data!$C49)&lt;&gt;"START",UPPER(Data!$C49)&lt;&gt;"DATA OBJECT",Data!E49&lt;&gt;""),NOT(ISERROR(MATCH(Data!$A49&amp;"||"&amp;Data!E49,Key,0))),TRUE),TRUE)</f>
        <v>1</v>
      </c>
      <c r="AC49" s="27" t="b">
        <f>IF(Checks!C49,IF(UPPER(Data!C49)="END",Data!E49&lt;&gt;"",TRUE),TRUE)</f>
        <v>1</v>
      </c>
    </row>
    <row r="50" spans="1:29" x14ac:dyDescent="0.25">
      <c r="A50" s="1" t="str">
        <f>Data!A50&amp;"||"&amp;Data!B50</f>
        <v>Miscellaneous/subflow/irmifrs9_data_quality.bpmn||017_00_08</v>
      </c>
      <c r="B50" s="19"/>
      <c r="C50" s="24" t="b">
        <f>AND(UPPER(Data!A50)&lt;&gt;"EMPTY",Data!B50&lt;&gt;"")</f>
        <v>1</v>
      </c>
      <c r="D50" s="1"/>
      <c r="E50" s="25" t="b">
        <f t="shared" ca="1" si="0"/>
        <v>1</v>
      </c>
      <c r="F50" s="26" t="b">
        <f ca="1">IF(UPPER(Data!C50)="SUB PROCESS",NOT(ISERROR(MATCH(RIGHT(Data!BY50,LEN(Data!BY50)-5),OFFSET(Data,0,0,ItemsCount,1),0))),TRUE)</f>
        <v>1</v>
      </c>
      <c r="G50" s="26" t="b">
        <f ca="1">IF(MID(UPPER(Data!A50),1,13)="MISCELLANEOUS",NOT(ISERROR(MATCH("path="&amp;Data!A50,OFFSET(Data,0,76,ItemsCount,1),0))),TRUE)</f>
        <v>1</v>
      </c>
      <c r="L50" s="25" t="b">
        <f t="shared" ca="1" si="1"/>
        <v>1</v>
      </c>
      <c r="M50" s="24" t="b">
        <f>IF(Checks!$C50,Data!A50&lt;&gt;"",TRUE)</f>
        <v>1</v>
      </c>
      <c r="N50" s="26" t="b">
        <f>IF(Checks!C50,Data!B50&lt;&gt;"",TRUE)</f>
        <v>1</v>
      </c>
      <c r="O50" s="26" t="b">
        <f>IF(Checks!C50,IF(AND(UPPER(Data!C50)="SERVICE TASK",UPPER(Data!BZ50)="TYPE=SAS"),NodeExists(TRIM(RIGHT(Data!CA50,LEN(Data!CA50)-FIND("=",Data!CA50)))),TRUE),TRUE)</f>
        <v>1</v>
      </c>
      <c r="P50" s="26" t="b">
        <f>IF(Checks!C50,IF(Data!C50="DATA OBJECT",OR(AND(Data!BW50&lt;&gt;"",Data!BX50=""),AND(Data!BW50="",Data!BX50&lt;&gt;"")),TRUE),TRUE)</f>
        <v>1</v>
      </c>
      <c r="Q50" s="26" t="b">
        <f>IF(Checks!C50,UPPER(RIGHT(Data!A50,5))=".BPMN",TRUE)</f>
        <v>1</v>
      </c>
      <c r="R50" s="26" t="b">
        <f>IF(Checks!C50,IF(UPPER(Data!C50)="SUB PROCESS",UPPER(RIGHT(Data!BY50,5))=".BPMN",TRUE),TRUE)</f>
        <v>1</v>
      </c>
      <c r="S50" s="26" t="b">
        <f>IF(Checks!C50,IF(UPPER(Data!C50)="SERVICE TASK",IF(UPPER(Data!BZ50)="TYPE=SAS",UPPER(RIGHT(Data!CA50,4))=".SAS",TRUE),TRUE),TRUE)</f>
        <v>1</v>
      </c>
      <c r="T50" s="26" t="b">
        <f>IF(Checks!C50,IF(Data!B50&lt;&gt;"",Data!D50&lt;&gt;"",TRUE),TRUE)</f>
        <v>1</v>
      </c>
      <c r="U50" s="26" t="b">
        <f ca="1">IF(Checks!C50,IF(UPPER(Data!C50)="DATA OBJECT",NOT(ISERROR(MATCH(Data!A50&amp;"||"&amp;Data!BW50&amp;Data!BX50,Key,0))),TRUE),TRUE)</f>
        <v>1</v>
      </c>
      <c r="V50" s="26" t="b">
        <f>IF(Checks!C50,IF(UPPER(Data!C50)="SUB PROCESS",Data!BY50&lt;&gt;"",TRUE),TRUE)</f>
        <v>1</v>
      </c>
      <c r="W50" s="26" t="b">
        <f>IF(Checks!C50,IF(UPPER(Data!C50)="SERVICE TASK",AND(Data!BZ50&lt;&gt;"",Data!CA50&lt;&gt;""),TRUE),TRUE)</f>
        <v>1</v>
      </c>
      <c r="X50" s="26" t="b">
        <f t="array" aca="1" ref="X50" ca="1">SUM((OFFSET(Data!B50,MAX(ROW(Data!$B$5)-ROW(Data!B50),-200),0,400,1)=Data!B50)*(OFFSET(Data!A50,MAX(ROW(Data!$B$5)-ROW(Data!B50),-200),0,400,1)=Data!A50))=1</f>
        <v>1</v>
      </c>
      <c r="Y50" s="26" t="b">
        <f t="array" aca="1" ref="Y50" ca="1">IF(UPPER(Data!C50)="START",SUM((OFFSET(Data!C50,MAX(ROW(Data!$C$5)-ROW(Data!C50),-200),0,400,1)="START")*(OFFSET(Data!A50,MAX(ROW(Data!$B$5)-ROW(Data!B50),-200),0,400,1)=Data!A50))=1,TRUE)</f>
        <v>1</v>
      </c>
      <c r="Z50" s="26" t="b">
        <f t="array" aca="1" ref="Z50" ca="1">IF(UPPER(Data!C50)="END",SUM((OFFSET(Data!C50,MAX(ROW(Data!$C$5)-ROW(Data!C50),-200),0,400,1)="END")*(OFFSET(Data!A50,MAX(ROW(Data!$B$5)-ROW(Data!B50),-200),0,400,1)=Data!A50))=1,TRUE)</f>
        <v>1</v>
      </c>
      <c r="AA50" s="26" t="b">
        <f>IF(Checks!C50,ISERROR(FIND("&amp;",Data!D50)),TRUE)</f>
        <v>1</v>
      </c>
      <c r="AB50" s="26" t="b">
        <f>IF(Checks!$C50,IF(AND(UPPER(Data!$C50)&lt;&gt;"START",UPPER(Data!$C50)&lt;&gt;"DATA OBJECT",Data!E50&lt;&gt;""),NOT(ISERROR(MATCH(Data!$A50&amp;"||"&amp;Data!E50,Key,0))),TRUE),TRUE)</f>
        <v>1</v>
      </c>
      <c r="AC50" s="27" t="b">
        <f>IF(Checks!C50,IF(UPPER(Data!C50)="END",Data!E50&lt;&gt;"",TRUE),TRUE)</f>
        <v>1</v>
      </c>
    </row>
    <row r="51" spans="1:29" x14ac:dyDescent="0.25">
      <c r="A51" s="1" t="str">
        <f>Data!A51&amp;"||"&amp;Data!B51</f>
        <v>Miscellaneous/subflow/irmifrs9_data_quality.bpmn||017_00_09</v>
      </c>
      <c r="B51" s="19"/>
      <c r="C51" s="24" t="b">
        <f>AND(UPPER(Data!A51)&lt;&gt;"EMPTY",Data!B51&lt;&gt;"")</f>
        <v>1</v>
      </c>
      <c r="D51" s="1"/>
      <c r="E51" s="25" t="b">
        <f t="shared" ca="1" si="0"/>
        <v>1</v>
      </c>
      <c r="F51" s="26" t="b">
        <f ca="1">IF(UPPER(Data!C51)="SUB PROCESS",NOT(ISERROR(MATCH(RIGHT(Data!BY51,LEN(Data!BY51)-5),OFFSET(Data,0,0,ItemsCount,1),0))),TRUE)</f>
        <v>1</v>
      </c>
      <c r="G51" s="26" t="b">
        <f ca="1">IF(MID(UPPER(Data!A51),1,13)="MISCELLANEOUS",NOT(ISERROR(MATCH("path="&amp;Data!A51,OFFSET(Data,0,76,ItemsCount,1),0))),TRUE)</f>
        <v>1</v>
      </c>
      <c r="L51" s="25" t="b">
        <f t="shared" ca="1" si="1"/>
        <v>1</v>
      </c>
      <c r="M51" s="24" t="b">
        <f>IF(Checks!$C51,Data!A51&lt;&gt;"",TRUE)</f>
        <v>1</v>
      </c>
      <c r="N51" s="26" t="b">
        <f>IF(Checks!C51,Data!B51&lt;&gt;"",TRUE)</f>
        <v>1</v>
      </c>
      <c r="O51" s="26" t="b">
        <f>IF(Checks!C51,IF(AND(UPPER(Data!C51)="SERVICE TASK",UPPER(Data!BZ51)="TYPE=SAS"),NodeExists(TRIM(RIGHT(Data!CA51,LEN(Data!CA51)-FIND("=",Data!CA51)))),TRUE),TRUE)</f>
        <v>1</v>
      </c>
      <c r="P51" s="26" t="b">
        <f>IF(Checks!C51,IF(Data!C51="DATA OBJECT",OR(AND(Data!BW51&lt;&gt;"",Data!BX51=""),AND(Data!BW51="",Data!BX51&lt;&gt;"")),TRUE),TRUE)</f>
        <v>1</v>
      </c>
      <c r="Q51" s="26" t="b">
        <f>IF(Checks!C51,UPPER(RIGHT(Data!A51,5))=".BPMN",TRUE)</f>
        <v>1</v>
      </c>
      <c r="R51" s="26" t="b">
        <f>IF(Checks!C51,IF(UPPER(Data!C51)="SUB PROCESS",UPPER(RIGHT(Data!BY51,5))=".BPMN",TRUE),TRUE)</f>
        <v>1</v>
      </c>
      <c r="S51" s="26" t="b">
        <f>IF(Checks!C51,IF(UPPER(Data!C51)="SERVICE TASK",IF(UPPER(Data!BZ51)="TYPE=SAS",UPPER(RIGHT(Data!CA51,4))=".SAS",TRUE),TRUE),TRUE)</f>
        <v>1</v>
      </c>
      <c r="T51" s="26" t="b">
        <f>IF(Checks!C51,IF(Data!B51&lt;&gt;"",Data!D51&lt;&gt;"",TRUE),TRUE)</f>
        <v>1</v>
      </c>
      <c r="U51" s="26" t="b">
        <f ca="1">IF(Checks!C51,IF(UPPER(Data!C51)="DATA OBJECT",NOT(ISERROR(MATCH(Data!A51&amp;"||"&amp;Data!BW51&amp;Data!BX51,Key,0))),TRUE),TRUE)</f>
        <v>1</v>
      </c>
      <c r="V51" s="26" t="b">
        <f>IF(Checks!C51,IF(UPPER(Data!C51)="SUB PROCESS",Data!BY51&lt;&gt;"",TRUE),TRUE)</f>
        <v>1</v>
      </c>
      <c r="W51" s="26" t="b">
        <f>IF(Checks!C51,IF(UPPER(Data!C51)="SERVICE TASK",AND(Data!BZ51&lt;&gt;"",Data!CA51&lt;&gt;""),TRUE),TRUE)</f>
        <v>1</v>
      </c>
      <c r="X51" s="26" t="b">
        <f t="array" aca="1" ref="X51" ca="1">SUM((OFFSET(Data!B51,MAX(ROW(Data!$B$5)-ROW(Data!B51),-200),0,400,1)=Data!B51)*(OFFSET(Data!A51,MAX(ROW(Data!$B$5)-ROW(Data!B51),-200),0,400,1)=Data!A51))=1</f>
        <v>1</v>
      </c>
      <c r="Y51" s="26" t="b">
        <f t="array" aca="1" ref="Y51" ca="1">IF(UPPER(Data!C51)="START",SUM((OFFSET(Data!C51,MAX(ROW(Data!$C$5)-ROW(Data!C51),-200),0,400,1)="START")*(OFFSET(Data!A51,MAX(ROW(Data!$B$5)-ROW(Data!B51),-200),0,400,1)=Data!A51))=1,TRUE)</f>
        <v>1</v>
      </c>
      <c r="Z51" s="26" t="b">
        <f t="array" aca="1" ref="Z51" ca="1">IF(UPPER(Data!C51)="END",SUM((OFFSET(Data!C51,MAX(ROW(Data!$C$5)-ROW(Data!C51),-200),0,400,1)="END")*(OFFSET(Data!A51,MAX(ROW(Data!$B$5)-ROW(Data!B51),-200),0,400,1)=Data!A51))=1,TRUE)</f>
        <v>1</v>
      </c>
      <c r="AA51" s="26" t="b">
        <f>IF(Checks!C51,ISERROR(FIND("&amp;",Data!D51)),TRUE)</f>
        <v>1</v>
      </c>
      <c r="AB51" s="26" t="b">
        <f>IF(Checks!$C51,IF(AND(UPPER(Data!$C51)&lt;&gt;"START",UPPER(Data!$C51)&lt;&gt;"DATA OBJECT",Data!E51&lt;&gt;""),NOT(ISERROR(MATCH(Data!$A51&amp;"||"&amp;Data!E51,Key,0))),TRUE),TRUE)</f>
        <v>1</v>
      </c>
      <c r="AC51" s="27" t="b">
        <f>IF(Checks!C51,IF(UPPER(Data!C51)="END",Data!E51&lt;&gt;"",TRUE),TRUE)</f>
        <v>1</v>
      </c>
    </row>
    <row r="52" spans="1:29" x14ac:dyDescent="0.25">
      <c r="A52" s="1" t="str">
        <f>Data!A52&amp;"||"&amp;Data!B52</f>
        <v>Miscellaneous/subflow/irmifrs9_data_quality.bpmn||017_05_00</v>
      </c>
      <c r="B52" s="19"/>
      <c r="C52" s="24" t="b">
        <f>AND(UPPER(Data!A52)&lt;&gt;"EMPTY",Data!B52&lt;&gt;"")</f>
        <v>1</v>
      </c>
      <c r="D52" s="1"/>
      <c r="E52" s="25" t="b">
        <f t="shared" ca="1" si="0"/>
        <v>1</v>
      </c>
      <c r="F52" s="26" t="b">
        <f ca="1">IF(UPPER(Data!C52)="SUB PROCESS",NOT(ISERROR(MATCH(RIGHT(Data!BY52,LEN(Data!BY52)-5),OFFSET(Data,0,0,ItemsCount,1),0))),TRUE)</f>
        <v>1</v>
      </c>
      <c r="G52" s="26" t="b">
        <f ca="1">IF(MID(UPPER(Data!A52),1,13)="MISCELLANEOUS",NOT(ISERROR(MATCH("path="&amp;Data!A52,OFFSET(Data,0,76,ItemsCount,1),0))),TRUE)</f>
        <v>1</v>
      </c>
      <c r="L52" s="25" t="b">
        <f t="shared" ca="1" si="1"/>
        <v>1</v>
      </c>
      <c r="M52" s="24" t="b">
        <f>IF(Checks!$C52,Data!A52&lt;&gt;"",TRUE)</f>
        <v>1</v>
      </c>
      <c r="N52" s="26" t="b">
        <f>IF(Checks!C52,Data!B52&lt;&gt;"",TRUE)</f>
        <v>1</v>
      </c>
      <c r="O52" s="26" t="b">
        <f>IF(Checks!C52,IF(AND(UPPER(Data!C52)="SERVICE TASK",UPPER(Data!BZ52)="TYPE=SAS"),NodeExists(TRIM(RIGHT(Data!CA52,LEN(Data!CA52)-FIND("=",Data!CA52)))),TRUE),TRUE)</f>
        <v>1</v>
      </c>
      <c r="P52" s="26" t="b">
        <f>IF(Checks!C52,IF(Data!C52="DATA OBJECT",OR(AND(Data!BW52&lt;&gt;"",Data!BX52=""),AND(Data!BW52="",Data!BX52&lt;&gt;"")),TRUE),TRUE)</f>
        <v>1</v>
      </c>
      <c r="Q52" s="26" t="b">
        <f>IF(Checks!C52,UPPER(RIGHT(Data!A52,5))=".BPMN",TRUE)</f>
        <v>1</v>
      </c>
      <c r="R52" s="26" t="b">
        <f>IF(Checks!C52,IF(UPPER(Data!C52)="SUB PROCESS",UPPER(RIGHT(Data!BY52,5))=".BPMN",TRUE),TRUE)</f>
        <v>1</v>
      </c>
      <c r="S52" s="26" t="b">
        <f>IF(Checks!C52,IF(UPPER(Data!C52)="SERVICE TASK",IF(UPPER(Data!BZ52)="TYPE=SAS",UPPER(RIGHT(Data!CA52,4))=".SAS",TRUE),TRUE),TRUE)</f>
        <v>1</v>
      </c>
      <c r="T52" s="26" t="b">
        <f>IF(Checks!C52,IF(Data!B52&lt;&gt;"",Data!D52&lt;&gt;"",TRUE),TRUE)</f>
        <v>1</v>
      </c>
      <c r="U52" s="26" t="b">
        <f ca="1">IF(Checks!C52,IF(UPPER(Data!C52)="DATA OBJECT",NOT(ISERROR(MATCH(Data!A52&amp;"||"&amp;Data!BW52&amp;Data!BX52,Key,0))),TRUE),TRUE)</f>
        <v>1</v>
      </c>
      <c r="V52" s="26" t="b">
        <f>IF(Checks!C52,IF(UPPER(Data!C52)="SUB PROCESS",Data!BY52&lt;&gt;"",TRUE),TRUE)</f>
        <v>1</v>
      </c>
      <c r="W52" s="26" t="b">
        <f>IF(Checks!C52,IF(UPPER(Data!C52)="SERVICE TASK",AND(Data!BZ52&lt;&gt;"",Data!CA52&lt;&gt;""),TRUE),TRUE)</f>
        <v>1</v>
      </c>
      <c r="X52" s="26" t="b">
        <f t="array" aca="1" ref="X52" ca="1">SUM((OFFSET(Data!B52,MAX(ROW(Data!$B$5)-ROW(Data!B52),-200),0,400,1)=Data!B52)*(OFFSET(Data!A52,MAX(ROW(Data!$B$5)-ROW(Data!B52),-200),0,400,1)=Data!A52))=1</f>
        <v>1</v>
      </c>
      <c r="Y52" s="26" t="b">
        <f t="array" aca="1" ref="Y52" ca="1">IF(UPPER(Data!C52)="START",SUM((OFFSET(Data!C52,MAX(ROW(Data!$C$5)-ROW(Data!C52),-200),0,400,1)="START")*(OFFSET(Data!A52,MAX(ROW(Data!$B$5)-ROW(Data!B52),-200),0,400,1)=Data!A52))=1,TRUE)</f>
        <v>1</v>
      </c>
      <c r="Z52" s="26" t="b">
        <f t="array" aca="1" ref="Z52" ca="1">IF(UPPER(Data!C52)="END",SUM((OFFSET(Data!C52,MAX(ROW(Data!$C$5)-ROW(Data!C52),-200),0,400,1)="END")*(OFFSET(Data!A52,MAX(ROW(Data!$B$5)-ROW(Data!B52),-200),0,400,1)=Data!A52))=1,TRUE)</f>
        <v>1</v>
      </c>
      <c r="AA52" s="26" t="b">
        <f>IF(Checks!C52,ISERROR(FIND("&amp;",Data!D52)),TRUE)</f>
        <v>1</v>
      </c>
      <c r="AB52" s="26" t="b">
        <f>IF(Checks!$C52,IF(AND(UPPER(Data!$C52)&lt;&gt;"START",UPPER(Data!$C52)&lt;&gt;"DATA OBJECT",Data!E52&lt;&gt;""),NOT(ISERROR(MATCH(Data!$A52&amp;"||"&amp;Data!E52,Key,0))),TRUE),TRUE)</f>
        <v>1</v>
      </c>
      <c r="AC52" s="27" t="b">
        <f>IF(Checks!C52,IF(UPPER(Data!C52)="END",Data!E52&lt;&gt;"",TRUE),TRUE)</f>
        <v>1</v>
      </c>
    </row>
    <row r="53" spans="1:29" x14ac:dyDescent="0.25">
      <c r="A53" s="1" t="str">
        <f>Data!A53&amp;"||"&amp;Data!B53</f>
        <v>Miscellaneous/subflow/irmifrs9_data_quality.bpmn||021</v>
      </c>
      <c r="B53" s="19"/>
      <c r="C53" s="24" t="b">
        <f>AND(UPPER(Data!A53)&lt;&gt;"EMPTY",Data!B53&lt;&gt;"")</f>
        <v>1</v>
      </c>
      <c r="D53" s="1"/>
      <c r="E53" s="25" t="b">
        <f t="shared" ca="1" si="0"/>
        <v>1</v>
      </c>
      <c r="F53" s="26" t="b">
        <f ca="1">IF(UPPER(Data!C53)="SUB PROCESS",NOT(ISERROR(MATCH(RIGHT(Data!BY53,LEN(Data!BY53)-5),OFFSET(Data,0,0,ItemsCount,1),0))),TRUE)</f>
        <v>1</v>
      </c>
      <c r="G53" s="26" t="b">
        <f ca="1">IF(MID(UPPER(Data!A53),1,13)="MISCELLANEOUS",NOT(ISERROR(MATCH("path="&amp;Data!A53,OFFSET(Data,0,76,ItemsCount,1),0))),TRUE)</f>
        <v>1</v>
      </c>
      <c r="L53" s="25" t="b">
        <f t="shared" ca="1" si="1"/>
        <v>1</v>
      </c>
      <c r="M53" s="24" t="b">
        <f>IF(Checks!$C53,Data!A53&lt;&gt;"",TRUE)</f>
        <v>1</v>
      </c>
      <c r="N53" s="26" t="b">
        <f>IF(Checks!C53,Data!B53&lt;&gt;"",TRUE)</f>
        <v>1</v>
      </c>
      <c r="O53" s="26" t="b">
        <f>IF(Checks!C53,IF(AND(UPPER(Data!C53)="SERVICE TASK",UPPER(Data!BZ53)="TYPE=SAS"),NodeExists(TRIM(RIGHT(Data!CA53,LEN(Data!CA53)-FIND("=",Data!CA53)))),TRUE),TRUE)</f>
        <v>1</v>
      </c>
      <c r="P53" s="26" t="b">
        <f>IF(Checks!C53,IF(Data!C53="DATA OBJECT",OR(AND(Data!BW53&lt;&gt;"",Data!BX53=""),AND(Data!BW53="",Data!BX53&lt;&gt;"")),TRUE),TRUE)</f>
        <v>1</v>
      </c>
      <c r="Q53" s="26" t="b">
        <f>IF(Checks!C53,UPPER(RIGHT(Data!A53,5))=".BPMN",TRUE)</f>
        <v>1</v>
      </c>
      <c r="R53" s="26" t="b">
        <f>IF(Checks!C53,IF(UPPER(Data!C53)="SUB PROCESS",UPPER(RIGHT(Data!BY53,5))=".BPMN",TRUE),TRUE)</f>
        <v>1</v>
      </c>
      <c r="S53" s="26" t="b">
        <f>IF(Checks!C53,IF(UPPER(Data!C53)="SERVICE TASK",IF(UPPER(Data!BZ53)="TYPE=SAS",UPPER(RIGHT(Data!CA53,4))=".SAS",TRUE),TRUE),TRUE)</f>
        <v>1</v>
      </c>
      <c r="T53" s="26" t="b">
        <f>IF(Checks!C53,IF(Data!B53&lt;&gt;"",Data!D53&lt;&gt;"",TRUE),TRUE)</f>
        <v>1</v>
      </c>
      <c r="U53" s="26" t="b">
        <f>IF(Checks!C53,IF(UPPER(Data!C53)="DATA OBJECT",NOT(ISERROR(MATCH(Data!A53&amp;"||"&amp;Data!BW53&amp;Data!BX53,Key,0))),TRUE),TRUE)</f>
        <v>1</v>
      </c>
      <c r="V53" s="26" t="b">
        <f>IF(Checks!C53,IF(UPPER(Data!C53)="SUB PROCESS",Data!BY53&lt;&gt;"",TRUE),TRUE)</f>
        <v>1</v>
      </c>
      <c r="W53" s="26" t="b">
        <f>IF(Checks!C53,IF(UPPER(Data!C53)="SERVICE TASK",AND(Data!BZ53&lt;&gt;"",Data!CA53&lt;&gt;""),TRUE),TRUE)</f>
        <v>1</v>
      </c>
      <c r="X53" s="26" t="b">
        <f t="array" aca="1" ref="X53" ca="1">SUM((OFFSET(Data!B53,MAX(ROW(Data!$B$5)-ROW(Data!B53),-200),0,400,1)=Data!B53)*(OFFSET(Data!A53,MAX(ROW(Data!$B$5)-ROW(Data!B53),-200),0,400,1)=Data!A53))=1</f>
        <v>1</v>
      </c>
      <c r="Y53" s="26" t="b">
        <f t="array" aca="1" ref="Y53" ca="1">IF(UPPER(Data!C53)="START",SUM((OFFSET(Data!C53,MAX(ROW(Data!$C$5)-ROW(Data!C53),-200),0,400,1)="START")*(OFFSET(Data!A53,MAX(ROW(Data!$B$5)-ROW(Data!B53),-200),0,400,1)=Data!A53))=1,TRUE)</f>
        <v>1</v>
      </c>
      <c r="Z53" s="26" t="b">
        <f t="array" aca="1" ref="Z53" ca="1">IF(UPPER(Data!C53)="END",SUM((OFFSET(Data!C53,MAX(ROW(Data!$C$5)-ROW(Data!C53),-200),0,400,1)="END")*(OFFSET(Data!A53,MAX(ROW(Data!$B$5)-ROW(Data!B53),-200),0,400,1)=Data!A53))=1,TRUE)</f>
        <v>1</v>
      </c>
      <c r="AA53" s="26" t="b">
        <f>IF(Checks!C53,ISERROR(FIND("&amp;",Data!D53)),TRUE)</f>
        <v>1</v>
      </c>
      <c r="AB53" s="26" t="b">
        <f ca="1">IF(Checks!$C53,IF(AND(UPPER(Data!$C53)&lt;&gt;"START",UPPER(Data!$C53)&lt;&gt;"DATA OBJECT",Data!E53&lt;&gt;""),NOT(ISERROR(MATCH(Data!$A53&amp;"||"&amp;Data!E53,Key,0))),TRUE),TRUE)</f>
        <v>1</v>
      </c>
      <c r="AC53" s="27" t="b">
        <f>IF(Checks!C53,IF(UPPER(Data!C53)="END",Data!E53&lt;&gt;"",TRUE),TRUE)</f>
        <v>1</v>
      </c>
    </row>
    <row r="54" spans="1:29" x14ac:dyDescent="0.25">
      <c r="A54" s="1" t="str">
        <f>Data!A54&amp;"||"&amp;Data!B54</f>
        <v>Miscellaneous/subflow/irmifrs9_data_quality.bpmn||021_00_10</v>
      </c>
      <c r="B54" s="19"/>
      <c r="C54" s="24" t="b">
        <f>AND(UPPER(Data!A54)&lt;&gt;"EMPTY",Data!B54&lt;&gt;"")</f>
        <v>1</v>
      </c>
      <c r="D54" s="1"/>
      <c r="E54" s="25" t="b">
        <f t="shared" ca="1" si="0"/>
        <v>1</v>
      </c>
      <c r="F54" s="26" t="b">
        <f ca="1">IF(UPPER(Data!C54)="SUB PROCESS",NOT(ISERROR(MATCH(RIGHT(Data!BY54,LEN(Data!BY54)-5),OFFSET(Data,0,0,ItemsCount,1),0))),TRUE)</f>
        <v>1</v>
      </c>
      <c r="G54" s="26" t="b">
        <f ca="1">IF(MID(UPPER(Data!A54),1,13)="MISCELLANEOUS",NOT(ISERROR(MATCH("path="&amp;Data!A54,OFFSET(Data,0,76,ItemsCount,1),0))),TRUE)</f>
        <v>1</v>
      </c>
      <c r="L54" s="25" t="b">
        <f t="shared" ca="1" si="1"/>
        <v>1</v>
      </c>
      <c r="M54" s="24" t="b">
        <f>IF(Checks!$C54,Data!A54&lt;&gt;"",TRUE)</f>
        <v>1</v>
      </c>
      <c r="N54" s="26" t="b">
        <f>IF(Checks!C54,Data!B54&lt;&gt;"",TRUE)</f>
        <v>1</v>
      </c>
      <c r="O54" s="26" t="b">
        <f>IF(Checks!C54,IF(AND(UPPER(Data!C54)="SERVICE TASK",UPPER(Data!BZ54)="TYPE=SAS"),NodeExists(TRIM(RIGHT(Data!CA54,LEN(Data!CA54)-FIND("=",Data!CA54)))),TRUE),TRUE)</f>
        <v>1</v>
      </c>
      <c r="P54" s="26" t="b">
        <f>IF(Checks!C54,IF(Data!C54="DATA OBJECT",OR(AND(Data!BW54&lt;&gt;"",Data!BX54=""),AND(Data!BW54="",Data!BX54&lt;&gt;"")),TRUE),TRUE)</f>
        <v>1</v>
      </c>
      <c r="Q54" s="26" t="b">
        <f>IF(Checks!C54,UPPER(RIGHT(Data!A54,5))=".BPMN",TRUE)</f>
        <v>1</v>
      </c>
      <c r="R54" s="26" t="b">
        <f>IF(Checks!C54,IF(UPPER(Data!C54)="SUB PROCESS",UPPER(RIGHT(Data!BY54,5))=".BPMN",TRUE),TRUE)</f>
        <v>1</v>
      </c>
      <c r="S54" s="26" t="b">
        <f>IF(Checks!C54,IF(UPPER(Data!C54)="SERVICE TASK",IF(UPPER(Data!BZ54)="TYPE=SAS",UPPER(RIGHT(Data!CA54,4))=".SAS",TRUE),TRUE),TRUE)</f>
        <v>1</v>
      </c>
      <c r="T54" s="26" t="b">
        <f>IF(Checks!C54,IF(Data!B54&lt;&gt;"",Data!D54&lt;&gt;"",TRUE),TRUE)</f>
        <v>1</v>
      </c>
      <c r="U54" s="26" t="b">
        <f ca="1">IF(Checks!C54,IF(UPPER(Data!C54)="DATA OBJECT",NOT(ISERROR(MATCH(Data!A54&amp;"||"&amp;Data!BW54&amp;Data!BX54,Key,0))),TRUE),TRUE)</f>
        <v>1</v>
      </c>
      <c r="V54" s="26" t="b">
        <f>IF(Checks!C54,IF(UPPER(Data!C54)="SUB PROCESS",Data!BY54&lt;&gt;"",TRUE),TRUE)</f>
        <v>1</v>
      </c>
      <c r="W54" s="26" t="b">
        <f>IF(Checks!C54,IF(UPPER(Data!C54)="SERVICE TASK",AND(Data!BZ54&lt;&gt;"",Data!CA54&lt;&gt;""),TRUE),TRUE)</f>
        <v>1</v>
      </c>
      <c r="X54" s="26" t="b">
        <f t="array" aca="1" ref="X54" ca="1">SUM((OFFSET(Data!B54,MAX(ROW(Data!$B$5)-ROW(Data!B54),-200),0,400,1)=Data!B54)*(OFFSET(Data!A54,MAX(ROW(Data!$B$5)-ROW(Data!B54),-200),0,400,1)=Data!A54))=1</f>
        <v>1</v>
      </c>
      <c r="Y54" s="26" t="b">
        <f t="array" aca="1" ref="Y54" ca="1">IF(UPPER(Data!C54)="START",SUM((OFFSET(Data!C54,MAX(ROW(Data!$C$5)-ROW(Data!C54),-200),0,400,1)="START")*(OFFSET(Data!A54,MAX(ROW(Data!$B$5)-ROW(Data!B54),-200),0,400,1)=Data!A54))=1,TRUE)</f>
        <v>1</v>
      </c>
      <c r="Z54" s="26" t="b">
        <f t="array" aca="1" ref="Z54" ca="1">IF(UPPER(Data!C54)="END",SUM((OFFSET(Data!C54,MAX(ROW(Data!$C$5)-ROW(Data!C54),-200),0,400,1)="END")*(OFFSET(Data!A54,MAX(ROW(Data!$B$5)-ROW(Data!B54),-200),0,400,1)=Data!A54))=1,TRUE)</f>
        <v>1</v>
      </c>
      <c r="AA54" s="26" t="b">
        <f>IF(Checks!C54,ISERROR(FIND("&amp;",Data!D54)),TRUE)</f>
        <v>1</v>
      </c>
      <c r="AB54" s="26" t="b">
        <f>IF(Checks!$C54,IF(AND(UPPER(Data!$C54)&lt;&gt;"START",UPPER(Data!$C54)&lt;&gt;"DATA OBJECT",Data!E54&lt;&gt;""),NOT(ISERROR(MATCH(Data!$A54&amp;"||"&amp;Data!E54,Key,0))),TRUE),TRUE)</f>
        <v>1</v>
      </c>
      <c r="AC54" s="27" t="b">
        <f>IF(Checks!C54,IF(UPPER(Data!C54)="END",Data!E54&lt;&gt;"",TRUE),TRUE)</f>
        <v>1</v>
      </c>
    </row>
    <row r="55" spans="1:29" x14ac:dyDescent="0.25">
      <c r="A55" s="1" t="str">
        <f>Data!A55&amp;"||"&amp;Data!B55</f>
        <v>Miscellaneous/subflow/irmifrs9_data_quality.bpmn||021_00_11</v>
      </c>
      <c r="B55" s="19"/>
      <c r="C55" s="24" t="b">
        <f>AND(UPPER(Data!A55)&lt;&gt;"EMPTY",Data!B55&lt;&gt;"")</f>
        <v>1</v>
      </c>
      <c r="D55" s="1"/>
      <c r="E55" s="25" t="b">
        <f t="shared" ca="1" si="0"/>
        <v>1</v>
      </c>
      <c r="F55" s="26" t="b">
        <f ca="1">IF(UPPER(Data!C55)="SUB PROCESS",NOT(ISERROR(MATCH(RIGHT(Data!BY55,LEN(Data!BY55)-5),OFFSET(Data,0,0,ItemsCount,1),0))),TRUE)</f>
        <v>1</v>
      </c>
      <c r="G55" s="26" t="b">
        <f ca="1">IF(MID(UPPER(Data!A55),1,13)="MISCELLANEOUS",NOT(ISERROR(MATCH("path="&amp;Data!A55,OFFSET(Data,0,76,ItemsCount,1),0))),TRUE)</f>
        <v>1</v>
      </c>
      <c r="L55" s="25" t="b">
        <f t="shared" ca="1" si="1"/>
        <v>1</v>
      </c>
      <c r="M55" s="24" t="b">
        <f>IF(Checks!$C55,Data!A55&lt;&gt;"",TRUE)</f>
        <v>1</v>
      </c>
      <c r="N55" s="26" t="b">
        <f>IF(Checks!C55,Data!B55&lt;&gt;"",TRUE)</f>
        <v>1</v>
      </c>
      <c r="O55" s="26" t="b">
        <f>IF(Checks!C55,IF(AND(UPPER(Data!C55)="SERVICE TASK",UPPER(Data!BZ55)="TYPE=SAS"),NodeExists(TRIM(RIGHT(Data!CA55,LEN(Data!CA55)-FIND("=",Data!CA55)))),TRUE),TRUE)</f>
        <v>1</v>
      </c>
      <c r="P55" s="26" t="b">
        <f>IF(Checks!C55,IF(Data!C55="DATA OBJECT",OR(AND(Data!BW55&lt;&gt;"",Data!BX55=""),AND(Data!BW55="",Data!BX55&lt;&gt;"")),TRUE),TRUE)</f>
        <v>1</v>
      </c>
      <c r="Q55" s="26" t="b">
        <f>IF(Checks!C55,UPPER(RIGHT(Data!A55,5))=".BPMN",TRUE)</f>
        <v>1</v>
      </c>
      <c r="R55" s="26" t="b">
        <f>IF(Checks!C55,IF(UPPER(Data!C55)="SUB PROCESS",UPPER(RIGHT(Data!BY55,5))=".BPMN",TRUE),TRUE)</f>
        <v>1</v>
      </c>
      <c r="S55" s="26" t="b">
        <f>IF(Checks!C55,IF(UPPER(Data!C55)="SERVICE TASK",IF(UPPER(Data!BZ55)="TYPE=SAS",UPPER(RIGHT(Data!CA55,4))=".SAS",TRUE),TRUE),TRUE)</f>
        <v>1</v>
      </c>
      <c r="T55" s="26" t="b">
        <f>IF(Checks!C55,IF(Data!B55&lt;&gt;"",Data!D55&lt;&gt;"",TRUE),TRUE)</f>
        <v>1</v>
      </c>
      <c r="U55" s="26" t="b">
        <f ca="1">IF(Checks!C55,IF(UPPER(Data!C55)="DATA OBJECT",NOT(ISERROR(MATCH(Data!A55&amp;"||"&amp;Data!BW55&amp;Data!BX55,Key,0))),TRUE),TRUE)</f>
        <v>1</v>
      </c>
      <c r="V55" s="26" t="b">
        <f>IF(Checks!C55,IF(UPPER(Data!C55)="SUB PROCESS",Data!BY55&lt;&gt;"",TRUE),TRUE)</f>
        <v>1</v>
      </c>
      <c r="W55" s="26" t="b">
        <f>IF(Checks!C55,IF(UPPER(Data!C55)="SERVICE TASK",AND(Data!BZ55&lt;&gt;"",Data!CA55&lt;&gt;""),TRUE),TRUE)</f>
        <v>1</v>
      </c>
      <c r="X55" s="26" t="b">
        <f t="array" aca="1" ref="X55" ca="1">SUM((OFFSET(Data!B55,MAX(ROW(Data!$B$5)-ROW(Data!B55),-200),0,400,1)=Data!B55)*(OFFSET(Data!A55,MAX(ROW(Data!$B$5)-ROW(Data!B55),-200),0,400,1)=Data!A55))=1</f>
        <v>1</v>
      </c>
      <c r="Y55" s="26" t="b">
        <f t="array" aca="1" ref="Y55" ca="1">IF(UPPER(Data!C55)="START",SUM((OFFSET(Data!C55,MAX(ROW(Data!$C$5)-ROW(Data!C55),-200),0,400,1)="START")*(OFFSET(Data!A55,MAX(ROW(Data!$B$5)-ROW(Data!B55),-200),0,400,1)=Data!A55))=1,TRUE)</f>
        <v>1</v>
      </c>
      <c r="Z55" s="26" t="b">
        <f t="array" aca="1" ref="Z55" ca="1">IF(UPPER(Data!C55)="END",SUM((OFFSET(Data!C55,MAX(ROW(Data!$C$5)-ROW(Data!C55),-200),0,400,1)="END")*(OFFSET(Data!A55,MAX(ROW(Data!$B$5)-ROW(Data!B55),-200),0,400,1)=Data!A55))=1,TRUE)</f>
        <v>1</v>
      </c>
      <c r="AA55" s="26" t="b">
        <f>IF(Checks!C55,ISERROR(FIND("&amp;",Data!D55)),TRUE)</f>
        <v>1</v>
      </c>
      <c r="AB55" s="26" t="b">
        <f>IF(Checks!$C55,IF(AND(UPPER(Data!$C55)&lt;&gt;"START",UPPER(Data!$C55)&lt;&gt;"DATA OBJECT",Data!E55&lt;&gt;""),NOT(ISERROR(MATCH(Data!$A55&amp;"||"&amp;Data!E55,Key,0))),TRUE),TRUE)</f>
        <v>1</v>
      </c>
      <c r="AC55" s="27" t="b">
        <f>IF(Checks!C55,IF(UPPER(Data!C55)="END",Data!E55&lt;&gt;"",TRUE),TRUE)</f>
        <v>1</v>
      </c>
    </row>
    <row r="56" spans="1:29" x14ac:dyDescent="0.25">
      <c r="A56" s="1" t="str">
        <f>Data!A56&amp;"||"&amp;Data!B56</f>
        <v>Miscellaneous/subflow/irmifrs9_data_quality.bpmn||021_06_00</v>
      </c>
      <c r="B56" s="19"/>
      <c r="C56" s="24" t="b">
        <f>AND(UPPER(Data!A56)&lt;&gt;"EMPTY",Data!B56&lt;&gt;"")</f>
        <v>1</v>
      </c>
      <c r="D56" s="1"/>
      <c r="E56" s="25" t="b">
        <f t="shared" ca="1" si="0"/>
        <v>1</v>
      </c>
      <c r="F56" s="26" t="b">
        <f ca="1">IF(UPPER(Data!C56)="SUB PROCESS",NOT(ISERROR(MATCH(RIGHT(Data!BY56,LEN(Data!BY56)-5),OFFSET(Data,0,0,ItemsCount,1),0))),TRUE)</f>
        <v>1</v>
      </c>
      <c r="G56" s="26" t="b">
        <f ca="1">IF(MID(UPPER(Data!A56),1,13)="MISCELLANEOUS",NOT(ISERROR(MATCH("path="&amp;Data!A56,OFFSET(Data,0,76,ItemsCount,1),0))),TRUE)</f>
        <v>1</v>
      </c>
      <c r="L56" s="25" t="b">
        <f t="shared" ca="1" si="1"/>
        <v>1</v>
      </c>
      <c r="M56" s="24" t="b">
        <f>IF(Checks!$C56,Data!A56&lt;&gt;"",TRUE)</f>
        <v>1</v>
      </c>
      <c r="N56" s="26" t="b">
        <f>IF(Checks!C56,Data!B56&lt;&gt;"",TRUE)</f>
        <v>1</v>
      </c>
      <c r="O56" s="26" t="b">
        <f>IF(Checks!C56,IF(AND(UPPER(Data!C56)="SERVICE TASK",UPPER(Data!BZ56)="TYPE=SAS"),NodeExists(TRIM(RIGHT(Data!CA56,LEN(Data!CA56)-FIND("=",Data!CA56)))),TRUE),TRUE)</f>
        <v>1</v>
      </c>
      <c r="P56" s="26" t="b">
        <f>IF(Checks!C56,IF(Data!C56="DATA OBJECT",OR(AND(Data!BW56&lt;&gt;"",Data!BX56=""),AND(Data!BW56="",Data!BX56&lt;&gt;"")),TRUE),TRUE)</f>
        <v>1</v>
      </c>
      <c r="Q56" s="26" t="b">
        <f>IF(Checks!C56,UPPER(RIGHT(Data!A56,5))=".BPMN",TRUE)</f>
        <v>1</v>
      </c>
      <c r="R56" s="26" t="b">
        <f>IF(Checks!C56,IF(UPPER(Data!C56)="SUB PROCESS",UPPER(RIGHT(Data!BY56,5))=".BPMN",TRUE),TRUE)</f>
        <v>1</v>
      </c>
      <c r="S56" s="26" t="b">
        <f>IF(Checks!C56,IF(UPPER(Data!C56)="SERVICE TASK",IF(UPPER(Data!BZ56)="TYPE=SAS",UPPER(RIGHT(Data!CA56,4))=".SAS",TRUE),TRUE),TRUE)</f>
        <v>1</v>
      </c>
      <c r="T56" s="26" t="b">
        <f>IF(Checks!C56,IF(Data!B56&lt;&gt;"",Data!D56&lt;&gt;"",TRUE),TRUE)</f>
        <v>1</v>
      </c>
      <c r="U56" s="26" t="b">
        <f ca="1">IF(Checks!C56,IF(UPPER(Data!C56)="DATA OBJECT",NOT(ISERROR(MATCH(Data!A56&amp;"||"&amp;Data!BW56&amp;Data!BX56,Key,0))),TRUE),TRUE)</f>
        <v>1</v>
      </c>
      <c r="V56" s="26" t="b">
        <f>IF(Checks!C56,IF(UPPER(Data!C56)="SUB PROCESS",Data!BY56&lt;&gt;"",TRUE),TRUE)</f>
        <v>1</v>
      </c>
      <c r="W56" s="26" t="b">
        <f>IF(Checks!C56,IF(UPPER(Data!C56)="SERVICE TASK",AND(Data!BZ56&lt;&gt;"",Data!CA56&lt;&gt;""),TRUE),TRUE)</f>
        <v>1</v>
      </c>
      <c r="X56" s="26" t="b">
        <f t="array" aca="1" ref="X56" ca="1">SUM((OFFSET(Data!B56,MAX(ROW(Data!$B$5)-ROW(Data!B56),-200),0,400,1)=Data!B56)*(OFFSET(Data!A56,MAX(ROW(Data!$B$5)-ROW(Data!B56),-200),0,400,1)=Data!A56))=1</f>
        <v>1</v>
      </c>
      <c r="Y56" s="26" t="b">
        <f t="array" aca="1" ref="Y56" ca="1">IF(UPPER(Data!C56)="START",SUM((OFFSET(Data!C56,MAX(ROW(Data!$C$5)-ROW(Data!C56),-200),0,400,1)="START")*(OFFSET(Data!A56,MAX(ROW(Data!$B$5)-ROW(Data!B56),-200),0,400,1)=Data!A56))=1,TRUE)</f>
        <v>1</v>
      </c>
      <c r="Z56" s="26" t="b">
        <f t="array" aca="1" ref="Z56" ca="1">IF(UPPER(Data!C56)="END",SUM((OFFSET(Data!C56,MAX(ROW(Data!$C$5)-ROW(Data!C56),-200),0,400,1)="END")*(OFFSET(Data!A56,MAX(ROW(Data!$B$5)-ROW(Data!B56),-200),0,400,1)=Data!A56))=1,TRUE)</f>
        <v>1</v>
      </c>
      <c r="AA56" s="26" t="b">
        <f>IF(Checks!C56,ISERROR(FIND("&amp;",Data!D56)),TRUE)</f>
        <v>1</v>
      </c>
      <c r="AB56" s="26" t="b">
        <f>IF(Checks!$C56,IF(AND(UPPER(Data!$C56)&lt;&gt;"START",UPPER(Data!$C56)&lt;&gt;"DATA OBJECT",Data!E56&lt;&gt;""),NOT(ISERROR(MATCH(Data!$A56&amp;"||"&amp;Data!E56,Key,0))),TRUE),TRUE)</f>
        <v>1</v>
      </c>
      <c r="AC56" s="27" t="b">
        <f>IF(Checks!C56,IF(UPPER(Data!C56)="END",Data!E56&lt;&gt;"",TRUE),TRUE)</f>
        <v>1</v>
      </c>
    </row>
    <row r="57" spans="1:29" x14ac:dyDescent="0.25">
      <c r="A57" s="1" t="str">
        <f>Data!A57&amp;"||"&amp;Data!B57</f>
        <v>Miscellaneous/subflow/irmifrs9_data_quality.bpmn||025</v>
      </c>
      <c r="B57" s="19"/>
      <c r="C57" s="24" t="b">
        <f>AND(UPPER(Data!A57)&lt;&gt;"EMPTY",Data!B57&lt;&gt;"")</f>
        <v>1</v>
      </c>
      <c r="D57" s="1"/>
      <c r="E57" s="25" t="b">
        <f t="shared" ca="1" si="0"/>
        <v>1</v>
      </c>
      <c r="F57" s="26" t="b">
        <f ca="1">IF(UPPER(Data!C57)="SUB PROCESS",NOT(ISERROR(MATCH(RIGHT(Data!BY57,LEN(Data!BY57)-5),OFFSET(Data,0,0,ItemsCount,1),0))),TRUE)</f>
        <v>1</v>
      </c>
      <c r="G57" s="26" t="b">
        <f ca="1">IF(MID(UPPER(Data!A57),1,13)="MISCELLANEOUS",NOT(ISERROR(MATCH("path="&amp;Data!A57,OFFSET(Data,0,76,ItemsCount,1),0))),TRUE)</f>
        <v>1</v>
      </c>
      <c r="L57" s="25" t="b">
        <f t="shared" ca="1" si="1"/>
        <v>1</v>
      </c>
      <c r="M57" s="24" t="b">
        <f>IF(Checks!$C57,Data!A57&lt;&gt;"",TRUE)</f>
        <v>1</v>
      </c>
      <c r="N57" s="26" t="b">
        <f>IF(Checks!C57,Data!B57&lt;&gt;"",TRUE)</f>
        <v>1</v>
      </c>
      <c r="O57" s="26" t="b">
        <f>IF(Checks!C57,IF(AND(UPPER(Data!C57)="SERVICE TASK",UPPER(Data!BZ57)="TYPE=SAS"),NodeExists(TRIM(RIGHT(Data!CA57,LEN(Data!CA57)-FIND("=",Data!CA57)))),TRUE),TRUE)</f>
        <v>1</v>
      </c>
      <c r="P57" s="26" t="b">
        <f>IF(Checks!C57,IF(Data!C57="DATA OBJECT",OR(AND(Data!BW57&lt;&gt;"",Data!BX57=""),AND(Data!BW57="",Data!BX57&lt;&gt;"")),TRUE),TRUE)</f>
        <v>1</v>
      </c>
      <c r="Q57" s="26" t="b">
        <f>IF(Checks!C57,UPPER(RIGHT(Data!A57,5))=".BPMN",TRUE)</f>
        <v>1</v>
      </c>
      <c r="R57" s="26" t="b">
        <f>IF(Checks!C57,IF(UPPER(Data!C57)="SUB PROCESS",UPPER(RIGHT(Data!BY57,5))=".BPMN",TRUE),TRUE)</f>
        <v>1</v>
      </c>
      <c r="S57" s="26" t="b">
        <f>IF(Checks!C57,IF(UPPER(Data!C57)="SERVICE TASK",IF(UPPER(Data!BZ57)="TYPE=SAS",UPPER(RIGHT(Data!CA57,4))=".SAS",TRUE),TRUE),TRUE)</f>
        <v>1</v>
      </c>
      <c r="T57" s="26" t="b">
        <f>IF(Checks!C57,IF(Data!B57&lt;&gt;"",Data!D57&lt;&gt;"",TRUE),TRUE)</f>
        <v>1</v>
      </c>
      <c r="U57" s="26" t="b">
        <f>IF(Checks!C57,IF(UPPER(Data!C57)="DATA OBJECT",NOT(ISERROR(MATCH(Data!A57&amp;"||"&amp;Data!BW57&amp;Data!BX57,Key,0))),TRUE),TRUE)</f>
        <v>1</v>
      </c>
      <c r="V57" s="26" t="b">
        <f>IF(Checks!C57,IF(UPPER(Data!C57)="SUB PROCESS",Data!BY57&lt;&gt;"",TRUE),TRUE)</f>
        <v>1</v>
      </c>
      <c r="W57" s="26" t="b">
        <f>IF(Checks!C57,IF(UPPER(Data!C57)="SERVICE TASK",AND(Data!BZ57&lt;&gt;"",Data!CA57&lt;&gt;""),TRUE),TRUE)</f>
        <v>1</v>
      </c>
      <c r="X57" s="26" t="b">
        <f t="array" aca="1" ref="X57" ca="1">SUM((OFFSET(Data!B57,MAX(ROW(Data!$B$5)-ROW(Data!B57),-200),0,400,1)=Data!B57)*(OFFSET(Data!A57,MAX(ROW(Data!$B$5)-ROW(Data!B57),-200),0,400,1)=Data!A57))=1</f>
        <v>1</v>
      </c>
      <c r="Y57" s="26" t="b">
        <f t="array" aca="1" ref="Y57" ca="1">IF(UPPER(Data!C57)="START",SUM((OFFSET(Data!C57,MAX(ROW(Data!$C$5)-ROW(Data!C57),-200),0,400,1)="START")*(OFFSET(Data!A57,MAX(ROW(Data!$B$5)-ROW(Data!B57),-200),0,400,1)=Data!A57))=1,TRUE)</f>
        <v>1</v>
      </c>
      <c r="Z57" s="26" t="b">
        <f t="array" aca="1" ref="Z57" ca="1">IF(UPPER(Data!C57)="END",SUM((OFFSET(Data!C57,MAX(ROW(Data!$C$5)-ROW(Data!C57),-200),0,400,1)="END")*(OFFSET(Data!A57,MAX(ROW(Data!$B$5)-ROW(Data!B57),-200),0,400,1)=Data!A57))=1,TRUE)</f>
        <v>1</v>
      </c>
      <c r="AA57" s="26" t="b">
        <f>IF(Checks!C57,ISERROR(FIND("&amp;",Data!D57)),TRUE)</f>
        <v>1</v>
      </c>
      <c r="AB57" s="26" t="b">
        <f ca="1">IF(Checks!$C57,IF(AND(UPPER(Data!$C57)&lt;&gt;"START",UPPER(Data!$C57)&lt;&gt;"DATA OBJECT",Data!E57&lt;&gt;""),NOT(ISERROR(MATCH(Data!$A57&amp;"||"&amp;Data!E57,Key,0))),TRUE),TRUE)</f>
        <v>1</v>
      </c>
      <c r="AC57" s="27" t="b">
        <f>IF(Checks!C57,IF(UPPER(Data!C57)="END",Data!E57&lt;&gt;"",TRUE),TRUE)</f>
        <v>1</v>
      </c>
    </row>
    <row r="58" spans="1:29" x14ac:dyDescent="0.25">
      <c r="A58" s="1" t="str">
        <f>Data!A58&amp;"||"&amp;Data!B58</f>
        <v>Miscellaneous/subflow/irmifrs9_init.bpmn||002</v>
      </c>
      <c r="B58" s="19"/>
      <c r="C58" s="24" t="b">
        <f>AND(UPPER(Data!A58)&lt;&gt;"EMPTY",Data!B58&lt;&gt;"")</f>
        <v>1</v>
      </c>
      <c r="D58" s="1"/>
      <c r="E58" s="25" t="b">
        <f t="shared" ca="1" si="0"/>
        <v>1</v>
      </c>
      <c r="F58" s="26" t="b">
        <f ca="1">IF(UPPER(Data!C58)="SUB PROCESS",NOT(ISERROR(MATCH(RIGHT(Data!BY58,LEN(Data!BY58)-5),OFFSET(Data,0,0,ItemsCount,1),0))),TRUE)</f>
        <v>1</v>
      </c>
      <c r="G58" s="26" t="b">
        <f ca="1">IF(MID(UPPER(Data!A58),1,13)="MISCELLANEOUS",NOT(ISERROR(MATCH("path="&amp;Data!A58,OFFSET(Data,0,76,ItemsCount,1),0))),TRUE)</f>
        <v>1</v>
      </c>
      <c r="L58" s="25" t="b">
        <f t="shared" ca="1" si="1"/>
        <v>1</v>
      </c>
      <c r="M58" s="24" t="b">
        <f>IF(Checks!$C58,Data!A58&lt;&gt;"",TRUE)</f>
        <v>1</v>
      </c>
      <c r="N58" s="26" t="b">
        <f>IF(Checks!C58,Data!B58&lt;&gt;"",TRUE)</f>
        <v>1</v>
      </c>
      <c r="O58" s="26" t="b">
        <f>IF(Checks!C58,IF(AND(UPPER(Data!C58)="SERVICE TASK",UPPER(Data!BZ58)="TYPE=SAS"),NodeExists(TRIM(RIGHT(Data!CA58,LEN(Data!CA58)-FIND("=",Data!CA58)))),TRUE),TRUE)</f>
        <v>1</v>
      </c>
      <c r="P58" s="26" t="b">
        <f>IF(Checks!C58,IF(Data!C58="DATA OBJECT",OR(AND(Data!BW58&lt;&gt;"",Data!BX58=""),AND(Data!BW58="",Data!BX58&lt;&gt;"")),TRUE),TRUE)</f>
        <v>1</v>
      </c>
      <c r="Q58" s="26" t="b">
        <f>IF(Checks!C58,UPPER(RIGHT(Data!A58,5))=".BPMN",TRUE)</f>
        <v>1</v>
      </c>
      <c r="R58" s="26" t="b">
        <f>IF(Checks!C58,IF(UPPER(Data!C58)="SUB PROCESS",UPPER(RIGHT(Data!BY58,5))=".BPMN",TRUE),TRUE)</f>
        <v>1</v>
      </c>
      <c r="S58" s="26" t="b">
        <f>IF(Checks!C58,IF(UPPER(Data!C58)="SERVICE TASK",IF(UPPER(Data!BZ58)="TYPE=SAS",UPPER(RIGHT(Data!CA58,4))=".SAS",TRUE),TRUE),TRUE)</f>
        <v>1</v>
      </c>
      <c r="T58" s="26" t="b">
        <f>IF(Checks!C58,IF(Data!B58&lt;&gt;"",Data!D58&lt;&gt;"",TRUE),TRUE)</f>
        <v>1</v>
      </c>
      <c r="U58" s="26" t="b">
        <f>IF(Checks!C58,IF(UPPER(Data!C58)="DATA OBJECT",NOT(ISERROR(MATCH(Data!A58&amp;"||"&amp;Data!BW58&amp;Data!BX58,Key,0))),TRUE),TRUE)</f>
        <v>1</v>
      </c>
      <c r="V58" s="26" t="b">
        <f>IF(Checks!C58,IF(UPPER(Data!C58)="SUB PROCESS",Data!BY58&lt;&gt;"",TRUE),TRUE)</f>
        <v>1</v>
      </c>
      <c r="W58" s="26" t="b">
        <f>IF(Checks!C58,IF(UPPER(Data!C58)="SERVICE TASK",AND(Data!BZ58&lt;&gt;"",Data!CA58&lt;&gt;""),TRUE),TRUE)</f>
        <v>1</v>
      </c>
      <c r="X58" s="26" t="b">
        <f t="array" aca="1" ref="X58" ca="1">SUM((OFFSET(Data!B58,MAX(ROW(Data!$B$5)-ROW(Data!B58),-200),0,400,1)=Data!B58)*(OFFSET(Data!A58,MAX(ROW(Data!$B$5)-ROW(Data!B58),-200),0,400,1)=Data!A58))=1</f>
        <v>1</v>
      </c>
      <c r="Y58" s="26" t="b">
        <f t="array" aca="1" ref="Y58" ca="1">IF(UPPER(Data!C58)="START",SUM((OFFSET(Data!C58,MAX(ROW(Data!$C$5)-ROW(Data!C58),-200),0,400,1)="START")*(OFFSET(Data!A58,MAX(ROW(Data!$B$5)-ROW(Data!B58),-200),0,400,1)=Data!A58))=1,TRUE)</f>
        <v>1</v>
      </c>
      <c r="Z58" s="26" t="b">
        <f t="array" aca="1" ref="Z58" ca="1">IF(UPPER(Data!C58)="END",SUM((OFFSET(Data!C58,MAX(ROW(Data!$C$5)-ROW(Data!C58),-200),0,400,1)="END")*(OFFSET(Data!A58,MAX(ROW(Data!$B$5)-ROW(Data!B58),-200),0,400,1)=Data!A58))=1,TRUE)</f>
        <v>1</v>
      </c>
      <c r="AA58" s="26" t="b">
        <f>IF(Checks!C58,ISERROR(FIND("&amp;",Data!D58)),TRUE)</f>
        <v>1</v>
      </c>
      <c r="AB58" s="26" t="b">
        <f>IF(Checks!$C58,IF(AND(UPPER(Data!$C58)&lt;&gt;"START",UPPER(Data!$C58)&lt;&gt;"DATA OBJECT",Data!E58&lt;&gt;""),NOT(ISERROR(MATCH(Data!$A58&amp;"||"&amp;Data!E58,Key,0))),TRUE),TRUE)</f>
        <v>1</v>
      </c>
      <c r="AC58" s="27" t="b">
        <f>IF(Checks!C58,IF(UPPER(Data!C58)="END",Data!E58&lt;&gt;"",TRUE),TRUE)</f>
        <v>1</v>
      </c>
    </row>
    <row r="59" spans="1:29" x14ac:dyDescent="0.25">
      <c r="A59" s="1" t="str">
        <f>Data!A59&amp;"||"&amp;Data!B59</f>
        <v>Miscellaneous/subflow/irmifrs9_init.bpmn||003</v>
      </c>
      <c r="B59" s="19"/>
      <c r="C59" s="24" t="b">
        <f>AND(UPPER(Data!A59)&lt;&gt;"EMPTY",Data!B59&lt;&gt;"")</f>
        <v>1</v>
      </c>
      <c r="D59" s="1"/>
      <c r="E59" s="25" t="b">
        <f t="shared" ca="1" si="0"/>
        <v>1</v>
      </c>
      <c r="F59" s="26" t="b">
        <f ca="1">IF(UPPER(Data!C59)="SUB PROCESS",NOT(ISERROR(MATCH(RIGHT(Data!BY59,LEN(Data!BY59)-5),OFFSET(Data,0,0,ItemsCount,1),0))),TRUE)</f>
        <v>1</v>
      </c>
      <c r="G59" s="26" t="b">
        <f ca="1">IF(MID(UPPER(Data!A59),1,13)="MISCELLANEOUS",NOT(ISERROR(MATCH("path="&amp;Data!A59,OFFSET(Data,0,76,ItemsCount,1),0))),TRUE)</f>
        <v>1</v>
      </c>
      <c r="L59" s="25" t="b">
        <f t="shared" ca="1" si="1"/>
        <v>1</v>
      </c>
      <c r="M59" s="24" t="b">
        <f>IF(Checks!$C59,Data!A59&lt;&gt;"",TRUE)</f>
        <v>1</v>
      </c>
      <c r="N59" s="26" t="b">
        <f>IF(Checks!C59,Data!B59&lt;&gt;"",TRUE)</f>
        <v>1</v>
      </c>
      <c r="O59" s="26" t="b">
        <f>IF(Checks!C59,IF(AND(UPPER(Data!C59)="SERVICE TASK",UPPER(Data!BZ59)="TYPE=SAS"),NodeExists(TRIM(RIGHT(Data!CA59,LEN(Data!CA59)-FIND("=",Data!CA59)))),TRUE),TRUE)</f>
        <v>1</v>
      </c>
      <c r="P59" s="26" t="b">
        <f>IF(Checks!C59,IF(Data!C59="DATA OBJECT",OR(AND(Data!BW59&lt;&gt;"",Data!BX59=""),AND(Data!BW59="",Data!BX59&lt;&gt;"")),TRUE),TRUE)</f>
        <v>1</v>
      </c>
      <c r="Q59" s="26" t="b">
        <f>IF(Checks!C59,UPPER(RIGHT(Data!A59,5))=".BPMN",TRUE)</f>
        <v>1</v>
      </c>
      <c r="R59" s="26" t="b">
        <f>IF(Checks!C59,IF(UPPER(Data!C59)="SUB PROCESS",UPPER(RIGHT(Data!BY59,5))=".BPMN",TRUE),TRUE)</f>
        <v>1</v>
      </c>
      <c r="S59" s="26" t="b">
        <f>IF(Checks!C59,IF(UPPER(Data!C59)="SERVICE TASK",IF(UPPER(Data!BZ59)="TYPE=SAS",UPPER(RIGHT(Data!CA59,4))=".SAS",TRUE),TRUE),TRUE)</f>
        <v>1</v>
      </c>
      <c r="T59" s="26" t="b">
        <f>IF(Checks!C59,IF(Data!B59&lt;&gt;"",Data!D59&lt;&gt;"",TRUE),TRUE)</f>
        <v>1</v>
      </c>
      <c r="U59" s="26" t="b">
        <f>IF(Checks!C59,IF(UPPER(Data!C59)="DATA OBJECT",NOT(ISERROR(MATCH(Data!A59&amp;"||"&amp;Data!BW59&amp;Data!BX59,Key,0))),TRUE),TRUE)</f>
        <v>1</v>
      </c>
      <c r="V59" s="26" t="b">
        <f>IF(Checks!C59,IF(UPPER(Data!C59)="SUB PROCESS",Data!BY59&lt;&gt;"",TRUE),TRUE)</f>
        <v>1</v>
      </c>
      <c r="W59" s="26" t="b">
        <f>IF(Checks!C59,IF(UPPER(Data!C59)="SERVICE TASK",AND(Data!BZ59&lt;&gt;"",Data!CA59&lt;&gt;""),TRUE),TRUE)</f>
        <v>1</v>
      </c>
      <c r="X59" s="26" t="b">
        <f t="array" aca="1" ref="X59" ca="1">SUM((OFFSET(Data!B59,MAX(ROW(Data!$B$5)-ROW(Data!B59),-200),0,400,1)=Data!B59)*(OFFSET(Data!A59,MAX(ROW(Data!$B$5)-ROW(Data!B59),-200),0,400,1)=Data!A59))=1</f>
        <v>1</v>
      </c>
      <c r="Y59" s="26" t="b">
        <f t="array" aca="1" ref="Y59" ca="1">IF(UPPER(Data!C59)="START",SUM((OFFSET(Data!C59,MAX(ROW(Data!$C$5)-ROW(Data!C59),-200),0,400,1)="START")*(OFFSET(Data!A59,MAX(ROW(Data!$B$5)-ROW(Data!B59),-200),0,400,1)=Data!A59))=1,TRUE)</f>
        <v>1</v>
      </c>
      <c r="Z59" s="26" t="b">
        <f t="array" aca="1" ref="Z59" ca="1">IF(UPPER(Data!C59)="END",SUM((OFFSET(Data!C59,MAX(ROW(Data!$C$5)-ROW(Data!C59),-200),0,400,1)="END")*(OFFSET(Data!A59,MAX(ROW(Data!$B$5)-ROW(Data!B59),-200),0,400,1)=Data!A59))=1,TRUE)</f>
        <v>1</v>
      </c>
      <c r="AA59" s="26" t="b">
        <f>IF(Checks!C59,ISERROR(FIND("&amp;",Data!D59)),TRUE)</f>
        <v>1</v>
      </c>
      <c r="AB59" s="26" t="b">
        <f ca="1">IF(Checks!$C59,IF(AND(UPPER(Data!$C59)&lt;&gt;"START",UPPER(Data!$C59)&lt;&gt;"DATA OBJECT",Data!E59&lt;&gt;""),NOT(ISERROR(MATCH(Data!$A59&amp;"||"&amp;Data!E59,Key,0))),TRUE),TRUE)</f>
        <v>1</v>
      </c>
      <c r="AC59" s="27" t="b">
        <f>IF(Checks!C59,IF(UPPER(Data!C59)="END",Data!E59&lt;&gt;"",TRUE),TRUE)</f>
        <v>1</v>
      </c>
    </row>
    <row r="60" spans="1:29" x14ac:dyDescent="0.25">
      <c r="A60" s="1" t="str">
        <f>Data!A60&amp;"||"&amp;Data!B60</f>
        <v>Miscellaneous/subflow/irmifrs9_init.bpmn||003_00_01</v>
      </c>
      <c r="B60" s="19"/>
      <c r="C60" s="24" t="b">
        <f>AND(UPPER(Data!A60)&lt;&gt;"EMPTY",Data!B60&lt;&gt;"")</f>
        <v>1</v>
      </c>
      <c r="D60" s="1"/>
      <c r="E60" s="25" t="b">
        <f t="shared" ca="1" si="0"/>
        <v>1</v>
      </c>
      <c r="F60" s="26" t="b">
        <f ca="1">IF(UPPER(Data!C60)="SUB PROCESS",NOT(ISERROR(MATCH(RIGHT(Data!BY60,LEN(Data!BY60)-5),OFFSET(Data,0,0,ItemsCount,1),0))),TRUE)</f>
        <v>1</v>
      </c>
      <c r="G60" s="26" t="b">
        <f ca="1">IF(MID(UPPER(Data!A60),1,13)="MISCELLANEOUS",NOT(ISERROR(MATCH("path="&amp;Data!A60,OFFSET(Data,0,76,ItemsCount,1),0))),TRUE)</f>
        <v>1</v>
      </c>
      <c r="L60" s="25" t="b">
        <f t="shared" ca="1" si="1"/>
        <v>1</v>
      </c>
      <c r="M60" s="24" t="b">
        <f>IF(Checks!$C60,Data!A60&lt;&gt;"",TRUE)</f>
        <v>1</v>
      </c>
      <c r="N60" s="26" t="b">
        <f>IF(Checks!C60,Data!B60&lt;&gt;"",TRUE)</f>
        <v>1</v>
      </c>
      <c r="O60" s="26" t="b">
        <f>IF(Checks!C60,IF(AND(UPPER(Data!C60)="SERVICE TASK",UPPER(Data!BZ60)="TYPE=SAS"),NodeExists(TRIM(RIGHT(Data!CA60,LEN(Data!CA60)-FIND("=",Data!CA60)))),TRUE),TRUE)</f>
        <v>1</v>
      </c>
      <c r="P60" s="26" t="b">
        <f>IF(Checks!C60,IF(Data!C60="DATA OBJECT",OR(AND(Data!BW60&lt;&gt;"",Data!BX60=""),AND(Data!BW60="",Data!BX60&lt;&gt;"")),TRUE),TRUE)</f>
        <v>1</v>
      </c>
      <c r="Q60" s="26" t="b">
        <f>IF(Checks!C60,UPPER(RIGHT(Data!A60,5))=".BPMN",TRUE)</f>
        <v>1</v>
      </c>
      <c r="R60" s="26" t="b">
        <f>IF(Checks!C60,IF(UPPER(Data!C60)="SUB PROCESS",UPPER(RIGHT(Data!BY60,5))=".BPMN",TRUE),TRUE)</f>
        <v>1</v>
      </c>
      <c r="S60" s="26" t="b">
        <f>IF(Checks!C60,IF(UPPER(Data!C60)="SERVICE TASK",IF(UPPER(Data!BZ60)="TYPE=SAS",UPPER(RIGHT(Data!CA60,4))=".SAS",TRUE),TRUE),TRUE)</f>
        <v>1</v>
      </c>
      <c r="T60" s="26" t="b">
        <f>IF(Checks!C60,IF(Data!B60&lt;&gt;"",Data!D60&lt;&gt;"",TRUE),TRUE)</f>
        <v>1</v>
      </c>
      <c r="U60" s="26" t="b">
        <f ca="1">IF(Checks!C60,IF(UPPER(Data!C60)="DATA OBJECT",NOT(ISERROR(MATCH(Data!A60&amp;"||"&amp;Data!BW60&amp;Data!BX60,Key,0))),TRUE),TRUE)</f>
        <v>1</v>
      </c>
      <c r="V60" s="26" t="b">
        <f>IF(Checks!C60,IF(UPPER(Data!C60)="SUB PROCESS",Data!BY60&lt;&gt;"",TRUE),TRUE)</f>
        <v>1</v>
      </c>
      <c r="W60" s="26" t="b">
        <f>IF(Checks!C60,IF(UPPER(Data!C60)="SERVICE TASK",AND(Data!BZ60&lt;&gt;"",Data!CA60&lt;&gt;""),TRUE),TRUE)</f>
        <v>1</v>
      </c>
      <c r="X60" s="26" t="b">
        <f t="array" aca="1" ref="X60" ca="1">SUM((OFFSET(Data!B60,MAX(ROW(Data!$B$5)-ROW(Data!B60),-200),0,400,1)=Data!B60)*(OFFSET(Data!A60,MAX(ROW(Data!$B$5)-ROW(Data!B60),-200),0,400,1)=Data!A60))=1</f>
        <v>1</v>
      </c>
      <c r="Y60" s="26" t="b">
        <f t="array" aca="1" ref="Y60" ca="1">IF(UPPER(Data!C60)="START",SUM((OFFSET(Data!C60,MAX(ROW(Data!$C$5)-ROW(Data!C60),-200),0,400,1)="START")*(OFFSET(Data!A60,MAX(ROW(Data!$B$5)-ROW(Data!B60),-200),0,400,1)=Data!A60))=1,TRUE)</f>
        <v>1</v>
      </c>
      <c r="Z60" s="26" t="b">
        <f t="array" aca="1" ref="Z60" ca="1">IF(UPPER(Data!C60)="END",SUM((OFFSET(Data!C60,MAX(ROW(Data!$C$5)-ROW(Data!C60),-200),0,400,1)="END")*(OFFSET(Data!A60,MAX(ROW(Data!$B$5)-ROW(Data!B60),-200),0,400,1)=Data!A60))=1,TRUE)</f>
        <v>1</v>
      </c>
      <c r="AA60" s="26" t="b">
        <f>IF(Checks!C60,ISERROR(FIND("&amp;",Data!D60)),TRUE)</f>
        <v>1</v>
      </c>
      <c r="AB60" s="26" t="b">
        <f>IF(Checks!$C60,IF(AND(UPPER(Data!$C60)&lt;&gt;"START",UPPER(Data!$C60)&lt;&gt;"DATA OBJECT",Data!E60&lt;&gt;""),NOT(ISERROR(MATCH(Data!$A60&amp;"||"&amp;Data!E60,Key,0))),TRUE),TRUE)</f>
        <v>1</v>
      </c>
      <c r="AC60" s="27" t="b">
        <f>IF(Checks!C60,IF(UPPER(Data!C60)="END",Data!E60&lt;&gt;"",TRUE),TRUE)</f>
        <v>1</v>
      </c>
    </row>
    <row r="61" spans="1:29" x14ac:dyDescent="0.25">
      <c r="A61" s="1" t="str">
        <f>Data!A61&amp;"||"&amp;Data!B61</f>
        <v>Miscellaneous/subflow/irmifrs9_init.bpmn||003_00_02</v>
      </c>
      <c r="B61" s="19"/>
      <c r="C61" s="24" t="b">
        <f>AND(UPPER(Data!A61)&lt;&gt;"EMPTY",Data!B61&lt;&gt;"")</f>
        <v>1</v>
      </c>
      <c r="D61" s="1"/>
      <c r="E61" s="25" t="b">
        <f t="shared" ca="1" si="0"/>
        <v>1</v>
      </c>
      <c r="F61" s="26" t="b">
        <f ca="1">IF(UPPER(Data!C61)="SUB PROCESS",NOT(ISERROR(MATCH(RIGHT(Data!BY61,LEN(Data!BY61)-5),OFFSET(Data,0,0,ItemsCount,1),0))),TRUE)</f>
        <v>1</v>
      </c>
      <c r="G61" s="26" t="b">
        <f ca="1">IF(MID(UPPER(Data!A61),1,13)="MISCELLANEOUS",NOT(ISERROR(MATCH("path="&amp;Data!A61,OFFSET(Data,0,76,ItemsCount,1),0))),TRUE)</f>
        <v>1</v>
      </c>
      <c r="L61" s="25" t="b">
        <f t="shared" ca="1" si="1"/>
        <v>1</v>
      </c>
      <c r="M61" s="24" t="b">
        <f>IF(Checks!$C61,Data!A61&lt;&gt;"",TRUE)</f>
        <v>1</v>
      </c>
      <c r="N61" s="26" t="b">
        <f>IF(Checks!C61,Data!B61&lt;&gt;"",TRUE)</f>
        <v>1</v>
      </c>
      <c r="O61" s="26" t="b">
        <f>IF(Checks!C61,IF(AND(UPPER(Data!C61)="SERVICE TASK",UPPER(Data!BZ61)="TYPE=SAS"),NodeExists(TRIM(RIGHT(Data!CA61,LEN(Data!CA61)-FIND("=",Data!CA61)))),TRUE),TRUE)</f>
        <v>1</v>
      </c>
      <c r="P61" s="26" t="b">
        <f>IF(Checks!C61,IF(Data!C61="DATA OBJECT",OR(AND(Data!BW61&lt;&gt;"",Data!BX61=""),AND(Data!BW61="",Data!BX61&lt;&gt;"")),TRUE),TRUE)</f>
        <v>1</v>
      </c>
      <c r="Q61" s="26" t="b">
        <f>IF(Checks!C61,UPPER(RIGHT(Data!A61,5))=".BPMN",TRUE)</f>
        <v>1</v>
      </c>
      <c r="R61" s="26" t="b">
        <f>IF(Checks!C61,IF(UPPER(Data!C61)="SUB PROCESS",UPPER(RIGHT(Data!BY61,5))=".BPMN",TRUE),TRUE)</f>
        <v>1</v>
      </c>
      <c r="S61" s="26" t="b">
        <f>IF(Checks!C61,IF(UPPER(Data!C61)="SERVICE TASK",IF(UPPER(Data!BZ61)="TYPE=SAS",UPPER(RIGHT(Data!CA61,4))=".SAS",TRUE),TRUE),TRUE)</f>
        <v>1</v>
      </c>
      <c r="T61" s="26" t="b">
        <f>IF(Checks!C61,IF(Data!B61&lt;&gt;"",Data!D61&lt;&gt;"",TRUE),TRUE)</f>
        <v>1</v>
      </c>
      <c r="U61" s="26" t="b">
        <f ca="1">IF(Checks!C61,IF(UPPER(Data!C61)="DATA OBJECT",NOT(ISERROR(MATCH(Data!A61&amp;"||"&amp;Data!BW61&amp;Data!BX61,Key,0))),TRUE),TRUE)</f>
        <v>1</v>
      </c>
      <c r="V61" s="26" t="b">
        <f>IF(Checks!C61,IF(UPPER(Data!C61)="SUB PROCESS",Data!BY61&lt;&gt;"",TRUE),TRUE)</f>
        <v>1</v>
      </c>
      <c r="W61" s="26" t="b">
        <f>IF(Checks!C61,IF(UPPER(Data!C61)="SERVICE TASK",AND(Data!BZ61&lt;&gt;"",Data!CA61&lt;&gt;""),TRUE),TRUE)</f>
        <v>1</v>
      </c>
      <c r="X61" s="26" t="b">
        <f t="array" aca="1" ref="X61" ca="1">SUM((OFFSET(Data!B61,MAX(ROW(Data!$B$5)-ROW(Data!B61),-200),0,400,1)=Data!B61)*(OFFSET(Data!A61,MAX(ROW(Data!$B$5)-ROW(Data!B61),-200),0,400,1)=Data!A61))=1</f>
        <v>1</v>
      </c>
      <c r="Y61" s="26" t="b">
        <f t="array" aca="1" ref="Y61" ca="1">IF(UPPER(Data!C61)="START",SUM((OFFSET(Data!C61,MAX(ROW(Data!$C$5)-ROW(Data!C61),-200),0,400,1)="START")*(OFFSET(Data!A61,MAX(ROW(Data!$B$5)-ROW(Data!B61),-200),0,400,1)=Data!A61))=1,TRUE)</f>
        <v>1</v>
      </c>
      <c r="Z61" s="26" t="b">
        <f t="array" aca="1" ref="Z61" ca="1">IF(UPPER(Data!C61)="END",SUM((OFFSET(Data!C61,MAX(ROW(Data!$C$5)-ROW(Data!C61),-200),0,400,1)="END")*(OFFSET(Data!A61,MAX(ROW(Data!$B$5)-ROW(Data!B61),-200),0,400,1)=Data!A61))=1,TRUE)</f>
        <v>1</v>
      </c>
      <c r="AA61" s="26" t="b">
        <f>IF(Checks!C61,ISERROR(FIND("&amp;",Data!D61)),TRUE)</f>
        <v>1</v>
      </c>
      <c r="AB61" s="26" t="b">
        <f>IF(Checks!$C61,IF(AND(UPPER(Data!$C61)&lt;&gt;"START",UPPER(Data!$C61)&lt;&gt;"DATA OBJECT",Data!E61&lt;&gt;""),NOT(ISERROR(MATCH(Data!$A61&amp;"||"&amp;Data!E61,Key,0))),TRUE),TRUE)</f>
        <v>1</v>
      </c>
      <c r="AC61" s="27" t="b">
        <f>IF(Checks!C61,IF(UPPER(Data!C61)="END",Data!E61&lt;&gt;"",TRUE),TRUE)</f>
        <v>1</v>
      </c>
    </row>
    <row r="62" spans="1:29" x14ac:dyDescent="0.25">
      <c r="A62" s="1" t="str">
        <f>Data!A62&amp;"||"&amp;Data!B62</f>
        <v>Miscellaneous/subflow/irmifrs9_init.bpmn||003_01_00</v>
      </c>
      <c r="B62" s="19"/>
      <c r="C62" s="24" t="b">
        <f>AND(UPPER(Data!A62)&lt;&gt;"EMPTY",Data!B62&lt;&gt;"")</f>
        <v>1</v>
      </c>
      <c r="D62" s="1"/>
      <c r="E62" s="25" t="b">
        <f t="shared" ca="1" si="0"/>
        <v>1</v>
      </c>
      <c r="F62" s="26" t="b">
        <f ca="1">IF(UPPER(Data!C62)="SUB PROCESS",NOT(ISERROR(MATCH(RIGHT(Data!BY62,LEN(Data!BY62)-5),OFFSET(Data,0,0,ItemsCount,1),0))),TRUE)</f>
        <v>1</v>
      </c>
      <c r="G62" s="26" t="b">
        <f ca="1">IF(MID(UPPER(Data!A62),1,13)="MISCELLANEOUS",NOT(ISERROR(MATCH("path="&amp;Data!A62,OFFSET(Data,0,76,ItemsCount,1),0))),TRUE)</f>
        <v>1</v>
      </c>
      <c r="L62" s="25" t="b">
        <f t="shared" ca="1" si="1"/>
        <v>1</v>
      </c>
      <c r="M62" s="24" t="b">
        <f>IF(Checks!$C62,Data!A62&lt;&gt;"",TRUE)</f>
        <v>1</v>
      </c>
      <c r="N62" s="26" t="b">
        <f>IF(Checks!C62,Data!B62&lt;&gt;"",TRUE)</f>
        <v>1</v>
      </c>
      <c r="O62" s="26" t="b">
        <f>IF(Checks!C62,IF(AND(UPPER(Data!C62)="SERVICE TASK",UPPER(Data!BZ62)="TYPE=SAS"),NodeExists(TRIM(RIGHT(Data!CA62,LEN(Data!CA62)-FIND("=",Data!CA62)))),TRUE),TRUE)</f>
        <v>1</v>
      </c>
      <c r="P62" s="26" t="b">
        <f>IF(Checks!C62,IF(Data!C62="DATA OBJECT",OR(AND(Data!BW62&lt;&gt;"",Data!BX62=""),AND(Data!BW62="",Data!BX62&lt;&gt;"")),TRUE),TRUE)</f>
        <v>1</v>
      </c>
      <c r="Q62" s="26" t="b">
        <f>IF(Checks!C62,UPPER(RIGHT(Data!A62,5))=".BPMN",TRUE)</f>
        <v>1</v>
      </c>
      <c r="R62" s="26" t="b">
        <f>IF(Checks!C62,IF(UPPER(Data!C62)="SUB PROCESS",UPPER(RIGHT(Data!BY62,5))=".BPMN",TRUE),TRUE)</f>
        <v>1</v>
      </c>
      <c r="S62" s="26" t="b">
        <f>IF(Checks!C62,IF(UPPER(Data!C62)="SERVICE TASK",IF(UPPER(Data!BZ62)="TYPE=SAS",UPPER(RIGHT(Data!CA62,4))=".SAS",TRUE),TRUE),TRUE)</f>
        <v>1</v>
      </c>
      <c r="T62" s="26" t="b">
        <f>IF(Checks!C62,IF(Data!B62&lt;&gt;"",Data!D62&lt;&gt;"",TRUE),TRUE)</f>
        <v>1</v>
      </c>
      <c r="U62" s="26" t="b">
        <f ca="1">IF(Checks!C62,IF(UPPER(Data!C62)="DATA OBJECT",NOT(ISERROR(MATCH(Data!A62&amp;"||"&amp;Data!BW62&amp;Data!BX62,Key,0))),TRUE),TRUE)</f>
        <v>1</v>
      </c>
      <c r="V62" s="26" t="b">
        <f>IF(Checks!C62,IF(UPPER(Data!C62)="SUB PROCESS",Data!BY62&lt;&gt;"",TRUE),TRUE)</f>
        <v>1</v>
      </c>
      <c r="W62" s="26" t="b">
        <f>IF(Checks!C62,IF(UPPER(Data!C62)="SERVICE TASK",AND(Data!BZ62&lt;&gt;"",Data!CA62&lt;&gt;""),TRUE),TRUE)</f>
        <v>1</v>
      </c>
      <c r="X62" s="26" t="b">
        <f t="array" aca="1" ref="X62" ca="1">SUM((OFFSET(Data!B62,MAX(ROW(Data!$B$5)-ROW(Data!B62),-200),0,400,1)=Data!B62)*(OFFSET(Data!A62,MAX(ROW(Data!$B$5)-ROW(Data!B62),-200),0,400,1)=Data!A62))=1</f>
        <v>1</v>
      </c>
      <c r="Y62" s="26" t="b">
        <f t="array" aca="1" ref="Y62" ca="1">IF(UPPER(Data!C62)="START",SUM((OFFSET(Data!C62,MAX(ROW(Data!$C$5)-ROW(Data!C62),-200),0,400,1)="START")*(OFFSET(Data!A62,MAX(ROW(Data!$B$5)-ROW(Data!B62),-200),0,400,1)=Data!A62))=1,TRUE)</f>
        <v>1</v>
      </c>
      <c r="Z62" s="26" t="b">
        <f t="array" aca="1" ref="Z62" ca="1">IF(UPPER(Data!C62)="END",SUM((OFFSET(Data!C62,MAX(ROW(Data!$C$5)-ROW(Data!C62),-200),0,400,1)="END")*(OFFSET(Data!A62,MAX(ROW(Data!$B$5)-ROW(Data!B62),-200),0,400,1)=Data!A62))=1,TRUE)</f>
        <v>1</v>
      </c>
      <c r="AA62" s="26" t="b">
        <f>IF(Checks!C62,ISERROR(FIND("&amp;",Data!D62)),TRUE)</f>
        <v>1</v>
      </c>
      <c r="AB62" s="26" t="b">
        <f>IF(Checks!$C62,IF(AND(UPPER(Data!$C62)&lt;&gt;"START",UPPER(Data!$C62)&lt;&gt;"DATA OBJECT",Data!E62&lt;&gt;""),NOT(ISERROR(MATCH(Data!$A62&amp;"||"&amp;Data!E62,Key,0))),TRUE),TRUE)</f>
        <v>1</v>
      </c>
      <c r="AC62" s="27" t="b">
        <f>IF(Checks!C62,IF(UPPER(Data!C62)="END",Data!E62&lt;&gt;"",TRUE),TRUE)</f>
        <v>1</v>
      </c>
    </row>
    <row r="63" spans="1:29" x14ac:dyDescent="0.25">
      <c r="A63" s="1" t="str">
        <f>Data!A63&amp;"||"&amp;Data!B63</f>
        <v>Miscellaneous/subflow/irmifrs9_init.bpmn||003_02_00</v>
      </c>
      <c r="B63" s="19"/>
      <c r="C63" s="24" t="b">
        <f>AND(UPPER(Data!A63)&lt;&gt;"EMPTY",Data!B63&lt;&gt;"")</f>
        <v>1</v>
      </c>
      <c r="D63" s="1"/>
      <c r="E63" s="25" t="b">
        <f t="shared" ca="1" si="0"/>
        <v>1</v>
      </c>
      <c r="F63" s="26" t="b">
        <f ca="1">IF(UPPER(Data!C63)="SUB PROCESS",NOT(ISERROR(MATCH(RIGHT(Data!BY63,LEN(Data!BY63)-5),OFFSET(Data,0,0,ItemsCount,1),0))),TRUE)</f>
        <v>1</v>
      </c>
      <c r="G63" s="26" t="b">
        <f ca="1">IF(MID(UPPER(Data!A63),1,13)="MISCELLANEOUS",NOT(ISERROR(MATCH("path="&amp;Data!A63,OFFSET(Data,0,76,ItemsCount,1),0))),TRUE)</f>
        <v>1</v>
      </c>
      <c r="L63" s="25" t="b">
        <f t="shared" ca="1" si="1"/>
        <v>1</v>
      </c>
      <c r="M63" s="24" t="b">
        <f>IF(Checks!$C63,Data!A63&lt;&gt;"",TRUE)</f>
        <v>1</v>
      </c>
      <c r="N63" s="26" t="b">
        <f>IF(Checks!C63,Data!B63&lt;&gt;"",TRUE)</f>
        <v>1</v>
      </c>
      <c r="O63" s="26" t="b">
        <f>IF(Checks!C63,IF(AND(UPPER(Data!C63)="SERVICE TASK",UPPER(Data!BZ63)="TYPE=SAS"),NodeExists(TRIM(RIGHT(Data!CA63,LEN(Data!CA63)-FIND("=",Data!CA63)))),TRUE),TRUE)</f>
        <v>1</v>
      </c>
      <c r="P63" s="26" t="b">
        <f>IF(Checks!C63,IF(Data!C63="DATA OBJECT",OR(AND(Data!BW63&lt;&gt;"",Data!BX63=""),AND(Data!BW63="",Data!BX63&lt;&gt;"")),TRUE),TRUE)</f>
        <v>1</v>
      </c>
      <c r="Q63" s="26" t="b">
        <f>IF(Checks!C63,UPPER(RIGHT(Data!A63,5))=".BPMN",TRUE)</f>
        <v>1</v>
      </c>
      <c r="R63" s="26" t="b">
        <f>IF(Checks!C63,IF(UPPER(Data!C63)="SUB PROCESS",UPPER(RIGHT(Data!BY63,5))=".BPMN",TRUE),TRUE)</f>
        <v>1</v>
      </c>
      <c r="S63" s="26" t="b">
        <f>IF(Checks!C63,IF(UPPER(Data!C63)="SERVICE TASK",IF(UPPER(Data!BZ63)="TYPE=SAS",UPPER(RIGHT(Data!CA63,4))=".SAS",TRUE),TRUE),TRUE)</f>
        <v>1</v>
      </c>
      <c r="T63" s="26" t="b">
        <f>IF(Checks!C63,IF(Data!B63&lt;&gt;"",Data!D63&lt;&gt;"",TRUE),TRUE)</f>
        <v>1</v>
      </c>
      <c r="U63" s="26" t="b">
        <f ca="1">IF(Checks!C63,IF(UPPER(Data!C63)="DATA OBJECT",NOT(ISERROR(MATCH(Data!A63&amp;"||"&amp;Data!BW63&amp;Data!BX63,Key,0))),TRUE),TRUE)</f>
        <v>1</v>
      </c>
      <c r="V63" s="26" t="b">
        <f>IF(Checks!C63,IF(UPPER(Data!C63)="SUB PROCESS",Data!BY63&lt;&gt;"",TRUE),TRUE)</f>
        <v>1</v>
      </c>
      <c r="W63" s="26" t="b">
        <f>IF(Checks!C63,IF(UPPER(Data!C63)="SERVICE TASK",AND(Data!BZ63&lt;&gt;"",Data!CA63&lt;&gt;""),TRUE),TRUE)</f>
        <v>1</v>
      </c>
      <c r="X63" s="26" t="b">
        <f t="array" aca="1" ref="X63" ca="1">SUM((OFFSET(Data!B63,MAX(ROW(Data!$B$5)-ROW(Data!B63),-200),0,400,1)=Data!B63)*(OFFSET(Data!A63,MAX(ROW(Data!$B$5)-ROW(Data!B63),-200),0,400,1)=Data!A63))=1</f>
        <v>1</v>
      </c>
      <c r="Y63" s="26" t="b">
        <f t="array" aca="1" ref="Y63" ca="1">IF(UPPER(Data!C63)="START",SUM((OFFSET(Data!C63,MAX(ROW(Data!$C$5)-ROW(Data!C63),-200),0,400,1)="START")*(OFFSET(Data!A63,MAX(ROW(Data!$B$5)-ROW(Data!B63),-200),0,400,1)=Data!A63))=1,TRUE)</f>
        <v>1</v>
      </c>
      <c r="Z63" s="26" t="b">
        <f t="array" aca="1" ref="Z63" ca="1">IF(UPPER(Data!C63)="END",SUM((OFFSET(Data!C63,MAX(ROW(Data!$C$5)-ROW(Data!C63),-200),0,400,1)="END")*(OFFSET(Data!A63,MAX(ROW(Data!$B$5)-ROW(Data!B63),-200),0,400,1)=Data!A63))=1,TRUE)</f>
        <v>1</v>
      </c>
      <c r="AA63" s="26" t="b">
        <f>IF(Checks!C63,ISERROR(FIND("&amp;",Data!D63)),TRUE)</f>
        <v>1</v>
      </c>
      <c r="AB63" s="26" t="b">
        <f>IF(Checks!$C63,IF(AND(UPPER(Data!$C63)&lt;&gt;"START",UPPER(Data!$C63)&lt;&gt;"DATA OBJECT",Data!E63&lt;&gt;""),NOT(ISERROR(MATCH(Data!$A63&amp;"||"&amp;Data!E63,Key,0))),TRUE),TRUE)</f>
        <v>1</v>
      </c>
      <c r="AC63" s="27" t="b">
        <f>IF(Checks!C63,IF(UPPER(Data!C63)="END",Data!E63&lt;&gt;"",TRUE),TRUE)</f>
        <v>1</v>
      </c>
    </row>
    <row r="64" spans="1:29" x14ac:dyDescent="0.25">
      <c r="A64" s="1" t="str">
        <f>Data!A64&amp;"||"&amp;Data!B64</f>
        <v>Miscellaneous/subflow/irmifrs9_init.bpmn||007</v>
      </c>
      <c r="B64" s="19"/>
      <c r="C64" s="24" t="b">
        <f>AND(UPPER(Data!A64)&lt;&gt;"EMPTY",Data!B64&lt;&gt;"")</f>
        <v>1</v>
      </c>
      <c r="D64" s="1"/>
      <c r="E64" s="25" t="b">
        <f t="shared" ca="1" si="0"/>
        <v>1</v>
      </c>
      <c r="F64" s="26" t="b">
        <f ca="1">IF(UPPER(Data!C64)="SUB PROCESS",NOT(ISERROR(MATCH(RIGHT(Data!BY64,LEN(Data!BY64)-5),OFFSET(Data,0,0,ItemsCount,1),0))),TRUE)</f>
        <v>1</v>
      </c>
      <c r="G64" s="26" t="b">
        <f ca="1">IF(MID(UPPER(Data!A64),1,13)="MISCELLANEOUS",NOT(ISERROR(MATCH("path="&amp;Data!A64,OFFSET(Data,0,76,ItemsCount,1),0))),TRUE)</f>
        <v>1</v>
      </c>
      <c r="L64" s="25" t="b">
        <f t="shared" ca="1" si="1"/>
        <v>1</v>
      </c>
      <c r="M64" s="24" t="b">
        <f>IF(Checks!$C64,Data!A64&lt;&gt;"",TRUE)</f>
        <v>1</v>
      </c>
      <c r="N64" s="26" t="b">
        <f>IF(Checks!C64,Data!B64&lt;&gt;"",TRUE)</f>
        <v>1</v>
      </c>
      <c r="O64" s="26" t="b">
        <f>IF(Checks!C64,IF(AND(UPPER(Data!C64)="SERVICE TASK",UPPER(Data!BZ64)="TYPE=SAS"),NodeExists(TRIM(RIGHT(Data!CA64,LEN(Data!CA64)-FIND("=",Data!CA64)))),TRUE),TRUE)</f>
        <v>1</v>
      </c>
      <c r="P64" s="26" t="b">
        <f>IF(Checks!C64,IF(Data!C64="DATA OBJECT",OR(AND(Data!BW64&lt;&gt;"",Data!BX64=""),AND(Data!BW64="",Data!BX64&lt;&gt;"")),TRUE),TRUE)</f>
        <v>1</v>
      </c>
      <c r="Q64" s="26" t="b">
        <f>IF(Checks!C64,UPPER(RIGHT(Data!A64,5))=".BPMN",TRUE)</f>
        <v>1</v>
      </c>
      <c r="R64" s="26" t="b">
        <f>IF(Checks!C64,IF(UPPER(Data!C64)="SUB PROCESS",UPPER(RIGHT(Data!BY64,5))=".BPMN",TRUE),TRUE)</f>
        <v>1</v>
      </c>
      <c r="S64" s="26" t="b">
        <f>IF(Checks!C64,IF(UPPER(Data!C64)="SERVICE TASK",IF(UPPER(Data!BZ64)="TYPE=SAS",UPPER(RIGHT(Data!CA64,4))=".SAS",TRUE),TRUE),TRUE)</f>
        <v>1</v>
      </c>
      <c r="T64" s="26" t="b">
        <f>IF(Checks!C64,IF(Data!B64&lt;&gt;"",Data!D64&lt;&gt;"",TRUE),TRUE)</f>
        <v>1</v>
      </c>
      <c r="U64" s="26" t="b">
        <f>IF(Checks!C64,IF(UPPER(Data!C64)="DATA OBJECT",NOT(ISERROR(MATCH(Data!A64&amp;"||"&amp;Data!BW64&amp;Data!BX64,Key,0))),TRUE),TRUE)</f>
        <v>1</v>
      </c>
      <c r="V64" s="26" t="b">
        <f>IF(Checks!C64,IF(UPPER(Data!C64)="SUB PROCESS",Data!BY64&lt;&gt;"",TRUE),TRUE)</f>
        <v>1</v>
      </c>
      <c r="W64" s="26" t="b">
        <f>IF(Checks!C64,IF(UPPER(Data!C64)="SERVICE TASK",AND(Data!BZ64&lt;&gt;"",Data!CA64&lt;&gt;""),TRUE),TRUE)</f>
        <v>1</v>
      </c>
      <c r="X64" s="26" t="b">
        <f t="array" aca="1" ref="X64" ca="1">SUM((OFFSET(Data!B64,MAX(ROW(Data!$B$5)-ROW(Data!B64),-200),0,400,1)=Data!B64)*(OFFSET(Data!A64,MAX(ROW(Data!$B$5)-ROW(Data!B64),-200),0,400,1)=Data!A64))=1</f>
        <v>1</v>
      </c>
      <c r="Y64" s="26" t="b">
        <f t="array" aca="1" ref="Y64" ca="1">IF(UPPER(Data!C64)="START",SUM((OFFSET(Data!C64,MAX(ROW(Data!$C$5)-ROW(Data!C64),-200),0,400,1)="START")*(OFFSET(Data!A64,MAX(ROW(Data!$B$5)-ROW(Data!B64),-200),0,400,1)=Data!A64))=1,TRUE)</f>
        <v>1</v>
      </c>
      <c r="Z64" s="26" t="b">
        <f t="array" aca="1" ref="Z64" ca="1">IF(UPPER(Data!C64)="END",SUM((OFFSET(Data!C64,MAX(ROW(Data!$C$5)-ROW(Data!C64),-200),0,400,1)="END")*(OFFSET(Data!A64,MAX(ROW(Data!$B$5)-ROW(Data!B64),-200),0,400,1)=Data!A64))=1,TRUE)</f>
        <v>1</v>
      </c>
      <c r="AA64" s="26" t="b">
        <f>IF(Checks!C64,ISERROR(FIND("&amp;",Data!D64)),TRUE)</f>
        <v>1</v>
      </c>
      <c r="AB64" s="26" t="b">
        <f ca="1">IF(Checks!$C64,IF(AND(UPPER(Data!$C64)&lt;&gt;"START",UPPER(Data!$C64)&lt;&gt;"DATA OBJECT",Data!E64&lt;&gt;""),NOT(ISERROR(MATCH(Data!$A64&amp;"||"&amp;Data!E64,Key,0))),TRUE),TRUE)</f>
        <v>1</v>
      </c>
      <c r="AC64" s="27" t="b">
        <f>IF(Checks!C64,IF(UPPER(Data!C64)="END",Data!E64&lt;&gt;"",TRUE),TRUE)</f>
        <v>1</v>
      </c>
    </row>
    <row r="65" spans="1:29" x14ac:dyDescent="0.25">
      <c r="A65" s="1" t="str">
        <f>Data!A65&amp;"||"&amp;Data!B65</f>
        <v>Miscellaneous/subflow/irmifrs9_load_reportmart.bpmn||002</v>
      </c>
      <c r="B65" s="19"/>
      <c r="C65" s="24" t="b">
        <f>AND(UPPER(Data!A65)&lt;&gt;"EMPTY",Data!B65&lt;&gt;"")</f>
        <v>1</v>
      </c>
      <c r="D65" s="1"/>
      <c r="E65" s="25" t="b">
        <f t="shared" ca="1" si="0"/>
        <v>1</v>
      </c>
      <c r="F65" s="26" t="b">
        <f ca="1">IF(UPPER(Data!C65)="SUB PROCESS",NOT(ISERROR(MATCH(RIGHT(Data!BY65,LEN(Data!BY65)-5),OFFSET(Data,0,0,ItemsCount,1),0))),TRUE)</f>
        <v>1</v>
      </c>
      <c r="G65" s="26" t="b">
        <f ca="1">IF(MID(UPPER(Data!A65),1,13)="MISCELLANEOUS",NOT(ISERROR(MATCH("path="&amp;Data!A65,OFFSET(Data,0,76,ItemsCount,1),0))),TRUE)</f>
        <v>1</v>
      </c>
      <c r="L65" s="25" t="b">
        <f t="shared" ca="1" si="1"/>
        <v>1</v>
      </c>
      <c r="M65" s="24" t="b">
        <f>IF(Checks!$C65,Data!A65&lt;&gt;"",TRUE)</f>
        <v>1</v>
      </c>
      <c r="N65" s="26" t="b">
        <f>IF(Checks!C65,Data!B65&lt;&gt;"",TRUE)</f>
        <v>1</v>
      </c>
      <c r="O65" s="26" t="b">
        <f>IF(Checks!C65,IF(AND(UPPER(Data!C65)="SERVICE TASK",UPPER(Data!BZ65)="TYPE=SAS"),NodeExists(TRIM(RIGHT(Data!CA65,LEN(Data!CA65)-FIND("=",Data!CA65)))),TRUE),TRUE)</f>
        <v>1</v>
      </c>
      <c r="P65" s="26" t="b">
        <f>IF(Checks!C65,IF(Data!C65="DATA OBJECT",OR(AND(Data!BW65&lt;&gt;"",Data!BX65=""),AND(Data!BW65="",Data!BX65&lt;&gt;"")),TRUE),TRUE)</f>
        <v>1</v>
      </c>
      <c r="Q65" s="26" t="b">
        <f>IF(Checks!C65,UPPER(RIGHT(Data!A65,5))=".BPMN",TRUE)</f>
        <v>1</v>
      </c>
      <c r="R65" s="26" t="b">
        <f>IF(Checks!C65,IF(UPPER(Data!C65)="SUB PROCESS",UPPER(RIGHT(Data!BY65,5))=".BPMN",TRUE),TRUE)</f>
        <v>1</v>
      </c>
      <c r="S65" s="26" t="b">
        <f>IF(Checks!C65,IF(UPPER(Data!C65)="SERVICE TASK",IF(UPPER(Data!BZ65)="TYPE=SAS",UPPER(RIGHT(Data!CA65,4))=".SAS",TRUE),TRUE),TRUE)</f>
        <v>1</v>
      </c>
      <c r="T65" s="26" t="b">
        <f>IF(Checks!C65,IF(Data!B65&lt;&gt;"",Data!D65&lt;&gt;"",TRUE),TRUE)</f>
        <v>1</v>
      </c>
      <c r="U65" s="26" t="b">
        <f>IF(Checks!C65,IF(UPPER(Data!C65)="DATA OBJECT",NOT(ISERROR(MATCH(Data!A65&amp;"||"&amp;Data!BW65&amp;Data!BX65,Key,0))),TRUE),TRUE)</f>
        <v>1</v>
      </c>
      <c r="V65" s="26" t="b">
        <f>IF(Checks!C65,IF(UPPER(Data!C65)="SUB PROCESS",Data!BY65&lt;&gt;"",TRUE),TRUE)</f>
        <v>1</v>
      </c>
      <c r="W65" s="26" t="b">
        <f>IF(Checks!C65,IF(UPPER(Data!C65)="SERVICE TASK",AND(Data!BZ65&lt;&gt;"",Data!CA65&lt;&gt;""),TRUE),TRUE)</f>
        <v>1</v>
      </c>
      <c r="X65" s="26" t="b">
        <f t="array" aca="1" ref="X65" ca="1">SUM((OFFSET(Data!B65,MAX(ROW(Data!$B$5)-ROW(Data!B65),-200),0,400,1)=Data!B65)*(OFFSET(Data!A65,MAX(ROW(Data!$B$5)-ROW(Data!B65),-200),0,400,1)=Data!A65))=1</f>
        <v>1</v>
      </c>
      <c r="Y65" s="26" t="b">
        <f t="array" aca="1" ref="Y65" ca="1">IF(UPPER(Data!C65)="START",SUM((OFFSET(Data!C65,MAX(ROW(Data!$C$5)-ROW(Data!C65),-200),0,400,1)="START")*(OFFSET(Data!A65,MAX(ROW(Data!$B$5)-ROW(Data!B65),-200),0,400,1)=Data!A65))=1,TRUE)</f>
        <v>1</v>
      </c>
      <c r="Z65" s="26" t="b">
        <f t="array" aca="1" ref="Z65" ca="1">IF(UPPER(Data!C65)="END",SUM((OFFSET(Data!C65,MAX(ROW(Data!$C$5)-ROW(Data!C65),-200),0,400,1)="END")*(OFFSET(Data!A65,MAX(ROW(Data!$B$5)-ROW(Data!B65),-200),0,400,1)=Data!A65))=1,TRUE)</f>
        <v>1</v>
      </c>
      <c r="AA65" s="26" t="b">
        <f>IF(Checks!C65,ISERROR(FIND("&amp;",Data!D65)),TRUE)</f>
        <v>1</v>
      </c>
      <c r="AB65" s="26" t="b">
        <f>IF(Checks!$C65,IF(AND(UPPER(Data!$C65)&lt;&gt;"START",UPPER(Data!$C65)&lt;&gt;"DATA OBJECT",Data!E65&lt;&gt;""),NOT(ISERROR(MATCH(Data!$A65&amp;"||"&amp;Data!E65,Key,0))),TRUE),TRUE)</f>
        <v>1</v>
      </c>
      <c r="AC65" s="27" t="b">
        <f>IF(Checks!C65,IF(UPPER(Data!C65)="END",Data!E65&lt;&gt;"",TRUE),TRUE)</f>
        <v>1</v>
      </c>
    </row>
    <row r="66" spans="1:29" x14ac:dyDescent="0.25">
      <c r="A66" s="1" t="str">
        <f>Data!A66&amp;"||"&amp;Data!B66</f>
        <v>Miscellaneous/subflow/irmifrs9_load_reportmart.bpmn||003</v>
      </c>
      <c r="B66" s="19"/>
      <c r="C66" s="24" t="b">
        <f>AND(UPPER(Data!A66)&lt;&gt;"EMPTY",Data!B66&lt;&gt;"")</f>
        <v>1</v>
      </c>
      <c r="D66" s="1"/>
      <c r="E66" s="25" t="b">
        <f t="shared" ca="1" si="0"/>
        <v>1</v>
      </c>
      <c r="F66" s="26" t="b">
        <f ca="1">IF(UPPER(Data!C66)="SUB PROCESS",NOT(ISERROR(MATCH(RIGHT(Data!BY66,LEN(Data!BY66)-5),OFFSET(Data,0,0,ItemsCount,1),0))),TRUE)</f>
        <v>1</v>
      </c>
      <c r="G66" s="26" t="b">
        <f ca="1">IF(MID(UPPER(Data!A66),1,13)="MISCELLANEOUS",NOT(ISERROR(MATCH("path="&amp;Data!A66,OFFSET(Data,0,76,ItemsCount,1),0))),TRUE)</f>
        <v>1</v>
      </c>
      <c r="L66" s="25" t="b">
        <f t="shared" ca="1" si="1"/>
        <v>1</v>
      </c>
      <c r="M66" s="24" t="b">
        <f>IF(Checks!$C66,Data!A66&lt;&gt;"",TRUE)</f>
        <v>1</v>
      </c>
      <c r="N66" s="26" t="b">
        <f>IF(Checks!C66,Data!B66&lt;&gt;"",TRUE)</f>
        <v>1</v>
      </c>
      <c r="O66" s="26" t="b">
        <f>IF(Checks!C66,IF(AND(UPPER(Data!C66)="SERVICE TASK",UPPER(Data!BZ66)="TYPE=SAS"),NodeExists(TRIM(RIGHT(Data!CA66,LEN(Data!CA66)-FIND("=",Data!CA66)))),TRUE),TRUE)</f>
        <v>1</v>
      </c>
      <c r="P66" s="26" t="b">
        <f>IF(Checks!C66,IF(Data!C66="DATA OBJECT",OR(AND(Data!BW66&lt;&gt;"",Data!BX66=""),AND(Data!BW66="",Data!BX66&lt;&gt;"")),TRUE),TRUE)</f>
        <v>1</v>
      </c>
      <c r="Q66" s="26" t="b">
        <f>IF(Checks!C66,UPPER(RIGHT(Data!A66,5))=".BPMN",TRUE)</f>
        <v>1</v>
      </c>
      <c r="R66" s="26" t="b">
        <f>IF(Checks!C66,IF(UPPER(Data!C66)="SUB PROCESS",UPPER(RIGHT(Data!BY66,5))=".BPMN",TRUE),TRUE)</f>
        <v>1</v>
      </c>
      <c r="S66" s="26" t="b">
        <f>IF(Checks!C66,IF(UPPER(Data!C66)="SERVICE TASK",IF(UPPER(Data!BZ66)="TYPE=SAS",UPPER(RIGHT(Data!CA66,4))=".SAS",TRUE),TRUE),TRUE)</f>
        <v>1</v>
      </c>
      <c r="T66" s="26" t="b">
        <f>IF(Checks!C66,IF(Data!B66&lt;&gt;"",Data!D66&lt;&gt;"",TRUE),TRUE)</f>
        <v>1</v>
      </c>
      <c r="U66" s="26" t="b">
        <f>IF(Checks!C66,IF(UPPER(Data!C66)="DATA OBJECT",NOT(ISERROR(MATCH(Data!A66&amp;"||"&amp;Data!BW66&amp;Data!BX66,Key,0))),TRUE),TRUE)</f>
        <v>1</v>
      </c>
      <c r="V66" s="26" t="b">
        <f>IF(Checks!C66,IF(UPPER(Data!C66)="SUB PROCESS",Data!BY66&lt;&gt;"",TRUE),TRUE)</f>
        <v>1</v>
      </c>
      <c r="W66" s="26" t="b">
        <f>IF(Checks!C66,IF(UPPER(Data!C66)="SERVICE TASK",AND(Data!BZ66&lt;&gt;"",Data!CA66&lt;&gt;""),TRUE),TRUE)</f>
        <v>1</v>
      </c>
      <c r="X66" s="26" t="b">
        <f t="array" aca="1" ref="X66" ca="1">SUM((OFFSET(Data!B66,MAX(ROW(Data!$B$5)-ROW(Data!B66),-200),0,400,1)=Data!B66)*(OFFSET(Data!A66,MAX(ROW(Data!$B$5)-ROW(Data!B66),-200),0,400,1)=Data!A66))=1</f>
        <v>1</v>
      </c>
      <c r="Y66" s="26" t="b">
        <f t="array" aca="1" ref="Y66" ca="1">IF(UPPER(Data!C66)="START",SUM((OFFSET(Data!C66,MAX(ROW(Data!$C$5)-ROW(Data!C66),-200),0,400,1)="START")*(OFFSET(Data!A66,MAX(ROW(Data!$B$5)-ROW(Data!B66),-200),0,400,1)=Data!A66))=1,TRUE)</f>
        <v>1</v>
      </c>
      <c r="Z66" s="26" t="b">
        <f t="array" aca="1" ref="Z66" ca="1">IF(UPPER(Data!C66)="END",SUM((OFFSET(Data!C66,MAX(ROW(Data!$C$5)-ROW(Data!C66),-200),0,400,1)="END")*(OFFSET(Data!A66,MAX(ROW(Data!$B$5)-ROW(Data!B66),-200),0,400,1)=Data!A66))=1,TRUE)</f>
        <v>1</v>
      </c>
      <c r="AA66" s="26" t="b">
        <f>IF(Checks!C66,ISERROR(FIND("&amp;",Data!D66)),TRUE)</f>
        <v>1</v>
      </c>
      <c r="AB66" s="26" t="b">
        <f ca="1">IF(Checks!$C66,IF(AND(UPPER(Data!$C66)&lt;&gt;"START",UPPER(Data!$C66)&lt;&gt;"DATA OBJECT",Data!E66&lt;&gt;""),NOT(ISERROR(MATCH(Data!$A66&amp;"||"&amp;Data!E66,Key,0))),TRUE),TRUE)</f>
        <v>1</v>
      </c>
      <c r="AC66" s="27" t="b">
        <f>IF(Checks!C66,IF(UPPER(Data!C66)="END",Data!E66&lt;&gt;"",TRUE),TRUE)</f>
        <v>1</v>
      </c>
    </row>
    <row r="67" spans="1:29" x14ac:dyDescent="0.25">
      <c r="A67" s="1" t="str">
        <f>Data!A67&amp;"||"&amp;Data!B67</f>
        <v>Miscellaneous/subflow/irmifrs9_load_reportmart.bpmn||003_00_01</v>
      </c>
      <c r="B67" s="19"/>
      <c r="C67" s="24" t="b">
        <f>AND(UPPER(Data!A67)&lt;&gt;"EMPTY",Data!B67&lt;&gt;"")</f>
        <v>1</v>
      </c>
      <c r="D67" s="1"/>
      <c r="E67" s="25" t="b">
        <f t="shared" ca="1" si="0"/>
        <v>1</v>
      </c>
      <c r="F67" s="26" t="b">
        <f ca="1">IF(UPPER(Data!C67)="SUB PROCESS",NOT(ISERROR(MATCH(RIGHT(Data!BY67,LEN(Data!BY67)-5),OFFSET(Data,0,0,ItemsCount,1),0))),TRUE)</f>
        <v>1</v>
      </c>
      <c r="G67" s="26" t="b">
        <f ca="1">IF(MID(UPPER(Data!A67),1,13)="MISCELLANEOUS",NOT(ISERROR(MATCH("path="&amp;Data!A67,OFFSET(Data,0,76,ItemsCount,1),0))),TRUE)</f>
        <v>1</v>
      </c>
      <c r="L67" s="25" t="b">
        <f t="shared" ca="1" si="1"/>
        <v>1</v>
      </c>
      <c r="M67" s="24" t="b">
        <f>IF(Checks!$C67,Data!A67&lt;&gt;"",TRUE)</f>
        <v>1</v>
      </c>
      <c r="N67" s="26" t="b">
        <f>IF(Checks!C67,Data!B67&lt;&gt;"",TRUE)</f>
        <v>1</v>
      </c>
      <c r="O67" s="26" t="b">
        <f>IF(Checks!C67,IF(AND(UPPER(Data!C67)="SERVICE TASK",UPPER(Data!BZ67)="TYPE=SAS"),NodeExists(TRIM(RIGHT(Data!CA67,LEN(Data!CA67)-FIND("=",Data!CA67)))),TRUE),TRUE)</f>
        <v>1</v>
      </c>
      <c r="P67" s="26" t="b">
        <f>IF(Checks!C67,IF(Data!C67="DATA OBJECT",OR(AND(Data!BW67&lt;&gt;"",Data!BX67=""),AND(Data!BW67="",Data!BX67&lt;&gt;"")),TRUE),TRUE)</f>
        <v>1</v>
      </c>
      <c r="Q67" s="26" t="b">
        <f>IF(Checks!C67,UPPER(RIGHT(Data!A67,5))=".BPMN",TRUE)</f>
        <v>1</v>
      </c>
      <c r="R67" s="26" t="b">
        <f>IF(Checks!C67,IF(UPPER(Data!C67)="SUB PROCESS",UPPER(RIGHT(Data!BY67,5))=".BPMN",TRUE),TRUE)</f>
        <v>1</v>
      </c>
      <c r="S67" s="26" t="b">
        <f>IF(Checks!C67,IF(UPPER(Data!C67)="SERVICE TASK",IF(UPPER(Data!BZ67)="TYPE=SAS",UPPER(RIGHT(Data!CA67,4))=".SAS",TRUE),TRUE),TRUE)</f>
        <v>1</v>
      </c>
      <c r="T67" s="26" t="b">
        <f>IF(Checks!C67,IF(Data!B67&lt;&gt;"",Data!D67&lt;&gt;"",TRUE),TRUE)</f>
        <v>1</v>
      </c>
      <c r="U67" s="26" t="b">
        <f ca="1">IF(Checks!C67,IF(UPPER(Data!C67)="DATA OBJECT",NOT(ISERROR(MATCH(Data!A67&amp;"||"&amp;Data!BW67&amp;Data!BX67,Key,0))),TRUE),TRUE)</f>
        <v>1</v>
      </c>
      <c r="V67" s="26" t="b">
        <f>IF(Checks!C67,IF(UPPER(Data!C67)="SUB PROCESS",Data!BY67&lt;&gt;"",TRUE),TRUE)</f>
        <v>1</v>
      </c>
      <c r="W67" s="26" t="b">
        <f>IF(Checks!C67,IF(UPPER(Data!C67)="SERVICE TASK",AND(Data!BZ67&lt;&gt;"",Data!CA67&lt;&gt;""),TRUE),TRUE)</f>
        <v>1</v>
      </c>
      <c r="X67" s="26" t="b">
        <f t="array" aca="1" ref="X67" ca="1">SUM((OFFSET(Data!B67,MAX(ROW(Data!$B$5)-ROW(Data!B67),-200),0,400,1)=Data!B67)*(OFFSET(Data!A67,MAX(ROW(Data!$B$5)-ROW(Data!B67),-200),0,400,1)=Data!A67))=1</f>
        <v>1</v>
      </c>
      <c r="Y67" s="26" t="b">
        <f t="array" aca="1" ref="Y67" ca="1">IF(UPPER(Data!C67)="START",SUM((OFFSET(Data!C67,MAX(ROW(Data!$C$5)-ROW(Data!C67),-200),0,400,1)="START")*(OFFSET(Data!A67,MAX(ROW(Data!$B$5)-ROW(Data!B67),-200),0,400,1)=Data!A67))=1,TRUE)</f>
        <v>1</v>
      </c>
      <c r="Z67" s="26" t="b">
        <f t="array" aca="1" ref="Z67" ca="1">IF(UPPER(Data!C67)="END",SUM((OFFSET(Data!C67,MAX(ROW(Data!$C$5)-ROW(Data!C67),-200),0,400,1)="END")*(OFFSET(Data!A67,MAX(ROW(Data!$B$5)-ROW(Data!B67),-200),0,400,1)=Data!A67))=1,TRUE)</f>
        <v>1</v>
      </c>
      <c r="AA67" s="26" t="b">
        <f>IF(Checks!C67,ISERROR(FIND("&amp;",Data!D67)),TRUE)</f>
        <v>1</v>
      </c>
      <c r="AB67" s="26" t="b">
        <f>IF(Checks!$C67,IF(AND(UPPER(Data!$C67)&lt;&gt;"START",UPPER(Data!$C67)&lt;&gt;"DATA OBJECT",Data!E67&lt;&gt;""),NOT(ISERROR(MATCH(Data!$A67&amp;"||"&amp;Data!E67,Key,0))),TRUE),TRUE)</f>
        <v>1</v>
      </c>
      <c r="AC67" s="27" t="b">
        <f>IF(Checks!C67,IF(UPPER(Data!C67)="END",Data!E67&lt;&gt;"",TRUE),TRUE)</f>
        <v>1</v>
      </c>
    </row>
    <row r="68" spans="1:29" x14ac:dyDescent="0.25">
      <c r="A68" s="1" t="str">
        <f>Data!A68&amp;"||"&amp;Data!B68</f>
        <v>Miscellaneous/subflow/irmifrs9_load_reportmart.bpmn||003_00_02</v>
      </c>
      <c r="B68" s="19"/>
      <c r="C68" s="24" t="b">
        <f>AND(UPPER(Data!A68)&lt;&gt;"EMPTY",Data!B68&lt;&gt;"")</f>
        <v>1</v>
      </c>
      <c r="D68" s="1"/>
      <c r="E68" s="25" t="b">
        <f t="shared" ca="1" si="0"/>
        <v>1</v>
      </c>
      <c r="F68" s="26" t="b">
        <f ca="1">IF(UPPER(Data!C68)="SUB PROCESS",NOT(ISERROR(MATCH(RIGHT(Data!BY68,LEN(Data!BY68)-5),OFFSET(Data,0,0,ItemsCount,1),0))),TRUE)</f>
        <v>1</v>
      </c>
      <c r="G68" s="26" t="b">
        <f ca="1">IF(MID(UPPER(Data!A68),1,13)="MISCELLANEOUS",NOT(ISERROR(MATCH("path="&amp;Data!A68,OFFSET(Data,0,76,ItemsCount,1),0))),TRUE)</f>
        <v>1</v>
      </c>
      <c r="L68" s="25" t="b">
        <f t="shared" ca="1" si="1"/>
        <v>1</v>
      </c>
      <c r="M68" s="24" t="b">
        <f>IF(Checks!$C68,Data!A68&lt;&gt;"",TRUE)</f>
        <v>1</v>
      </c>
      <c r="N68" s="26" t="b">
        <f>IF(Checks!C68,Data!B68&lt;&gt;"",TRUE)</f>
        <v>1</v>
      </c>
      <c r="O68" s="26" t="b">
        <f>IF(Checks!C68,IF(AND(UPPER(Data!C68)="SERVICE TASK",UPPER(Data!BZ68)="TYPE=SAS"),NodeExists(TRIM(RIGHT(Data!CA68,LEN(Data!CA68)-FIND("=",Data!CA68)))),TRUE),TRUE)</f>
        <v>1</v>
      </c>
      <c r="P68" s="26" t="b">
        <f>IF(Checks!C68,IF(Data!C68="DATA OBJECT",OR(AND(Data!BW68&lt;&gt;"",Data!BX68=""),AND(Data!BW68="",Data!BX68&lt;&gt;"")),TRUE),TRUE)</f>
        <v>1</v>
      </c>
      <c r="Q68" s="26" t="b">
        <f>IF(Checks!C68,UPPER(RIGHT(Data!A68,5))=".BPMN",TRUE)</f>
        <v>1</v>
      </c>
      <c r="R68" s="26" t="b">
        <f>IF(Checks!C68,IF(UPPER(Data!C68)="SUB PROCESS",UPPER(RIGHT(Data!BY68,5))=".BPMN",TRUE),TRUE)</f>
        <v>1</v>
      </c>
      <c r="S68" s="26" t="b">
        <f>IF(Checks!C68,IF(UPPER(Data!C68)="SERVICE TASK",IF(UPPER(Data!BZ68)="TYPE=SAS",UPPER(RIGHT(Data!CA68,4))=".SAS",TRUE),TRUE),TRUE)</f>
        <v>1</v>
      </c>
      <c r="T68" s="26" t="b">
        <f>IF(Checks!C68,IF(Data!B68&lt;&gt;"",Data!D68&lt;&gt;"",TRUE),TRUE)</f>
        <v>1</v>
      </c>
      <c r="U68" s="26" t="b">
        <f ca="1">IF(Checks!C68,IF(UPPER(Data!C68)="DATA OBJECT",NOT(ISERROR(MATCH(Data!A68&amp;"||"&amp;Data!BW68&amp;Data!BX68,Key,0))),TRUE),TRUE)</f>
        <v>1</v>
      </c>
      <c r="V68" s="26" t="b">
        <f>IF(Checks!C68,IF(UPPER(Data!C68)="SUB PROCESS",Data!BY68&lt;&gt;"",TRUE),TRUE)</f>
        <v>1</v>
      </c>
      <c r="W68" s="26" t="b">
        <f>IF(Checks!C68,IF(UPPER(Data!C68)="SERVICE TASK",AND(Data!BZ68&lt;&gt;"",Data!CA68&lt;&gt;""),TRUE),TRUE)</f>
        <v>1</v>
      </c>
      <c r="X68" s="26" t="b">
        <f t="array" aca="1" ref="X68" ca="1">SUM((OFFSET(Data!B68,MAX(ROW(Data!$B$5)-ROW(Data!B68),-200),0,400,1)=Data!B68)*(OFFSET(Data!A68,MAX(ROW(Data!$B$5)-ROW(Data!B68),-200),0,400,1)=Data!A68))=1</f>
        <v>1</v>
      </c>
      <c r="Y68" s="26" t="b">
        <f t="array" aca="1" ref="Y68" ca="1">IF(UPPER(Data!C68)="START",SUM((OFFSET(Data!C68,MAX(ROW(Data!$C$5)-ROW(Data!C68),-200),0,400,1)="START")*(OFFSET(Data!A68,MAX(ROW(Data!$B$5)-ROW(Data!B68),-200),0,400,1)=Data!A68))=1,TRUE)</f>
        <v>1</v>
      </c>
      <c r="Z68" s="26" t="b">
        <f t="array" aca="1" ref="Z68" ca="1">IF(UPPER(Data!C68)="END",SUM((OFFSET(Data!C68,MAX(ROW(Data!$C$5)-ROW(Data!C68),-200),0,400,1)="END")*(OFFSET(Data!A68,MAX(ROW(Data!$B$5)-ROW(Data!B68),-200),0,400,1)=Data!A68))=1,TRUE)</f>
        <v>1</v>
      </c>
      <c r="AA68" s="26" t="b">
        <f>IF(Checks!C68,ISERROR(FIND("&amp;",Data!D68)),TRUE)</f>
        <v>1</v>
      </c>
      <c r="AB68" s="26" t="b">
        <f>IF(Checks!$C68,IF(AND(UPPER(Data!$C68)&lt;&gt;"START",UPPER(Data!$C68)&lt;&gt;"DATA OBJECT",Data!E68&lt;&gt;""),NOT(ISERROR(MATCH(Data!$A68&amp;"||"&amp;Data!E68,Key,0))),TRUE),TRUE)</f>
        <v>1</v>
      </c>
      <c r="AC68" s="27" t="b">
        <f>IF(Checks!C68,IF(UPPER(Data!C68)="END",Data!E68&lt;&gt;"",TRUE),TRUE)</f>
        <v>1</v>
      </c>
    </row>
    <row r="69" spans="1:29" x14ac:dyDescent="0.25">
      <c r="A69" s="1" t="str">
        <f>Data!A69&amp;"||"&amp;Data!B69</f>
        <v>Miscellaneous/subflow/irmifrs9_load_reportmart.bpmn||003_01_00</v>
      </c>
      <c r="B69" s="19"/>
      <c r="C69" s="24" t="b">
        <f>AND(UPPER(Data!A69)&lt;&gt;"EMPTY",Data!B69&lt;&gt;"")</f>
        <v>1</v>
      </c>
      <c r="D69" s="1"/>
      <c r="E69" s="25" t="b">
        <f t="shared" ca="1" si="0"/>
        <v>1</v>
      </c>
      <c r="F69" s="26" t="b">
        <f ca="1">IF(UPPER(Data!C69)="SUB PROCESS",NOT(ISERROR(MATCH(RIGHT(Data!BY69,LEN(Data!BY69)-5),OFFSET(Data,0,0,ItemsCount,1),0))),TRUE)</f>
        <v>1</v>
      </c>
      <c r="G69" s="26" t="b">
        <f ca="1">IF(MID(UPPER(Data!A69),1,13)="MISCELLANEOUS",NOT(ISERROR(MATCH("path="&amp;Data!A69,OFFSET(Data,0,76,ItemsCount,1),0))),TRUE)</f>
        <v>1</v>
      </c>
      <c r="L69" s="25" t="b">
        <f t="shared" ca="1" si="1"/>
        <v>1</v>
      </c>
      <c r="M69" s="24" t="b">
        <f>IF(Checks!$C69,Data!A69&lt;&gt;"",TRUE)</f>
        <v>1</v>
      </c>
      <c r="N69" s="26" t="b">
        <f>IF(Checks!C69,Data!B69&lt;&gt;"",TRUE)</f>
        <v>1</v>
      </c>
      <c r="O69" s="26" t="b">
        <f>IF(Checks!C69,IF(AND(UPPER(Data!C69)="SERVICE TASK",UPPER(Data!BZ69)="TYPE=SAS"),NodeExists(TRIM(RIGHT(Data!CA69,LEN(Data!CA69)-FIND("=",Data!CA69)))),TRUE),TRUE)</f>
        <v>1</v>
      </c>
      <c r="P69" s="26" t="b">
        <f>IF(Checks!C69,IF(Data!C69="DATA OBJECT",OR(AND(Data!BW69&lt;&gt;"",Data!BX69=""),AND(Data!BW69="",Data!BX69&lt;&gt;"")),TRUE),TRUE)</f>
        <v>1</v>
      </c>
      <c r="Q69" s="26" t="b">
        <f>IF(Checks!C69,UPPER(RIGHT(Data!A69,5))=".BPMN",TRUE)</f>
        <v>1</v>
      </c>
      <c r="R69" s="26" t="b">
        <f>IF(Checks!C69,IF(UPPER(Data!C69)="SUB PROCESS",UPPER(RIGHT(Data!BY69,5))=".BPMN",TRUE),TRUE)</f>
        <v>1</v>
      </c>
      <c r="S69" s="26" t="b">
        <f>IF(Checks!C69,IF(UPPER(Data!C69)="SERVICE TASK",IF(UPPER(Data!BZ69)="TYPE=SAS",UPPER(RIGHT(Data!CA69,4))=".SAS",TRUE),TRUE),TRUE)</f>
        <v>1</v>
      </c>
      <c r="T69" s="26" t="b">
        <f>IF(Checks!C69,IF(Data!B69&lt;&gt;"",Data!D69&lt;&gt;"",TRUE),TRUE)</f>
        <v>1</v>
      </c>
      <c r="U69" s="26" t="b">
        <f ca="1">IF(Checks!C69,IF(UPPER(Data!C69)="DATA OBJECT",NOT(ISERROR(MATCH(Data!A69&amp;"||"&amp;Data!BW69&amp;Data!BX69,Key,0))),TRUE),TRUE)</f>
        <v>1</v>
      </c>
      <c r="V69" s="26" t="b">
        <f>IF(Checks!C69,IF(UPPER(Data!C69)="SUB PROCESS",Data!BY69&lt;&gt;"",TRUE),TRUE)</f>
        <v>1</v>
      </c>
      <c r="W69" s="26" t="b">
        <f>IF(Checks!C69,IF(UPPER(Data!C69)="SERVICE TASK",AND(Data!BZ69&lt;&gt;"",Data!CA69&lt;&gt;""),TRUE),TRUE)</f>
        <v>1</v>
      </c>
      <c r="X69" s="26" t="b">
        <f t="array" aca="1" ref="X69" ca="1">SUM((OFFSET(Data!B69,MAX(ROW(Data!$B$5)-ROW(Data!B69),-200),0,400,1)=Data!B69)*(OFFSET(Data!A69,MAX(ROW(Data!$B$5)-ROW(Data!B69),-200),0,400,1)=Data!A69))=1</f>
        <v>1</v>
      </c>
      <c r="Y69" s="26" t="b">
        <f t="array" aca="1" ref="Y69" ca="1">IF(UPPER(Data!C69)="START",SUM((OFFSET(Data!C69,MAX(ROW(Data!$C$5)-ROW(Data!C69),-200),0,400,1)="START")*(OFFSET(Data!A69,MAX(ROW(Data!$B$5)-ROW(Data!B69),-200),0,400,1)=Data!A69))=1,TRUE)</f>
        <v>1</v>
      </c>
      <c r="Z69" s="26" t="b">
        <f t="array" aca="1" ref="Z69" ca="1">IF(UPPER(Data!C69)="END",SUM((OFFSET(Data!C69,MAX(ROW(Data!$C$5)-ROW(Data!C69),-200),0,400,1)="END")*(OFFSET(Data!A69,MAX(ROW(Data!$B$5)-ROW(Data!B69),-200),0,400,1)=Data!A69))=1,TRUE)</f>
        <v>1</v>
      </c>
      <c r="AA69" s="26" t="b">
        <f>IF(Checks!C69,ISERROR(FIND("&amp;",Data!D69)),TRUE)</f>
        <v>1</v>
      </c>
      <c r="AB69" s="26" t="b">
        <f>IF(Checks!$C69,IF(AND(UPPER(Data!$C69)&lt;&gt;"START",UPPER(Data!$C69)&lt;&gt;"DATA OBJECT",Data!E69&lt;&gt;""),NOT(ISERROR(MATCH(Data!$A69&amp;"||"&amp;Data!E69,Key,0))),TRUE),TRUE)</f>
        <v>1</v>
      </c>
      <c r="AC69" s="27" t="b">
        <f>IF(Checks!C69,IF(UPPER(Data!C69)="END",Data!E69&lt;&gt;"",TRUE),TRUE)</f>
        <v>1</v>
      </c>
    </row>
    <row r="70" spans="1:29" x14ac:dyDescent="0.25">
      <c r="A70" s="1" t="str">
        <f>Data!A70&amp;"||"&amp;Data!B70</f>
        <v>Miscellaneous/subflow/irmifrs9_load_reportmart.bpmn||007</v>
      </c>
      <c r="B70" s="19"/>
      <c r="C70" s="24" t="b">
        <f>AND(UPPER(Data!A70)&lt;&gt;"EMPTY",Data!B70&lt;&gt;"")</f>
        <v>1</v>
      </c>
      <c r="D70" s="1"/>
      <c r="E70" s="25" t="b">
        <f t="shared" ref="E70:E133" ca="1" si="2">IF(C70,AND(F70:G70),TRUE)</f>
        <v>1</v>
      </c>
      <c r="F70" s="26" t="b">
        <f ca="1">IF(UPPER(Data!C70)="SUB PROCESS",NOT(ISERROR(MATCH(RIGHT(Data!BY70,LEN(Data!BY70)-5),OFFSET(Data,0,0,ItemsCount,1),0))),TRUE)</f>
        <v>1</v>
      </c>
      <c r="G70" s="26" t="b">
        <f ca="1">IF(MID(UPPER(Data!A70),1,13)="MISCELLANEOUS",NOT(ISERROR(MATCH("path="&amp;Data!A70,OFFSET(Data,0,76,ItemsCount,1),0))),TRUE)</f>
        <v>1</v>
      </c>
      <c r="L70" s="25" t="b">
        <f t="shared" ref="L70:L133" ca="1" si="3">IF(C70,AND(M70:AC70),TRUE)</f>
        <v>1</v>
      </c>
      <c r="M70" s="24" t="b">
        <f>IF(Checks!$C70,Data!A70&lt;&gt;"",TRUE)</f>
        <v>1</v>
      </c>
      <c r="N70" s="26" t="b">
        <f>IF(Checks!C70,Data!B70&lt;&gt;"",TRUE)</f>
        <v>1</v>
      </c>
      <c r="O70" s="26" t="b">
        <f>IF(Checks!C70,IF(AND(UPPER(Data!C70)="SERVICE TASK",UPPER(Data!BZ70)="TYPE=SAS"),NodeExists(TRIM(RIGHT(Data!CA70,LEN(Data!CA70)-FIND("=",Data!CA70)))),TRUE),TRUE)</f>
        <v>1</v>
      </c>
      <c r="P70" s="26" t="b">
        <f>IF(Checks!C70,IF(Data!C70="DATA OBJECT",OR(AND(Data!BW70&lt;&gt;"",Data!BX70=""),AND(Data!BW70="",Data!BX70&lt;&gt;"")),TRUE),TRUE)</f>
        <v>1</v>
      </c>
      <c r="Q70" s="26" t="b">
        <f>IF(Checks!C70,UPPER(RIGHT(Data!A70,5))=".BPMN",TRUE)</f>
        <v>1</v>
      </c>
      <c r="R70" s="26" t="b">
        <f>IF(Checks!C70,IF(UPPER(Data!C70)="SUB PROCESS",UPPER(RIGHT(Data!BY70,5))=".BPMN",TRUE),TRUE)</f>
        <v>1</v>
      </c>
      <c r="S70" s="26" t="b">
        <f>IF(Checks!C70,IF(UPPER(Data!C70)="SERVICE TASK",IF(UPPER(Data!BZ70)="TYPE=SAS",UPPER(RIGHT(Data!CA70,4))=".SAS",TRUE),TRUE),TRUE)</f>
        <v>1</v>
      </c>
      <c r="T70" s="26" t="b">
        <f>IF(Checks!C70,IF(Data!B70&lt;&gt;"",Data!D70&lt;&gt;"",TRUE),TRUE)</f>
        <v>1</v>
      </c>
      <c r="U70" s="26" t="b">
        <f>IF(Checks!C70,IF(UPPER(Data!C70)="DATA OBJECT",NOT(ISERROR(MATCH(Data!A70&amp;"||"&amp;Data!BW70&amp;Data!BX70,Key,0))),TRUE),TRUE)</f>
        <v>1</v>
      </c>
      <c r="V70" s="26" t="b">
        <f>IF(Checks!C70,IF(UPPER(Data!C70)="SUB PROCESS",Data!BY70&lt;&gt;"",TRUE),TRUE)</f>
        <v>1</v>
      </c>
      <c r="W70" s="26" t="b">
        <f>IF(Checks!C70,IF(UPPER(Data!C70)="SERVICE TASK",AND(Data!BZ70&lt;&gt;"",Data!CA70&lt;&gt;""),TRUE),TRUE)</f>
        <v>1</v>
      </c>
      <c r="X70" s="26" t="b">
        <f t="array" aca="1" ref="X70" ca="1">SUM((OFFSET(Data!B70,MAX(ROW(Data!$B$5)-ROW(Data!B70),-200),0,400,1)=Data!B70)*(OFFSET(Data!A70,MAX(ROW(Data!$B$5)-ROW(Data!B70),-200),0,400,1)=Data!A70))=1</f>
        <v>1</v>
      </c>
      <c r="Y70" s="26" t="b">
        <f t="array" aca="1" ref="Y70" ca="1">IF(UPPER(Data!C70)="START",SUM((OFFSET(Data!C70,MAX(ROW(Data!$C$5)-ROW(Data!C70),-200),0,400,1)="START")*(OFFSET(Data!A70,MAX(ROW(Data!$B$5)-ROW(Data!B70),-200),0,400,1)=Data!A70))=1,TRUE)</f>
        <v>1</v>
      </c>
      <c r="Z70" s="26" t="b">
        <f t="array" aca="1" ref="Z70" ca="1">IF(UPPER(Data!C70)="END",SUM((OFFSET(Data!C70,MAX(ROW(Data!$C$5)-ROW(Data!C70),-200),0,400,1)="END")*(OFFSET(Data!A70,MAX(ROW(Data!$B$5)-ROW(Data!B70),-200),0,400,1)=Data!A70))=1,TRUE)</f>
        <v>1</v>
      </c>
      <c r="AA70" s="26" t="b">
        <f>IF(Checks!C70,ISERROR(FIND("&amp;",Data!D70)),TRUE)</f>
        <v>1</v>
      </c>
      <c r="AB70" s="26" t="b">
        <f ca="1">IF(Checks!$C70,IF(AND(UPPER(Data!$C70)&lt;&gt;"START",UPPER(Data!$C70)&lt;&gt;"DATA OBJECT",Data!E70&lt;&gt;""),NOT(ISERROR(MATCH(Data!$A70&amp;"||"&amp;Data!E70,Key,0))),TRUE),TRUE)</f>
        <v>1</v>
      </c>
      <c r="AC70" s="27" t="b">
        <f>IF(Checks!C70,IF(UPPER(Data!C70)="END",Data!E70&lt;&gt;"",TRUE),TRUE)</f>
        <v>1</v>
      </c>
    </row>
    <row r="71" spans="1:29" x14ac:dyDescent="0.25">
      <c r="A71" s="1" t="str">
        <f>Data!A71&amp;"||"&amp;Data!B71</f>
        <v>Miscellaneous/subflow/irmifrs9_load_reportmart.bpmn||007_00_03</v>
      </c>
      <c r="B71" s="19"/>
      <c r="C71" s="24" t="b">
        <f>AND(UPPER(Data!A71)&lt;&gt;"EMPTY",Data!B71&lt;&gt;"")</f>
        <v>1</v>
      </c>
      <c r="D71" s="1"/>
      <c r="E71" s="25" t="b">
        <f t="shared" ca="1" si="2"/>
        <v>1</v>
      </c>
      <c r="F71" s="26" t="b">
        <f ca="1">IF(UPPER(Data!C71)="SUB PROCESS",NOT(ISERROR(MATCH(RIGHT(Data!BY71,LEN(Data!BY71)-5),OFFSET(Data,0,0,ItemsCount,1),0))),TRUE)</f>
        <v>1</v>
      </c>
      <c r="G71" s="26" t="b">
        <f ca="1">IF(MID(UPPER(Data!A71),1,13)="MISCELLANEOUS",NOT(ISERROR(MATCH("path="&amp;Data!A71,OFFSET(Data,0,76,ItemsCount,1),0))),TRUE)</f>
        <v>1</v>
      </c>
      <c r="L71" s="25" t="b">
        <f t="shared" ca="1" si="3"/>
        <v>1</v>
      </c>
      <c r="M71" s="24" t="b">
        <f>IF(Checks!$C71,Data!A71&lt;&gt;"",TRUE)</f>
        <v>1</v>
      </c>
      <c r="N71" s="26" t="b">
        <f>IF(Checks!C71,Data!B71&lt;&gt;"",TRUE)</f>
        <v>1</v>
      </c>
      <c r="O71" s="26" t="b">
        <f>IF(Checks!C71,IF(AND(UPPER(Data!C71)="SERVICE TASK",UPPER(Data!BZ71)="TYPE=SAS"),NodeExists(TRIM(RIGHT(Data!CA71,LEN(Data!CA71)-FIND("=",Data!CA71)))),TRUE),TRUE)</f>
        <v>1</v>
      </c>
      <c r="P71" s="26" t="b">
        <f>IF(Checks!C71,IF(Data!C71="DATA OBJECT",OR(AND(Data!BW71&lt;&gt;"",Data!BX71=""),AND(Data!BW71="",Data!BX71&lt;&gt;"")),TRUE),TRUE)</f>
        <v>1</v>
      </c>
      <c r="Q71" s="26" t="b">
        <f>IF(Checks!C71,UPPER(RIGHT(Data!A71,5))=".BPMN",TRUE)</f>
        <v>1</v>
      </c>
      <c r="R71" s="26" t="b">
        <f>IF(Checks!C71,IF(UPPER(Data!C71)="SUB PROCESS",UPPER(RIGHT(Data!BY71,5))=".BPMN",TRUE),TRUE)</f>
        <v>1</v>
      </c>
      <c r="S71" s="26" t="b">
        <f>IF(Checks!C71,IF(UPPER(Data!C71)="SERVICE TASK",IF(UPPER(Data!BZ71)="TYPE=SAS",UPPER(RIGHT(Data!CA71,4))=".SAS",TRUE),TRUE),TRUE)</f>
        <v>1</v>
      </c>
      <c r="T71" s="26" t="b">
        <f>IF(Checks!C71,IF(Data!B71&lt;&gt;"",Data!D71&lt;&gt;"",TRUE),TRUE)</f>
        <v>1</v>
      </c>
      <c r="U71" s="26" t="b">
        <f ca="1">IF(Checks!C71,IF(UPPER(Data!C71)="DATA OBJECT",NOT(ISERROR(MATCH(Data!A71&amp;"||"&amp;Data!BW71&amp;Data!BX71,Key,0))),TRUE),TRUE)</f>
        <v>1</v>
      </c>
      <c r="V71" s="26" t="b">
        <f>IF(Checks!C71,IF(UPPER(Data!C71)="SUB PROCESS",Data!BY71&lt;&gt;"",TRUE),TRUE)</f>
        <v>1</v>
      </c>
      <c r="W71" s="26" t="b">
        <f>IF(Checks!C71,IF(UPPER(Data!C71)="SERVICE TASK",AND(Data!BZ71&lt;&gt;"",Data!CA71&lt;&gt;""),TRUE),TRUE)</f>
        <v>1</v>
      </c>
      <c r="X71" s="26" t="b">
        <f t="array" aca="1" ref="X71" ca="1">SUM((OFFSET(Data!B71,MAX(ROW(Data!$B$5)-ROW(Data!B71),-200),0,400,1)=Data!B71)*(OFFSET(Data!A71,MAX(ROW(Data!$B$5)-ROW(Data!B71),-200),0,400,1)=Data!A71))=1</f>
        <v>1</v>
      </c>
      <c r="Y71" s="26" t="b">
        <f t="array" aca="1" ref="Y71" ca="1">IF(UPPER(Data!C71)="START",SUM((OFFSET(Data!C71,MAX(ROW(Data!$C$5)-ROW(Data!C71),-200),0,400,1)="START")*(OFFSET(Data!A71,MAX(ROW(Data!$B$5)-ROW(Data!B71),-200),0,400,1)=Data!A71))=1,TRUE)</f>
        <v>1</v>
      </c>
      <c r="Z71" s="26" t="b">
        <f t="array" aca="1" ref="Z71" ca="1">IF(UPPER(Data!C71)="END",SUM((OFFSET(Data!C71,MAX(ROW(Data!$C$5)-ROW(Data!C71),-200),0,400,1)="END")*(OFFSET(Data!A71,MAX(ROW(Data!$B$5)-ROW(Data!B71),-200),0,400,1)=Data!A71))=1,TRUE)</f>
        <v>1</v>
      </c>
      <c r="AA71" s="26" t="b">
        <f>IF(Checks!C71,ISERROR(FIND("&amp;",Data!D71)),TRUE)</f>
        <v>1</v>
      </c>
      <c r="AB71" s="26" t="b">
        <f>IF(Checks!$C71,IF(AND(UPPER(Data!$C71)&lt;&gt;"START",UPPER(Data!$C71)&lt;&gt;"DATA OBJECT",Data!E71&lt;&gt;""),NOT(ISERROR(MATCH(Data!$A71&amp;"||"&amp;Data!E71,Key,0))),TRUE),TRUE)</f>
        <v>1</v>
      </c>
      <c r="AC71" s="27" t="b">
        <f>IF(Checks!C71,IF(UPPER(Data!C71)="END",Data!E71&lt;&gt;"",TRUE),TRUE)</f>
        <v>1</v>
      </c>
    </row>
    <row r="72" spans="1:29" x14ac:dyDescent="0.25">
      <c r="A72" s="1" t="str">
        <f>Data!A72&amp;"||"&amp;Data!B72</f>
        <v>Miscellaneous/subflow/irmifrs9_load_reportmart.bpmn||007_00_04</v>
      </c>
      <c r="B72" s="19"/>
      <c r="C72" s="24" t="b">
        <f>AND(UPPER(Data!A72)&lt;&gt;"EMPTY",Data!B72&lt;&gt;"")</f>
        <v>1</v>
      </c>
      <c r="D72" s="1"/>
      <c r="E72" s="25" t="b">
        <f t="shared" ca="1" si="2"/>
        <v>1</v>
      </c>
      <c r="F72" s="26" t="b">
        <f ca="1">IF(UPPER(Data!C72)="SUB PROCESS",NOT(ISERROR(MATCH(RIGHT(Data!BY72,LEN(Data!BY72)-5),OFFSET(Data,0,0,ItemsCount,1),0))),TRUE)</f>
        <v>1</v>
      </c>
      <c r="G72" s="26" t="b">
        <f ca="1">IF(MID(UPPER(Data!A72),1,13)="MISCELLANEOUS",NOT(ISERROR(MATCH("path="&amp;Data!A72,OFFSET(Data,0,76,ItemsCount,1),0))),TRUE)</f>
        <v>1</v>
      </c>
      <c r="L72" s="25" t="b">
        <f t="shared" ca="1" si="3"/>
        <v>1</v>
      </c>
      <c r="M72" s="24" t="b">
        <f>IF(Checks!$C72,Data!A72&lt;&gt;"",TRUE)</f>
        <v>1</v>
      </c>
      <c r="N72" s="26" t="b">
        <f>IF(Checks!C72,Data!B72&lt;&gt;"",TRUE)</f>
        <v>1</v>
      </c>
      <c r="O72" s="26" t="b">
        <f>IF(Checks!C72,IF(AND(UPPER(Data!C72)="SERVICE TASK",UPPER(Data!BZ72)="TYPE=SAS"),NodeExists(TRIM(RIGHT(Data!CA72,LEN(Data!CA72)-FIND("=",Data!CA72)))),TRUE),TRUE)</f>
        <v>1</v>
      </c>
      <c r="P72" s="26" t="b">
        <f>IF(Checks!C72,IF(Data!C72="DATA OBJECT",OR(AND(Data!BW72&lt;&gt;"",Data!BX72=""),AND(Data!BW72="",Data!BX72&lt;&gt;"")),TRUE),TRUE)</f>
        <v>1</v>
      </c>
      <c r="Q72" s="26" t="b">
        <f>IF(Checks!C72,UPPER(RIGHT(Data!A72,5))=".BPMN",TRUE)</f>
        <v>1</v>
      </c>
      <c r="R72" s="26" t="b">
        <f>IF(Checks!C72,IF(UPPER(Data!C72)="SUB PROCESS",UPPER(RIGHT(Data!BY72,5))=".BPMN",TRUE),TRUE)</f>
        <v>1</v>
      </c>
      <c r="S72" s="26" t="b">
        <f>IF(Checks!C72,IF(UPPER(Data!C72)="SERVICE TASK",IF(UPPER(Data!BZ72)="TYPE=SAS",UPPER(RIGHT(Data!CA72,4))=".SAS",TRUE),TRUE),TRUE)</f>
        <v>1</v>
      </c>
      <c r="T72" s="26" t="b">
        <f>IF(Checks!C72,IF(Data!B72&lt;&gt;"",Data!D72&lt;&gt;"",TRUE),TRUE)</f>
        <v>1</v>
      </c>
      <c r="U72" s="26" t="b">
        <f ca="1">IF(Checks!C72,IF(UPPER(Data!C72)="DATA OBJECT",NOT(ISERROR(MATCH(Data!A72&amp;"||"&amp;Data!BW72&amp;Data!BX72,Key,0))),TRUE),TRUE)</f>
        <v>1</v>
      </c>
      <c r="V72" s="26" t="b">
        <f>IF(Checks!C72,IF(UPPER(Data!C72)="SUB PROCESS",Data!BY72&lt;&gt;"",TRUE),TRUE)</f>
        <v>1</v>
      </c>
      <c r="W72" s="26" t="b">
        <f>IF(Checks!C72,IF(UPPER(Data!C72)="SERVICE TASK",AND(Data!BZ72&lt;&gt;"",Data!CA72&lt;&gt;""),TRUE),TRUE)</f>
        <v>1</v>
      </c>
      <c r="X72" s="26" t="b">
        <f t="array" aca="1" ref="X72" ca="1">SUM((OFFSET(Data!B72,MAX(ROW(Data!$B$5)-ROW(Data!B72),-200),0,400,1)=Data!B72)*(OFFSET(Data!A72,MAX(ROW(Data!$B$5)-ROW(Data!B72),-200),0,400,1)=Data!A72))=1</f>
        <v>1</v>
      </c>
      <c r="Y72" s="26" t="b">
        <f t="array" aca="1" ref="Y72" ca="1">IF(UPPER(Data!C72)="START",SUM((OFFSET(Data!C72,MAX(ROW(Data!$C$5)-ROW(Data!C72),-200),0,400,1)="START")*(OFFSET(Data!A72,MAX(ROW(Data!$B$5)-ROW(Data!B72),-200),0,400,1)=Data!A72))=1,TRUE)</f>
        <v>1</v>
      </c>
      <c r="Z72" s="26" t="b">
        <f t="array" aca="1" ref="Z72" ca="1">IF(UPPER(Data!C72)="END",SUM((OFFSET(Data!C72,MAX(ROW(Data!$C$5)-ROW(Data!C72),-200),0,400,1)="END")*(OFFSET(Data!A72,MAX(ROW(Data!$B$5)-ROW(Data!B72),-200),0,400,1)=Data!A72))=1,TRUE)</f>
        <v>1</v>
      </c>
      <c r="AA72" s="26" t="b">
        <f>IF(Checks!C72,ISERROR(FIND("&amp;",Data!D72)),TRUE)</f>
        <v>1</v>
      </c>
      <c r="AB72" s="26" t="b">
        <f>IF(Checks!$C72,IF(AND(UPPER(Data!$C72)&lt;&gt;"START",UPPER(Data!$C72)&lt;&gt;"DATA OBJECT",Data!E72&lt;&gt;""),NOT(ISERROR(MATCH(Data!$A72&amp;"||"&amp;Data!E72,Key,0))),TRUE),TRUE)</f>
        <v>1</v>
      </c>
      <c r="AC72" s="27" t="b">
        <f>IF(Checks!C72,IF(UPPER(Data!C72)="END",Data!E72&lt;&gt;"",TRUE),TRUE)</f>
        <v>1</v>
      </c>
    </row>
    <row r="73" spans="1:29" x14ac:dyDescent="0.25">
      <c r="A73" s="1" t="str">
        <f>Data!A73&amp;"||"&amp;Data!B73</f>
        <v>Miscellaneous/subflow/irmifrs9_load_reportmart.bpmn||007_00_05</v>
      </c>
      <c r="B73" s="19"/>
      <c r="C73" s="24" t="b">
        <f>AND(UPPER(Data!A73)&lt;&gt;"EMPTY",Data!B73&lt;&gt;"")</f>
        <v>1</v>
      </c>
      <c r="D73" s="1"/>
      <c r="E73" s="25" t="b">
        <f t="shared" ca="1" si="2"/>
        <v>1</v>
      </c>
      <c r="F73" s="26" t="b">
        <f ca="1">IF(UPPER(Data!C73)="SUB PROCESS",NOT(ISERROR(MATCH(RIGHT(Data!BY73,LEN(Data!BY73)-5),OFFSET(Data,0,0,ItemsCount,1),0))),TRUE)</f>
        <v>1</v>
      </c>
      <c r="G73" s="26" t="b">
        <f ca="1">IF(MID(UPPER(Data!A73),1,13)="MISCELLANEOUS",NOT(ISERROR(MATCH("path="&amp;Data!A73,OFFSET(Data,0,76,ItemsCount,1),0))),TRUE)</f>
        <v>1</v>
      </c>
      <c r="L73" s="25" t="b">
        <f t="shared" ca="1" si="3"/>
        <v>1</v>
      </c>
      <c r="M73" s="24" t="b">
        <f>IF(Checks!$C73,Data!A73&lt;&gt;"",TRUE)</f>
        <v>1</v>
      </c>
      <c r="N73" s="26" t="b">
        <f>IF(Checks!C73,Data!B73&lt;&gt;"",TRUE)</f>
        <v>1</v>
      </c>
      <c r="O73" s="26" t="b">
        <f>IF(Checks!C73,IF(AND(UPPER(Data!C73)="SERVICE TASK",UPPER(Data!BZ73)="TYPE=SAS"),NodeExists(TRIM(RIGHT(Data!CA73,LEN(Data!CA73)-FIND("=",Data!CA73)))),TRUE),TRUE)</f>
        <v>1</v>
      </c>
      <c r="P73" s="26" t="b">
        <f>IF(Checks!C73,IF(Data!C73="DATA OBJECT",OR(AND(Data!BW73&lt;&gt;"",Data!BX73=""),AND(Data!BW73="",Data!BX73&lt;&gt;"")),TRUE),TRUE)</f>
        <v>1</v>
      </c>
      <c r="Q73" s="26" t="b">
        <f>IF(Checks!C73,UPPER(RIGHT(Data!A73,5))=".BPMN",TRUE)</f>
        <v>1</v>
      </c>
      <c r="R73" s="26" t="b">
        <f>IF(Checks!C73,IF(UPPER(Data!C73)="SUB PROCESS",UPPER(RIGHT(Data!BY73,5))=".BPMN",TRUE),TRUE)</f>
        <v>1</v>
      </c>
      <c r="S73" s="26" t="b">
        <f>IF(Checks!C73,IF(UPPER(Data!C73)="SERVICE TASK",IF(UPPER(Data!BZ73)="TYPE=SAS",UPPER(RIGHT(Data!CA73,4))=".SAS",TRUE),TRUE),TRUE)</f>
        <v>1</v>
      </c>
      <c r="T73" s="26" t="b">
        <f>IF(Checks!C73,IF(Data!B73&lt;&gt;"",Data!D73&lt;&gt;"",TRUE),TRUE)</f>
        <v>1</v>
      </c>
      <c r="U73" s="26" t="b">
        <f ca="1">IF(Checks!C73,IF(UPPER(Data!C73)="DATA OBJECT",NOT(ISERROR(MATCH(Data!A73&amp;"||"&amp;Data!BW73&amp;Data!BX73,Key,0))),TRUE),TRUE)</f>
        <v>1</v>
      </c>
      <c r="V73" s="26" t="b">
        <f>IF(Checks!C73,IF(UPPER(Data!C73)="SUB PROCESS",Data!BY73&lt;&gt;"",TRUE),TRUE)</f>
        <v>1</v>
      </c>
      <c r="W73" s="26" t="b">
        <f>IF(Checks!C73,IF(UPPER(Data!C73)="SERVICE TASK",AND(Data!BZ73&lt;&gt;"",Data!CA73&lt;&gt;""),TRUE),TRUE)</f>
        <v>1</v>
      </c>
      <c r="X73" s="26" t="b">
        <f t="array" aca="1" ref="X73" ca="1">SUM((OFFSET(Data!B73,MAX(ROW(Data!$B$5)-ROW(Data!B73),-200),0,400,1)=Data!B73)*(OFFSET(Data!A73,MAX(ROW(Data!$B$5)-ROW(Data!B73),-200),0,400,1)=Data!A73))=1</f>
        <v>1</v>
      </c>
      <c r="Y73" s="26" t="b">
        <f t="array" aca="1" ref="Y73" ca="1">IF(UPPER(Data!C73)="START",SUM((OFFSET(Data!C73,MAX(ROW(Data!$C$5)-ROW(Data!C73),-200),0,400,1)="START")*(OFFSET(Data!A73,MAX(ROW(Data!$B$5)-ROW(Data!B73),-200),0,400,1)=Data!A73))=1,TRUE)</f>
        <v>1</v>
      </c>
      <c r="Z73" s="26" t="b">
        <f t="array" aca="1" ref="Z73" ca="1">IF(UPPER(Data!C73)="END",SUM((OFFSET(Data!C73,MAX(ROW(Data!$C$5)-ROW(Data!C73),-200),0,400,1)="END")*(OFFSET(Data!A73,MAX(ROW(Data!$B$5)-ROW(Data!B73),-200),0,400,1)=Data!A73))=1,TRUE)</f>
        <v>1</v>
      </c>
      <c r="AA73" s="26" t="b">
        <f>IF(Checks!C73,ISERROR(FIND("&amp;",Data!D73)),TRUE)</f>
        <v>1</v>
      </c>
      <c r="AB73" s="26" t="b">
        <f>IF(Checks!$C73,IF(AND(UPPER(Data!$C73)&lt;&gt;"START",UPPER(Data!$C73)&lt;&gt;"DATA OBJECT",Data!E73&lt;&gt;""),NOT(ISERROR(MATCH(Data!$A73&amp;"||"&amp;Data!E73,Key,0))),TRUE),TRUE)</f>
        <v>1</v>
      </c>
      <c r="AC73" s="27" t="b">
        <f>IF(Checks!C73,IF(UPPER(Data!C73)="END",Data!E73&lt;&gt;"",TRUE),TRUE)</f>
        <v>1</v>
      </c>
    </row>
    <row r="74" spans="1:29" x14ac:dyDescent="0.25">
      <c r="A74" s="1" t="str">
        <f>Data!A74&amp;"||"&amp;Data!B74</f>
        <v>Miscellaneous/subflow/irmifrs9_load_reportmart.bpmn||007_00_06</v>
      </c>
      <c r="B74" s="19"/>
      <c r="C74" s="24" t="b">
        <f>AND(UPPER(Data!A74)&lt;&gt;"EMPTY",Data!B74&lt;&gt;"")</f>
        <v>1</v>
      </c>
      <c r="D74" s="1"/>
      <c r="E74" s="25" t="b">
        <f t="shared" ca="1" si="2"/>
        <v>1</v>
      </c>
      <c r="F74" s="26" t="b">
        <f ca="1">IF(UPPER(Data!C74)="SUB PROCESS",NOT(ISERROR(MATCH(RIGHT(Data!BY74,LEN(Data!BY74)-5),OFFSET(Data,0,0,ItemsCount,1),0))),TRUE)</f>
        <v>1</v>
      </c>
      <c r="G74" s="26" t="b">
        <f ca="1">IF(MID(UPPER(Data!A74),1,13)="MISCELLANEOUS",NOT(ISERROR(MATCH("path="&amp;Data!A74,OFFSET(Data,0,76,ItemsCount,1),0))),TRUE)</f>
        <v>1</v>
      </c>
      <c r="L74" s="25" t="b">
        <f t="shared" ca="1" si="3"/>
        <v>1</v>
      </c>
      <c r="M74" s="24" t="b">
        <f>IF(Checks!$C74,Data!A74&lt;&gt;"",TRUE)</f>
        <v>1</v>
      </c>
      <c r="N74" s="26" t="b">
        <f>IF(Checks!C74,Data!B74&lt;&gt;"",TRUE)</f>
        <v>1</v>
      </c>
      <c r="O74" s="26" t="b">
        <f>IF(Checks!C74,IF(AND(UPPER(Data!C74)="SERVICE TASK",UPPER(Data!BZ74)="TYPE=SAS"),NodeExists(TRIM(RIGHT(Data!CA74,LEN(Data!CA74)-FIND("=",Data!CA74)))),TRUE),TRUE)</f>
        <v>1</v>
      </c>
      <c r="P74" s="26" t="b">
        <f>IF(Checks!C74,IF(Data!C74="DATA OBJECT",OR(AND(Data!BW74&lt;&gt;"",Data!BX74=""),AND(Data!BW74="",Data!BX74&lt;&gt;"")),TRUE),TRUE)</f>
        <v>1</v>
      </c>
      <c r="Q74" s="26" t="b">
        <f>IF(Checks!C74,UPPER(RIGHT(Data!A74,5))=".BPMN",TRUE)</f>
        <v>1</v>
      </c>
      <c r="R74" s="26" t="b">
        <f>IF(Checks!C74,IF(UPPER(Data!C74)="SUB PROCESS",UPPER(RIGHT(Data!BY74,5))=".BPMN",TRUE),TRUE)</f>
        <v>1</v>
      </c>
      <c r="S74" s="26" t="b">
        <f>IF(Checks!C74,IF(UPPER(Data!C74)="SERVICE TASK",IF(UPPER(Data!BZ74)="TYPE=SAS",UPPER(RIGHT(Data!CA74,4))=".SAS",TRUE),TRUE),TRUE)</f>
        <v>1</v>
      </c>
      <c r="T74" s="26" t="b">
        <f>IF(Checks!C74,IF(Data!B74&lt;&gt;"",Data!D74&lt;&gt;"",TRUE),TRUE)</f>
        <v>1</v>
      </c>
      <c r="U74" s="26" t="b">
        <f ca="1">IF(Checks!C74,IF(UPPER(Data!C74)="DATA OBJECT",NOT(ISERROR(MATCH(Data!A74&amp;"||"&amp;Data!BW74&amp;Data!BX74,Key,0))),TRUE),TRUE)</f>
        <v>1</v>
      </c>
      <c r="V74" s="26" t="b">
        <f>IF(Checks!C74,IF(UPPER(Data!C74)="SUB PROCESS",Data!BY74&lt;&gt;"",TRUE),TRUE)</f>
        <v>1</v>
      </c>
      <c r="W74" s="26" t="b">
        <f>IF(Checks!C74,IF(UPPER(Data!C74)="SERVICE TASK",AND(Data!BZ74&lt;&gt;"",Data!CA74&lt;&gt;""),TRUE),TRUE)</f>
        <v>1</v>
      </c>
      <c r="X74" s="26" t="b">
        <f t="array" aca="1" ref="X74" ca="1">SUM((OFFSET(Data!B74,MAX(ROW(Data!$B$5)-ROW(Data!B74),-200),0,400,1)=Data!B74)*(OFFSET(Data!A74,MAX(ROW(Data!$B$5)-ROW(Data!B74),-200),0,400,1)=Data!A74))=1</f>
        <v>1</v>
      </c>
      <c r="Y74" s="26" t="b">
        <f t="array" aca="1" ref="Y74" ca="1">IF(UPPER(Data!C74)="START",SUM((OFFSET(Data!C74,MAX(ROW(Data!$C$5)-ROW(Data!C74),-200),0,400,1)="START")*(OFFSET(Data!A74,MAX(ROW(Data!$B$5)-ROW(Data!B74),-200),0,400,1)=Data!A74))=1,TRUE)</f>
        <v>1</v>
      </c>
      <c r="Z74" s="26" t="b">
        <f t="array" aca="1" ref="Z74" ca="1">IF(UPPER(Data!C74)="END",SUM((OFFSET(Data!C74,MAX(ROW(Data!$C$5)-ROW(Data!C74),-200),0,400,1)="END")*(OFFSET(Data!A74,MAX(ROW(Data!$B$5)-ROW(Data!B74),-200),0,400,1)=Data!A74))=1,TRUE)</f>
        <v>1</v>
      </c>
      <c r="AA74" s="26" t="b">
        <f>IF(Checks!C74,ISERROR(FIND("&amp;",Data!D74)),TRUE)</f>
        <v>1</v>
      </c>
      <c r="AB74" s="26" t="b">
        <f>IF(Checks!$C74,IF(AND(UPPER(Data!$C74)&lt;&gt;"START",UPPER(Data!$C74)&lt;&gt;"DATA OBJECT",Data!E74&lt;&gt;""),NOT(ISERROR(MATCH(Data!$A74&amp;"||"&amp;Data!E74,Key,0))),TRUE),TRUE)</f>
        <v>1</v>
      </c>
      <c r="AC74" s="27" t="b">
        <f>IF(Checks!C74,IF(UPPER(Data!C74)="END",Data!E74&lt;&gt;"",TRUE),TRUE)</f>
        <v>1</v>
      </c>
    </row>
    <row r="75" spans="1:29" x14ac:dyDescent="0.25">
      <c r="A75" s="1" t="str">
        <f>Data!A75&amp;"||"&amp;Data!B75</f>
        <v>Miscellaneous/subflow/irmifrs9_load_reportmart.bpmn||007_00_07</v>
      </c>
      <c r="B75" s="19"/>
      <c r="C75" s="24" t="b">
        <f>AND(UPPER(Data!A75)&lt;&gt;"EMPTY",Data!B75&lt;&gt;"")</f>
        <v>1</v>
      </c>
      <c r="D75" s="1"/>
      <c r="E75" s="25" t="b">
        <f t="shared" ca="1" si="2"/>
        <v>1</v>
      </c>
      <c r="F75" s="26" t="b">
        <f ca="1">IF(UPPER(Data!C75)="SUB PROCESS",NOT(ISERROR(MATCH(RIGHT(Data!BY75,LEN(Data!BY75)-5),OFFSET(Data,0,0,ItemsCount,1),0))),TRUE)</f>
        <v>1</v>
      </c>
      <c r="G75" s="26" t="b">
        <f ca="1">IF(MID(UPPER(Data!A75),1,13)="MISCELLANEOUS",NOT(ISERROR(MATCH("path="&amp;Data!A75,OFFSET(Data,0,76,ItemsCount,1),0))),TRUE)</f>
        <v>1</v>
      </c>
      <c r="L75" s="25" t="b">
        <f t="shared" ca="1" si="3"/>
        <v>1</v>
      </c>
      <c r="M75" s="24" t="b">
        <f>IF(Checks!$C75,Data!A75&lt;&gt;"",TRUE)</f>
        <v>1</v>
      </c>
      <c r="N75" s="26" t="b">
        <f>IF(Checks!C75,Data!B75&lt;&gt;"",TRUE)</f>
        <v>1</v>
      </c>
      <c r="O75" s="26" t="b">
        <f>IF(Checks!C75,IF(AND(UPPER(Data!C75)="SERVICE TASK",UPPER(Data!BZ75)="TYPE=SAS"),NodeExists(TRIM(RIGHT(Data!CA75,LEN(Data!CA75)-FIND("=",Data!CA75)))),TRUE),TRUE)</f>
        <v>1</v>
      </c>
      <c r="P75" s="26" t="b">
        <f>IF(Checks!C75,IF(Data!C75="DATA OBJECT",OR(AND(Data!BW75&lt;&gt;"",Data!BX75=""),AND(Data!BW75="",Data!BX75&lt;&gt;"")),TRUE),TRUE)</f>
        <v>1</v>
      </c>
      <c r="Q75" s="26" t="b">
        <f>IF(Checks!C75,UPPER(RIGHT(Data!A75,5))=".BPMN",TRUE)</f>
        <v>1</v>
      </c>
      <c r="R75" s="26" t="b">
        <f>IF(Checks!C75,IF(UPPER(Data!C75)="SUB PROCESS",UPPER(RIGHT(Data!BY75,5))=".BPMN",TRUE),TRUE)</f>
        <v>1</v>
      </c>
      <c r="S75" s="26" t="b">
        <f>IF(Checks!C75,IF(UPPER(Data!C75)="SERVICE TASK",IF(UPPER(Data!BZ75)="TYPE=SAS",UPPER(RIGHT(Data!CA75,4))=".SAS",TRUE),TRUE),TRUE)</f>
        <v>1</v>
      </c>
      <c r="T75" s="26" t="b">
        <f>IF(Checks!C75,IF(Data!B75&lt;&gt;"",Data!D75&lt;&gt;"",TRUE),TRUE)</f>
        <v>1</v>
      </c>
      <c r="U75" s="26" t="b">
        <f ca="1">IF(Checks!C75,IF(UPPER(Data!C75)="DATA OBJECT",NOT(ISERROR(MATCH(Data!A75&amp;"||"&amp;Data!BW75&amp;Data!BX75,Key,0))),TRUE),TRUE)</f>
        <v>1</v>
      </c>
      <c r="V75" s="26" t="b">
        <f>IF(Checks!C75,IF(UPPER(Data!C75)="SUB PROCESS",Data!BY75&lt;&gt;"",TRUE),TRUE)</f>
        <v>1</v>
      </c>
      <c r="W75" s="26" t="b">
        <f>IF(Checks!C75,IF(UPPER(Data!C75)="SERVICE TASK",AND(Data!BZ75&lt;&gt;"",Data!CA75&lt;&gt;""),TRUE),TRUE)</f>
        <v>1</v>
      </c>
      <c r="X75" s="26" t="b">
        <f t="array" aca="1" ref="X75" ca="1">SUM((OFFSET(Data!B75,MAX(ROW(Data!$B$5)-ROW(Data!B75),-200),0,400,1)=Data!B75)*(OFFSET(Data!A75,MAX(ROW(Data!$B$5)-ROW(Data!B75),-200),0,400,1)=Data!A75))=1</f>
        <v>1</v>
      </c>
      <c r="Y75" s="26" t="b">
        <f t="array" aca="1" ref="Y75" ca="1">IF(UPPER(Data!C75)="START",SUM((OFFSET(Data!C75,MAX(ROW(Data!$C$5)-ROW(Data!C75),-200),0,400,1)="START")*(OFFSET(Data!A75,MAX(ROW(Data!$B$5)-ROW(Data!B75),-200),0,400,1)=Data!A75))=1,TRUE)</f>
        <v>1</v>
      </c>
      <c r="Z75" s="26" t="b">
        <f t="array" aca="1" ref="Z75" ca="1">IF(UPPER(Data!C75)="END",SUM((OFFSET(Data!C75,MAX(ROW(Data!$C$5)-ROW(Data!C75),-200),0,400,1)="END")*(OFFSET(Data!A75,MAX(ROW(Data!$B$5)-ROW(Data!B75),-200),0,400,1)=Data!A75))=1,TRUE)</f>
        <v>1</v>
      </c>
      <c r="AA75" s="26" t="b">
        <f>IF(Checks!C75,ISERROR(FIND("&amp;",Data!D75)),TRUE)</f>
        <v>1</v>
      </c>
      <c r="AB75" s="26" t="b">
        <f>IF(Checks!$C75,IF(AND(UPPER(Data!$C75)&lt;&gt;"START",UPPER(Data!$C75)&lt;&gt;"DATA OBJECT",Data!E75&lt;&gt;""),NOT(ISERROR(MATCH(Data!$A75&amp;"||"&amp;Data!E75,Key,0))),TRUE),TRUE)</f>
        <v>1</v>
      </c>
      <c r="AC75" s="27" t="b">
        <f>IF(Checks!C75,IF(UPPER(Data!C75)="END",Data!E75&lt;&gt;"",TRUE),TRUE)</f>
        <v>1</v>
      </c>
    </row>
    <row r="76" spans="1:29" x14ac:dyDescent="0.25">
      <c r="A76" s="1" t="str">
        <f>Data!A76&amp;"||"&amp;Data!B76</f>
        <v>Miscellaneous/subflow/irmifrs9_load_reportmart.bpmn||007_02_00</v>
      </c>
      <c r="B76" s="19"/>
      <c r="C76" s="24" t="b">
        <f>AND(UPPER(Data!A76)&lt;&gt;"EMPTY",Data!B76&lt;&gt;"")</f>
        <v>1</v>
      </c>
      <c r="D76" s="1"/>
      <c r="E76" s="25" t="b">
        <f t="shared" ca="1" si="2"/>
        <v>1</v>
      </c>
      <c r="F76" s="26" t="b">
        <f ca="1">IF(UPPER(Data!C76)="SUB PROCESS",NOT(ISERROR(MATCH(RIGHT(Data!BY76,LEN(Data!BY76)-5),OFFSET(Data,0,0,ItemsCount,1),0))),TRUE)</f>
        <v>1</v>
      </c>
      <c r="G76" s="26" t="b">
        <f ca="1">IF(MID(UPPER(Data!A76),1,13)="MISCELLANEOUS",NOT(ISERROR(MATCH("path="&amp;Data!A76,OFFSET(Data,0,76,ItemsCount,1),0))),TRUE)</f>
        <v>1</v>
      </c>
      <c r="L76" s="25" t="b">
        <f t="shared" ca="1" si="3"/>
        <v>1</v>
      </c>
      <c r="M76" s="24" t="b">
        <f>IF(Checks!$C76,Data!A76&lt;&gt;"",TRUE)</f>
        <v>1</v>
      </c>
      <c r="N76" s="26" t="b">
        <f>IF(Checks!C76,Data!B76&lt;&gt;"",TRUE)</f>
        <v>1</v>
      </c>
      <c r="O76" s="26" t="b">
        <f>IF(Checks!C76,IF(AND(UPPER(Data!C76)="SERVICE TASK",UPPER(Data!BZ76)="TYPE=SAS"),NodeExists(TRIM(RIGHT(Data!CA76,LEN(Data!CA76)-FIND("=",Data!CA76)))),TRUE),TRUE)</f>
        <v>1</v>
      </c>
      <c r="P76" s="26" t="b">
        <f>IF(Checks!C76,IF(Data!C76="DATA OBJECT",OR(AND(Data!BW76&lt;&gt;"",Data!BX76=""),AND(Data!BW76="",Data!BX76&lt;&gt;"")),TRUE),TRUE)</f>
        <v>1</v>
      </c>
      <c r="Q76" s="26" t="b">
        <f>IF(Checks!C76,UPPER(RIGHT(Data!A76,5))=".BPMN",TRUE)</f>
        <v>1</v>
      </c>
      <c r="R76" s="26" t="b">
        <f>IF(Checks!C76,IF(UPPER(Data!C76)="SUB PROCESS",UPPER(RIGHT(Data!BY76,5))=".BPMN",TRUE),TRUE)</f>
        <v>1</v>
      </c>
      <c r="S76" s="26" t="b">
        <f>IF(Checks!C76,IF(UPPER(Data!C76)="SERVICE TASK",IF(UPPER(Data!BZ76)="TYPE=SAS",UPPER(RIGHT(Data!CA76,4))=".SAS",TRUE),TRUE),TRUE)</f>
        <v>1</v>
      </c>
      <c r="T76" s="26" t="b">
        <f>IF(Checks!C76,IF(Data!B76&lt;&gt;"",Data!D76&lt;&gt;"",TRUE),TRUE)</f>
        <v>1</v>
      </c>
      <c r="U76" s="26" t="b">
        <f ca="1">IF(Checks!C76,IF(UPPER(Data!C76)="DATA OBJECT",NOT(ISERROR(MATCH(Data!A76&amp;"||"&amp;Data!BW76&amp;Data!BX76,Key,0))),TRUE),TRUE)</f>
        <v>1</v>
      </c>
      <c r="V76" s="26" t="b">
        <f>IF(Checks!C76,IF(UPPER(Data!C76)="SUB PROCESS",Data!BY76&lt;&gt;"",TRUE),TRUE)</f>
        <v>1</v>
      </c>
      <c r="W76" s="26" t="b">
        <f>IF(Checks!C76,IF(UPPER(Data!C76)="SERVICE TASK",AND(Data!BZ76&lt;&gt;"",Data!CA76&lt;&gt;""),TRUE),TRUE)</f>
        <v>1</v>
      </c>
      <c r="X76" s="26" t="b">
        <f t="array" aca="1" ref="X76" ca="1">SUM((OFFSET(Data!B76,MAX(ROW(Data!$B$5)-ROW(Data!B76),-200),0,400,1)=Data!B76)*(OFFSET(Data!A76,MAX(ROW(Data!$B$5)-ROW(Data!B76),-200),0,400,1)=Data!A76))=1</f>
        <v>1</v>
      </c>
      <c r="Y76" s="26" t="b">
        <f t="array" aca="1" ref="Y76" ca="1">IF(UPPER(Data!C76)="START",SUM((OFFSET(Data!C76,MAX(ROW(Data!$C$5)-ROW(Data!C76),-200),0,400,1)="START")*(OFFSET(Data!A76,MAX(ROW(Data!$B$5)-ROW(Data!B76),-200),0,400,1)=Data!A76))=1,TRUE)</f>
        <v>1</v>
      </c>
      <c r="Z76" s="26" t="b">
        <f t="array" aca="1" ref="Z76" ca="1">IF(UPPER(Data!C76)="END",SUM((OFFSET(Data!C76,MAX(ROW(Data!$C$5)-ROW(Data!C76),-200),0,400,1)="END")*(OFFSET(Data!A76,MAX(ROW(Data!$B$5)-ROW(Data!B76),-200),0,400,1)=Data!A76))=1,TRUE)</f>
        <v>1</v>
      </c>
      <c r="AA76" s="26" t="b">
        <f>IF(Checks!C76,ISERROR(FIND("&amp;",Data!D76)),TRUE)</f>
        <v>1</v>
      </c>
      <c r="AB76" s="26" t="b">
        <f>IF(Checks!$C76,IF(AND(UPPER(Data!$C76)&lt;&gt;"START",UPPER(Data!$C76)&lt;&gt;"DATA OBJECT",Data!E76&lt;&gt;""),NOT(ISERROR(MATCH(Data!$A76&amp;"||"&amp;Data!E76,Key,0))),TRUE),TRUE)</f>
        <v>1</v>
      </c>
      <c r="AC76" s="27" t="b">
        <f>IF(Checks!C76,IF(UPPER(Data!C76)="END",Data!E76&lt;&gt;"",TRUE),TRUE)</f>
        <v>1</v>
      </c>
    </row>
    <row r="77" spans="1:29" x14ac:dyDescent="0.25">
      <c r="A77" s="1" t="str">
        <f>Data!A77&amp;"||"&amp;Data!B77</f>
        <v>Miscellaneous/subflow/irmifrs9_load_reportmart.bpmn||007_03_00</v>
      </c>
      <c r="B77" s="19"/>
      <c r="C77" s="24" t="b">
        <f>AND(UPPER(Data!A77)&lt;&gt;"EMPTY",Data!B77&lt;&gt;"")</f>
        <v>1</v>
      </c>
      <c r="D77" s="1"/>
      <c r="E77" s="25" t="b">
        <f t="shared" ca="1" si="2"/>
        <v>1</v>
      </c>
      <c r="F77" s="26" t="b">
        <f ca="1">IF(UPPER(Data!C77)="SUB PROCESS",NOT(ISERROR(MATCH(RIGHT(Data!BY77,LEN(Data!BY77)-5),OFFSET(Data,0,0,ItemsCount,1),0))),TRUE)</f>
        <v>1</v>
      </c>
      <c r="G77" s="26" t="b">
        <f ca="1">IF(MID(UPPER(Data!A77),1,13)="MISCELLANEOUS",NOT(ISERROR(MATCH("path="&amp;Data!A77,OFFSET(Data,0,76,ItemsCount,1),0))),TRUE)</f>
        <v>1</v>
      </c>
      <c r="L77" s="25" t="b">
        <f t="shared" ca="1" si="3"/>
        <v>1</v>
      </c>
      <c r="M77" s="24" t="b">
        <f>IF(Checks!$C77,Data!A77&lt;&gt;"",TRUE)</f>
        <v>1</v>
      </c>
      <c r="N77" s="26" t="b">
        <f>IF(Checks!C77,Data!B77&lt;&gt;"",TRUE)</f>
        <v>1</v>
      </c>
      <c r="O77" s="26" t="b">
        <f>IF(Checks!C77,IF(AND(UPPER(Data!C77)="SERVICE TASK",UPPER(Data!BZ77)="TYPE=SAS"),NodeExists(TRIM(RIGHT(Data!CA77,LEN(Data!CA77)-FIND("=",Data!CA77)))),TRUE),TRUE)</f>
        <v>1</v>
      </c>
      <c r="P77" s="26" t="b">
        <f>IF(Checks!C77,IF(Data!C77="DATA OBJECT",OR(AND(Data!BW77&lt;&gt;"",Data!BX77=""),AND(Data!BW77="",Data!BX77&lt;&gt;"")),TRUE),TRUE)</f>
        <v>1</v>
      </c>
      <c r="Q77" s="26" t="b">
        <f>IF(Checks!C77,UPPER(RIGHT(Data!A77,5))=".BPMN",TRUE)</f>
        <v>1</v>
      </c>
      <c r="R77" s="26" t="b">
        <f>IF(Checks!C77,IF(UPPER(Data!C77)="SUB PROCESS",UPPER(RIGHT(Data!BY77,5))=".BPMN",TRUE),TRUE)</f>
        <v>1</v>
      </c>
      <c r="S77" s="26" t="b">
        <f>IF(Checks!C77,IF(UPPER(Data!C77)="SERVICE TASK",IF(UPPER(Data!BZ77)="TYPE=SAS",UPPER(RIGHT(Data!CA77,4))=".SAS",TRUE),TRUE),TRUE)</f>
        <v>1</v>
      </c>
      <c r="T77" s="26" t="b">
        <f>IF(Checks!C77,IF(Data!B77&lt;&gt;"",Data!D77&lt;&gt;"",TRUE),TRUE)</f>
        <v>1</v>
      </c>
      <c r="U77" s="26" t="b">
        <f ca="1">IF(Checks!C77,IF(UPPER(Data!C77)="DATA OBJECT",NOT(ISERROR(MATCH(Data!A77&amp;"||"&amp;Data!BW77&amp;Data!BX77,Key,0))),TRUE),TRUE)</f>
        <v>1</v>
      </c>
      <c r="V77" s="26" t="b">
        <f>IF(Checks!C77,IF(UPPER(Data!C77)="SUB PROCESS",Data!BY77&lt;&gt;"",TRUE),TRUE)</f>
        <v>1</v>
      </c>
      <c r="W77" s="26" t="b">
        <f>IF(Checks!C77,IF(UPPER(Data!C77)="SERVICE TASK",AND(Data!BZ77&lt;&gt;"",Data!CA77&lt;&gt;""),TRUE),TRUE)</f>
        <v>1</v>
      </c>
      <c r="X77" s="26" t="b">
        <f t="array" aca="1" ref="X77" ca="1">SUM((OFFSET(Data!B77,MAX(ROW(Data!$B$5)-ROW(Data!B77),-200),0,400,1)=Data!B77)*(OFFSET(Data!A77,MAX(ROW(Data!$B$5)-ROW(Data!B77),-200),0,400,1)=Data!A77))=1</f>
        <v>1</v>
      </c>
      <c r="Y77" s="26" t="b">
        <f t="array" aca="1" ref="Y77" ca="1">IF(UPPER(Data!C77)="START",SUM((OFFSET(Data!C77,MAX(ROW(Data!$C$5)-ROW(Data!C77),-200),0,400,1)="START")*(OFFSET(Data!A77,MAX(ROW(Data!$B$5)-ROW(Data!B77),-200),0,400,1)=Data!A77))=1,TRUE)</f>
        <v>1</v>
      </c>
      <c r="Z77" s="26" t="b">
        <f t="array" aca="1" ref="Z77" ca="1">IF(UPPER(Data!C77)="END",SUM((OFFSET(Data!C77,MAX(ROW(Data!$C$5)-ROW(Data!C77),-200),0,400,1)="END")*(OFFSET(Data!A77,MAX(ROW(Data!$B$5)-ROW(Data!B77),-200),0,400,1)=Data!A77))=1,TRUE)</f>
        <v>1</v>
      </c>
      <c r="AA77" s="26" t="b">
        <f>IF(Checks!C77,ISERROR(FIND("&amp;",Data!D77)),TRUE)</f>
        <v>1</v>
      </c>
      <c r="AB77" s="26" t="b">
        <f>IF(Checks!$C77,IF(AND(UPPER(Data!$C77)&lt;&gt;"START",UPPER(Data!$C77)&lt;&gt;"DATA OBJECT",Data!E77&lt;&gt;""),NOT(ISERROR(MATCH(Data!$A77&amp;"||"&amp;Data!E77,Key,0))),TRUE),TRUE)</f>
        <v>1</v>
      </c>
      <c r="AC77" s="27" t="b">
        <f>IF(Checks!C77,IF(UPPER(Data!C77)="END",Data!E77&lt;&gt;"",TRUE),TRUE)</f>
        <v>1</v>
      </c>
    </row>
    <row r="78" spans="1:29" x14ac:dyDescent="0.25">
      <c r="A78" s="1" t="str">
        <f>Data!A78&amp;"||"&amp;Data!B78</f>
        <v>Miscellaneous/subflow/irmifrs9_load_reportmart.bpmn||007_04_00</v>
      </c>
      <c r="B78" s="19"/>
      <c r="C78" s="24" t="b">
        <f>AND(UPPER(Data!A78)&lt;&gt;"EMPTY",Data!B78&lt;&gt;"")</f>
        <v>1</v>
      </c>
      <c r="D78" s="1"/>
      <c r="E78" s="25" t="b">
        <f t="shared" ca="1" si="2"/>
        <v>1</v>
      </c>
      <c r="F78" s="26" t="b">
        <f ca="1">IF(UPPER(Data!C78)="SUB PROCESS",NOT(ISERROR(MATCH(RIGHT(Data!BY78,LEN(Data!BY78)-5),OFFSET(Data,0,0,ItemsCount,1),0))),TRUE)</f>
        <v>1</v>
      </c>
      <c r="G78" s="26" t="b">
        <f ca="1">IF(MID(UPPER(Data!A78),1,13)="MISCELLANEOUS",NOT(ISERROR(MATCH("path="&amp;Data!A78,OFFSET(Data,0,76,ItemsCount,1),0))),TRUE)</f>
        <v>1</v>
      </c>
      <c r="L78" s="25" t="b">
        <f t="shared" ca="1" si="3"/>
        <v>1</v>
      </c>
      <c r="M78" s="24" t="b">
        <f>IF(Checks!$C78,Data!A78&lt;&gt;"",TRUE)</f>
        <v>1</v>
      </c>
      <c r="N78" s="26" t="b">
        <f>IF(Checks!C78,Data!B78&lt;&gt;"",TRUE)</f>
        <v>1</v>
      </c>
      <c r="O78" s="26" t="b">
        <f>IF(Checks!C78,IF(AND(UPPER(Data!C78)="SERVICE TASK",UPPER(Data!BZ78)="TYPE=SAS"),NodeExists(TRIM(RIGHT(Data!CA78,LEN(Data!CA78)-FIND("=",Data!CA78)))),TRUE),TRUE)</f>
        <v>1</v>
      </c>
      <c r="P78" s="26" t="b">
        <f>IF(Checks!C78,IF(Data!C78="DATA OBJECT",OR(AND(Data!BW78&lt;&gt;"",Data!BX78=""),AND(Data!BW78="",Data!BX78&lt;&gt;"")),TRUE),TRUE)</f>
        <v>1</v>
      </c>
      <c r="Q78" s="26" t="b">
        <f>IF(Checks!C78,UPPER(RIGHT(Data!A78,5))=".BPMN",TRUE)</f>
        <v>1</v>
      </c>
      <c r="R78" s="26" t="b">
        <f>IF(Checks!C78,IF(UPPER(Data!C78)="SUB PROCESS",UPPER(RIGHT(Data!BY78,5))=".BPMN",TRUE),TRUE)</f>
        <v>1</v>
      </c>
      <c r="S78" s="26" t="b">
        <f>IF(Checks!C78,IF(UPPER(Data!C78)="SERVICE TASK",IF(UPPER(Data!BZ78)="TYPE=SAS",UPPER(RIGHT(Data!CA78,4))=".SAS",TRUE),TRUE),TRUE)</f>
        <v>1</v>
      </c>
      <c r="T78" s="26" t="b">
        <f>IF(Checks!C78,IF(Data!B78&lt;&gt;"",Data!D78&lt;&gt;"",TRUE),TRUE)</f>
        <v>1</v>
      </c>
      <c r="U78" s="26" t="b">
        <f ca="1">IF(Checks!C78,IF(UPPER(Data!C78)="DATA OBJECT",NOT(ISERROR(MATCH(Data!A78&amp;"||"&amp;Data!BW78&amp;Data!BX78,Key,0))),TRUE),TRUE)</f>
        <v>1</v>
      </c>
      <c r="V78" s="26" t="b">
        <f>IF(Checks!C78,IF(UPPER(Data!C78)="SUB PROCESS",Data!BY78&lt;&gt;"",TRUE),TRUE)</f>
        <v>1</v>
      </c>
      <c r="W78" s="26" t="b">
        <f>IF(Checks!C78,IF(UPPER(Data!C78)="SERVICE TASK",AND(Data!BZ78&lt;&gt;"",Data!CA78&lt;&gt;""),TRUE),TRUE)</f>
        <v>1</v>
      </c>
      <c r="X78" s="26" t="b">
        <f t="array" aca="1" ref="X78" ca="1">SUM((OFFSET(Data!B78,MAX(ROW(Data!$B$5)-ROW(Data!B78),-200),0,400,1)=Data!B78)*(OFFSET(Data!A78,MAX(ROW(Data!$B$5)-ROW(Data!B78),-200),0,400,1)=Data!A78))=1</f>
        <v>1</v>
      </c>
      <c r="Y78" s="26" t="b">
        <f t="array" aca="1" ref="Y78" ca="1">IF(UPPER(Data!C78)="START",SUM((OFFSET(Data!C78,MAX(ROW(Data!$C$5)-ROW(Data!C78),-200),0,400,1)="START")*(OFFSET(Data!A78,MAX(ROW(Data!$B$5)-ROW(Data!B78),-200),0,400,1)=Data!A78))=1,TRUE)</f>
        <v>1</v>
      </c>
      <c r="Z78" s="26" t="b">
        <f t="array" aca="1" ref="Z78" ca="1">IF(UPPER(Data!C78)="END",SUM((OFFSET(Data!C78,MAX(ROW(Data!$C$5)-ROW(Data!C78),-200),0,400,1)="END")*(OFFSET(Data!A78,MAX(ROW(Data!$B$5)-ROW(Data!B78),-200),0,400,1)=Data!A78))=1,TRUE)</f>
        <v>1</v>
      </c>
      <c r="AA78" s="26" t="b">
        <f>IF(Checks!C78,ISERROR(FIND("&amp;",Data!D78)),TRUE)</f>
        <v>1</v>
      </c>
      <c r="AB78" s="26" t="b">
        <f>IF(Checks!$C78,IF(AND(UPPER(Data!$C78)&lt;&gt;"START",UPPER(Data!$C78)&lt;&gt;"DATA OBJECT",Data!E78&lt;&gt;""),NOT(ISERROR(MATCH(Data!$A78&amp;"||"&amp;Data!E78,Key,0))),TRUE),TRUE)</f>
        <v>1</v>
      </c>
      <c r="AC78" s="27" t="b">
        <f>IF(Checks!C78,IF(UPPER(Data!C78)="END",Data!E78&lt;&gt;"",TRUE),TRUE)</f>
        <v>1</v>
      </c>
    </row>
    <row r="79" spans="1:29" x14ac:dyDescent="0.25">
      <c r="A79" s="1" t="str">
        <f>Data!A79&amp;"||"&amp;Data!B79</f>
        <v>Miscellaneous/subflow/irmifrs9_load_reportmart.bpmn||016</v>
      </c>
      <c r="B79" s="19"/>
      <c r="C79" s="24" t="b">
        <f>AND(UPPER(Data!A79)&lt;&gt;"EMPTY",Data!B79&lt;&gt;"")</f>
        <v>1</v>
      </c>
      <c r="D79" s="1"/>
      <c r="E79" s="25" t="b">
        <f t="shared" ca="1" si="2"/>
        <v>1</v>
      </c>
      <c r="F79" s="26" t="b">
        <f ca="1">IF(UPPER(Data!C79)="SUB PROCESS",NOT(ISERROR(MATCH(RIGHT(Data!BY79,LEN(Data!BY79)-5),OFFSET(Data,0,0,ItemsCount,1),0))),TRUE)</f>
        <v>1</v>
      </c>
      <c r="G79" s="26" t="b">
        <f ca="1">IF(MID(UPPER(Data!A79),1,13)="MISCELLANEOUS",NOT(ISERROR(MATCH("path="&amp;Data!A79,OFFSET(Data,0,76,ItemsCount,1),0))),TRUE)</f>
        <v>1</v>
      </c>
      <c r="L79" s="25" t="b">
        <f t="shared" ca="1" si="3"/>
        <v>1</v>
      </c>
      <c r="M79" s="24" t="b">
        <f>IF(Checks!$C79,Data!A79&lt;&gt;"",TRUE)</f>
        <v>1</v>
      </c>
      <c r="N79" s="26" t="b">
        <f>IF(Checks!C79,Data!B79&lt;&gt;"",TRUE)</f>
        <v>1</v>
      </c>
      <c r="O79" s="26" t="b">
        <f>IF(Checks!C79,IF(AND(UPPER(Data!C79)="SERVICE TASK",UPPER(Data!BZ79)="TYPE=SAS"),NodeExists(TRIM(RIGHT(Data!CA79,LEN(Data!CA79)-FIND("=",Data!CA79)))),TRUE),TRUE)</f>
        <v>1</v>
      </c>
      <c r="P79" s="26" t="b">
        <f>IF(Checks!C79,IF(Data!C79="DATA OBJECT",OR(AND(Data!BW79&lt;&gt;"",Data!BX79=""),AND(Data!BW79="",Data!BX79&lt;&gt;"")),TRUE),TRUE)</f>
        <v>1</v>
      </c>
      <c r="Q79" s="26" t="b">
        <f>IF(Checks!C79,UPPER(RIGHT(Data!A79,5))=".BPMN",TRUE)</f>
        <v>1</v>
      </c>
      <c r="R79" s="26" t="b">
        <f>IF(Checks!C79,IF(UPPER(Data!C79)="SUB PROCESS",UPPER(RIGHT(Data!BY79,5))=".BPMN",TRUE),TRUE)</f>
        <v>1</v>
      </c>
      <c r="S79" s="26" t="b">
        <f>IF(Checks!C79,IF(UPPER(Data!C79)="SERVICE TASK",IF(UPPER(Data!BZ79)="TYPE=SAS",UPPER(RIGHT(Data!CA79,4))=".SAS",TRUE),TRUE),TRUE)</f>
        <v>1</v>
      </c>
      <c r="T79" s="26" t="b">
        <f>IF(Checks!C79,IF(Data!B79&lt;&gt;"",Data!D79&lt;&gt;"",TRUE),TRUE)</f>
        <v>1</v>
      </c>
      <c r="U79" s="26" t="b">
        <f>IF(Checks!C79,IF(UPPER(Data!C79)="DATA OBJECT",NOT(ISERROR(MATCH(Data!A79&amp;"||"&amp;Data!BW79&amp;Data!BX79,Key,0))),TRUE),TRUE)</f>
        <v>1</v>
      </c>
      <c r="V79" s="26" t="b">
        <f>IF(Checks!C79,IF(UPPER(Data!C79)="SUB PROCESS",Data!BY79&lt;&gt;"",TRUE),TRUE)</f>
        <v>1</v>
      </c>
      <c r="W79" s="26" t="b">
        <f>IF(Checks!C79,IF(UPPER(Data!C79)="SERVICE TASK",AND(Data!BZ79&lt;&gt;"",Data!CA79&lt;&gt;""),TRUE),TRUE)</f>
        <v>1</v>
      </c>
      <c r="X79" s="26" t="b">
        <f t="array" aca="1" ref="X79" ca="1">SUM((OFFSET(Data!B79,MAX(ROW(Data!$B$5)-ROW(Data!B79),-200),0,400,1)=Data!B79)*(OFFSET(Data!A79,MAX(ROW(Data!$B$5)-ROW(Data!B79),-200),0,400,1)=Data!A79))=1</f>
        <v>1</v>
      </c>
      <c r="Y79" s="26" t="b">
        <f t="array" aca="1" ref="Y79" ca="1">IF(UPPER(Data!C79)="START",SUM((OFFSET(Data!C79,MAX(ROW(Data!$C$5)-ROW(Data!C79),-200),0,400,1)="START")*(OFFSET(Data!A79,MAX(ROW(Data!$B$5)-ROW(Data!B79),-200),0,400,1)=Data!A79))=1,TRUE)</f>
        <v>1</v>
      </c>
      <c r="Z79" s="26" t="b">
        <f t="array" aca="1" ref="Z79" ca="1">IF(UPPER(Data!C79)="END",SUM((OFFSET(Data!C79,MAX(ROW(Data!$C$5)-ROW(Data!C79),-200),0,400,1)="END")*(OFFSET(Data!A79,MAX(ROW(Data!$B$5)-ROW(Data!B79),-200),0,400,1)=Data!A79))=1,TRUE)</f>
        <v>1</v>
      </c>
      <c r="AA79" s="26" t="b">
        <f>IF(Checks!C79,ISERROR(FIND("&amp;",Data!D79)),TRUE)</f>
        <v>1</v>
      </c>
      <c r="AB79" s="26" t="b">
        <f ca="1">IF(Checks!$C79,IF(AND(UPPER(Data!$C79)&lt;&gt;"START",UPPER(Data!$C79)&lt;&gt;"DATA OBJECT",Data!E79&lt;&gt;""),NOT(ISERROR(MATCH(Data!$A79&amp;"||"&amp;Data!E79,Key,0))),TRUE),TRUE)</f>
        <v>1</v>
      </c>
      <c r="AC79" s="27" t="b">
        <f>IF(Checks!C79,IF(UPPER(Data!C79)="END",Data!E79&lt;&gt;"",TRUE),TRUE)</f>
        <v>1</v>
      </c>
    </row>
    <row r="80" spans="1:29" x14ac:dyDescent="0.25">
      <c r="A80" s="1" t="str">
        <f>Data!A80&amp;"||"&amp;Data!B80</f>
        <v>Miscellaneous/subflow/irmifrs9_load_reportmart.bpmn||016_00_08</v>
      </c>
      <c r="B80" s="19"/>
      <c r="C80" s="24" t="b">
        <f>AND(UPPER(Data!A80)&lt;&gt;"EMPTY",Data!B80&lt;&gt;"")</f>
        <v>1</v>
      </c>
      <c r="D80" s="1"/>
      <c r="E80" s="25" t="b">
        <f t="shared" ca="1" si="2"/>
        <v>1</v>
      </c>
      <c r="F80" s="26" t="b">
        <f ca="1">IF(UPPER(Data!C80)="SUB PROCESS",NOT(ISERROR(MATCH(RIGHT(Data!BY80,LEN(Data!BY80)-5),OFFSET(Data,0,0,ItemsCount,1),0))),TRUE)</f>
        <v>1</v>
      </c>
      <c r="G80" s="26" t="b">
        <f ca="1">IF(MID(UPPER(Data!A80),1,13)="MISCELLANEOUS",NOT(ISERROR(MATCH("path="&amp;Data!A80,OFFSET(Data,0,76,ItemsCount,1),0))),TRUE)</f>
        <v>1</v>
      </c>
      <c r="L80" s="25" t="b">
        <f t="shared" ca="1" si="3"/>
        <v>1</v>
      </c>
      <c r="M80" s="24" t="b">
        <f>IF(Checks!$C80,Data!A80&lt;&gt;"",TRUE)</f>
        <v>1</v>
      </c>
      <c r="N80" s="26" t="b">
        <f>IF(Checks!C80,Data!B80&lt;&gt;"",TRUE)</f>
        <v>1</v>
      </c>
      <c r="O80" s="26" t="b">
        <f>IF(Checks!C80,IF(AND(UPPER(Data!C80)="SERVICE TASK",UPPER(Data!BZ80)="TYPE=SAS"),NodeExists(TRIM(RIGHT(Data!CA80,LEN(Data!CA80)-FIND("=",Data!CA80)))),TRUE),TRUE)</f>
        <v>1</v>
      </c>
      <c r="P80" s="26" t="b">
        <f>IF(Checks!C80,IF(Data!C80="DATA OBJECT",OR(AND(Data!BW80&lt;&gt;"",Data!BX80=""),AND(Data!BW80="",Data!BX80&lt;&gt;"")),TRUE),TRUE)</f>
        <v>1</v>
      </c>
      <c r="Q80" s="26" t="b">
        <f>IF(Checks!C80,UPPER(RIGHT(Data!A80,5))=".BPMN",TRUE)</f>
        <v>1</v>
      </c>
      <c r="R80" s="26" t="b">
        <f>IF(Checks!C80,IF(UPPER(Data!C80)="SUB PROCESS",UPPER(RIGHT(Data!BY80,5))=".BPMN",TRUE),TRUE)</f>
        <v>1</v>
      </c>
      <c r="S80" s="26" t="b">
        <f>IF(Checks!C80,IF(UPPER(Data!C80)="SERVICE TASK",IF(UPPER(Data!BZ80)="TYPE=SAS",UPPER(RIGHT(Data!CA80,4))=".SAS",TRUE),TRUE),TRUE)</f>
        <v>1</v>
      </c>
      <c r="T80" s="26" t="b">
        <f>IF(Checks!C80,IF(Data!B80&lt;&gt;"",Data!D80&lt;&gt;"",TRUE),TRUE)</f>
        <v>1</v>
      </c>
      <c r="U80" s="26" t="b">
        <f ca="1">IF(Checks!C80,IF(UPPER(Data!C80)="DATA OBJECT",NOT(ISERROR(MATCH(Data!A80&amp;"||"&amp;Data!BW80&amp;Data!BX80,Key,0))),TRUE),TRUE)</f>
        <v>1</v>
      </c>
      <c r="V80" s="26" t="b">
        <f>IF(Checks!C80,IF(UPPER(Data!C80)="SUB PROCESS",Data!BY80&lt;&gt;"",TRUE),TRUE)</f>
        <v>1</v>
      </c>
      <c r="W80" s="26" t="b">
        <f>IF(Checks!C80,IF(UPPER(Data!C80)="SERVICE TASK",AND(Data!BZ80&lt;&gt;"",Data!CA80&lt;&gt;""),TRUE),TRUE)</f>
        <v>1</v>
      </c>
      <c r="X80" s="26" t="b">
        <f t="array" aca="1" ref="X80" ca="1">SUM((OFFSET(Data!B80,MAX(ROW(Data!$B$5)-ROW(Data!B80),-200),0,400,1)=Data!B80)*(OFFSET(Data!A80,MAX(ROW(Data!$B$5)-ROW(Data!B80),-200),0,400,1)=Data!A80))=1</f>
        <v>1</v>
      </c>
      <c r="Y80" s="26" t="b">
        <f t="array" aca="1" ref="Y80" ca="1">IF(UPPER(Data!C80)="START",SUM((OFFSET(Data!C80,MAX(ROW(Data!$C$5)-ROW(Data!C80),-200),0,400,1)="START")*(OFFSET(Data!A80,MAX(ROW(Data!$B$5)-ROW(Data!B80),-200),0,400,1)=Data!A80))=1,TRUE)</f>
        <v>1</v>
      </c>
      <c r="Z80" s="26" t="b">
        <f t="array" aca="1" ref="Z80" ca="1">IF(UPPER(Data!C80)="END",SUM((OFFSET(Data!C80,MAX(ROW(Data!$C$5)-ROW(Data!C80),-200),0,400,1)="END")*(OFFSET(Data!A80,MAX(ROW(Data!$B$5)-ROW(Data!B80),-200),0,400,1)=Data!A80))=1,TRUE)</f>
        <v>1</v>
      </c>
      <c r="AA80" s="26" t="b">
        <f>IF(Checks!C80,ISERROR(FIND("&amp;",Data!D80)),TRUE)</f>
        <v>1</v>
      </c>
      <c r="AB80" s="26" t="b">
        <f>IF(Checks!$C80,IF(AND(UPPER(Data!$C80)&lt;&gt;"START",UPPER(Data!$C80)&lt;&gt;"DATA OBJECT",Data!E80&lt;&gt;""),NOT(ISERROR(MATCH(Data!$A80&amp;"||"&amp;Data!E80,Key,0))),TRUE),TRUE)</f>
        <v>1</v>
      </c>
      <c r="AC80" s="27" t="b">
        <f>IF(Checks!C80,IF(UPPER(Data!C80)="END",Data!E80&lt;&gt;"",TRUE),TRUE)</f>
        <v>1</v>
      </c>
    </row>
    <row r="81" spans="1:29" x14ac:dyDescent="0.25">
      <c r="A81" s="1" t="str">
        <f>Data!A81&amp;"||"&amp;Data!B81</f>
        <v>Miscellaneous/subflow/irmifrs9_load_reportmart.bpmn||016_00_09</v>
      </c>
      <c r="B81" s="19"/>
      <c r="C81" s="24" t="b">
        <f>AND(UPPER(Data!A81)&lt;&gt;"EMPTY",Data!B81&lt;&gt;"")</f>
        <v>1</v>
      </c>
      <c r="D81" s="1"/>
      <c r="E81" s="25" t="b">
        <f t="shared" ca="1" si="2"/>
        <v>1</v>
      </c>
      <c r="F81" s="26" t="b">
        <f ca="1">IF(UPPER(Data!C81)="SUB PROCESS",NOT(ISERROR(MATCH(RIGHT(Data!BY81,LEN(Data!BY81)-5),OFFSET(Data,0,0,ItemsCount,1),0))),TRUE)</f>
        <v>1</v>
      </c>
      <c r="G81" s="26" t="b">
        <f ca="1">IF(MID(UPPER(Data!A81),1,13)="MISCELLANEOUS",NOT(ISERROR(MATCH("path="&amp;Data!A81,OFFSET(Data,0,76,ItemsCount,1),0))),TRUE)</f>
        <v>1</v>
      </c>
      <c r="L81" s="25" t="b">
        <f t="shared" ca="1" si="3"/>
        <v>1</v>
      </c>
      <c r="M81" s="24" t="b">
        <f>IF(Checks!$C81,Data!A81&lt;&gt;"",TRUE)</f>
        <v>1</v>
      </c>
      <c r="N81" s="26" t="b">
        <f>IF(Checks!C81,Data!B81&lt;&gt;"",TRUE)</f>
        <v>1</v>
      </c>
      <c r="O81" s="26" t="b">
        <f>IF(Checks!C81,IF(AND(UPPER(Data!C81)="SERVICE TASK",UPPER(Data!BZ81)="TYPE=SAS"),NodeExists(TRIM(RIGHT(Data!CA81,LEN(Data!CA81)-FIND("=",Data!CA81)))),TRUE),TRUE)</f>
        <v>1</v>
      </c>
      <c r="P81" s="26" t="b">
        <f>IF(Checks!C81,IF(Data!C81="DATA OBJECT",OR(AND(Data!BW81&lt;&gt;"",Data!BX81=""),AND(Data!BW81="",Data!BX81&lt;&gt;"")),TRUE),TRUE)</f>
        <v>1</v>
      </c>
      <c r="Q81" s="26" t="b">
        <f>IF(Checks!C81,UPPER(RIGHT(Data!A81,5))=".BPMN",TRUE)</f>
        <v>1</v>
      </c>
      <c r="R81" s="26" t="b">
        <f>IF(Checks!C81,IF(UPPER(Data!C81)="SUB PROCESS",UPPER(RIGHT(Data!BY81,5))=".BPMN",TRUE),TRUE)</f>
        <v>1</v>
      </c>
      <c r="S81" s="26" t="b">
        <f>IF(Checks!C81,IF(UPPER(Data!C81)="SERVICE TASK",IF(UPPER(Data!BZ81)="TYPE=SAS",UPPER(RIGHT(Data!CA81,4))=".SAS",TRUE),TRUE),TRUE)</f>
        <v>1</v>
      </c>
      <c r="T81" s="26" t="b">
        <f>IF(Checks!C81,IF(Data!B81&lt;&gt;"",Data!D81&lt;&gt;"",TRUE),TRUE)</f>
        <v>1</v>
      </c>
      <c r="U81" s="26" t="b">
        <f ca="1">IF(Checks!C81,IF(UPPER(Data!C81)="DATA OBJECT",NOT(ISERROR(MATCH(Data!A81&amp;"||"&amp;Data!BW81&amp;Data!BX81,Key,0))),TRUE),TRUE)</f>
        <v>1</v>
      </c>
      <c r="V81" s="26" t="b">
        <f>IF(Checks!C81,IF(UPPER(Data!C81)="SUB PROCESS",Data!BY81&lt;&gt;"",TRUE),TRUE)</f>
        <v>1</v>
      </c>
      <c r="W81" s="26" t="b">
        <f>IF(Checks!C81,IF(UPPER(Data!C81)="SERVICE TASK",AND(Data!BZ81&lt;&gt;"",Data!CA81&lt;&gt;""),TRUE),TRUE)</f>
        <v>1</v>
      </c>
      <c r="X81" s="26" t="b">
        <f t="array" aca="1" ref="X81" ca="1">SUM((OFFSET(Data!B81,MAX(ROW(Data!$B$5)-ROW(Data!B81),-200),0,400,1)=Data!B81)*(OFFSET(Data!A81,MAX(ROW(Data!$B$5)-ROW(Data!B81),-200),0,400,1)=Data!A81))=1</f>
        <v>1</v>
      </c>
      <c r="Y81" s="26" t="b">
        <f t="array" aca="1" ref="Y81" ca="1">IF(UPPER(Data!C81)="START",SUM((OFFSET(Data!C81,MAX(ROW(Data!$C$5)-ROW(Data!C81),-200),0,400,1)="START")*(OFFSET(Data!A81,MAX(ROW(Data!$B$5)-ROW(Data!B81),-200),0,400,1)=Data!A81))=1,TRUE)</f>
        <v>1</v>
      </c>
      <c r="Z81" s="26" t="b">
        <f t="array" aca="1" ref="Z81" ca="1">IF(UPPER(Data!C81)="END",SUM((OFFSET(Data!C81,MAX(ROW(Data!$C$5)-ROW(Data!C81),-200),0,400,1)="END")*(OFFSET(Data!A81,MAX(ROW(Data!$B$5)-ROW(Data!B81),-200),0,400,1)=Data!A81))=1,TRUE)</f>
        <v>1</v>
      </c>
      <c r="AA81" s="26" t="b">
        <f>IF(Checks!C81,ISERROR(FIND("&amp;",Data!D81)),TRUE)</f>
        <v>1</v>
      </c>
      <c r="AB81" s="26" t="b">
        <f>IF(Checks!$C81,IF(AND(UPPER(Data!$C81)&lt;&gt;"START",UPPER(Data!$C81)&lt;&gt;"DATA OBJECT",Data!E81&lt;&gt;""),NOT(ISERROR(MATCH(Data!$A81&amp;"||"&amp;Data!E81,Key,0))),TRUE),TRUE)</f>
        <v>1</v>
      </c>
      <c r="AC81" s="27" t="b">
        <f>IF(Checks!C81,IF(UPPER(Data!C81)="END",Data!E81&lt;&gt;"",TRUE),TRUE)</f>
        <v>1</v>
      </c>
    </row>
    <row r="82" spans="1:29" x14ac:dyDescent="0.25">
      <c r="A82" s="1" t="str">
        <f>Data!A82&amp;"||"&amp;Data!B82</f>
        <v>Miscellaneous/subflow/irmifrs9_load_reportmart.bpmn||016_05_00</v>
      </c>
      <c r="B82" s="19"/>
      <c r="C82" s="24" t="b">
        <f>AND(UPPER(Data!A82)&lt;&gt;"EMPTY",Data!B82&lt;&gt;"")</f>
        <v>1</v>
      </c>
      <c r="D82" s="1"/>
      <c r="E82" s="25" t="b">
        <f t="shared" ca="1" si="2"/>
        <v>1</v>
      </c>
      <c r="F82" s="26" t="b">
        <f ca="1">IF(UPPER(Data!C82)="SUB PROCESS",NOT(ISERROR(MATCH(RIGHT(Data!BY82,LEN(Data!BY82)-5),OFFSET(Data,0,0,ItemsCount,1),0))),TRUE)</f>
        <v>1</v>
      </c>
      <c r="G82" s="26" t="b">
        <f ca="1">IF(MID(UPPER(Data!A82),1,13)="MISCELLANEOUS",NOT(ISERROR(MATCH("path="&amp;Data!A82,OFFSET(Data,0,76,ItemsCount,1),0))),TRUE)</f>
        <v>1</v>
      </c>
      <c r="L82" s="25" t="b">
        <f t="shared" ca="1" si="3"/>
        <v>1</v>
      </c>
      <c r="M82" s="24" t="b">
        <f>IF(Checks!$C82,Data!A82&lt;&gt;"",TRUE)</f>
        <v>1</v>
      </c>
      <c r="N82" s="26" t="b">
        <f>IF(Checks!C82,Data!B82&lt;&gt;"",TRUE)</f>
        <v>1</v>
      </c>
      <c r="O82" s="26" t="b">
        <f>IF(Checks!C82,IF(AND(UPPER(Data!C82)="SERVICE TASK",UPPER(Data!BZ82)="TYPE=SAS"),NodeExists(TRIM(RIGHT(Data!CA82,LEN(Data!CA82)-FIND("=",Data!CA82)))),TRUE),TRUE)</f>
        <v>1</v>
      </c>
      <c r="P82" s="26" t="b">
        <f>IF(Checks!C82,IF(Data!C82="DATA OBJECT",OR(AND(Data!BW82&lt;&gt;"",Data!BX82=""),AND(Data!BW82="",Data!BX82&lt;&gt;"")),TRUE),TRUE)</f>
        <v>1</v>
      </c>
      <c r="Q82" s="26" t="b">
        <f>IF(Checks!C82,UPPER(RIGHT(Data!A82,5))=".BPMN",TRUE)</f>
        <v>1</v>
      </c>
      <c r="R82" s="26" t="b">
        <f>IF(Checks!C82,IF(UPPER(Data!C82)="SUB PROCESS",UPPER(RIGHT(Data!BY82,5))=".BPMN",TRUE),TRUE)</f>
        <v>1</v>
      </c>
      <c r="S82" s="26" t="b">
        <f>IF(Checks!C82,IF(UPPER(Data!C82)="SERVICE TASK",IF(UPPER(Data!BZ82)="TYPE=SAS",UPPER(RIGHT(Data!CA82,4))=".SAS",TRUE),TRUE),TRUE)</f>
        <v>1</v>
      </c>
      <c r="T82" s="26" t="b">
        <f>IF(Checks!C82,IF(Data!B82&lt;&gt;"",Data!D82&lt;&gt;"",TRUE),TRUE)</f>
        <v>1</v>
      </c>
      <c r="U82" s="26" t="b">
        <f ca="1">IF(Checks!C82,IF(UPPER(Data!C82)="DATA OBJECT",NOT(ISERROR(MATCH(Data!A82&amp;"||"&amp;Data!BW82&amp;Data!BX82,Key,0))),TRUE),TRUE)</f>
        <v>1</v>
      </c>
      <c r="V82" s="26" t="b">
        <f>IF(Checks!C82,IF(UPPER(Data!C82)="SUB PROCESS",Data!BY82&lt;&gt;"",TRUE),TRUE)</f>
        <v>1</v>
      </c>
      <c r="W82" s="26" t="b">
        <f>IF(Checks!C82,IF(UPPER(Data!C82)="SERVICE TASK",AND(Data!BZ82&lt;&gt;"",Data!CA82&lt;&gt;""),TRUE),TRUE)</f>
        <v>1</v>
      </c>
      <c r="X82" s="26" t="b">
        <f t="array" aca="1" ref="X82" ca="1">SUM((OFFSET(Data!B82,MAX(ROW(Data!$B$5)-ROW(Data!B82),-200),0,400,1)=Data!B82)*(OFFSET(Data!A82,MAX(ROW(Data!$B$5)-ROW(Data!B82),-200),0,400,1)=Data!A82))=1</f>
        <v>1</v>
      </c>
      <c r="Y82" s="26" t="b">
        <f t="array" aca="1" ref="Y82" ca="1">IF(UPPER(Data!C82)="START",SUM((OFFSET(Data!C82,MAX(ROW(Data!$C$5)-ROW(Data!C82),-200),0,400,1)="START")*(OFFSET(Data!A82,MAX(ROW(Data!$B$5)-ROW(Data!B82),-200),0,400,1)=Data!A82))=1,TRUE)</f>
        <v>1</v>
      </c>
      <c r="Z82" s="26" t="b">
        <f t="array" aca="1" ref="Z82" ca="1">IF(UPPER(Data!C82)="END",SUM((OFFSET(Data!C82,MAX(ROW(Data!$C$5)-ROW(Data!C82),-200),0,400,1)="END")*(OFFSET(Data!A82,MAX(ROW(Data!$B$5)-ROW(Data!B82),-200),0,400,1)=Data!A82))=1,TRUE)</f>
        <v>1</v>
      </c>
      <c r="AA82" s="26" t="b">
        <f>IF(Checks!C82,ISERROR(FIND("&amp;",Data!D82)),TRUE)</f>
        <v>1</v>
      </c>
      <c r="AB82" s="26" t="b">
        <f>IF(Checks!$C82,IF(AND(UPPER(Data!$C82)&lt;&gt;"START",UPPER(Data!$C82)&lt;&gt;"DATA OBJECT",Data!E82&lt;&gt;""),NOT(ISERROR(MATCH(Data!$A82&amp;"||"&amp;Data!E82,Key,0))),TRUE),TRUE)</f>
        <v>1</v>
      </c>
      <c r="AC82" s="27" t="b">
        <f>IF(Checks!C82,IF(UPPER(Data!C82)="END",Data!E82&lt;&gt;"",TRUE),TRUE)</f>
        <v>1</v>
      </c>
    </row>
    <row r="83" spans="1:29" x14ac:dyDescent="0.25">
      <c r="A83" s="1" t="str">
        <f>Data!A83&amp;"||"&amp;Data!B83</f>
        <v>Miscellaneous/subflow/irmifrs9_load_reportmart.bpmn||020</v>
      </c>
      <c r="B83" s="19"/>
      <c r="C83" s="24" t="b">
        <f>AND(UPPER(Data!A83)&lt;&gt;"EMPTY",Data!B83&lt;&gt;"")</f>
        <v>1</v>
      </c>
      <c r="D83" s="1"/>
      <c r="E83" s="25" t="b">
        <f t="shared" ca="1" si="2"/>
        <v>1</v>
      </c>
      <c r="F83" s="26" t="b">
        <f ca="1">IF(UPPER(Data!C83)="SUB PROCESS",NOT(ISERROR(MATCH(RIGHT(Data!BY83,LEN(Data!BY83)-5),OFFSET(Data,0,0,ItemsCount,1),0))),TRUE)</f>
        <v>1</v>
      </c>
      <c r="G83" s="26" t="b">
        <f ca="1">IF(MID(UPPER(Data!A83),1,13)="MISCELLANEOUS",NOT(ISERROR(MATCH("path="&amp;Data!A83,OFFSET(Data,0,76,ItemsCount,1),0))),TRUE)</f>
        <v>1</v>
      </c>
      <c r="L83" s="25" t="b">
        <f t="shared" ca="1" si="3"/>
        <v>1</v>
      </c>
      <c r="M83" s="24" t="b">
        <f>IF(Checks!$C83,Data!A83&lt;&gt;"",TRUE)</f>
        <v>1</v>
      </c>
      <c r="N83" s="26" t="b">
        <f>IF(Checks!C83,Data!B83&lt;&gt;"",TRUE)</f>
        <v>1</v>
      </c>
      <c r="O83" s="26" t="b">
        <f>IF(Checks!C83,IF(AND(UPPER(Data!C83)="SERVICE TASK",UPPER(Data!BZ83)="TYPE=SAS"),NodeExists(TRIM(RIGHT(Data!CA83,LEN(Data!CA83)-FIND("=",Data!CA83)))),TRUE),TRUE)</f>
        <v>1</v>
      </c>
      <c r="P83" s="26" t="b">
        <f>IF(Checks!C83,IF(Data!C83="DATA OBJECT",OR(AND(Data!BW83&lt;&gt;"",Data!BX83=""),AND(Data!BW83="",Data!BX83&lt;&gt;"")),TRUE),TRUE)</f>
        <v>1</v>
      </c>
      <c r="Q83" s="26" t="b">
        <f>IF(Checks!C83,UPPER(RIGHT(Data!A83,5))=".BPMN",TRUE)</f>
        <v>1</v>
      </c>
      <c r="R83" s="26" t="b">
        <f>IF(Checks!C83,IF(UPPER(Data!C83)="SUB PROCESS",UPPER(RIGHT(Data!BY83,5))=".BPMN",TRUE),TRUE)</f>
        <v>1</v>
      </c>
      <c r="S83" s="26" t="b">
        <f>IF(Checks!C83,IF(UPPER(Data!C83)="SERVICE TASK",IF(UPPER(Data!BZ83)="TYPE=SAS",UPPER(RIGHT(Data!CA83,4))=".SAS",TRUE),TRUE),TRUE)</f>
        <v>1</v>
      </c>
      <c r="T83" s="26" t="b">
        <f>IF(Checks!C83,IF(Data!B83&lt;&gt;"",Data!D83&lt;&gt;"",TRUE),TRUE)</f>
        <v>1</v>
      </c>
      <c r="U83" s="26" t="b">
        <f>IF(Checks!C83,IF(UPPER(Data!C83)="DATA OBJECT",NOT(ISERROR(MATCH(Data!A83&amp;"||"&amp;Data!BW83&amp;Data!BX83,Key,0))),TRUE),TRUE)</f>
        <v>1</v>
      </c>
      <c r="V83" s="26" t="b">
        <f>IF(Checks!C83,IF(UPPER(Data!C83)="SUB PROCESS",Data!BY83&lt;&gt;"",TRUE),TRUE)</f>
        <v>1</v>
      </c>
      <c r="W83" s="26" t="b">
        <f>IF(Checks!C83,IF(UPPER(Data!C83)="SERVICE TASK",AND(Data!BZ83&lt;&gt;"",Data!CA83&lt;&gt;""),TRUE),TRUE)</f>
        <v>1</v>
      </c>
      <c r="X83" s="26" t="b">
        <f t="array" aca="1" ref="X83" ca="1">SUM((OFFSET(Data!B83,MAX(ROW(Data!$B$5)-ROW(Data!B83),-200),0,400,1)=Data!B83)*(OFFSET(Data!A83,MAX(ROW(Data!$B$5)-ROW(Data!B83),-200),0,400,1)=Data!A83))=1</f>
        <v>1</v>
      </c>
      <c r="Y83" s="26" t="b">
        <f t="array" aca="1" ref="Y83" ca="1">IF(UPPER(Data!C83)="START",SUM((OFFSET(Data!C83,MAX(ROW(Data!$C$5)-ROW(Data!C83),-200),0,400,1)="START")*(OFFSET(Data!A83,MAX(ROW(Data!$B$5)-ROW(Data!B83),-200),0,400,1)=Data!A83))=1,TRUE)</f>
        <v>1</v>
      </c>
      <c r="Z83" s="26" t="b">
        <f t="array" aca="1" ref="Z83" ca="1">IF(UPPER(Data!C83)="END",SUM((OFFSET(Data!C83,MAX(ROW(Data!$C$5)-ROW(Data!C83),-200),0,400,1)="END")*(OFFSET(Data!A83,MAX(ROW(Data!$B$5)-ROW(Data!B83),-200),0,400,1)=Data!A83))=1,TRUE)</f>
        <v>1</v>
      </c>
      <c r="AA83" s="26" t="b">
        <f>IF(Checks!C83,ISERROR(FIND("&amp;",Data!D83)),TRUE)</f>
        <v>1</v>
      </c>
      <c r="AB83" s="26" t="b">
        <f ca="1">IF(Checks!$C83,IF(AND(UPPER(Data!$C83)&lt;&gt;"START",UPPER(Data!$C83)&lt;&gt;"DATA OBJECT",Data!E83&lt;&gt;""),NOT(ISERROR(MATCH(Data!$A83&amp;"||"&amp;Data!E83,Key,0))),TRUE),TRUE)</f>
        <v>1</v>
      </c>
      <c r="AC83" s="27" t="b">
        <f>IF(Checks!C83,IF(UPPER(Data!C83)="END",Data!E83&lt;&gt;"",TRUE),TRUE)</f>
        <v>1</v>
      </c>
    </row>
    <row r="84" spans="1:29" x14ac:dyDescent="0.25">
      <c r="A84" s="1" t="str">
        <f>Data!A84&amp;"||"&amp;Data!B84</f>
        <v>Miscellaneous/subflow/irmifrs9_store_analysis_data.bpmn||001</v>
      </c>
      <c r="B84" s="19"/>
      <c r="C84" s="24" t="b">
        <f>AND(UPPER(Data!A84)&lt;&gt;"EMPTY",Data!B84&lt;&gt;"")</f>
        <v>1</v>
      </c>
      <c r="D84" s="1"/>
      <c r="E84" s="25" t="b">
        <f t="shared" ca="1" si="2"/>
        <v>1</v>
      </c>
      <c r="F84" s="26" t="b">
        <f ca="1">IF(UPPER(Data!C84)="SUB PROCESS",NOT(ISERROR(MATCH(RIGHT(Data!BY84,LEN(Data!BY84)-5),OFFSET(Data,0,0,ItemsCount,1),0))),TRUE)</f>
        <v>1</v>
      </c>
      <c r="G84" s="26" t="b">
        <f ca="1">IF(MID(UPPER(Data!A84),1,13)="MISCELLANEOUS",NOT(ISERROR(MATCH("path="&amp;Data!A84,OFFSET(Data,0,76,ItemsCount,1),0))),TRUE)</f>
        <v>1</v>
      </c>
      <c r="L84" s="25" t="b">
        <f t="shared" ca="1" si="3"/>
        <v>1</v>
      </c>
      <c r="M84" s="24" t="b">
        <f>IF(Checks!$C84,Data!A84&lt;&gt;"",TRUE)</f>
        <v>1</v>
      </c>
      <c r="N84" s="26" t="b">
        <f>IF(Checks!C84,Data!B84&lt;&gt;"",TRUE)</f>
        <v>1</v>
      </c>
      <c r="O84" s="26" t="b">
        <f>IF(Checks!C84,IF(AND(UPPER(Data!C84)="SERVICE TASK",UPPER(Data!BZ84)="TYPE=SAS"),NodeExists(TRIM(RIGHT(Data!CA84,LEN(Data!CA84)-FIND("=",Data!CA84)))),TRUE),TRUE)</f>
        <v>1</v>
      </c>
      <c r="P84" s="26" t="b">
        <f>IF(Checks!C84,IF(Data!C84="DATA OBJECT",OR(AND(Data!BW84&lt;&gt;"",Data!BX84=""),AND(Data!BW84="",Data!BX84&lt;&gt;"")),TRUE),TRUE)</f>
        <v>1</v>
      </c>
      <c r="Q84" s="26" t="b">
        <f>IF(Checks!C84,UPPER(RIGHT(Data!A84,5))=".BPMN",TRUE)</f>
        <v>1</v>
      </c>
      <c r="R84" s="26" t="b">
        <f>IF(Checks!C84,IF(UPPER(Data!C84)="SUB PROCESS",UPPER(RIGHT(Data!BY84,5))=".BPMN",TRUE),TRUE)</f>
        <v>1</v>
      </c>
      <c r="S84" s="26" t="b">
        <f>IF(Checks!C84,IF(UPPER(Data!C84)="SERVICE TASK",IF(UPPER(Data!BZ84)="TYPE=SAS",UPPER(RIGHT(Data!CA84,4))=".SAS",TRUE),TRUE),TRUE)</f>
        <v>1</v>
      </c>
      <c r="T84" s="26" t="b">
        <f>IF(Checks!C84,IF(Data!B84&lt;&gt;"",Data!D84&lt;&gt;"",TRUE),TRUE)</f>
        <v>1</v>
      </c>
      <c r="U84" s="26" t="b">
        <f>IF(Checks!C84,IF(UPPER(Data!C84)="DATA OBJECT",NOT(ISERROR(MATCH(Data!A84&amp;"||"&amp;Data!BW84&amp;Data!BX84,Key,0))),TRUE),TRUE)</f>
        <v>1</v>
      </c>
      <c r="V84" s="26" t="b">
        <f>IF(Checks!C84,IF(UPPER(Data!C84)="SUB PROCESS",Data!BY84&lt;&gt;"",TRUE),TRUE)</f>
        <v>1</v>
      </c>
      <c r="W84" s="26" t="b">
        <f>IF(Checks!C84,IF(UPPER(Data!C84)="SERVICE TASK",AND(Data!BZ84&lt;&gt;"",Data!CA84&lt;&gt;""),TRUE),TRUE)</f>
        <v>1</v>
      </c>
      <c r="X84" s="26" t="b">
        <f t="array" aca="1" ref="X84" ca="1">SUM((OFFSET(Data!B84,MAX(ROW(Data!$B$5)-ROW(Data!B84),-200),0,400,1)=Data!B84)*(OFFSET(Data!A84,MAX(ROW(Data!$B$5)-ROW(Data!B84),-200),0,400,1)=Data!A84))=1</f>
        <v>1</v>
      </c>
      <c r="Y84" s="26" t="b">
        <f t="array" aca="1" ref="Y84" ca="1">IF(UPPER(Data!C84)="START",SUM((OFFSET(Data!C84,MAX(ROW(Data!$C$5)-ROW(Data!C84),-200),0,400,1)="START")*(OFFSET(Data!A84,MAX(ROW(Data!$B$5)-ROW(Data!B84),-200),0,400,1)=Data!A84))=1,TRUE)</f>
        <v>1</v>
      </c>
      <c r="Z84" s="26" t="b">
        <f t="array" aca="1" ref="Z84" ca="1">IF(UPPER(Data!C84)="END",SUM((OFFSET(Data!C84,MAX(ROW(Data!$C$5)-ROW(Data!C84),-200),0,400,1)="END")*(OFFSET(Data!A84,MAX(ROW(Data!$B$5)-ROW(Data!B84),-200),0,400,1)=Data!A84))=1,TRUE)</f>
        <v>1</v>
      </c>
      <c r="AA84" s="26" t="b">
        <f>IF(Checks!C84,ISERROR(FIND("&amp;",Data!D84)),TRUE)</f>
        <v>1</v>
      </c>
      <c r="AB84" s="26" t="b">
        <f>IF(Checks!$C84,IF(AND(UPPER(Data!$C84)&lt;&gt;"START",UPPER(Data!$C84)&lt;&gt;"DATA OBJECT",Data!E84&lt;&gt;""),NOT(ISERROR(MATCH(Data!$A84&amp;"||"&amp;Data!E84,Key,0))),TRUE),TRUE)</f>
        <v>1</v>
      </c>
      <c r="AC84" s="27" t="b">
        <f>IF(Checks!C84,IF(UPPER(Data!C84)="END",Data!E84&lt;&gt;"",TRUE),TRUE)</f>
        <v>1</v>
      </c>
    </row>
    <row r="85" spans="1:29" x14ac:dyDescent="0.25">
      <c r="A85" s="1" t="str">
        <f>Data!A85&amp;"||"&amp;Data!B85</f>
        <v>Miscellaneous/subflow/irmifrs9_store_analysis_data.bpmn||002</v>
      </c>
      <c r="B85" s="19"/>
      <c r="C85" s="24" t="b">
        <f>AND(UPPER(Data!A85)&lt;&gt;"EMPTY",Data!B85&lt;&gt;"")</f>
        <v>1</v>
      </c>
      <c r="D85" s="1"/>
      <c r="E85" s="25" t="b">
        <f t="shared" ca="1" si="2"/>
        <v>1</v>
      </c>
      <c r="F85" s="26" t="b">
        <f ca="1">IF(UPPER(Data!C85)="SUB PROCESS",NOT(ISERROR(MATCH(RIGHT(Data!BY85,LEN(Data!BY85)-5),OFFSET(Data,0,0,ItemsCount,1),0))),TRUE)</f>
        <v>1</v>
      </c>
      <c r="G85" s="26" t="b">
        <f ca="1">IF(MID(UPPER(Data!A85),1,13)="MISCELLANEOUS",NOT(ISERROR(MATCH("path="&amp;Data!A85,OFFSET(Data,0,76,ItemsCount,1),0))),TRUE)</f>
        <v>1</v>
      </c>
      <c r="L85" s="25" t="b">
        <f t="shared" ca="1" si="3"/>
        <v>1</v>
      </c>
      <c r="M85" s="24" t="b">
        <f>IF(Checks!$C85,Data!A85&lt;&gt;"",TRUE)</f>
        <v>1</v>
      </c>
      <c r="N85" s="26" t="b">
        <f>IF(Checks!C85,Data!B85&lt;&gt;"",TRUE)</f>
        <v>1</v>
      </c>
      <c r="O85" s="26" t="b">
        <f>IF(Checks!C85,IF(AND(UPPER(Data!C85)="SERVICE TASK",UPPER(Data!BZ85)="TYPE=SAS"),NodeExists(TRIM(RIGHT(Data!CA85,LEN(Data!CA85)-FIND("=",Data!CA85)))),TRUE),TRUE)</f>
        <v>1</v>
      </c>
      <c r="P85" s="26" t="b">
        <f>IF(Checks!C85,IF(Data!C85="DATA OBJECT",OR(AND(Data!BW85&lt;&gt;"",Data!BX85=""),AND(Data!BW85="",Data!BX85&lt;&gt;"")),TRUE),TRUE)</f>
        <v>1</v>
      </c>
      <c r="Q85" s="26" t="b">
        <f>IF(Checks!C85,UPPER(RIGHT(Data!A85,5))=".BPMN",TRUE)</f>
        <v>1</v>
      </c>
      <c r="R85" s="26" t="b">
        <f>IF(Checks!C85,IF(UPPER(Data!C85)="SUB PROCESS",UPPER(RIGHT(Data!BY85,5))=".BPMN",TRUE),TRUE)</f>
        <v>1</v>
      </c>
      <c r="S85" s="26" t="b">
        <f>IF(Checks!C85,IF(UPPER(Data!C85)="SERVICE TASK",IF(UPPER(Data!BZ85)="TYPE=SAS",UPPER(RIGHT(Data!CA85,4))=".SAS",TRUE),TRUE),TRUE)</f>
        <v>1</v>
      </c>
      <c r="T85" s="26" t="b">
        <f>IF(Checks!C85,IF(Data!B85&lt;&gt;"",Data!D85&lt;&gt;"",TRUE),TRUE)</f>
        <v>1</v>
      </c>
      <c r="U85" s="26" t="b">
        <f>IF(Checks!C85,IF(UPPER(Data!C85)="DATA OBJECT",NOT(ISERROR(MATCH(Data!A85&amp;"||"&amp;Data!BW85&amp;Data!BX85,Key,0))),TRUE),TRUE)</f>
        <v>1</v>
      </c>
      <c r="V85" s="26" t="b">
        <f>IF(Checks!C85,IF(UPPER(Data!C85)="SUB PROCESS",Data!BY85&lt;&gt;"",TRUE),TRUE)</f>
        <v>1</v>
      </c>
      <c r="W85" s="26" t="b">
        <f>IF(Checks!C85,IF(UPPER(Data!C85)="SERVICE TASK",AND(Data!BZ85&lt;&gt;"",Data!CA85&lt;&gt;""),TRUE),TRUE)</f>
        <v>1</v>
      </c>
      <c r="X85" s="26" t="b">
        <f t="array" aca="1" ref="X85" ca="1">SUM((OFFSET(Data!B85,MAX(ROW(Data!$B$5)-ROW(Data!B85),-200),0,400,1)=Data!B85)*(OFFSET(Data!A85,MAX(ROW(Data!$B$5)-ROW(Data!B85),-200),0,400,1)=Data!A85))=1</f>
        <v>1</v>
      </c>
      <c r="Y85" s="26" t="b">
        <f t="array" aca="1" ref="Y85" ca="1">IF(UPPER(Data!C85)="START",SUM((OFFSET(Data!C85,MAX(ROW(Data!$C$5)-ROW(Data!C85),-200),0,400,1)="START")*(OFFSET(Data!A85,MAX(ROW(Data!$B$5)-ROW(Data!B85),-200),0,400,1)=Data!A85))=1,TRUE)</f>
        <v>1</v>
      </c>
      <c r="Z85" s="26" t="b">
        <f t="array" aca="1" ref="Z85" ca="1">IF(UPPER(Data!C85)="END",SUM((OFFSET(Data!C85,MAX(ROW(Data!$C$5)-ROW(Data!C85),-200),0,400,1)="END")*(OFFSET(Data!A85,MAX(ROW(Data!$B$5)-ROW(Data!B85),-200),0,400,1)=Data!A85))=1,TRUE)</f>
        <v>1</v>
      </c>
      <c r="AA85" s="26" t="b">
        <f>IF(Checks!C85,ISERROR(FIND("&amp;",Data!D85)),TRUE)</f>
        <v>1</v>
      </c>
      <c r="AB85" s="26" t="b">
        <f ca="1">IF(Checks!$C85,IF(AND(UPPER(Data!$C85)&lt;&gt;"START",UPPER(Data!$C85)&lt;&gt;"DATA OBJECT",Data!E85&lt;&gt;""),NOT(ISERROR(MATCH(Data!$A85&amp;"||"&amp;Data!E85,Key,0))),TRUE),TRUE)</f>
        <v>1</v>
      </c>
      <c r="AC85" s="27" t="b">
        <f>IF(Checks!C85,IF(UPPER(Data!C85)="END",Data!E85&lt;&gt;"",TRUE),TRUE)</f>
        <v>1</v>
      </c>
    </row>
    <row r="86" spans="1:29" x14ac:dyDescent="0.25">
      <c r="A86" s="1" t="str">
        <f>Data!A86&amp;"||"&amp;Data!B86</f>
        <v>Miscellaneous/subflow/irmifrs9_store_analysis_data.bpmn||002_00_01</v>
      </c>
      <c r="B86" s="19"/>
      <c r="C86" s="24" t="b">
        <f>AND(UPPER(Data!A86)&lt;&gt;"EMPTY",Data!B86&lt;&gt;"")</f>
        <v>1</v>
      </c>
      <c r="D86" s="1"/>
      <c r="E86" s="25" t="b">
        <f t="shared" ca="1" si="2"/>
        <v>1</v>
      </c>
      <c r="F86" s="26" t="b">
        <f ca="1">IF(UPPER(Data!C86)="SUB PROCESS",NOT(ISERROR(MATCH(RIGHT(Data!BY86,LEN(Data!BY86)-5),OFFSET(Data,0,0,ItemsCount,1),0))),TRUE)</f>
        <v>1</v>
      </c>
      <c r="G86" s="26" t="b">
        <f ca="1">IF(MID(UPPER(Data!A86),1,13)="MISCELLANEOUS",NOT(ISERROR(MATCH("path="&amp;Data!A86,OFFSET(Data,0,76,ItemsCount,1),0))),TRUE)</f>
        <v>1</v>
      </c>
      <c r="L86" s="25" t="b">
        <f t="shared" ca="1" si="3"/>
        <v>1</v>
      </c>
      <c r="M86" s="24" t="b">
        <f>IF(Checks!$C86,Data!A86&lt;&gt;"",TRUE)</f>
        <v>1</v>
      </c>
      <c r="N86" s="26" t="b">
        <f>IF(Checks!C86,Data!B86&lt;&gt;"",TRUE)</f>
        <v>1</v>
      </c>
      <c r="O86" s="26" t="b">
        <f>IF(Checks!C86,IF(AND(UPPER(Data!C86)="SERVICE TASK",UPPER(Data!BZ86)="TYPE=SAS"),NodeExists(TRIM(RIGHT(Data!CA86,LEN(Data!CA86)-FIND("=",Data!CA86)))),TRUE),TRUE)</f>
        <v>1</v>
      </c>
      <c r="P86" s="26" t="b">
        <f>IF(Checks!C86,IF(Data!C86="DATA OBJECT",OR(AND(Data!BW86&lt;&gt;"",Data!BX86=""),AND(Data!BW86="",Data!BX86&lt;&gt;"")),TRUE),TRUE)</f>
        <v>1</v>
      </c>
      <c r="Q86" s="26" t="b">
        <f>IF(Checks!C86,UPPER(RIGHT(Data!A86,5))=".BPMN",TRUE)</f>
        <v>1</v>
      </c>
      <c r="R86" s="26" t="b">
        <f>IF(Checks!C86,IF(UPPER(Data!C86)="SUB PROCESS",UPPER(RIGHT(Data!BY86,5))=".BPMN",TRUE),TRUE)</f>
        <v>1</v>
      </c>
      <c r="S86" s="26" t="b">
        <f>IF(Checks!C86,IF(UPPER(Data!C86)="SERVICE TASK",IF(UPPER(Data!BZ86)="TYPE=SAS",UPPER(RIGHT(Data!CA86,4))=".SAS",TRUE),TRUE),TRUE)</f>
        <v>1</v>
      </c>
      <c r="T86" s="26" t="b">
        <f>IF(Checks!C86,IF(Data!B86&lt;&gt;"",Data!D86&lt;&gt;"",TRUE),TRUE)</f>
        <v>1</v>
      </c>
      <c r="U86" s="26" t="b">
        <f ca="1">IF(Checks!C86,IF(UPPER(Data!C86)="DATA OBJECT",NOT(ISERROR(MATCH(Data!A86&amp;"||"&amp;Data!BW86&amp;Data!BX86,Key,0))),TRUE),TRUE)</f>
        <v>1</v>
      </c>
      <c r="V86" s="26" t="b">
        <f>IF(Checks!C86,IF(UPPER(Data!C86)="SUB PROCESS",Data!BY86&lt;&gt;"",TRUE),TRUE)</f>
        <v>1</v>
      </c>
      <c r="W86" s="26" t="b">
        <f>IF(Checks!C86,IF(UPPER(Data!C86)="SERVICE TASK",AND(Data!BZ86&lt;&gt;"",Data!CA86&lt;&gt;""),TRUE),TRUE)</f>
        <v>1</v>
      </c>
      <c r="X86" s="26" t="b">
        <f t="array" aca="1" ref="X86" ca="1">SUM((OFFSET(Data!B86,MAX(ROW(Data!$B$5)-ROW(Data!B86),-200),0,400,1)=Data!B86)*(OFFSET(Data!A86,MAX(ROW(Data!$B$5)-ROW(Data!B86),-200),0,400,1)=Data!A86))=1</f>
        <v>1</v>
      </c>
      <c r="Y86" s="26" t="b">
        <f t="array" aca="1" ref="Y86" ca="1">IF(UPPER(Data!C86)="START",SUM((OFFSET(Data!C86,MAX(ROW(Data!$C$5)-ROW(Data!C86),-200),0,400,1)="START")*(OFFSET(Data!A86,MAX(ROW(Data!$B$5)-ROW(Data!B86),-200),0,400,1)=Data!A86))=1,TRUE)</f>
        <v>1</v>
      </c>
      <c r="Z86" s="26" t="b">
        <f t="array" aca="1" ref="Z86" ca="1">IF(UPPER(Data!C86)="END",SUM((OFFSET(Data!C86,MAX(ROW(Data!$C$5)-ROW(Data!C86),-200),0,400,1)="END")*(OFFSET(Data!A86,MAX(ROW(Data!$B$5)-ROW(Data!B86),-200),0,400,1)=Data!A86))=1,TRUE)</f>
        <v>1</v>
      </c>
      <c r="AA86" s="26" t="b">
        <f>IF(Checks!C86,ISERROR(FIND("&amp;",Data!D86)),TRUE)</f>
        <v>1</v>
      </c>
      <c r="AB86" s="26" t="b">
        <f>IF(Checks!$C86,IF(AND(UPPER(Data!$C86)&lt;&gt;"START",UPPER(Data!$C86)&lt;&gt;"DATA OBJECT",Data!E86&lt;&gt;""),NOT(ISERROR(MATCH(Data!$A86&amp;"||"&amp;Data!E86,Key,0))),TRUE),TRUE)</f>
        <v>1</v>
      </c>
      <c r="AC86" s="27" t="b">
        <f>IF(Checks!C86,IF(UPPER(Data!C86)="END",Data!E86&lt;&gt;"",TRUE),TRUE)</f>
        <v>1</v>
      </c>
    </row>
    <row r="87" spans="1:29" x14ac:dyDescent="0.25">
      <c r="A87" s="1" t="str">
        <f>Data!A87&amp;"||"&amp;Data!B87</f>
        <v>Miscellaneous/subflow/irmifrs9_store_analysis_data.bpmn||002_00_02</v>
      </c>
      <c r="B87" s="19"/>
      <c r="C87" s="24" t="b">
        <f>AND(UPPER(Data!A87)&lt;&gt;"EMPTY",Data!B87&lt;&gt;"")</f>
        <v>1</v>
      </c>
      <c r="D87" s="1"/>
      <c r="E87" s="25" t="b">
        <f t="shared" ca="1" si="2"/>
        <v>1</v>
      </c>
      <c r="F87" s="26" t="b">
        <f ca="1">IF(UPPER(Data!C87)="SUB PROCESS",NOT(ISERROR(MATCH(RIGHT(Data!BY87,LEN(Data!BY87)-5),OFFSET(Data,0,0,ItemsCount,1),0))),TRUE)</f>
        <v>1</v>
      </c>
      <c r="G87" s="26" t="b">
        <f ca="1">IF(MID(UPPER(Data!A87),1,13)="MISCELLANEOUS",NOT(ISERROR(MATCH("path="&amp;Data!A87,OFFSET(Data,0,76,ItemsCount,1),0))),TRUE)</f>
        <v>1</v>
      </c>
      <c r="L87" s="25" t="b">
        <f t="shared" ca="1" si="3"/>
        <v>1</v>
      </c>
      <c r="M87" s="24" t="b">
        <f>IF(Checks!$C87,Data!A87&lt;&gt;"",TRUE)</f>
        <v>1</v>
      </c>
      <c r="N87" s="26" t="b">
        <f>IF(Checks!C87,Data!B87&lt;&gt;"",TRUE)</f>
        <v>1</v>
      </c>
      <c r="O87" s="26" t="b">
        <f>IF(Checks!C87,IF(AND(UPPER(Data!C87)="SERVICE TASK",UPPER(Data!BZ87)="TYPE=SAS"),NodeExists(TRIM(RIGHT(Data!CA87,LEN(Data!CA87)-FIND("=",Data!CA87)))),TRUE),TRUE)</f>
        <v>1</v>
      </c>
      <c r="P87" s="26" t="b">
        <f>IF(Checks!C87,IF(Data!C87="DATA OBJECT",OR(AND(Data!BW87&lt;&gt;"",Data!BX87=""),AND(Data!BW87="",Data!BX87&lt;&gt;"")),TRUE),TRUE)</f>
        <v>1</v>
      </c>
      <c r="Q87" s="26" t="b">
        <f>IF(Checks!C87,UPPER(RIGHT(Data!A87,5))=".BPMN",TRUE)</f>
        <v>1</v>
      </c>
      <c r="R87" s="26" t="b">
        <f>IF(Checks!C87,IF(UPPER(Data!C87)="SUB PROCESS",UPPER(RIGHT(Data!BY87,5))=".BPMN",TRUE),TRUE)</f>
        <v>1</v>
      </c>
      <c r="S87" s="26" t="b">
        <f>IF(Checks!C87,IF(UPPER(Data!C87)="SERVICE TASK",IF(UPPER(Data!BZ87)="TYPE=SAS",UPPER(RIGHT(Data!CA87,4))=".SAS",TRUE),TRUE),TRUE)</f>
        <v>1</v>
      </c>
      <c r="T87" s="26" t="b">
        <f>IF(Checks!C87,IF(Data!B87&lt;&gt;"",Data!D87&lt;&gt;"",TRUE),TRUE)</f>
        <v>1</v>
      </c>
      <c r="U87" s="26" t="b">
        <f ca="1">IF(Checks!C87,IF(UPPER(Data!C87)="DATA OBJECT",NOT(ISERROR(MATCH(Data!A87&amp;"||"&amp;Data!BW87&amp;Data!BX87,Key,0))),TRUE),TRUE)</f>
        <v>1</v>
      </c>
      <c r="V87" s="26" t="b">
        <f>IF(Checks!C87,IF(UPPER(Data!C87)="SUB PROCESS",Data!BY87&lt;&gt;"",TRUE),TRUE)</f>
        <v>1</v>
      </c>
      <c r="W87" s="26" t="b">
        <f>IF(Checks!C87,IF(UPPER(Data!C87)="SERVICE TASK",AND(Data!BZ87&lt;&gt;"",Data!CA87&lt;&gt;""),TRUE),TRUE)</f>
        <v>1</v>
      </c>
      <c r="X87" s="26" t="b">
        <f t="array" aca="1" ref="X87" ca="1">SUM((OFFSET(Data!B87,MAX(ROW(Data!$B$5)-ROW(Data!B87),-200),0,400,1)=Data!B87)*(OFFSET(Data!A87,MAX(ROW(Data!$B$5)-ROW(Data!B87),-200),0,400,1)=Data!A87))=1</f>
        <v>1</v>
      </c>
      <c r="Y87" s="26" t="b">
        <f t="array" aca="1" ref="Y87" ca="1">IF(UPPER(Data!C87)="START",SUM((OFFSET(Data!C87,MAX(ROW(Data!$C$5)-ROW(Data!C87),-200),0,400,1)="START")*(OFFSET(Data!A87,MAX(ROW(Data!$B$5)-ROW(Data!B87),-200),0,400,1)=Data!A87))=1,TRUE)</f>
        <v>1</v>
      </c>
      <c r="Z87" s="26" t="b">
        <f t="array" aca="1" ref="Z87" ca="1">IF(UPPER(Data!C87)="END",SUM((OFFSET(Data!C87,MAX(ROW(Data!$C$5)-ROW(Data!C87),-200),0,400,1)="END")*(OFFSET(Data!A87,MAX(ROW(Data!$B$5)-ROW(Data!B87),-200),0,400,1)=Data!A87))=1,TRUE)</f>
        <v>1</v>
      </c>
      <c r="AA87" s="26" t="b">
        <f>IF(Checks!C87,ISERROR(FIND("&amp;",Data!D87)),TRUE)</f>
        <v>1</v>
      </c>
      <c r="AB87" s="26" t="b">
        <f>IF(Checks!$C87,IF(AND(UPPER(Data!$C87)&lt;&gt;"START",UPPER(Data!$C87)&lt;&gt;"DATA OBJECT",Data!E87&lt;&gt;""),NOT(ISERROR(MATCH(Data!$A87&amp;"||"&amp;Data!E87,Key,0))),TRUE),TRUE)</f>
        <v>1</v>
      </c>
      <c r="AC87" s="27" t="b">
        <f>IF(Checks!C87,IF(UPPER(Data!C87)="END",Data!E87&lt;&gt;"",TRUE),TRUE)</f>
        <v>1</v>
      </c>
    </row>
    <row r="88" spans="1:29" x14ac:dyDescent="0.25">
      <c r="A88" s="1" t="str">
        <f>Data!A88&amp;"||"&amp;Data!B88</f>
        <v>Miscellaneous/subflow/irmifrs9_store_analysis_data.bpmn||002_01_00</v>
      </c>
      <c r="B88" s="19"/>
      <c r="C88" s="24" t="b">
        <f>AND(UPPER(Data!A88)&lt;&gt;"EMPTY",Data!B88&lt;&gt;"")</f>
        <v>1</v>
      </c>
      <c r="D88" s="1"/>
      <c r="E88" s="25" t="b">
        <f t="shared" ca="1" si="2"/>
        <v>1</v>
      </c>
      <c r="F88" s="26" t="b">
        <f ca="1">IF(UPPER(Data!C88)="SUB PROCESS",NOT(ISERROR(MATCH(RIGHT(Data!BY88,LEN(Data!BY88)-5),OFFSET(Data,0,0,ItemsCount,1),0))),TRUE)</f>
        <v>1</v>
      </c>
      <c r="G88" s="26" t="b">
        <f ca="1">IF(MID(UPPER(Data!A88),1,13)="MISCELLANEOUS",NOT(ISERROR(MATCH("path="&amp;Data!A88,OFFSET(Data,0,76,ItemsCount,1),0))),TRUE)</f>
        <v>1</v>
      </c>
      <c r="L88" s="25" t="b">
        <f t="shared" ca="1" si="3"/>
        <v>1</v>
      </c>
      <c r="M88" s="24" t="b">
        <f>IF(Checks!$C88,Data!A88&lt;&gt;"",TRUE)</f>
        <v>1</v>
      </c>
      <c r="N88" s="26" t="b">
        <f>IF(Checks!C88,Data!B88&lt;&gt;"",TRUE)</f>
        <v>1</v>
      </c>
      <c r="O88" s="26" t="b">
        <f>IF(Checks!C88,IF(AND(UPPER(Data!C88)="SERVICE TASK",UPPER(Data!BZ88)="TYPE=SAS"),NodeExists(TRIM(RIGHT(Data!CA88,LEN(Data!CA88)-FIND("=",Data!CA88)))),TRUE),TRUE)</f>
        <v>1</v>
      </c>
      <c r="P88" s="26" t="b">
        <f>IF(Checks!C88,IF(Data!C88="DATA OBJECT",OR(AND(Data!BW88&lt;&gt;"",Data!BX88=""),AND(Data!BW88="",Data!BX88&lt;&gt;"")),TRUE),TRUE)</f>
        <v>1</v>
      </c>
      <c r="Q88" s="26" t="b">
        <f>IF(Checks!C88,UPPER(RIGHT(Data!A88,5))=".BPMN",TRUE)</f>
        <v>1</v>
      </c>
      <c r="R88" s="26" t="b">
        <f>IF(Checks!C88,IF(UPPER(Data!C88)="SUB PROCESS",UPPER(RIGHT(Data!BY88,5))=".BPMN",TRUE),TRUE)</f>
        <v>1</v>
      </c>
      <c r="S88" s="26" t="b">
        <f>IF(Checks!C88,IF(UPPER(Data!C88)="SERVICE TASK",IF(UPPER(Data!BZ88)="TYPE=SAS",UPPER(RIGHT(Data!CA88,4))=".SAS",TRUE),TRUE),TRUE)</f>
        <v>1</v>
      </c>
      <c r="T88" s="26" t="b">
        <f>IF(Checks!C88,IF(Data!B88&lt;&gt;"",Data!D88&lt;&gt;"",TRUE),TRUE)</f>
        <v>1</v>
      </c>
      <c r="U88" s="26" t="b">
        <f ca="1">IF(Checks!C88,IF(UPPER(Data!C88)="DATA OBJECT",NOT(ISERROR(MATCH(Data!A88&amp;"||"&amp;Data!BW88&amp;Data!BX88,Key,0))),TRUE),TRUE)</f>
        <v>1</v>
      </c>
      <c r="V88" s="26" t="b">
        <f>IF(Checks!C88,IF(UPPER(Data!C88)="SUB PROCESS",Data!BY88&lt;&gt;"",TRUE),TRUE)</f>
        <v>1</v>
      </c>
      <c r="W88" s="26" t="b">
        <f>IF(Checks!C88,IF(UPPER(Data!C88)="SERVICE TASK",AND(Data!BZ88&lt;&gt;"",Data!CA88&lt;&gt;""),TRUE),TRUE)</f>
        <v>1</v>
      </c>
      <c r="X88" s="26" t="b">
        <f t="array" aca="1" ref="X88" ca="1">SUM((OFFSET(Data!B88,MAX(ROW(Data!$B$5)-ROW(Data!B88),-200),0,400,1)=Data!B88)*(OFFSET(Data!A88,MAX(ROW(Data!$B$5)-ROW(Data!B88),-200),0,400,1)=Data!A88))=1</f>
        <v>1</v>
      </c>
      <c r="Y88" s="26" t="b">
        <f t="array" aca="1" ref="Y88" ca="1">IF(UPPER(Data!C88)="START",SUM((OFFSET(Data!C88,MAX(ROW(Data!$C$5)-ROW(Data!C88),-200),0,400,1)="START")*(OFFSET(Data!A88,MAX(ROW(Data!$B$5)-ROW(Data!B88),-200),0,400,1)=Data!A88))=1,TRUE)</f>
        <v>1</v>
      </c>
      <c r="Z88" s="26" t="b">
        <f t="array" aca="1" ref="Z88" ca="1">IF(UPPER(Data!C88)="END",SUM((OFFSET(Data!C88,MAX(ROW(Data!$C$5)-ROW(Data!C88),-200),0,400,1)="END")*(OFFSET(Data!A88,MAX(ROW(Data!$B$5)-ROW(Data!B88),-200),0,400,1)=Data!A88))=1,TRUE)</f>
        <v>1</v>
      </c>
      <c r="AA88" s="26" t="b">
        <f>IF(Checks!C88,ISERROR(FIND("&amp;",Data!D88)),TRUE)</f>
        <v>1</v>
      </c>
      <c r="AB88" s="26" t="b">
        <f>IF(Checks!$C88,IF(AND(UPPER(Data!$C88)&lt;&gt;"START",UPPER(Data!$C88)&lt;&gt;"DATA OBJECT",Data!E88&lt;&gt;""),NOT(ISERROR(MATCH(Data!$A88&amp;"||"&amp;Data!E88,Key,0))),TRUE),TRUE)</f>
        <v>1</v>
      </c>
      <c r="AC88" s="27" t="b">
        <f>IF(Checks!C88,IF(UPPER(Data!C88)="END",Data!E88&lt;&gt;"",TRUE),TRUE)</f>
        <v>1</v>
      </c>
    </row>
    <row r="89" spans="1:29" x14ac:dyDescent="0.25">
      <c r="A89" s="1" t="str">
        <f>Data!A89&amp;"||"&amp;Data!B89</f>
        <v>Miscellaneous/subflow/irmifrs9_store_analysis_data.bpmn||003</v>
      </c>
      <c r="B89" s="19"/>
      <c r="C89" s="24" t="b">
        <f>AND(UPPER(Data!A89)&lt;&gt;"EMPTY",Data!B89&lt;&gt;"")</f>
        <v>1</v>
      </c>
      <c r="D89" s="1"/>
      <c r="E89" s="25" t="b">
        <f t="shared" ca="1" si="2"/>
        <v>1</v>
      </c>
      <c r="F89" s="26" t="b">
        <f ca="1">IF(UPPER(Data!C89)="SUB PROCESS",NOT(ISERROR(MATCH(RIGHT(Data!BY89,LEN(Data!BY89)-5),OFFSET(Data,0,0,ItemsCount,1),0))),TRUE)</f>
        <v>1</v>
      </c>
      <c r="G89" s="26" t="b">
        <f ca="1">IF(MID(UPPER(Data!A89),1,13)="MISCELLANEOUS",NOT(ISERROR(MATCH("path="&amp;Data!A89,OFFSET(Data,0,76,ItemsCount,1),0))),TRUE)</f>
        <v>1</v>
      </c>
      <c r="L89" s="25" t="b">
        <f t="shared" ca="1" si="3"/>
        <v>1</v>
      </c>
      <c r="M89" s="24" t="b">
        <f>IF(Checks!$C89,Data!A89&lt;&gt;"",TRUE)</f>
        <v>1</v>
      </c>
      <c r="N89" s="26" t="b">
        <f>IF(Checks!C89,Data!B89&lt;&gt;"",TRUE)</f>
        <v>1</v>
      </c>
      <c r="O89" s="26" t="b">
        <f>IF(Checks!C89,IF(AND(UPPER(Data!C89)="SERVICE TASK",UPPER(Data!BZ89)="TYPE=SAS"),NodeExists(TRIM(RIGHT(Data!CA89,LEN(Data!CA89)-FIND("=",Data!CA89)))),TRUE),TRUE)</f>
        <v>1</v>
      </c>
      <c r="P89" s="26" t="b">
        <f>IF(Checks!C89,IF(Data!C89="DATA OBJECT",OR(AND(Data!BW89&lt;&gt;"",Data!BX89=""),AND(Data!BW89="",Data!BX89&lt;&gt;"")),TRUE),TRUE)</f>
        <v>1</v>
      </c>
      <c r="Q89" s="26" t="b">
        <f>IF(Checks!C89,UPPER(RIGHT(Data!A89,5))=".BPMN",TRUE)</f>
        <v>1</v>
      </c>
      <c r="R89" s="26" t="b">
        <f>IF(Checks!C89,IF(UPPER(Data!C89)="SUB PROCESS",UPPER(RIGHT(Data!BY89,5))=".BPMN",TRUE),TRUE)</f>
        <v>1</v>
      </c>
      <c r="S89" s="26" t="b">
        <f>IF(Checks!C89,IF(UPPER(Data!C89)="SERVICE TASK",IF(UPPER(Data!BZ89)="TYPE=SAS",UPPER(RIGHT(Data!CA89,4))=".SAS",TRUE),TRUE),TRUE)</f>
        <v>1</v>
      </c>
      <c r="T89" s="26" t="b">
        <f>IF(Checks!C89,IF(Data!B89&lt;&gt;"",Data!D89&lt;&gt;"",TRUE),TRUE)</f>
        <v>1</v>
      </c>
      <c r="U89" s="26" t="b">
        <f>IF(Checks!C89,IF(UPPER(Data!C89)="DATA OBJECT",NOT(ISERROR(MATCH(Data!A89&amp;"||"&amp;Data!BW89&amp;Data!BX89,Key,0))),TRUE),TRUE)</f>
        <v>1</v>
      </c>
      <c r="V89" s="26" t="b">
        <f>IF(Checks!C89,IF(UPPER(Data!C89)="SUB PROCESS",Data!BY89&lt;&gt;"",TRUE),TRUE)</f>
        <v>1</v>
      </c>
      <c r="W89" s="26" t="b">
        <f>IF(Checks!C89,IF(UPPER(Data!C89)="SERVICE TASK",AND(Data!BZ89&lt;&gt;"",Data!CA89&lt;&gt;""),TRUE),TRUE)</f>
        <v>1</v>
      </c>
      <c r="X89" s="26" t="b">
        <f t="array" aca="1" ref="X89" ca="1">SUM((OFFSET(Data!B89,MAX(ROW(Data!$B$5)-ROW(Data!B89),-200),0,400,1)=Data!B89)*(OFFSET(Data!A89,MAX(ROW(Data!$B$5)-ROW(Data!B89),-200),0,400,1)=Data!A89))=1</f>
        <v>1</v>
      </c>
      <c r="Y89" s="26" t="b">
        <f t="array" aca="1" ref="Y89" ca="1">IF(UPPER(Data!C89)="START",SUM((OFFSET(Data!C89,MAX(ROW(Data!$C$5)-ROW(Data!C89),-200),0,400,1)="START")*(OFFSET(Data!A89,MAX(ROW(Data!$B$5)-ROW(Data!B89),-200),0,400,1)=Data!A89))=1,TRUE)</f>
        <v>1</v>
      </c>
      <c r="Z89" s="26" t="b">
        <f t="array" aca="1" ref="Z89" ca="1">IF(UPPER(Data!C89)="END",SUM((OFFSET(Data!C89,MAX(ROW(Data!$C$5)-ROW(Data!C89),-200),0,400,1)="END")*(OFFSET(Data!A89,MAX(ROW(Data!$B$5)-ROW(Data!B89),-200),0,400,1)=Data!A89))=1,TRUE)</f>
        <v>1</v>
      </c>
      <c r="AA89" s="26" t="b">
        <f>IF(Checks!C89,ISERROR(FIND("&amp;",Data!D89)),TRUE)</f>
        <v>1</v>
      </c>
      <c r="AB89" s="26" t="b">
        <f ca="1">IF(Checks!$C89,IF(AND(UPPER(Data!$C89)&lt;&gt;"START",UPPER(Data!$C89)&lt;&gt;"DATA OBJECT",Data!E89&lt;&gt;""),NOT(ISERROR(MATCH(Data!$A89&amp;"||"&amp;Data!E89,Key,0))),TRUE),TRUE)</f>
        <v>1</v>
      </c>
      <c r="AC89" s="27" t="b">
        <f>IF(Checks!C89,IF(UPPER(Data!C89)="END",Data!E89&lt;&gt;"",TRUE),TRUE)</f>
        <v>1</v>
      </c>
    </row>
    <row r="90" spans="1:29" x14ac:dyDescent="0.25">
      <c r="A90" s="1" t="str">
        <f>Data!A90&amp;"||"&amp;Data!B90</f>
        <v>Miscellaneous/subflow/irmifrs9_store_analysis_data.bpmn||003_00_01</v>
      </c>
      <c r="B90" s="19"/>
      <c r="C90" s="24" t="b">
        <f>AND(UPPER(Data!A90)&lt;&gt;"EMPTY",Data!B90&lt;&gt;"")</f>
        <v>1</v>
      </c>
      <c r="D90" s="1"/>
      <c r="E90" s="25" t="b">
        <f t="shared" ca="1" si="2"/>
        <v>1</v>
      </c>
      <c r="F90" s="26" t="b">
        <f ca="1">IF(UPPER(Data!C90)="SUB PROCESS",NOT(ISERROR(MATCH(RIGHT(Data!BY90,LEN(Data!BY90)-5),OFFSET(Data,0,0,ItemsCount,1),0))),TRUE)</f>
        <v>1</v>
      </c>
      <c r="G90" s="26" t="b">
        <f ca="1">IF(MID(UPPER(Data!A90),1,13)="MISCELLANEOUS",NOT(ISERROR(MATCH("path="&amp;Data!A90,OFFSET(Data,0,76,ItemsCount,1),0))),TRUE)</f>
        <v>1</v>
      </c>
      <c r="L90" s="25" t="b">
        <f t="shared" ca="1" si="3"/>
        <v>1</v>
      </c>
      <c r="M90" s="24" t="b">
        <f>IF(Checks!$C90,Data!A90&lt;&gt;"",TRUE)</f>
        <v>1</v>
      </c>
      <c r="N90" s="26" t="b">
        <f>IF(Checks!C90,Data!B90&lt;&gt;"",TRUE)</f>
        <v>1</v>
      </c>
      <c r="O90" s="26" t="b">
        <f>IF(Checks!C90,IF(AND(UPPER(Data!C90)="SERVICE TASK",UPPER(Data!BZ90)="TYPE=SAS"),NodeExists(TRIM(RIGHT(Data!CA90,LEN(Data!CA90)-FIND("=",Data!CA90)))),TRUE),TRUE)</f>
        <v>1</v>
      </c>
      <c r="P90" s="26" t="b">
        <f>IF(Checks!C90,IF(Data!C90="DATA OBJECT",OR(AND(Data!BW90&lt;&gt;"",Data!BX90=""),AND(Data!BW90="",Data!BX90&lt;&gt;"")),TRUE),TRUE)</f>
        <v>1</v>
      </c>
      <c r="Q90" s="26" t="b">
        <f>IF(Checks!C90,UPPER(RIGHT(Data!A90,5))=".BPMN",TRUE)</f>
        <v>1</v>
      </c>
      <c r="R90" s="26" t="b">
        <f>IF(Checks!C90,IF(UPPER(Data!C90)="SUB PROCESS",UPPER(RIGHT(Data!BY90,5))=".BPMN",TRUE),TRUE)</f>
        <v>1</v>
      </c>
      <c r="S90" s="26" t="b">
        <f>IF(Checks!C90,IF(UPPER(Data!C90)="SERVICE TASK",IF(UPPER(Data!BZ90)="TYPE=SAS",UPPER(RIGHT(Data!CA90,4))=".SAS",TRUE),TRUE),TRUE)</f>
        <v>1</v>
      </c>
      <c r="T90" s="26" t="b">
        <f>IF(Checks!C90,IF(Data!B90&lt;&gt;"",Data!D90&lt;&gt;"",TRUE),TRUE)</f>
        <v>1</v>
      </c>
      <c r="U90" s="26" t="b">
        <f ca="1">IF(Checks!C90,IF(UPPER(Data!C90)="DATA OBJECT",NOT(ISERROR(MATCH(Data!A90&amp;"||"&amp;Data!BW90&amp;Data!BX90,Key,0))),TRUE),TRUE)</f>
        <v>1</v>
      </c>
      <c r="V90" s="26" t="b">
        <f>IF(Checks!C90,IF(UPPER(Data!C90)="SUB PROCESS",Data!BY90&lt;&gt;"",TRUE),TRUE)</f>
        <v>1</v>
      </c>
      <c r="W90" s="26" t="b">
        <f>IF(Checks!C90,IF(UPPER(Data!C90)="SERVICE TASK",AND(Data!BZ90&lt;&gt;"",Data!CA90&lt;&gt;""),TRUE),TRUE)</f>
        <v>1</v>
      </c>
      <c r="X90" s="26" t="b">
        <f t="array" aca="1" ref="X90" ca="1">SUM((OFFSET(Data!B90,MAX(ROW(Data!$B$5)-ROW(Data!B90),-200),0,400,1)=Data!B90)*(OFFSET(Data!A90,MAX(ROW(Data!$B$5)-ROW(Data!B90),-200),0,400,1)=Data!A90))=1</f>
        <v>1</v>
      </c>
      <c r="Y90" s="26" t="b">
        <f t="array" aca="1" ref="Y90" ca="1">IF(UPPER(Data!C90)="START",SUM((OFFSET(Data!C90,MAX(ROW(Data!$C$5)-ROW(Data!C90),-200),0,400,1)="START")*(OFFSET(Data!A90,MAX(ROW(Data!$B$5)-ROW(Data!B90),-200),0,400,1)=Data!A90))=1,TRUE)</f>
        <v>1</v>
      </c>
      <c r="Z90" s="26" t="b">
        <f t="array" aca="1" ref="Z90" ca="1">IF(UPPER(Data!C90)="END",SUM((OFFSET(Data!C90,MAX(ROW(Data!$C$5)-ROW(Data!C90),-200),0,400,1)="END")*(OFFSET(Data!A90,MAX(ROW(Data!$B$5)-ROW(Data!B90),-200),0,400,1)=Data!A90))=1,TRUE)</f>
        <v>1</v>
      </c>
      <c r="AA90" s="26" t="b">
        <f>IF(Checks!C90,ISERROR(FIND("&amp;",Data!D90)),TRUE)</f>
        <v>1</v>
      </c>
      <c r="AB90" s="26" t="b">
        <f>IF(Checks!$C90,IF(AND(UPPER(Data!$C90)&lt;&gt;"START",UPPER(Data!$C90)&lt;&gt;"DATA OBJECT",Data!E90&lt;&gt;""),NOT(ISERROR(MATCH(Data!$A90&amp;"||"&amp;Data!E90,Key,0))),TRUE),TRUE)</f>
        <v>1</v>
      </c>
      <c r="AC90" s="27" t="b">
        <f>IF(Checks!C90,IF(UPPER(Data!C90)="END",Data!E90&lt;&gt;"",TRUE),TRUE)</f>
        <v>1</v>
      </c>
    </row>
    <row r="91" spans="1:29" x14ac:dyDescent="0.25">
      <c r="A91" s="1" t="str">
        <f>Data!A91&amp;"||"&amp;Data!B91</f>
        <v>Miscellaneous/subflow/irmifrs9_store_analysis_data.bpmn||003_00_02</v>
      </c>
      <c r="B91" s="19"/>
      <c r="C91" s="24" t="b">
        <f>AND(UPPER(Data!A91)&lt;&gt;"EMPTY",Data!B91&lt;&gt;"")</f>
        <v>1</v>
      </c>
      <c r="D91" s="1"/>
      <c r="E91" s="25" t="b">
        <f t="shared" ca="1" si="2"/>
        <v>1</v>
      </c>
      <c r="F91" s="26" t="b">
        <f ca="1">IF(UPPER(Data!C91)="SUB PROCESS",NOT(ISERROR(MATCH(RIGHT(Data!BY91,LEN(Data!BY91)-5),OFFSET(Data,0,0,ItemsCount,1),0))),TRUE)</f>
        <v>1</v>
      </c>
      <c r="G91" s="26" t="b">
        <f ca="1">IF(MID(UPPER(Data!A91),1,13)="MISCELLANEOUS",NOT(ISERROR(MATCH("path="&amp;Data!A91,OFFSET(Data,0,76,ItemsCount,1),0))),TRUE)</f>
        <v>1</v>
      </c>
      <c r="L91" s="25" t="b">
        <f t="shared" ca="1" si="3"/>
        <v>1</v>
      </c>
      <c r="M91" s="24" t="b">
        <f>IF(Checks!$C91,Data!A91&lt;&gt;"",TRUE)</f>
        <v>1</v>
      </c>
      <c r="N91" s="26" t="b">
        <f>IF(Checks!C91,Data!B91&lt;&gt;"",TRUE)</f>
        <v>1</v>
      </c>
      <c r="O91" s="26" t="b">
        <f>IF(Checks!C91,IF(AND(UPPER(Data!C91)="SERVICE TASK",UPPER(Data!BZ91)="TYPE=SAS"),NodeExists(TRIM(RIGHT(Data!CA91,LEN(Data!CA91)-FIND("=",Data!CA91)))),TRUE),TRUE)</f>
        <v>1</v>
      </c>
      <c r="P91" s="26" t="b">
        <f>IF(Checks!C91,IF(Data!C91="DATA OBJECT",OR(AND(Data!BW91&lt;&gt;"",Data!BX91=""),AND(Data!BW91="",Data!BX91&lt;&gt;"")),TRUE),TRUE)</f>
        <v>1</v>
      </c>
      <c r="Q91" s="26" t="b">
        <f>IF(Checks!C91,UPPER(RIGHT(Data!A91,5))=".BPMN",TRUE)</f>
        <v>1</v>
      </c>
      <c r="R91" s="26" t="b">
        <f>IF(Checks!C91,IF(UPPER(Data!C91)="SUB PROCESS",UPPER(RIGHT(Data!BY91,5))=".BPMN",TRUE),TRUE)</f>
        <v>1</v>
      </c>
      <c r="S91" s="26" t="b">
        <f>IF(Checks!C91,IF(UPPER(Data!C91)="SERVICE TASK",IF(UPPER(Data!BZ91)="TYPE=SAS",UPPER(RIGHT(Data!CA91,4))=".SAS",TRUE),TRUE),TRUE)</f>
        <v>1</v>
      </c>
      <c r="T91" s="26" t="b">
        <f>IF(Checks!C91,IF(Data!B91&lt;&gt;"",Data!D91&lt;&gt;"",TRUE),TRUE)</f>
        <v>1</v>
      </c>
      <c r="U91" s="26" t="b">
        <f ca="1">IF(Checks!C91,IF(UPPER(Data!C91)="DATA OBJECT",NOT(ISERROR(MATCH(Data!A91&amp;"||"&amp;Data!BW91&amp;Data!BX91,Key,0))),TRUE),TRUE)</f>
        <v>1</v>
      </c>
      <c r="V91" s="26" t="b">
        <f>IF(Checks!C91,IF(UPPER(Data!C91)="SUB PROCESS",Data!BY91&lt;&gt;"",TRUE),TRUE)</f>
        <v>1</v>
      </c>
      <c r="W91" s="26" t="b">
        <f>IF(Checks!C91,IF(UPPER(Data!C91)="SERVICE TASK",AND(Data!BZ91&lt;&gt;"",Data!CA91&lt;&gt;""),TRUE),TRUE)</f>
        <v>1</v>
      </c>
      <c r="X91" s="26" t="b">
        <f t="array" aca="1" ref="X91" ca="1">SUM((OFFSET(Data!B91,MAX(ROW(Data!$B$5)-ROW(Data!B91),-200),0,400,1)=Data!B91)*(OFFSET(Data!A91,MAX(ROW(Data!$B$5)-ROW(Data!B91),-200),0,400,1)=Data!A91))=1</f>
        <v>1</v>
      </c>
      <c r="Y91" s="26" t="b">
        <f t="array" aca="1" ref="Y91" ca="1">IF(UPPER(Data!C91)="START",SUM((OFFSET(Data!C91,MAX(ROW(Data!$C$5)-ROW(Data!C91),-200),0,400,1)="START")*(OFFSET(Data!A91,MAX(ROW(Data!$B$5)-ROW(Data!B91),-200),0,400,1)=Data!A91))=1,TRUE)</f>
        <v>1</v>
      </c>
      <c r="Z91" s="26" t="b">
        <f t="array" aca="1" ref="Z91" ca="1">IF(UPPER(Data!C91)="END",SUM((OFFSET(Data!C91,MAX(ROW(Data!$C$5)-ROW(Data!C91),-200),0,400,1)="END")*(OFFSET(Data!A91,MAX(ROW(Data!$B$5)-ROW(Data!B91),-200),0,400,1)=Data!A91))=1,TRUE)</f>
        <v>1</v>
      </c>
      <c r="AA91" s="26" t="b">
        <f>IF(Checks!C91,ISERROR(FIND("&amp;",Data!D91)),TRUE)</f>
        <v>1</v>
      </c>
      <c r="AB91" s="26" t="b">
        <f>IF(Checks!$C91,IF(AND(UPPER(Data!$C91)&lt;&gt;"START",UPPER(Data!$C91)&lt;&gt;"DATA OBJECT",Data!E91&lt;&gt;""),NOT(ISERROR(MATCH(Data!$A91&amp;"||"&amp;Data!E91,Key,0))),TRUE),TRUE)</f>
        <v>1</v>
      </c>
      <c r="AC91" s="27" t="b">
        <f>IF(Checks!C91,IF(UPPER(Data!C91)="END",Data!E91&lt;&gt;"",TRUE),TRUE)</f>
        <v>1</v>
      </c>
    </row>
    <row r="92" spans="1:29" x14ac:dyDescent="0.25">
      <c r="A92" s="1" t="str">
        <f>Data!A92&amp;"||"&amp;Data!B92</f>
        <v>Miscellaneous/subflow/irmifrs9_store_analysis_data.bpmn||003_00_03</v>
      </c>
      <c r="B92" s="19"/>
      <c r="C92" s="24" t="b">
        <f>AND(UPPER(Data!A92)&lt;&gt;"EMPTY",Data!B92&lt;&gt;"")</f>
        <v>1</v>
      </c>
      <c r="D92" s="1"/>
      <c r="E92" s="25" t="b">
        <f t="shared" ca="1" si="2"/>
        <v>1</v>
      </c>
      <c r="F92" s="26" t="b">
        <f ca="1">IF(UPPER(Data!C92)="SUB PROCESS",NOT(ISERROR(MATCH(RIGHT(Data!BY92,LEN(Data!BY92)-5),OFFSET(Data,0,0,ItemsCount,1),0))),TRUE)</f>
        <v>1</v>
      </c>
      <c r="G92" s="26" t="b">
        <f ca="1">IF(MID(UPPER(Data!A92),1,13)="MISCELLANEOUS",NOT(ISERROR(MATCH("path="&amp;Data!A92,OFFSET(Data,0,76,ItemsCount,1),0))),TRUE)</f>
        <v>1</v>
      </c>
      <c r="L92" s="25" t="b">
        <f t="shared" ca="1" si="3"/>
        <v>1</v>
      </c>
      <c r="M92" s="24" t="b">
        <f>IF(Checks!$C92,Data!A92&lt;&gt;"",TRUE)</f>
        <v>1</v>
      </c>
      <c r="N92" s="26" t="b">
        <f>IF(Checks!C92,Data!B92&lt;&gt;"",TRUE)</f>
        <v>1</v>
      </c>
      <c r="O92" s="26" t="b">
        <f>IF(Checks!C92,IF(AND(UPPER(Data!C92)="SERVICE TASK",UPPER(Data!BZ92)="TYPE=SAS"),NodeExists(TRIM(RIGHT(Data!CA92,LEN(Data!CA92)-FIND("=",Data!CA92)))),TRUE),TRUE)</f>
        <v>1</v>
      </c>
      <c r="P92" s="26" t="b">
        <f>IF(Checks!C92,IF(Data!C92="DATA OBJECT",OR(AND(Data!BW92&lt;&gt;"",Data!BX92=""),AND(Data!BW92="",Data!BX92&lt;&gt;"")),TRUE),TRUE)</f>
        <v>1</v>
      </c>
      <c r="Q92" s="26" t="b">
        <f>IF(Checks!C92,UPPER(RIGHT(Data!A92,5))=".BPMN",TRUE)</f>
        <v>1</v>
      </c>
      <c r="R92" s="26" t="b">
        <f>IF(Checks!C92,IF(UPPER(Data!C92)="SUB PROCESS",UPPER(RIGHT(Data!BY92,5))=".BPMN",TRUE),TRUE)</f>
        <v>1</v>
      </c>
      <c r="S92" s="26" t="b">
        <f>IF(Checks!C92,IF(UPPER(Data!C92)="SERVICE TASK",IF(UPPER(Data!BZ92)="TYPE=SAS",UPPER(RIGHT(Data!CA92,4))=".SAS",TRUE),TRUE),TRUE)</f>
        <v>1</v>
      </c>
      <c r="T92" s="26" t="b">
        <f>IF(Checks!C92,IF(Data!B92&lt;&gt;"",Data!D92&lt;&gt;"",TRUE),TRUE)</f>
        <v>1</v>
      </c>
      <c r="U92" s="26" t="b">
        <f ca="1">IF(Checks!C92,IF(UPPER(Data!C92)="DATA OBJECT",NOT(ISERROR(MATCH(Data!A92&amp;"||"&amp;Data!BW92&amp;Data!BX92,Key,0))),TRUE),TRUE)</f>
        <v>1</v>
      </c>
      <c r="V92" s="26" t="b">
        <f>IF(Checks!C92,IF(UPPER(Data!C92)="SUB PROCESS",Data!BY92&lt;&gt;"",TRUE),TRUE)</f>
        <v>1</v>
      </c>
      <c r="W92" s="26" t="b">
        <f>IF(Checks!C92,IF(UPPER(Data!C92)="SERVICE TASK",AND(Data!BZ92&lt;&gt;"",Data!CA92&lt;&gt;""),TRUE),TRUE)</f>
        <v>1</v>
      </c>
      <c r="X92" s="26" t="b">
        <f t="array" aca="1" ref="X92" ca="1">SUM((OFFSET(Data!B92,MAX(ROW(Data!$B$5)-ROW(Data!B92),-200),0,400,1)=Data!B92)*(OFFSET(Data!A92,MAX(ROW(Data!$B$5)-ROW(Data!B92),-200),0,400,1)=Data!A92))=1</f>
        <v>1</v>
      </c>
      <c r="Y92" s="26" t="b">
        <f t="array" aca="1" ref="Y92" ca="1">IF(UPPER(Data!C92)="START",SUM((OFFSET(Data!C92,MAX(ROW(Data!$C$5)-ROW(Data!C92),-200),0,400,1)="START")*(OFFSET(Data!A92,MAX(ROW(Data!$B$5)-ROW(Data!B92),-200),0,400,1)=Data!A92))=1,TRUE)</f>
        <v>1</v>
      </c>
      <c r="Z92" s="26" t="b">
        <f t="array" aca="1" ref="Z92" ca="1">IF(UPPER(Data!C92)="END",SUM((OFFSET(Data!C92,MAX(ROW(Data!$C$5)-ROW(Data!C92),-200),0,400,1)="END")*(OFFSET(Data!A92,MAX(ROW(Data!$B$5)-ROW(Data!B92),-200),0,400,1)=Data!A92))=1,TRUE)</f>
        <v>1</v>
      </c>
      <c r="AA92" s="26" t="b">
        <f>IF(Checks!C92,ISERROR(FIND("&amp;",Data!D92)),TRUE)</f>
        <v>1</v>
      </c>
      <c r="AB92" s="26" t="b">
        <f>IF(Checks!$C92,IF(AND(UPPER(Data!$C92)&lt;&gt;"START",UPPER(Data!$C92)&lt;&gt;"DATA OBJECT",Data!E92&lt;&gt;""),NOT(ISERROR(MATCH(Data!$A92&amp;"||"&amp;Data!E92,Key,0))),TRUE),TRUE)</f>
        <v>1</v>
      </c>
      <c r="AC92" s="27" t="b">
        <f>IF(Checks!C92,IF(UPPER(Data!C92)="END",Data!E92&lt;&gt;"",TRUE),TRUE)</f>
        <v>1</v>
      </c>
    </row>
    <row r="93" spans="1:29" x14ac:dyDescent="0.25">
      <c r="A93" s="1" t="str">
        <f>Data!A93&amp;"||"&amp;Data!B93</f>
        <v>Miscellaneous/subflow/irmifrs9_store_analysis_data.bpmn||003_01_00</v>
      </c>
      <c r="B93" s="19"/>
      <c r="C93" s="24" t="b">
        <f>AND(UPPER(Data!A93)&lt;&gt;"EMPTY",Data!B93&lt;&gt;"")</f>
        <v>1</v>
      </c>
      <c r="D93" s="1"/>
      <c r="E93" s="25" t="b">
        <f t="shared" ca="1" si="2"/>
        <v>1</v>
      </c>
      <c r="F93" s="26" t="b">
        <f ca="1">IF(UPPER(Data!C93)="SUB PROCESS",NOT(ISERROR(MATCH(RIGHT(Data!BY93,LEN(Data!BY93)-5),OFFSET(Data,0,0,ItemsCount,1),0))),TRUE)</f>
        <v>1</v>
      </c>
      <c r="G93" s="26" t="b">
        <f ca="1">IF(MID(UPPER(Data!A93),1,13)="MISCELLANEOUS",NOT(ISERROR(MATCH("path="&amp;Data!A93,OFFSET(Data,0,76,ItemsCount,1),0))),TRUE)</f>
        <v>1</v>
      </c>
      <c r="L93" s="25" t="b">
        <f t="shared" ca="1" si="3"/>
        <v>1</v>
      </c>
      <c r="M93" s="24" t="b">
        <f>IF(Checks!$C93,Data!A93&lt;&gt;"",TRUE)</f>
        <v>1</v>
      </c>
      <c r="N93" s="26" t="b">
        <f>IF(Checks!C93,Data!B93&lt;&gt;"",TRUE)</f>
        <v>1</v>
      </c>
      <c r="O93" s="26" t="b">
        <f>IF(Checks!C93,IF(AND(UPPER(Data!C93)="SERVICE TASK",UPPER(Data!BZ93)="TYPE=SAS"),NodeExists(TRIM(RIGHT(Data!CA93,LEN(Data!CA93)-FIND("=",Data!CA93)))),TRUE),TRUE)</f>
        <v>1</v>
      </c>
      <c r="P93" s="26" t="b">
        <f>IF(Checks!C93,IF(Data!C93="DATA OBJECT",OR(AND(Data!BW93&lt;&gt;"",Data!BX93=""),AND(Data!BW93="",Data!BX93&lt;&gt;"")),TRUE),TRUE)</f>
        <v>1</v>
      </c>
      <c r="Q93" s="26" t="b">
        <f>IF(Checks!C93,UPPER(RIGHT(Data!A93,5))=".BPMN",TRUE)</f>
        <v>1</v>
      </c>
      <c r="R93" s="26" t="b">
        <f>IF(Checks!C93,IF(UPPER(Data!C93)="SUB PROCESS",UPPER(RIGHT(Data!BY93,5))=".BPMN",TRUE),TRUE)</f>
        <v>1</v>
      </c>
      <c r="S93" s="26" t="b">
        <f>IF(Checks!C93,IF(UPPER(Data!C93)="SERVICE TASK",IF(UPPER(Data!BZ93)="TYPE=SAS",UPPER(RIGHT(Data!CA93,4))=".SAS",TRUE),TRUE),TRUE)</f>
        <v>1</v>
      </c>
      <c r="T93" s="26" t="b">
        <f>IF(Checks!C93,IF(Data!B93&lt;&gt;"",Data!D93&lt;&gt;"",TRUE),TRUE)</f>
        <v>1</v>
      </c>
      <c r="U93" s="26" t="b">
        <f ca="1">IF(Checks!C93,IF(UPPER(Data!C93)="DATA OBJECT",NOT(ISERROR(MATCH(Data!A93&amp;"||"&amp;Data!BW93&amp;Data!BX93,Key,0))),TRUE),TRUE)</f>
        <v>1</v>
      </c>
      <c r="V93" s="26" t="b">
        <f>IF(Checks!C93,IF(UPPER(Data!C93)="SUB PROCESS",Data!BY93&lt;&gt;"",TRUE),TRUE)</f>
        <v>1</v>
      </c>
      <c r="W93" s="26" t="b">
        <f>IF(Checks!C93,IF(UPPER(Data!C93)="SERVICE TASK",AND(Data!BZ93&lt;&gt;"",Data!CA93&lt;&gt;""),TRUE),TRUE)</f>
        <v>1</v>
      </c>
      <c r="X93" s="26" t="b">
        <f t="array" aca="1" ref="X93" ca="1">SUM((OFFSET(Data!B93,MAX(ROW(Data!$B$5)-ROW(Data!B93),-200),0,400,1)=Data!B93)*(OFFSET(Data!A93,MAX(ROW(Data!$B$5)-ROW(Data!B93),-200),0,400,1)=Data!A93))=1</f>
        <v>1</v>
      </c>
      <c r="Y93" s="26" t="b">
        <f t="array" aca="1" ref="Y93" ca="1">IF(UPPER(Data!C93)="START",SUM((OFFSET(Data!C93,MAX(ROW(Data!$C$5)-ROW(Data!C93),-200),0,400,1)="START")*(OFFSET(Data!A93,MAX(ROW(Data!$B$5)-ROW(Data!B93),-200),0,400,1)=Data!A93))=1,TRUE)</f>
        <v>1</v>
      </c>
      <c r="Z93" s="26" t="b">
        <f t="array" aca="1" ref="Z93" ca="1">IF(UPPER(Data!C93)="END",SUM((OFFSET(Data!C93,MAX(ROW(Data!$C$5)-ROW(Data!C93),-200),0,400,1)="END")*(OFFSET(Data!A93,MAX(ROW(Data!$B$5)-ROW(Data!B93),-200),0,400,1)=Data!A93))=1,TRUE)</f>
        <v>1</v>
      </c>
      <c r="AA93" s="26" t="b">
        <f>IF(Checks!C93,ISERROR(FIND("&amp;",Data!D93)),TRUE)</f>
        <v>1</v>
      </c>
      <c r="AB93" s="26" t="b">
        <f>IF(Checks!$C93,IF(AND(UPPER(Data!$C93)&lt;&gt;"START",UPPER(Data!$C93)&lt;&gt;"DATA OBJECT",Data!E93&lt;&gt;""),NOT(ISERROR(MATCH(Data!$A93&amp;"||"&amp;Data!E93,Key,0))),TRUE),TRUE)</f>
        <v>1</v>
      </c>
      <c r="AC93" s="27" t="b">
        <f>IF(Checks!C93,IF(UPPER(Data!C93)="END",Data!E93&lt;&gt;"",TRUE),TRUE)</f>
        <v>1</v>
      </c>
    </row>
    <row r="94" spans="1:29" x14ac:dyDescent="0.25">
      <c r="A94" s="1" t="str">
        <f>Data!A94&amp;"||"&amp;Data!B94</f>
        <v>Miscellaneous/subflow/irmifrs9_store_analysis_data.bpmn||007</v>
      </c>
      <c r="B94" s="19"/>
      <c r="C94" s="24" t="b">
        <f>AND(UPPER(Data!A94)&lt;&gt;"EMPTY",Data!B94&lt;&gt;"")</f>
        <v>1</v>
      </c>
      <c r="D94" s="1"/>
      <c r="E94" s="25" t="b">
        <f t="shared" ca="1" si="2"/>
        <v>1</v>
      </c>
      <c r="F94" s="26" t="b">
        <f ca="1">IF(UPPER(Data!C94)="SUB PROCESS",NOT(ISERROR(MATCH(RIGHT(Data!BY94,LEN(Data!BY94)-5),OFFSET(Data,0,0,ItemsCount,1),0))),TRUE)</f>
        <v>1</v>
      </c>
      <c r="G94" s="26" t="b">
        <f ca="1">IF(MID(UPPER(Data!A94),1,13)="MISCELLANEOUS",NOT(ISERROR(MATCH("path="&amp;Data!A94,OFFSET(Data,0,76,ItemsCount,1),0))),TRUE)</f>
        <v>1</v>
      </c>
      <c r="L94" s="25" t="b">
        <f t="shared" ca="1" si="3"/>
        <v>1</v>
      </c>
      <c r="M94" s="24" t="b">
        <f>IF(Checks!$C94,Data!A94&lt;&gt;"",TRUE)</f>
        <v>1</v>
      </c>
      <c r="N94" s="26" t="b">
        <f>IF(Checks!C94,Data!B94&lt;&gt;"",TRUE)</f>
        <v>1</v>
      </c>
      <c r="O94" s="26" t="b">
        <f>IF(Checks!C94,IF(AND(UPPER(Data!C94)="SERVICE TASK",UPPER(Data!BZ94)="TYPE=SAS"),NodeExists(TRIM(RIGHT(Data!CA94,LEN(Data!CA94)-FIND("=",Data!CA94)))),TRUE),TRUE)</f>
        <v>1</v>
      </c>
      <c r="P94" s="26" t="b">
        <f>IF(Checks!C94,IF(Data!C94="DATA OBJECT",OR(AND(Data!BW94&lt;&gt;"",Data!BX94=""),AND(Data!BW94="",Data!BX94&lt;&gt;"")),TRUE),TRUE)</f>
        <v>1</v>
      </c>
      <c r="Q94" s="26" t="b">
        <f>IF(Checks!C94,UPPER(RIGHT(Data!A94,5))=".BPMN",TRUE)</f>
        <v>1</v>
      </c>
      <c r="R94" s="26" t="b">
        <f>IF(Checks!C94,IF(UPPER(Data!C94)="SUB PROCESS",UPPER(RIGHT(Data!BY94,5))=".BPMN",TRUE),TRUE)</f>
        <v>1</v>
      </c>
      <c r="S94" s="26" t="b">
        <f>IF(Checks!C94,IF(UPPER(Data!C94)="SERVICE TASK",IF(UPPER(Data!BZ94)="TYPE=SAS",UPPER(RIGHT(Data!CA94,4))=".SAS",TRUE),TRUE),TRUE)</f>
        <v>1</v>
      </c>
      <c r="T94" s="26" t="b">
        <f>IF(Checks!C94,IF(Data!B94&lt;&gt;"",Data!D94&lt;&gt;"",TRUE),TRUE)</f>
        <v>1</v>
      </c>
      <c r="U94" s="26" t="b">
        <f>IF(Checks!C94,IF(UPPER(Data!C94)="DATA OBJECT",NOT(ISERROR(MATCH(Data!A94&amp;"||"&amp;Data!BW94&amp;Data!BX94,Key,0))),TRUE),TRUE)</f>
        <v>1</v>
      </c>
      <c r="V94" s="26" t="b">
        <f>IF(Checks!C94,IF(UPPER(Data!C94)="SUB PROCESS",Data!BY94&lt;&gt;"",TRUE),TRUE)</f>
        <v>1</v>
      </c>
      <c r="W94" s="26" t="b">
        <f>IF(Checks!C94,IF(UPPER(Data!C94)="SERVICE TASK",AND(Data!BZ94&lt;&gt;"",Data!CA94&lt;&gt;""),TRUE),TRUE)</f>
        <v>1</v>
      </c>
      <c r="X94" s="26" t="b">
        <f t="array" aca="1" ref="X94" ca="1">SUM((OFFSET(Data!B94,MAX(ROW(Data!$B$5)-ROW(Data!B94),-200),0,400,1)=Data!B94)*(OFFSET(Data!A94,MAX(ROW(Data!$B$5)-ROW(Data!B94),-200),0,400,1)=Data!A94))=1</f>
        <v>1</v>
      </c>
      <c r="Y94" s="26" t="b">
        <f t="array" aca="1" ref="Y94" ca="1">IF(UPPER(Data!C94)="START",SUM((OFFSET(Data!C94,MAX(ROW(Data!$C$5)-ROW(Data!C94),-200),0,400,1)="START")*(OFFSET(Data!A94,MAX(ROW(Data!$B$5)-ROW(Data!B94),-200),0,400,1)=Data!A94))=1,TRUE)</f>
        <v>1</v>
      </c>
      <c r="Z94" s="26" t="b">
        <f t="array" aca="1" ref="Z94" ca="1">IF(UPPER(Data!C94)="END",SUM((OFFSET(Data!C94,MAX(ROW(Data!$C$5)-ROW(Data!C94),-200),0,400,1)="END")*(OFFSET(Data!A94,MAX(ROW(Data!$B$5)-ROW(Data!B94),-200),0,400,1)=Data!A94))=1,TRUE)</f>
        <v>1</v>
      </c>
      <c r="AA94" s="26" t="b">
        <f>IF(Checks!C94,ISERROR(FIND("&amp;",Data!D94)),TRUE)</f>
        <v>1</v>
      </c>
      <c r="AB94" s="26" t="b">
        <f ca="1">IF(Checks!$C94,IF(AND(UPPER(Data!$C94)&lt;&gt;"START",UPPER(Data!$C94)&lt;&gt;"DATA OBJECT",Data!E94&lt;&gt;""),NOT(ISERROR(MATCH(Data!$A94&amp;"||"&amp;Data!E94,Key,0))),TRUE),TRUE)</f>
        <v>1</v>
      </c>
      <c r="AC94" s="27" t="b">
        <f>IF(Checks!C94,IF(UPPER(Data!C94)="END",Data!E94&lt;&gt;"",TRUE),TRUE)</f>
        <v>1</v>
      </c>
    </row>
    <row r="95" spans="1:29" x14ac:dyDescent="0.25">
      <c r="A95" s="1" t="str">
        <f>Data!A95&amp;"||"&amp;Data!B95</f>
        <v>Miscellaneous/subflow/irmifrs9_store_analysis_data.bpmn||007_00_03</v>
      </c>
      <c r="B95" s="19"/>
      <c r="C95" s="24" t="b">
        <f>AND(UPPER(Data!A95)&lt;&gt;"EMPTY",Data!B95&lt;&gt;"")</f>
        <v>1</v>
      </c>
      <c r="D95" s="1"/>
      <c r="E95" s="25" t="b">
        <f t="shared" ca="1" si="2"/>
        <v>1</v>
      </c>
      <c r="F95" s="26" t="b">
        <f ca="1">IF(UPPER(Data!C95)="SUB PROCESS",NOT(ISERROR(MATCH(RIGHT(Data!BY95,LEN(Data!BY95)-5),OFFSET(Data,0,0,ItemsCount,1),0))),TRUE)</f>
        <v>1</v>
      </c>
      <c r="G95" s="26" t="b">
        <f ca="1">IF(MID(UPPER(Data!A95),1,13)="MISCELLANEOUS",NOT(ISERROR(MATCH("path="&amp;Data!A95,OFFSET(Data,0,76,ItemsCount,1),0))),TRUE)</f>
        <v>1</v>
      </c>
      <c r="L95" s="25" t="b">
        <f t="shared" ca="1" si="3"/>
        <v>1</v>
      </c>
      <c r="M95" s="24" t="b">
        <f>IF(Checks!$C95,Data!A95&lt;&gt;"",TRUE)</f>
        <v>1</v>
      </c>
      <c r="N95" s="26" t="b">
        <f>IF(Checks!C95,Data!B95&lt;&gt;"",TRUE)</f>
        <v>1</v>
      </c>
      <c r="O95" s="26" t="b">
        <f>IF(Checks!C95,IF(AND(UPPER(Data!C95)="SERVICE TASK",UPPER(Data!BZ95)="TYPE=SAS"),NodeExists(TRIM(RIGHT(Data!CA95,LEN(Data!CA95)-FIND("=",Data!CA95)))),TRUE),TRUE)</f>
        <v>1</v>
      </c>
      <c r="P95" s="26" t="b">
        <f>IF(Checks!C95,IF(Data!C95="DATA OBJECT",OR(AND(Data!BW95&lt;&gt;"",Data!BX95=""),AND(Data!BW95="",Data!BX95&lt;&gt;"")),TRUE),TRUE)</f>
        <v>1</v>
      </c>
      <c r="Q95" s="26" t="b">
        <f>IF(Checks!C95,UPPER(RIGHT(Data!A95,5))=".BPMN",TRUE)</f>
        <v>1</v>
      </c>
      <c r="R95" s="26" t="b">
        <f>IF(Checks!C95,IF(UPPER(Data!C95)="SUB PROCESS",UPPER(RIGHT(Data!BY95,5))=".BPMN",TRUE),TRUE)</f>
        <v>1</v>
      </c>
      <c r="S95" s="26" t="b">
        <f>IF(Checks!C95,IF(UPPER(Data!C95)="SERVICE TASK",IF(UPPER(Data!BZ95)="TYPE=SAS",UPPER(RIGHT(Data!CA95,4))=".SAS",TRUE),TRUE),TRUE)</f>
        <v>1</v>
      </c>
      <c r="T95" s="26" t="b">
        <f>IF(Checks!C95,IF(Data!B95&lt;&gt;"",Data!D95&lt;&gt;"",TRUE),TRUE)</f>
        <v>1</v>
      </c>
      <c r="U95" s="26" t="b">
        <f ca="1">IF(Checks!C95,IF(UPPER(Data!C95)="DATA OBJECT",NOT(ISERROR(MATCH(Data!A95&amp;"||"&amp;Data!BW95&amp;Data!BX95,Key,0))),TRUE),TRUE)</f>
        <v>1</v>
      </c>
      <c r="V95" s="26" t="b">
        <f>IF(Checks!C95,IF(UPPER(Data!C95)="SUB PROCESS",Data!BY95&lt;&gt;"",TRUE),TRUE)</f>
        <v>1</v>
      </c>
      <c r="W95" s="26" t="b">
        <f>IF(Checks!C95,IF(UPPER(Data!C95)="SERVICE TASK",AND(Data!BZ95&lt;&gt;"",Data!CA95&lt;&gt;""),TRUE),TRUE)</f>
        <v>1</v>
      </c>
      <c r="X95" s="26" t="b">
        <f t="array" aca="1" ref="X95" ca="1">SUM((OFFSET(Data!B95,MAX(ROW(Data!$B$5)-ROW(Data!B95),-200),0,400,1)=Data!B95)*(OFFSET(Data!A95,MAX(ROW(Data!$B$5)-ROW(Data!B95),-200),0,400,1)=Data!A95))=1</f>
        <v>1</v>
      </c>
      <c r="Y95" s="26" t="b">
        <f t="array" aca="1" ref="Y95" ca="1">IF(UPPER(Data!C95)="START",SUM((OFFSET(Data!C95,MAX(ROW(Data!$C$5)-ROW(Data!C95),-200),0,400,1)="START")*(OFFSET(Data!A95,MAX(ROW(Data!$B$5)-ROW(Data!B95),-200),0,400,1)=Data!A95))=1,TRUE)</f>
        <v>1</v>
      </c>
      <c r="Z95" s="26" t="b">
        <f t="array" aca="1" ref="Z95" ca="1">IF(UPPER(Data!C95)="END",SUM((OFFSET(Data!C95,MAX(ROW(Data!$C$5)-ROW(Data!C95),-200),0,400,1)="END")*(OFFSET(Data!A95,MAX(ROW(Data!$B$5)-ROW(Data!B95),-200),0,400,1)=Data!A95))=1,TRUE)</f>
        <v>1</v>
      </c>
      <c r="AA95" s="26" t="b">
        <f>IF(Checks!C95,ISERROR(FIND("&amp;",Data!D95)),TRUE)</f>
        <v>1</v>
      </c>
      <c r="AB95" s="26" t="b">
        <f>IF(Checks!$C95,IF(AND(UPPER(Data!$C95)&lt;&gt;"START",UPPER(Data!$C95)&lt;&gt;"DATA OBJECT",Data!E95&lt;&gt;""),NOT(ISERROR(MATCH(Data!$A95&amp;"||"&amp;Data!E95,Key,0))),TRUE),TRUE)</f>
        <v>1</v>
      </c>
      <c r="AC95" s="27" t="b">
        <f>IF(Checks!C95,IF(UPPER(Data!C95)="END",Data!E95&lt;&gt;"",TRUE),TRUE)</f>
        <v>1</v>
      </c>
    </row>
    <row r="96" spans="1:29" x14ac:dyDescent="0.25">
      <c r="A96" s="1" t="str">
        <f>Data!A96&amp;"||"&amp;Data!B96</f>
        <v>Miscellaneous/subflow/irmifrs9_store_analysis_data.bpmn||007_00_04</v>
      </c>
      <c r="B96" s="19"/>
      <c r="C96" s="24" t="b">
        <f>AND(UPPER(Data!A96)&lt;&gt;"EMPTY",Data!B96&lt;&gt;"")</f>
        <v>1</v>
      </c>
      <c r="D96" s="1"/>
      <c r="E96" s="25" t="b">
        <f t="shared" ca="1" si="2"/>
        <v>1</v>
      </c>
      <c r="F96" s="26" t="b">
        <f ca="1">IF(UPPER(Data!C96)="SUB PROCESS",NOT(ISERROR(MATCH(RIGHT(Data!BY96,LEN(Data!BY96)-5),OFFSET(Data,0,0,ItemsCount,1),0))),TRUE)</f>
        <v>1</v>
      </c>
      <c r="G96" s="26" t="b">
        <f ca="1">IF(MID(UPPER(Data!A96),1,13)="MISCELLANEOUS",NOT(ISERROR(MATCH("path="&amp;Data!A96,OFFSET(Data,0,76,ItemsCount,1),0))),TRUE)</f>
        <v>1</v>
      </c>
      <c r="L96" s="25" t="b">
        <f t="shared" ca="1" si="3"/>
        <v>1</v>
      </c>
      <c r="M96" s="24" t="b">
        <f>IF(Checks!$C96,Data!A96&lt;&gt;"",TRUE)</f>
        <v>1</v>
      </c>
      <c r="N96" s="26" t="b">
        <f>IF(Checks!C96,Data!B96&lt;&gt;"",TRUE)</f>
        <v>1</v>
      </c>
      <c r="O96" s="26" t="b">
        <f>IF(Checks!C96,IF(AND(UPPER(Data!C96)="SERVICE TASK",UPPER(Data!BZ96)="TYPE=SAS"),NodeExists(TRIM(RIGHT(Data!CA96,LEN(Data!CA96)-FIND("=",Data!CA96)))),TRUE),TRUE)</f>
        <v>1</v>
      </c>
      <c r="P96" s="26" t="b">
        <f>IF(Checks!C96,IF(Data!C96="DATA OBJECT",OR(AND(Data!BW96&lt;&gt;"",Data!BX96=""),AND(Data!BW96="",Data!BX96&lt;&gt;"")),TRUE),TRUE)</f>
        <v>1</v>
      </c>
      <c r="Q96" s="26" t="b">
        <f>IF(Checks!C96,UPPER(RIGHT(Data!A96,5))=".BPMN",TRUE)</f>
        <v>1</v>
      </c>
      <c r="R96" s="26" t="b">
        <f>IF(Checks!C96,IF(UPPER(Data!C96)="SUB PROCESS",UPPER(RIGHT(Data!BY96,5))=".BPMN",TRUE),TRUE)</f>
        <v>1</v>
      </c>
      <c r="S96" s="26" t="b">
        <f>IF(Checks!C96,IF(UPPER(Data!C96)="SERVICE TASK",IF(UPPER(Data!BZ96)="TYPE=SAS",UPPER(RIGHT(Data!CA96,4))=".SAS",TRUE),TRUE),TRUE)</f>
        <v>1</v>
      </c>
      <c r="T96" s="26" t="b">
        <f>IF(Checks!C96,IF(Data!B96&lt;&gt;"",Data!D96&lt;&gt;"",TRUE),TRUE)</f>
        <v>1</v>
      </c>
      <c r="U96" s="26" t="b">
        <f ca="1">IF(Checks!C96,IF(UPPER(Data!C96)="DATA OBJECT",NOT(ISERROR(MATCH(Data!A96&amp;"||"&amp;Data!BW96&amp;Data!BX96,Key,0))),TRUE),TRUE)</f>
        <v>1</v>
      </c>
      <c r="V96" s="26" t="b">
        <f>IF(Checks!C96,IF(UPPER(Data!C96)="SUB PROCESS",Data!BY96&lt;&gt;"",TRUE),TRUE)</f>
        <v>1</v>
      </c>
      <c r="W96" s="26" t="b">
        <f>IF(Checks!C96,IF(UPPER(Data!C96)="SERVICE TASK",AND(Data!BZ96&lt;&gt;"",Data!CA96&lt;&gt;""),TRUE),TRUE)</f>
        <v>1</v>
      </c>
      <c r="X96" s="26" t="b">
        <f t="array" aca="1" ref="X96" ca="1">SUM((OFFSET(Data!B96,MAX(ROW(Data!$B$5)-ROW(Data!B96),-200),0,400,1)=Data!B96)*(OFFSET(Data!A96,MAX(ROW(Data!$B$5)-ROW(Data!B96),-200),0,400,1)=Data!A96))=1</f>
        <v>1</v>
      </c>
      <c r="Y96" s="26" t="b">
        <f t="array" aca="1" ref="Y96" ca="1">IF(UPPER(Data!C96)="START",SUM((OFFSET(Data!C96,MAX(ROW(Data!$C$5)-ROW(Data!C96),-200),0,400,1)="START")*(OFFSET(Data!A96,MAX(ROW(Data!$B$5)-ROW(Data!B96),-200),0,400,1)=Data!A96))=1,TRUE)</f>
        <v>1</v>
      </c>
      <c r="Z96" s="26" t="b">
        <f t="array" aca="1" ref="Z96" ca="1">IF(UPPER(Data!C96)="END",SUM((OFFSET(Data!C96,MAX(ROW(Data!$C$5)-ROW(Data!C96),-200),0,400,1)="END")*(OFFSET(Data!A96,MAX(ROW(Data!$B$5)-ROW(Data!B96),-200),0,400,1)=Data!A96))=1,TRUE)</f>
        <v>1</v>
      </c>
      <c r="AA96" s="26" t="b">
        <f>IF(Checks!C96,ISERROR(FIND("&amp;",Data!D96)),TRUE)</f>
        <v>1</v>
      </c>
      <c r="AB96" s="26" t="b">
        <f>IF(Checks!$C96,IF(AND(UPPER(Data!$C96)&lt;&gt;"START",UPPER(Data!$C96)&lt;&gt;"DATA OBJECT",Data!E96&lt;&gt;""),NOT(ISERROR(MATCH(Data!$A96&amp;"||"&amp;Data!E96,Key,0))),TRUE),TRUE)</f>
        <v>1</v>
      </c>
      <c r="AC96" s="27" t="b">
        <f>IF(Checks!C96,IF(UPPER(Data!C96)="END",Data!E96&lt;&gt;"",TRUE),TRUE)</f>
        <v>1</v>
      </c>
    </row>
    <row r="97" spans="1:29" x14ac:dyDescent="0.25">
      <c r="A97" s="1" t="str">
        <f>Data!A97&amp;"||"&amp;Data!B97</f>
        <v>Miscellaneous/subflow/irmifrs9_store_analysis_data.bpmn||007_00_05</v>
      </c>
      <c r="B97" s="19"/>
      <c r="C97" s="24" t="b">
        <f>AND(UPPER(Data!A97)&lt;&gt;"EMPTY",Data!B97&lt;&gt;"")</f>
        <v>1</v>
      </c>
      <c r="D97" s="1"/>
      <c r="E97" s="25" t="b">
        <f t="shared" ca="1" si="2"/>
        <v>1</v>
      </c>
      <c r="F97" s="26" t="b">
        <f ca="1">IF(UPPER(Data!C97)="SUB PROCESS",NOT(ISERROR(MATCH(RIGHT(Data!BY97,LEN(Data!BY97)-5),OFFSET(Data,0,0,ItemsCount,1),0))),TRUE)</f>
        <v>1</v>
      </c>
      <c r="G97" s="26" t="b">
        <f ca="1">IF(MID(UPPER(Data!A97),1,13)="MISCELLANEOUS",NOT(ISERROR(MATCH("path="&amp;Data!A97,OFFSET(Data,0,76,ItemsCount,1),0))),TRUE)</f>
        <v>1</v>
      </c>
      <c r="L97" s="25" t="b">
        <f t="shared" ca="1" si="3"/>
        <v>1</v>
      </c>
      <c r="M97" s="24" t="b">
        <f>IF(Checks!$C97,Data!A97&lt;&gt;"",TRUE)</f>
        <v>1</v>
      </c>
      <c r="N97" s="26" t="b">
        <f>IF(Checks!C97,Data!B97&lt;&gt;"",TRUE)</f>
        <v>1</v>
      </c>
      <c r="O97" s="26" t="b">
        <f>IF(Checks!C97,IF(AND(UPPER(Data!C97)="SERVICE TASK",UPPER(Data!BZ97)="TYPE=SAS"),NodeExists(TRIM(RIGHT(Data!CA97,LEN(Data!CA97)-FIND("=",Data!CA97)))),TRUE),TRUE)</f>
        <v>1</v>
      </c>
      <c r="P97" s="26" t="b">
        <f>IF(Checks!C97,IF(Data!C97="DATA OBJECT",OR(AND(Data!BW97&lt;&gt;"",Data!BX97=""),AND(Data!BW97="",Data!BX97&lt;&gt;"")),TRUE),TRUE)</f>
        <v>1</v>
      </c>
      <c r="Q97" s="26" t="b">
        <f>IF(Checks!C97,UPPER(RIGHT(Data!A97,5))=".BPMN",TRUE)</f>
        <v>1</v>
      </c>
      <c r="R97" s="26" t="b">
        <f>IF(Checks!C97,IF(UPPER(Data!C97)="SUB PROCESS",UPPER(RIGHT(Data!BY97,5))=".BPMN",TRUE),TRUE)</f>
        <v>1</v>
      </c>
      <c r="S97" s="26" t="b">
        <f>IF(Checks!C97,IF(UPPER(Data!C97)="SERVICE TASK",IF(UPPER(Data!BZ97)="TYPE=SAS",UPPER(RIGHT(Data!CA97,4))=".SAS",TRUE),TRUE),TRUE)</f>
        <v>1</v>
      </c>
      <c r="T97" s="26" t="b">
        <f>IF(Checks!C97,IF(Data!B97&lt;&gt;"",Data!D97&lt;&gt;"",TRUE),TRUE)</f>
        <v>1</v>
      </c>
      <c r="U97" s="26" t="b">
        <f ca="1">IF(Checks!C97,IF(UPPER(Data!C97)="DATA OBJECT",NOT(ISERROR(MATCH(Data!A97&amp;"||"&amp;Data!BW97&amp;Data!BX97,Key,0))),TRUE),TRUE)</f>
        <v>1</v>
      </c>
      <c r="V97" s="26" t="b">
        <f>IF(Checks!C97,IF(UPPER(Data!C97)="SUB PROCESS",Data!BY97&lt;&gt;"",TRUE),TRUE)</f>
        <v>1</v>
      </c>
      <c r="W97" s="26" t="b">
        <f>IF(Checks!C97,IF(UPPER(Data!C97)="SERVICE TASK",AND(Data!BZ97&lt;&gt;"",Data!CA97&lt;&gt;""),TRUE),TRUE)</f>
        <v>1</v>
      </c>
      <c r="X97" s="26" t="b">
        <f t="array" aca="1" ref="X97" ca="1">SUM((OFFSET(Data!B97,MAX(ROW(Data!$B$5)-ROW(Data!B97),-200),0,400,1)=Data!B97)*(OFFSET(Data!A97,MAX(ROW(Data!$B$5)-ROW(Data!B97),-200),0,400,1)=Data!A97))=1</f>
        <v>1</v>
      </c>
      <c r="Y97" s="26" t="b">
        <f t="array" aca="1" ref="Y97" ca="1">IF(UPPER(Data!C97)="START",SUM((OFFSET(Data!C97,MAX(ROW(Data!$C$5)-ROW(Data!C97),-200),0,400,1)="START")*(OFFSET(Data!A97,MAX(ROW(Data!$B$5)-ROW(Data!B97),-200),0,400,1)=Data!A97))=1,TRUE)</f>
        <v>1</v>
      </c>
      <c r="Z97" s="26" t="b">
        <f t="array" aca="1" ref="Z97" ca="1">IF(UPPER(Data!C97)="END",SUM((OFFSET(Data!C97,MAX(ROW(Data!$C$5)-ROW(Data!C97),-200),0,400,1)="END")*(OFFSET(Data!A97,MAX(ROW(Data!$B$5)-ROW(Data!B97),-200),0,400,1)=Data!A97))=1,TRUE)</f>
        <v>1</v>
      </c>
      <c r="AA97" s="26" t="b">
        <f>IF(Checks!C97,ISERROR(FIND("&amp;",Data!D97)),TRUE)</f>
        <v>1</v>
      </c>
      <c r="AB97" s="26" t="b">
        <f>IF(Checks!$C97,IF(AND(UPPER(Data!$C97)&lt;&gt;"START",UPPER(Data!$C97)&lt;&gt;"DATA OBJECT",Data!E97&lt;&gt;""),NOT(ISERROR(MATCH(Data!$A97&amp;"||"&amp;Data!E97,Key,0))),TRUE),TRUE)</f>
        <v>1</v>
      </c>
      <c r="AC97" s="27" t="b">
        <f>IF(Checks!C97,IF(UPPER(Data!C97)="END",Data!E97&lt;&gt;"",TRUE),TRUE)</f>
        <v>1</v>
      </c>
    </row>
    <row r="98" spans="1:29" x14ac:dyDescent="0.25">
      <c r="A98" s="1" t="str">
        <f>Data!A98&amp;"||"&amp;Data!B98</f>
        <v>Miscellaneous/subflow/irmifrs9_store_analysis_data.bpmn||007_00_06</v>
      </c>
      <c r="B98" s="19"/>
      <c r="C98" s="24" t="b">
        <f>AND(UPPER(Data!A98)&lt;&gt;"EMPTY",Data!B98&lt;&gt;"")</f>
        <v>1</v>
      </c>
      <c r="D98" s="1"/>
      <c r="E98" s="25" t="b">
        <f t="shared" ca="1" si="2"/>
        <v>1</v>
      </c>
      <c r="F98" s="26" t="b">
        <f ca="1">IF(UPPER(Data!C98)="SUB PROCESS",NOT(ISERROR(MATCH(RIGHT(Data!BY98,LEN(Data!BY98)-5),OFFSET(Data,0,0,ItemsCount,1),0))),TRUE)</f>
        <v>1</v>
      </c>
      <c r="G98" s="26" t="b">
        <f ca="1">IF(MID(UPPER(Data!A98),1,13)="MISCELLANEOUS",NOT(ISERROR(MATCH("path="&amp;Data!A98,OFFSET(Data,0,76,ItemsCount,1),0))),TRUE)</f>
        <v>1</v>
      </c>
      <c r="L98" s="25" t="b">
        <f t="shared" ca="1" si="3"/>
        <v>1</v>
      </c>
      <c r="M98" s="24" t="b">
        <f>IF(Checks!$C98,Data!A98&lt;&gt;"",TRUE)</f>
        <v>1</v>
      </c>
      <c r="N98" s="26" t="b">
        <f>IF(Checks!C98,Data!B98&lt;&gt;"",TRUE)</f>
        <v>1</v>
      </c>
      <c r="O98" s="26" t="b">
        <f>IF(Checks!C98,IF(AND(UPPER(Data!C98)="SERVICE TASK",UPPER(Data!BZ98)="TYPE=SAS"),NodeExists(TRIM(RIGHT(Data!CA98,LEN(Data!CA98)-FIND("=",Data!CA98)))),TRUE),TRUE)</f>
        <v>1</v>
      </c>
      <c r="P98" s="26" t="b">
        <f>IF(Checks!C98,IF(Data!C98="DATA OBJECT",OR(AND(Data!BW98&lt;&gt;"",Data!BX98=""),AND(Data!BW98="",Data!BX98&lt;&gt;"")),TRUE),TRUE)</f>
        <v>1</v>
      </c>
      <c r="Q98" s="26" t="b">
        <f>IF(Checks!C98,UPPER(RIGHT(Data!A98,5))=".BPMN",TRUE)</f>
        <v>1</v>
      </c>
      <c r="R98" s="26" t="b">
        <f>IF(Checks!C98,IF(UPPER(Data!C98)="SUB PROCESS",UPPER(RIGHT(Data!BY98,5))=".BPMN",TRUE),TRUE)</f>
        <v>1</v>
      </c>
      <c r="S98" s="26" t="b">
        <f>IF(Checks!C98,IF(UPPER(Data!C98)="SERVICE TASK",IF(UPPER(Data!BZ98)="TYPE=SAS",UPPER(RIGHT(Data!CA98,4))=".SAS",TRUE),TRUE),TRUE)</f>
        <v>1</v>
      </c>
      <c r="T98" s="26" t="b">
        <f>IF(Checks!C98,IF(Data!B98&lt;&gt;"",Data!D98&lt;&gt;"",TRUE),TRUE)</f>
        <v>1</v>
      </c>
      <c r="U98" s="26" t="b">
        <f ca="1">IF(Checks!C98,IF(UPPER(Data!C98)="DATA OBJECT",NOT(ISERROR(MATCH(Data!A98&amp;"||"&amp;Data!BW98&amp;Data!BX98,Key,0))),TRUE),TRUE)</f>
        <v>1</v>
      </c>
      <c r="V98" s="26" t="b">
        <f>IF(Checks!C98,IF(UPPER(Data!C98)="SUB PROCESS",Data!BY98&lt;&gt;"",TRUE),TRUE)</f>
        <v>1</v>
      </c>
      <c r="W98" s="26" t="b">
        <f>IF(Checks!C98,IF(UPPER(Data!C98)="SERVICE TASK",AND(Data!BZ98&lt;&gt;"",Data!CA98&lt;&gt;""),TRUE),TRUE)</f>
        <v>1</v>
      </c>
      <c r="X98" s="26" t="b">
        <f t="array" aca="1" ref="X98" ca="1">SUM((OFFSET(Data!B98,MAX(ROW(Data!$B$5)-ROW(Data!B98),-200),0,400,1)=Data!B98)*(OFFSET(Data!A98,MAX(ROW(Data!$B$5)-ROW(Data!B98),-200),0,400,1)=Data!A98))=1</f>
        <v>1</v>
      </c>
      <c r="Y98" s="26" t="b">
        <f t="array" aca="1" ref="Y98" ca="1">IF(UPPER(Data!C98)="START",SUM((OFFSET(Data!C98,MAX(ROW(Data!$C$5)-ROW(Data!C98),-200),0,400,1)="START")*(OFFSET(Data!A98,MAX(ROW(Data!$B$5)-ROW(Data!B98),-200),0,400,1)=Data!A98))=1,TRUE)</f>
        <v>1</v>
      </c>
      <c r="Z98" s="26" t="b">
        <f t="array" aca="1" ref="Z98" ca="1">IF(UPPER(Data!C98)="END",SUM((OFFSET(Data!C98,MAX(ROW(Data!$C$5)-ROW(Data!C98),-200),0,400,1)="END")*(OFFSET(Data!A98,MAX(ROW(Data!$B$5)-ROW(Data!B98),-200),0,400,1)=Data!A98))=1,TRUE)</f>
        <v>1</v>
      </c>
      <c r="AA98" s="26" t="b">
        <f>IF(Checks!C98,ISERROR(FIND("&amp;",Data!D98)),TRUE)</f>
        <v>1</v>
      </c>
      <c r="AB98" s="26" t="b">
        <f>IF(Checks!$C98,IF(AND(UPPER(Data!$C98)&lt;&gt;"START",UPPER(Data!$C98)&lt;&gt;"DATA OBJECT",Data!E98&lt;&gt;""),NOT(ISERROR(MATCH(Data!$A98&amp;"||"&amp;Data!E98,Key,0))),TRUE),TRUE)</f>
        <v>1</v>
      </c>
      <c r="AC98" s="27" t="b">
        <f>IF(Checks!C98,IF(UPPER(Data!C98)="END",Data!E98&lt;&gt;"",TRUE),TRUE)</f>
        <v>1</v>
      </c>
    </row>
    <row r="99" spans="1:29" x14ac:dyDescent="0.25">
      <c r="A99" s="1" t="str">
        <f>Data!A99&amp;"||"&amp;Data!B99</f>
        <v>Miscellaneous/subflow/irmifrs9_store_analysis_data.bpmn||007_00_07</v>
      </c>
      <c r="B99" s="19"/>
      <c r="C99" s="24" t="b">
        <f>AND(UPPER(Data!A99)&lt;&gt;"EMPTY",Data!B99&lt;&gt;"")</f>
        <v>1</v>
      </c>
      <c r="D99" s="1"/>
      <c r="E99" s="25" t="b">
        <f t="shared" ca="1" si="2"/>
        <v>1</v>
      </c>
      <c r="F99" s="26" t="b">
        <f ca="1">IF(UPPER(Data!C99)="SUB PROCESS",NOT(ISERROR(MATCH(RIGHT(Data!BY99,LEN(Data!BY99)-5),OFFSET(Data,0,0,ItemsCount,1),0))),TRUE)</f>
        <v>1</v>
      </c>
      <c r="G99" s="26" t="b">
        <f ca="1">IF(MID(UPPER(Data!A99),1,13)="MISCELLANEOUS",NOT(ISERROR(MATCH("path="&amp;Data!A99,OFFSET(Data,0,76,ItemsCount,1),0))),TRUE)</f>
        <v>1</v>
      </c>
      <c r="L99" s="25" t="b">
        <f t="shared" ca="1" si="3"/>
        <v>1</v>
      </c>
      <c r="M99" s="24" t="b">
        <f>IF(Checks!$C99,Data!A99&lt;&gt;"",TRUE)</f>
        <v>1</v>
      </c>
      <c r="N99" s="26" t="b">
        <f>IF(Checks!C99,Data!B99&lt;&gt;"",TRUE)</f>
        <v>1</v>
      </c>
      <c r="O99" s="26" t="b">
        <f>IF(Checks!C99,IF(AND(UPPER(Data!C99)="SERVICE TASK",UPPER(Data!BZ99)="TYPE=SAS"),NodeExists(TRIM(RIGHT(Data!CA99,LEN(Data!CA99)-FIND("=",Data!CA99)))),TRUE),TRUE)</f>
        <v>1</v>
      </c>
      <c r="P99" s="26" t="b">
        <f>IF(Checks!C99,IF(Data!C99="DATA OBJECT",OR(AND(Data!BW99&lt;&gt;"",Data!BX99=""),AND(Data!BW99="",Data!BX99&lt;&gt;"")),TRUE),TRUE)</f>
        <v>1</v>
      </c>
      <c r="Q99" s="26" t="b">
        <f>IF(Checks!C99,UPPER(RIGHT(Data!A99,5))=".BPMN",TRUE)</f>
        <v>1</v>
      </c>
      <c r="R99" s="26" t="b">
        <f>IF(Checks!C99,IF(UPPER(Data!C99)="SUB PROCESS",UPPER(RIGHT(Data!BY99,5))=".BPMN",TRUE),TRUE)</f>
        <v>1</v>
      </c>
      <c r="S99" s="26" t="b">
        <f>IF(Checks!C99,IF(UPPER(Data!C99)="SERVICE TASK",IF(UPPER(Data!BZ99)="TYPE=SAS",UPPER(RIGHT(Data!CA99,4))=".SAS",TRUE),TRUE),TRUE)</f>
        <v>1</v>
      </c>
      <c r="T99" s="26" t="b">
        <f>IF(Checks!C99,IF(Data!B99&lt;&gt;"",Data!D99&lt;&gt;"",TRUE),TRUE)</f>
        <v>1</v>
      </c>
      <c r="U99" s="26" t="b">
        <f ca="1">IF(Checks!C99,IF(UPPER(Data!C99)="DATA OBJECT",NOT(ISERROR(MATCH(Data!A99&amp;"||"&amp;Data!BW99&amp;Data!BX99,Key,0))),TRUE),TRUE)</f>
        <v>1</v>
      </c>
      <c r="V99" s="26" t="b">
        <f>IF(Checks!C99,IF(UPPER(Data!C99)="SUB PROCESS",Data!BY99&lt;&gt;"",TRUE),TRUE)</f>
        <v>1</v>
      </c>
      <c r="W99" s="26" t="b">
        <f>IF(Checks!C99,IF(UPPER(Data!C99)="SERVICE TASK",AND(Data!BZ99&lt;&gt;"",Data!CA99&lt;&gt;""),TRUE),TRUE)</f>
        <v>1</v>
      </c>
      <c r="X99" s="26" t="b">
        <f t="array" aca="1" ref="X99" ca="1">SUM((OFFSET(Data!B99,MAX(ROW(Data!$B$5)-ROW(Data!B99),-200),0,400,1)=Data!B99)*(OFFSET(Data!A99,MAX(ROW(Data!$B$5)-ROW(Data!B99),-200),0,400,1)=Data!A99))=1</f>
        <v>1</v>
      </c>
      <c r="Y99" s="26" t="b">
        <f t="array" aca="1" ref="Y99" ca="1">IF(UPPER(Data!C99)="START",SUM((OFFSET(Data!C99,MAX(ROW(Data!$C$5)-ROW(Data!C99),-200),0,400,1)="START")*(OFFSET(Data!A99,MAX(ROW(Data!$B$5)-ROW(Data!B99),-200),0,400,1)=Data!A99))=1,TRUE)</f>
        <v>1</v>
      </c>
      <c r="Z99" s="26" t="b">
        <f t="array" aca="1" ref="Z99" ca="1">IF(UPPER(Data!C99)="END",SUM((OFFSET(Data!C99,MAX(ROW(Data!$C$5)-ROW(Data!C99),-200),0,400,1)="END")*(OFFSET(Data!A99,MAX(ROW(Data!$B$5)-ROW(Data!B99),-200),0,400,1)=Data!A99))=1,TRUE)</f>
        <v>1</v>
      </c>
      <c r="AA99" s="26" t="b">
        <f>IF(Checks!C99,ISERROR(FIND("&amp;",Data!D99)),TRUE)</f>
        <v>1</v>
      </c>
      <c r="AB99" s="26" t="b">
        <f>IF(Checks!$C99,IF(AND(UPPER(Data!$C99)&lt;&gt;"START",UPPER(Data!$C99)&lt;&gt;"DATA OBJECT",Data!E99&lt;&gt;""),NOT(ISERROR(MATCH(Data!$A99&amp;"||"&amp;Data!E99,Key,0))),TRUE),TRUE)</f>
        <v>1</v>
      </c>
      <c r="AC99" s="27" t="b">
        <f>IF(Checks!C99,IF(UPPER(Data!C99)="END",Data!E99&lt;&gt;"",TRUE),TRUE)</f>
        <v>1</v>
      </c>
    </row>
    <row r="100" spans="1:29" x14ac:dyDescent="0.25">
      <c r="A100" s="1" t="str">
        <f>Data!A100&amp;"||"&amp;Data!B100</f>
        <v>Miscellaneous/subflow/irmifrs9_store_analysis_data.bpmn||007_00_08</v>
      </c>
      <c r="B100" s="19"/>
      <c r="C100" s="24" t="b">
        <f>AND(UPPER(Data!A100)&lt;&gt;"EMPTY",Data!B100&lt;&gt;"")</f>
        <v>1</v>
      </c>
      <c r="D100" s="1"/>
      <c r="E100" s="25" t="b">
        <f t="shared" ca="1" si="2"/>
        <v>1</v>
      </c>
      <c r="F100" s="26" t="b">
        <f ca="1">IF(UPPER(Data!C100)="SUB PROCESS",NOT(ISERROR(MATCH(RIGHT(Data!BY100,LEN(Data!BY100)-5),OFFSET(Data,0,0,ItemsCount,1),0))),TRUE)</f>
        <v>1</v>
      </c>
      <c r="G100" s="26" t="b">
        <f ca="1">IF(MID(UPPER(Data!A100),1,13)="MISCELLANEOUS",NOT(ISERROR(MATCH("path="&amp;Data!A100,OFFSET(Data,0,76,ItemsCount,1),0))),TRUE)</f>
        <v>1</v>
      </c>
      <c r="L100" s="25" t="b">
        <f t="shared" ca="1" si="3"/>
        <v>1</v>
      </c>
      <c r="M100" s="24" t="b">
        <f>IF(Checks!$C100,Data!A100&lt;&gt;"",TRUE)</f>
        <v>1</v>
      </c>
      <c r="N100" s="26" t="b">
        <f>IF(Checks!C100,Data!B100&lt;&gt;"",TRUE)</f>
        <v>1</v>
      </c>
      <c r="O100" s="26" t="b">
        <f>IF(Checks!C100,IF(AND(UPPER(Data!C100)="SERVICE TASK",UPPER(Data!BZ100)="TYPE=SAS"),NodeExists(TRIM(RIGHT(Data!CA100,LEN(Data!CA100)-FIND("=",Data!CA100)))),TRUE),TRUE)</f>
        <v>1</v>
      </c>
      <c r="P100" s="26" t="b">
        <f>IF(Checks!C100,IF(Data!C100="DATA OBJECT",OR(AND(Data!BW100&lt;&gt;"",Data!BX100=""),AND(Data!BW100="",Data!BX100&lt;&gt;"")),TRUE),TRUE)</f>
        <v>1</v>
      </c>
      <c r="Q100" s="26" t="b">
        <f>IF(Checks!C100,UPPER(RIGHT(Data!A100,5))=".BPMN",TRUE)</f>
        <v>1</v>
      </c>
      <c r="R100" s="26" t="b">
        <f>IF(Checks!C100,IF(UPPER(Data!C100)="SUB PROCESS",UPPER(RIGHT(Data!BY100,5))=".BPMN",TRUE),TRUE)</f>
        <v>1</v>
      </c>
      <c r="S100" s="26" t="b">
        <f>IF(Checks!C100,IF(UPPER(Data!C100)="SERVICE TASK",IF(UPPER(Data!BZ100)="TYPE=SAS",UPPER(RIGHT(Data!CA100,4))=".SAS",TRUE),TRUE),TRUE)</f>
        <v>1</v>
      </c>
      <c r="T100" s="26" t="b">
        <f>IF(Checks!C100,IF(Data!B100&lt;&gt;"",Data!D100&lt;&gt;"",TRUE),TRUE)</f>
        <v>1</v>
      </c>
      <c r="U100" s="26" t="b">
        <f ca="1">IF(Checks!C100,IF(UPPER(Data!C100)="DATA OBJECT",NOT(ISERROR(MATCH(Data!A100&amp;"||"&amp;Data!BW100&amp;Data!BX100,Key,0))),TRUE),TRUE)</f>
        <v>1</v>
      </c>
      <c r="V100" s="26" t="b">
        <f>IF(Checks!C100,IF(UPPER(Data!C100)="SUB PROCESS",Data!BY100&lt;&gt;"",TRUE),TRUE)</f>
        <v>1</v>
      </c>
      <c r="W100" s="26" t="b">
        <f>IF(Checks!C100,IF(UPPER(Data!C100)="SERVICE TASK",AND(Data!BZ100&lt;&gt;"",Data!CA100&lt;&gt;""),TRUE),TRUE)</f>
        <v>1</v>
      </c>
      <c r="X100" s="26" t="b">
        <f t="array" aca="1" ref="X100" ca="1">SUM((OFFSET(Data!B100,MAX(ROW(Data!$B$5)-ROW(Data!B100),-200),0,400,1)=Data!B100)*(OFFSET(Data!A100,MAX(ROW(Data!$B$5)-ROW(Data!B100),-200),0,400,1)=Data!A100))=1</f>
        <v>1</v>
      </c>
      <c r="Y100" s="26" t="b">
        <f t="array" aca="1" ref="Y100" ca="1">IF(UPPER(Data!C100)="START",SUM((OFFSET(Data!C100,MAX(ROW(Data!$C$5)-ROW(Data!C100),-200),0,400,1)="START")*(OFFSET(Data!A100,MAX(ROW(Data!$B$5)-ROW(Data!B100),-200),0,400,1)=Data!A100))=1,TRUE)</f>
        <v>1</v>
      </c>
      <c r="Z100" s="26" t="b">
        <f t="array" aca="1" ref="Z100" ca="1">IF(UPPER(Data!C100)="END",SUM((OFFSET(Data!C100,MAX(ROW(Data!$C$5)-ROW(Data!C100),-200),0,400,1)="END")*(OFFSET(Data!A100,MAX(ROW(Data!$B$5)-ROW(Data!B100),-200),0,400,1)=Data!A100))=1,TRUE)</f>
        <v>1</v>
      </c>
      <c r="AA100" s="26" t="b">
        <f>IF(Checks!C100,ISERROR(FIND("&amp;",Data!D100)),TRUE)</f>
        <v>1</v>
      </c>
      <c r="AB100" s="26" t="b">
        <f>IF(Checks!$C100,IF(AND(UPPER(Data!$C100)&lt;&gt;"START",UPPER(Data!$C100)&lt;&gt;"DATA OBJECT",Data!E100&lt;&gt;""),NOT(ISERROR(MATCH(Data!$A100&amp;"||"&amp;Data!E100,Key,0))),TRUE),TRUE)</f>
        <v>1</v>
      </c>
      <c r="AC100" s="27" t="b">
        <f>IF(Checks!C100,IF(UPPER(Data!C100)="END",Data!E100&lt;&gt;"",TRUE),TRUE)</f>
        <v>1</v>
      </c>
    </row>
    <row r="101" spans="1:29" x14ac:dyDescent="0.25">
      <c r="A101" s="1" t="str">
        <f>Data!A101&amp;"||"&amp;Data!B101</f>
        <v>Miscellaneous/subflow/irmifrs9_store_analysis_data.bpmn||007_00_09</v>
      </c>
      <c r="B101" s="19"/>
      <c r="C101" s="24" t="b">
        <f>AND(UPPER(Data!A101)&lt;&gt;"EMPTY",Data!B101&lt;&gt;"")</f>
        <v>1</v>
      </c>
      <c r="D101" s="1"/>
      <c r="E101" s="25" t="b">
        <f t="shared" ca="1" si="2"/>
        <v>1</v>
      </c>
      <c r="F101" s="26" t="b">
        <f ca="1">IF(UPPER(Data!C101)="SUB PROCESS",NOT(ISERROR(MATCH(RIGHT(Data!BY101,LEN(Data!BY101)-5),OFFSET(Data,0,0,ItemsCount,1),0))),TRUE)</f>
        <v>1</v>
      </c>
      <c r="G101" s="26" t="b">
        <f ca="1">IF(MID(UPPER(Data!A101),1,13)="MISCELLANEOUS",NOT(ISERROR(MATCH("path="&amp;Data!A101,OFFSET(Data,0,76,ItemsCount,1),0))),TRUE)</f>
        <v>1</v>
      </c>
      <c r="L101" s="25" t="b">
        <f t="shared" ca="1" si="3"/>
        <v>1</v>
      </c>
      <c r="M101" s="24" t="b">
        <f>IF(Checks!$C101,Data!A101&lt;&gt;"",TRUE)</f>
        <v>1</v>
      </c>
      <c r="N101" s="26" t="b">
        <f>IF(Checks!C101,Data!B101&lt;&gt;"",TRUE)</f>
        <v>1</v>
      </c>
      <c r="O101" s="26" t="b">
        <f>IF(Checks!C101,IF(AND(UPPER(Data!C101)="SERVICE TASK",UPPER(Data!BZ101)="TYPE=SAS"),NodeExists(TRIM(RIGHT(Data!CA101,LEN(Data!CA101)-FIND("=",Data!CA101)))),TRUE),TRUE)</f>
        <v>1</v>
      </c>
      <c r="P101" s="26" t="b">
        <f>IF(Checks!C101,IF(Data!C101="DATA OBJECT",OR(AND(Data!BW101&lt;&gt;"",Data!BX101=""),AND(Data!BW101="",Data!BX101&lt;&gt;"")),TRUE),TRUE)</f>
        <v>1</v>
      </c>
      <c r="Q101" s="26" t="b">
        <f>IF(Checks!C101,UPPER(RIGHT(Data!A101,5))=".BPMN",TRUE)</f>
        <v>1</v>
      </c>
      <c r="R101" s="26" t="b">
        <f>IF(Checks!C101,IF(UPPER(Data!C101)="SUB PROCESS",UPPER(RIGHT(Data!BY101,5))=".BPMN",TRUE),TRUE)</f>
        <v>1</v>
      </c>
      <c r="S101" s="26" t="b">
        <f>IF(Checks!C101,IF(UPPER(Data!C101)="SERVICE TASK",IF(UPPER(Data!BZ101)="TYPE=SAS",UPPER(RIGHT(Data!CA101,4))=".SAS",TRUE),TRUE),TRUE)</f>
        <v>1</v>
      </c>
      <c r="T101" s="26" t="b">
        <f>IF(Checks!C101,IF(Data!B101&lt;&gt;"",Data!D101&lt;&gt;"",TRUE),TRUE)</f>
        <v>1</v>
      </c>
      <c r="U101" s="26" t="b">
        <f ca="1">IF(Checks!C101,IF(UPPER(Data!C101)="DATA OBJECT",NOT(ISERROR(MATCH(Data!A101&amp;"||"&amp;Data!BW101&amp;Data!BX101,Key,0))),TRUE),TRUE)</f>
        <v>1</v>
      </c>
      <c r="V101" s="26" t="b">
        <f>IF(Checks!C101,IF(UPPER(Data!C101)="SUB PROCESS",Data!BY101&lt;&gt;"",TRUE),TRUE)</f>
        <v>1</v>
      </c>
      <c r="W101" s="26" t="b">
        <f>IF(Checks!C101,IF(UPPER(Data!C101)="SERVICE TASK",AND(Data!BZ101&lt;&gt;"",Data!CA101&lt;&gt;""),TRUE),TRUE)</f>
        <v>1</v>
      </c>
      <c r="X101" s="26" t="b">
        <f t="array" aca="1" ref="X101" ca="1">SUM((OFFSET(Data!B101,MAX(ROW(Data!$B$5)-ROW(Data!B101),-200),0,400,1)=Data!B101)*(OFFSET(Data!A101,MAX(ROW(Data!$B$5)-ROW(Data!B101),-200),0,400,1)=Data!A101))=1</f>
        <v>1</v>
      </c>
      <c r="Y101" s="26" t="b">
        <f t="array" aca="1" ref="Y101" ca="1">IF(UPPER(Data!C101)="START",SUM((OFFSET(Data!C101,MAX(ROW(Data!$C$5)-ROW(Data!C101),-200),0,400,1)="START")*(OFFSET(Data!A101,MAX(ROW(Data!$B$5)-ROW(Data!B101),-200),0,400,1)=Data!A101))=1,TRUE)</f>
        <v>1</v>
      </c>
      <c r="Z101" s="26" t="b">
        <f t="array" aca="1" ref="Z101" ca="1">IF(UPPER(Data!C101)="END",SUM((OFFSET(Data!C101,MAX(ROW(Data!$C$5)-ROW(Data!C101),-200),0,400,1)="END")*(OFFSET(Data!A101,MAX(ROW(Data!$B$5)-ROW(Data!B101),-200),0,400,1)=Data!A101))=1,TRUE)</f>
        <v>1</v>
      </c>
      <c r="AA101" s="26" t="b">
        <f>IF(Checks!C101,ISERROR(FIND("&amp;",Data!D101)),TRUE)</f>
        <v>1</v>
      </c>
      <c r="AB101" s="26" t="b">
        <f>IF(Checks!$C101,IF(AND(UPPER(Data!$C101)&lt;&gt;"START",UPPER(Data!$C101)&lt;&gt;"DATA OBJECT",Data!E101&lt;&gt;""),NOT(ISERROR(MATCH(Data!$A101&amp;"||"&amp;Data!E101,Key,0))),TRUE),TRUE)</f>
        <v>1</v>
      </c>
      <c r="AC101" s="27" t="b">
        <f>IF(Checks!C101,IF(UPPER(Data!C101)="END",Data!E101&lt;&gt;"",TRUE),TRUE)</f>
        <v>1</v>
      </c>
    </row>
    <row r="102" spans="1:29" x14ac:dyDescent="0.25">
      <c r="A102" s="1" t="str">
        <f>Data!A102&amp;"||"&amp;Data!B102</f>
        <v>Miscellaneous/subflow/irmifrs9_store_analysis_data.bpmn||007_00_10</v>
      </c>
      <c r="B102" s="19"/>
      <c r="C102" s="24" t="b">
        <f>AND(UPPER(Data!A102)&lt;&gt;"EMPTY",Data!B102&lt;&gt;"")</f>
        <v>1</v>
      </c>
      <c r="D102" s="1"/>
      <c r="E102" s="25" t="b">
        <f t="shared" ca="1" si="2"/>
        <v>1</v>
      </c>
      <c r="F102" s="26" t="b">
        <f ca="1">IF(UPPER(Data!C102)="SUB PROCESS",NOT(ISERROR(MATCH(RIGHT(Data!BY102,LEN(Data!BY102)-5),OFFSET(Data,0,0,ItemsCount,1),0))),TRUE)</f>
        <v>1</v>
      </c>
      <c r="G102" s="26" t="b">
        <f ca="1">IF(MID(UPPER(Data!A102),1,13)="MISCELLANEOUS",NOT(ISERROR(MATCH("path="&amp;Data!A102,OFFSET(Data,0,76,ItemsCount,1),0))),TRUE)</f>
        <v>1</v>
      </c>
      <c r="L102" s="25" t="b">
        <f t="shared" ca="1" si="3"/>
        <v>1</v>
      </c>
      <c r="M102" s="24" t="b">
        <f>IF(Checks!$C102,Data!A102&lt;&gt;"",TRUE)</f>
        <v>1</v>
      </c>
      <c r="N102" s="26" t="b">
        <f>IF(Checks!C102,Data!B102&lt;&gt;"",TRUE)</f>
        <v>1</v>
      </c>
      <c r="O102" s="26" t="b">
        <f>IF(Checks!C102,IF(AND(UPPER(Data!C102)="SERVICE TASK",UPPER(Data!BZ102)="TYPE=SAS"),NodeExists(TRIM(RIGHT(Data!CA102,LEN(Data!CA102)-FIND("=",Data!CA102)))),TRUE),TRUE)</f>
        <v>1</v>
      </c>
      <c r="P102" s="26" t="b">
        <f>IF(Checks!C102,IF(Data!C102="DATA OBJECT",OR(AND(Data!BW102&lt;&gt;"",Data!BX102=""),AND(Data!BW102="",Data!BX102&lt;&gt;"")),TRUE),TRUE)</f>
        <v>1</v>
      </c>
      <c r="Q102" s="26" t="b">
        <f>IF(Checks!C102,UPPER(RIGHT(Data!A102,5))=".BPMN",TRUE)</f>
        <v>1</v>
      </c>
      <c r="R102" s="26" t="b">
        <f>IF(Checks!C102,IF(UPPER(Data!C102)="SUB PROCESS",UPPER(RIGHT(Data!BY102,5))=".BPMN",TRUE),TRUE)</f>
        <v>1</v>
      </c>
      <c r="S102" s="26" t="b">
        <f>IF(Checks!C102,IF(UPPER(Data!C102)="SERVICE TASK",IF(UPPER(Data!BZ102)="TYPE=SAS",UPPER(RIGHT(Data!CA102,4))=".SAS",TRUE),TRUE),TRUE)</f>
        <v>1</v>
      </c>
      <c r="T102" s="26" t="b">
        <f>IF(Checks!C102,IF(Data!B102&lt;&gt;"",Data!D102&lt;&gt;"",TRUE),TRUE)</f>
        <v>1</v>
      </c>
      <c r="U102" s="26" t="b">
        <f ca="1">IF(Checks!C102,IF(UPPER(Data!C102)="DATA OBJECT",NOT(ISERROR(MATCH(Data!A102&amp;"||"&amp;Data!BW102&amp;Data!BX102,Key,0))),TRUE),TRUE)</f>
        <v>1</v>
      </c>
      <c r="V102" s="26" t="b">
        <f>IF(Checks!C102,IF(UPPER(Data!C102)="SUB PROCESS",Data!BY102&lt;&gt;"",TRUE),TRUE)</f>
        <v>1</v>
      </c>
      <c r="W102" s="26" t="b">
        <f>IF(Checks!C102,IF(UPPER(Data!C102)="SERVICE TASK",AND(Data!BZ102&lt;&gt;"",Data!CA102&lt;&gt;""),TRUE),TRUE)</f>
        <v>1</v>
      </c>
      <c r="X102" s="26" t="b">
        <f t="array" aca="1" ref="X102" ca="1">SUM((OFFSET(Data!B102,MAX(ROW(Data!$B$5)-ROW(Data!B102),-200),0,400,1)=Data!B102)*(OFFSET(Data!A102,MAX(ROW(Data!$B$5)-ROW(Data!B102),-200),0,400,1)=Data!A102))=1</f>
        <v>1</v>
      </c>
      <c r="Y102" s="26" t="b">
        <f t="array" aca="1" ref="Y102" ca="1">IF(UPPER(Data!C102)="START",SUM((OFFSET(Data!C102,MAX(ROW(Data!$C$5)-ROW(Data!C102),-200),0,400,1)="START")*(OFFSET(Data!A102,MAX(ROW(Data!$B$5)-ROW(Data!B102),-200),0,400,1)=Data!A102))=1,TRUE)</f>
        <v>1</v>
      </c>
      <c r="Z102" s="26" t="b">
        <f t="array" aca="1" ref="Z102" ca="1">IF(UPPER(Data!C102)="END",SUM((OFFSET(Data!C102,MAX(ROW(Data!$C$5)-ROW(Data!C102),-200),0,400,1)="END")*(OFFSET(Data!A102,MAX(ROW(Data!$B$5)-ROW(Data!B102),-200),0,400,1)=Data!A102))=1,TRUE)</f>
        <v>1</v>
      </c>
      <c r="AA102" s="26" t="b">
        <f>IF(Checks!C102,ISERROR(FIND("&amp;",Data!D102)),TRUE)</f>
        <v>1</v>
      </c>
      <c r="AB102" s="26" t="b">
        <f>IF(Checks!$C102,IF(AND(UPPER(Data!$C102)&lt;&gt;"START",UPPER(Data!$C102)&lt;&gt;"DATA OBJECT",Data!E102&lt;&gt;""),NOT(ISERROR(MATCH(Data!$A102&amp;"||"&amp;Data!E102,Key,0))),TRUE),TRUE)</f>
        <v>1</v>
      </c>
      <c r="AC102" s="27" t="b">
        <f>IF(Checks!C102,IF(UPPER(Data!C102)="END",Data!E102&lt;&gt;"",TRUE),TRUE)</f>
        <v>1</v>
      </c>
    </row>
    <row r="103" spans="1:29" x14ac:dyDescent="0.25">
      <c r="A103" s="1" t="str">
        <f>Data!A103&amp;"||"&amp;Data!B103</f>
        <v>Miscellaneous/subflow/irmifrs9_store_analysis_data.bpmn||007_02_00</v>
      </c>
      <c r="B103" s="19"/>
      <c r="C103" s="24" t="b">
        <f>AND(UPPER(Data!A103)&lt;&gt;"EMPTY",Data!B103&lt;&gt;"")</f>
        <v>1</v>
      </c>
      <c r="D103" s="1"/>
      <c r="E103" s="25" t="b">
        <f t="shared" ca="1" si="2"/>
        <v>1</v>
      </c>
      <c r="F103" s="26" t="b">
        <f ca="1">IF(UPPER(Data!C103)="SUB PROCESS",NOT(ISERROR(MATCH(RIGHT(Data!BY103,LEN(Data!BY103)-5),OFFSET(Data,0,0,ItemsCount,1),0))),TRUE)</f>
        <v>1</v>
      </c>
      <c r="G103" s="26" t="b">
        <f ca="1">IF(MID(UPPER(Data!A103),1,13)="MISCELLANEOUS",NOT(ISERROR(MATCH("path="&amp;Data!A103,OFFSET(Data,0,76,ItemsCount,1),0))),TRUE)</f>
        <v>1</v>
      </c>
      <c r="L103" s="25" t="b">
        <f t="shared" ca="1" si="3"/>
        <v>1</v>
      </c>
      <c r="M103" s="24" t="b">
        <f>IF(Checks!$C103,Data!A103&lt;&gt;"",TRUE)</f>
        <v>1</v>
      </c>
      <c r="N103" s="26" t="b">
        <f>IF(Checks!C103,Data!B103&lt;&gt;"",TRUE)</f>
        <v>1</v>
      </c>
      <c r="O103" s="26" t="b">
        <f>IF(Checks!C103,IF(AND(UPPER(Data!C103)="SERVICE TASK",UPPER(Data!BZ103)="TYPE=SAS"),NodeExists(TRIM(RIGHT(Data!CA103,LEN(Data!CA103)-FIND("=",Data!CA103)))),TRUE),TRUE)</f>
        <v>1</v>
      </c>
      <c r="P103" s="26" t="b">
        <f>IF(Checks!C103,IF(Data!C103="DATA OBJECT",OR(AND(Data!BW103&lt;&gt;"",Data!BX103=""),AND(Data!BW103="",Data!BX103&lt;&gt;"")),TRUE),TRUE)</f>
        <v>1</v>
      </c>
      <c r="Q103" s="26" t="b">
        <f>IF(Checks!C103,UPPER(RIGHT(Data!A103,5))=".BPMN",TRUE)</f>
        <v>1</v>
      </c>
      <c r="R103" s="26" t="b">
        <f>IF(Checks!C103,IF(UPPER(Data!C103)="SUB PROCESS",UPPER(RIGHT(Data!BY103,5))=".BPMN",TRUE),TRUE)</f>
        <v>1</v>
      </c>
      <c r="S103" s="26" t="b">
        <f>IF(Checks!C103,IF(UPPER(Data!C103)="SERVICE TASK",IF(UPPER(Data!BZ103)="TYPE=SAS",UPPER(RIGHT(Data!CA103,4))=".SAS",TRUE),TRUE),TRUE)</f>
        <v>1</v>
      </c>
      <c r="T103" s="26" t="b">
        <f>IF(Checks!C103,IF(Data!B103&lt;&gt;"",Data!D103&lt;&gt;"",TRUE),TRUE)</f>
        <v>1</v>
      </c>
      <c r="U103" s="26" t="b">
        <f ca="1">IF(Checks!C103,IF(UPPER(Data!C103)="DATA OBJECT",NOT(ISERROR(MATCH(Data!A103&amp;"||"&amp;Data!BW103&amp;Data!BX103,Key,0))),TRUE),TRUE)</f>
        <v>1</v>
      </c>
      <c r="V103" s="26" t="b">
        <f>IF(Checks!C103,IF(UPPER(Data!C103)="SUB PROCESS",Data!BY103&lt;&gt;"",TRUE),TRUE)</f>
        <v>1</v>
      </c>
      <c r="W103" s="26" t="b">
        <f>IF(Checks!C103,IF(UPPER(Data!C103)="SERVICE TASK",AND(Data!BZ103&lt;&gt;"",Data!CA103&lt;&gt;""),TRUE),TRUE)</f>
        <v>1</v>
      </c>
      <c r="X103" s="26" t="b">
        <f t="array" aca="1" ref="X103" ca="1">SUM((OFFSET(Data!B103,MAX(ROW(Data!$B$5)-ROW(Data!B103),-200),0,400,1)=Data!B103)*(OFFSET(Data!A103,MAX(ROW(Data!$B$5)-ROW(Data!B103),-200),0,400,1)=Data!A103))=1</f>
        <v>1</v>
      </c>
      <c r="Y103" s="26" t="b">
        <f t="array" aca="1" ref="Y103" ca="1">IF(UPPER(Data!C103)="START",SUM((OFFSET(Data!C103,MAX(ROW(Data!$C$5)-ROW(Data!C103),-200),0,400,1)="START")*(OFFSET(Data!A103,MAX(ROW(Data!$B$5)-ROW(Data!B103),-200),0,400,1)=Data!A103))=1,TRUE)</f>
        <v>1</v>
      </c>
      <c r="Z103" s="26" t="b">
        <f t="array" aca="1" ref="Z103" ca="1">IF(UPPER(Data!C103)="END",SUM((OFFSET(Data!C103,MAX(ROW(Data!$C$5)-ROW(Data!C103),-200),0,400,1)="END")*(OFFSET(Data!A103,MAX(ROW(Data!$B$5)-ROW(Data!B103),-200),0,400,1)=Data!A103))=1,TRUE)</f>
        <v>1</v>
      </c>
      <c r="AA103" s="26" t="b">
        <f>IF(Checks!C103,ISERROR(FIND("&amp;",Data!D103)),TRUE)</f>
        <v>1</v>
      </c>
      <c r="AB103" s="26" t="b">
        <f>IF(Checks!$C103,IF(AND(UPPER(Data!$C103)&lt;&gt;"START",UPPER(Data!$C103)&lt;&gt;"DATA OBJECT",Data!E103&lt;&gt;""),NOT(ISERROR(MATCH(Data!$A103&amp;"||"&amp;Data!E103,Key,0))),TRUE),TRUE)</f>
        <v>1</v>
      </c>
      <c r="AC103" s="27" t="b">
        <f>IF(Checks!C103,IF(UPPER(Data!C103)="END",Data!E103&lt;&gt;"",TRUE),TRUE)</f>
        <v>1</v>
      </c>
    </row>
    <row r="104" spans="1:29" x14ac:dyDescent="0.25">
      <c r="A104" s="1" t="str">
        <f>Data!A104&amp;"||"&amp;Data!B104</f>
        <v>Miscellaneous/subflow/irmifrs9_store_analysis_data.bpmn||017</v>
      </c>
      <c r="B104" s="19"/>
      <c r="C104" s="24" t="b">
        <f>AND(UPPER(Data!A104)&lt;&gt;"EMPTY",Data!B104&lt;&gt;"")</f>
        <v>1</v>
      </c>
      <c r="D104" s="1"/>
      <c r="E104" s="25" t="b">
        <f t="shared" ca="1" si="2"/>
        <v>1</v>
      </c>
      <c r="F104" s="26" t="b">
        <f ca="1">IF(UPPER(Data!C104)="SUB PROCESS",NOT(ISERROR(MATCH(RIGHT(Data!BY104,LEN(Data!BY104)-5),OFFSET(Data,0,0,ItemsCount,1),0))),TRUE)</f>
        <v>1</v>
      </c>
      <c r="G104" s="26" t="b">
        <f ca="1">IF(MID(UPPER(Data!A104),1,13)="MISCELLANEOUS",NOT(ISERROR(MATCH("path="&amp;Data!A104,OFFSET(Data,0,76,ItemsCount,1),0))),TRUE)</f>
        <v>1</v>
      </c>
      <c r="L104" s="25" t="b">
        <f t="shared" ca="1" si="3"/>
        <v>1</v>
      </c>
      <c r="M104" s="24" t="b">
        <f>IF(Checks!$C104,Data!A104&lt;&gt;"",TRUE)</f>
        <v>1</v>
      </c>
      <c r="N104" s="26" t="b">
        <f>IF(Checks!C104,Data!B104&lt;&gt;"",TRUE)</f>
        <v>1</v>
      </c>
      <c r="O104" s="26" t="b">
        <f>IF(Checks!C104,IF(AND(UPPER(Data!C104)="SERVICE TASK",UPPER(Data!BZ104)="TYPE=SAS"),NodeExists(TRIM(RIGHT(Data!CA104,LEN(Data!CA104)-FIND("=",Data!CA104)))),TRUE),TRUE)</f>
        <v>1</v>
      </c>
      <c r="P104" s="26" t="b">
        <f>IF(Checks!C104,IF(Data!C104="DATA OBJECT",OR(AND(Data!BW104&lt;&gt;"",Data!BX104=""),AND(Data!BW104="",Data!BX104&lt;&gt;"")),TRUE),TRUE)</f>
        <v>1</v>
      </c>
      <c r="Q104" s="26" t="b">
        <f>IF(Checks!C104,UPPER(RIGHT(Data!A104,5))=".BPMN",TRUE)</f>
        <v>1</v>
      </c>
      <c r="R104" s="26" t="b">
        <f>IF(Checks!C104,IF(UPPER(Data!C104)="SUB PROCESS",UPPER(RIGHT(Data!BY104,5))=".BPMN",TRUE),TRUE)</f>
        <v>1</v>
      </c>
      <c r="S104" s="26" t="b">
        <f>IF(Checks!C104,IF(UPPER(Data!C104)="SERVICE TASK",IF(UPPER(Data!BZ104)="TYPE=SAS",UPPER(RIGHT(Data!CA104,4))=".SAS",TRUE),TRUE),TRUE)</f>
        <v>1</v>
      </c>
      <c r="T104" s="26" t="b">
        <f>IF(Checks!C104,IF(Data!B104&lt;&gt;"",Data!D104&lt;&gt;"",TRUE),TRUE)</f>
        <v>1</v>
      </c>
      <c r="U104" s="26" t="b">
        <f>IF(Checks!C104,IF(UPPER(Data!C104)="DATA OBJECT",NOT(ISERROR(MATCH(Data!A104&amp;"||"&amp;Data!BW104&amp;Data!BX104,Key,0))),TRUE),TRUE)</f>
        <v>1</v>
      </c>
      <c r="V104" s="26" t="b">
        <f>IF(Checks!C104,IF(UPPER(Data!C104)="SUB PROCESS",Data!BY104&lt;&gt;"",TRUE),TRUE)</f>
        <v>1</v>
      </c>
      <c r="W104" s="26" t="b">
        <f>IF(Checks!C104,IF(UPPER(Data!C104)="SERVICE TASK",AND(Data!BZ104&lt;&gt;"",Data!CA104&lt;&gt;""),TRUE),TRUE)</f>
        <v>1</v>
      </c>
      <c r="X104" s="26" t="b">
        <f t="array" aca="1" ref="X104" ca="1">SUM((OFFSET(Data!B104,MAX(ROW(Data!$B$5)-ROW(Data!B104),-200),0,400,1)=Data!B104)*(OFFSET(Data!A104,MAX(ROW(Data!$B$5)-ROW(Data!B104),-200),0,400,1)=Data!A104))=1</f>
        <v>1</v>
      </c>
      <c r="Y104" s="26" t="b">
        <f t="array" aca="1" ref="Y104" ca="1">IF(UPPER(Data!C104)="START",SUM((OFFSET(Data!C104,MAX(ROW(Data!$C$5)-ROW(Data!C104),-200),0,400,1)="START")*(OFFSET(Data!A104,MAX(ROW(Data!$B$5)-ROW(Data!B104),-200),0,400,1)=Data!A104))=1,TRUE)</f>
        <v>1</v>
      </c>
      <c r="Z104" s="26" t="b">
        <f t="array" aca="1" ref="Z104" ca="1">IF(UPPER(Data!C104)="END",SUM((OFFSET(Data!C104,MAX(ROW(Data!$C$5)-ROW(Data!C104),-200),0,400,1)="END")*(OFFSET(Data!A104,MAX(ROW(Data!$B$5)-ROW(Data!B104),-200),0,400,1)=Data!A104))=1,TRUE)</f>
        <v>1</v>
      </c>
      <c r="AA104" s="26" t="b">
        <f>IF(Checks!C104,ISERROR(FIND("&amp;",Data!D104)),TRUE)</f>
        <v>1</v>
      </c>
      <c r="AB104" s="26" t="b">
        <f ca="1">IF(Checks!$C104,IF(AND(UPPER(Data!$C104)&lt;&gt;"START",UPPER(Data!$C104)&lt;&gt;"DATA OBJECT",Data!E104&lt;&gt;""),NOT(ISERROR(MATCH(Data!$A104&amp;"||"&amp;Data!E104,Key,0))),TRUE),TRUE)</f>
        <v>1</v>
      </c>
      <c r="AC104" s="27" t="b">
        <f>IF(Checks!C104,IF(UPPER(Data!C104)="END",Data!E104&lt;&gt;"",TRUE),TRUE)</f>
        <v>1</v>
      </c>
    </row>
    <row r="105" spans="1:29" x14ac:dyDescent="0.25">
      <c r="A105" s="1" t="str">
        <f>Data!A105&amp;"||"&amp;Data!B105</f>
        <v>Miscellaneous/subflow/irmifrs9_store_analysis_data.bpmn||017_00_11</v>
      </c>
      <c r="B105" s="19"/>
      <c r="C105" s="24" t="b">
        <f>AND(UPPER(Data!A105)&lt;&gt;"EMPTY",Data!B105&lt;&gt;"")</f>
        <v>1</v>
      </c>
      <c r="D105" s="1"/>
      <c r="E105" s="25" t="b">
        <f t="shared" ca="1" si="2"/>
        <v>1</v>
      </c>
      <c r="F105" s="26" t="b">
        <f ca="1">IF(UPPER(Data!C105)="SUB PROCESS",NOT(ISERROR(MATCH(RIGHT(Data!BY105,LEN(Data!BY105)-5),OFFSET(Data,0,0,ItemsCount,1),0))),TRUE)</f>
        <v>1</v>
      </c>
      <c r="G105" s="26" t="b">
        <f ca="1">IF(MID(UPPER(Data!A105),1,13)="MISCELLANEOUS",NOT(ISERROR(MATCH("path="&amp;Data!A105,OFFSET(Data,0,76,ItemsCount,1),0))),TRUE)</f>
        <v>1</v>
      </c>
      <c r="L105" s="25" t="b">
        <f t="shared" ca="1" si="3"/>
        <v>1</v>
      </c>
      <c r="M105" s="24" t="b">
        <f>IF(Checks!$C105,Data!A105&lt;&gt;"",TRUE)</f>
        <v>1</v>
      </c>
      <c r="N105" s="26" t="b">
        <f>IF(Checks!C105,Data!B105&lt;&gt;"",TRUE)</f>
        <v>1</v>
      </c>
      <c r="O105" s="26" t="b">
        <f>IF(Checks!C105,IF(AND(UPPER(Data!C105)="SERVICE TASK",UPPER(Data!BZ105)="TYPE=SAS"),NodeExists(TRIM(RIGHT(Data!CA105,LEN(Data!CA105)-FIND("=",Data!CA105)))),TRUE),TRUE)</f>
        <v>1</v>
      </c>
      <c r="P105" s="26" t="b">
        <f>IF(Checks!C105,IF(Data!C105="DATA OBJECT",OR(AND(Data!BW105&lt;&gt;"",Data!BX105=""),AND(Data!BW105="",Data!BX105&lt;&gt;"")),TRUE),TRUE)</f>
        <v>1</v>
      </c>
      <c r="Q105" s="26" t="b">
        <f>IF(Checks!C105,UPPER(RIGHT(Data!A105,5))=".BPMN",TRUE)</f>
        <v>1</v>
      </c>
      <c r="R105" s="26" t="b">
        <f>IF(Checks!C105,IF(UPPER(Data!C105)="SUB PROCESS",UPPER(RIGHT(Data!BY105,5))=".BPMN",TRUE),TRUE)</f>
        <v>1</v>
      </c>
      <c r="S105" s="26" t="b">
        <f>IF(Checks!C105,IF(UPPER(Data!C105)="SERVICE TASK",IF(UPPER(Data!BZ105)="TYPE=SAS",UPPER(RIGHT(Data!CA105,4))=".SAS",TRUE),TRUE),TRUE)</f>
        <v>1</v>
      </c>
      <c r="T105" s="26" t="b">
        <f>IF(Checks!C105,IF(Data!B105&lt;&gt;"",Data!D105&lt;&gt;"",TRUE),TRUE)</f>
        <v>1</v>
      </c>
      <c r="U105" s="26" t="b">
        <f ca="1">IF(Checks!C105,IF(UPPER(Data!C105)="DATA OBJECT",NOT(ISERROR(MATCH(Data!A105&amp;"||"&amp;Data!BW105&amp;Data!BX105,Key,0))),TRUE),TRUE)</f>
        <v>1</v>
      </c>
      <c r="V105" s="26" t="b">
        <f>IF(Checks!C105,IF(UPPER(Data!C105)="SUB PROCESS",Data!BY105&lt;&gt;"",TRUE),TRUE)</f>
        <v>1</v>
      </c>
      <c r="W105" s="26" t="b">
        <f>IF(Checks!C105,IF(UPPER(Data!C105)="SERVICE TASK",AND(Data!BZ105&lt;&gt;"",Data!CA105&lt;&gt;""),TRUE),TRUE)</f>
        <v>1</v>
      </c>
      <c r="X105" s="26" t="b">
        <f t="array" aca="1" ref="X105" ca="1">SUM((OFFSET(Data!B105,MAX(ROW(Data!$B$5)-ROW(Data!B105),-200),0,400,1)=Data!B105)*(OFFSET(Data!A105,MAX(ROW(Data!$B$5)-ROW(Data!B105),-200),0,400,1)=Data!A105))=1</f>
        <v>1</v>
      </c>
      <c r="Y105" s="26" t="b">
        <f t="array" aca="1" ref="Y105" ca="1">IF(UPPER(Data!C105)="START",SUM((OFFSET(Data!C105,MAX(ROW(Data!$C$5)-ROW(Data!C105),-200),0,400,1)="START")*(OFFSET(Data!A105,MAX(ROW(Data!$B$5)-ROW(Data!B105),-200),0,400,1)=Data!A105))=1,TRUE)</f>
        <v>1</v>
      </c>
      <c r="Z105" s="26" t="b">
        <f t="array" aca="1" ref="Z105" ca="1">IF(UPPER(Data!C105)="END",SUM((OFFSET(Data!C105,MAX(ROW(Data!$C$5)-ROW(Data!C105),-200),0,400,1)="END")*(OFFSET(Data!A105,MAX(ROW(Data!$B$5)-ROW(Data!B105),-200),0,400,1)=Data!A105))=1,TRUE)</f>
        <v>1</v>
      </c>
      <c r="AA105" s="26" t="b">
        <f>IF(Checks!C105,ISERROR(FIND("&amp;",Data!D105)),TRUE)</f>
        <v>1</v>
      </c>
      <c r="AB105" s="26" t="b">
        <f>IF(Checks!$C105,IF(AND(UPPER(Data!$C105)&lt;&gt;"START",UPPER(Data!$C105)&lt;&gt;"DATA OBJECT",Data!E105&lt;&gt;""),NOT(ISERROR(MATCH(Data!$A105&amp;"||"&amp;Data!E105,Key,0))),TRUE),TRUE)</f>
        <v>1</v>
      </c>
      <c r="AC105" s="27" t="b">
        <f>IF(Checks!C105,IF(UPPER(Data!C105)="END",Data!E105&lt;&gt;"",TRUE),TRUE)</f>
        <v>1</v>
      </c>
    </row>
    <row r="106" spans="1:29" x14ac:dyDescent="0.25">
      <c r="A106" s="1" t="str">
        <f>Data!A106&amp;"||"&amp;Data!B106</f>
        <v>Miscellaneous/subflow/irmifrs9_store_analysis_data.bpmn||017_00_12</v>
      </c>
      <c r="B106" s="19"/>
      <c r="C106" s="24" t="b">
        <f>AND(UPPER(Data!A106)&lt;&gt;"EMPTY",Data!B106&lt;&gt;"")</f>
        <v>1</v>
      </c>
      <c r="D106" s="1"/>
      <c r="E106" s="25" t="b">
        <f t="shared" ca="1" si="2"/>
        <v>1</v>
      </c>
      <c r="F106" s="26" t="b">
        <f ca="1">IF(UPPER(Data!C106)="SUB PROCESS",NOT(ISERROR(MATCH(RIGHT(Data!BY106,LEN(Data!BY106)-5),OFFSET(Data,0,0,ItemsCount,1),0))),TRUE)</f>
        <v>1</v>
      </c>
      <c r="G106" s="26" t="b">
        <f ca="1">IF(MID(UPPER(Data!A106),1,13)="MISCELLANEOUS",NOT(ISERROR(MATCH("path="&amp;Data!A106,OFFSET(Data,0,76,ItemsCount,1),0))),TRUE)</f>
        <v>1</v>
      </c>
      <c r="L106" s="25" t="b">
        <f t="shared" ca="1" si="3"/>
        <v>1</v>
      </c>
      <c r="M106" s="24" t="b">
        <f>IF(Checks!$C106,Data!A106&lt;&gt;"",TRUE)</f>
        <v>1</v>
      </c>
      <c r="N106" s="26" t="b">
        <f>IF(Checks!C106,Data!B106&lt;&gt;"",TRUE)</f>
        <v>1</v>
      </c>
      <c r="O106" s="26" t="b">
        <f>IF(Checks!C106,IF(AND(UPPER(Data!C106)="SERVICE TASK",UPPER(Data!BZ106)="TYPE=SAS"),NodeExists(TRIM(RIGHT(Data!CA106,LEN(Data!CA106)-FIND("=",Data!CA106)))),TRUE),TRUE)</f>
        <v>1</v>
      </c>
      <c r="P106" s="26" t="b">
        <f>IF(Checks!C106,IF(Data!C106="DATA OBJECT",OR(AND(Data!BW106&lt;&gt;"",Data!BX106=""),AND(Data!BW106="",Data!BX106&lt;&gt;"")),TRUE),TRUE)</f>
        <v>1</v>
      </c>
      <c r="Q106" s="26" t="b">
        <f>IF(Checks!C106,UPPER(RIGHT(Data!A106,5))=".BPMN",TRUE)</f>
        <v>1</v>
      </c>
      <c r="R106" s="26" t="b">
        <f>IF(Checks!C106,IF(UPPER(Data!C106)="SUB PROCESS",UPPER(RIGHT(Data!BY106,5))=".BPMN",TRUE),TRUE)</f>
        <v>1</v>
      </c>
      <c r="S106" s="26" t="b">
        <f>IF(Checks!C106,IF(UPPER(Data!C106)="SERVICE TASK",IF(UPPER(Data!BZ106)="TYPE=SAS",UPPER(RIGHT(Data!CA106,4))=".SAS",TRUE),TRUE),TRUE)</f>
        <v>1</v>
      </c>
      <c r="T106" s="26" t="b">
        <f>IF(Checks!C106,IF(Data!B106&lt;&gt;"",Data!D106&lt;&gt;"",TRUE),TRUE)</f>
        <v>1</v>
      </c>
      <c r="U106" s="26" t="b">
        <f ca="1">IF(Checks!C106,IF(UPPER(Data!C106)="DATA OBJECT",NOT(ISERROR(MATCH(Data!A106&amp;"||"&amp;Data!BW106&amp;Data!BX106,Key,0))),TRUE),TRUE)</f>
        <v>1</v>
      </c>
      <c r="V106" s="26" t="b">
        <f>IF(Checks!C106,IF(UPPER(Data!C106)="SUB PROCESS",Data!BY106&lt;&gt;"",TRUE),TRUE)</f>
        <v>1</v>
      </c>
      <c r="W106" s="26" t="b">
        <f>IF(Checks!C106,IF(UPPER(Data!C106)="SERVICE TASK",AND(Data!BZ106&lt;&gt;"",Data!CA106&lt;&gt;""),TRUE),TRUE)</f>
        <v>1</v>
      </c>
      <c r="X106" s="26" t="b">
        <f t="array" aca="1" ref="X106" ca="1">SUM((OFFSET(Data!B106,MAX(ROW(Data!$B$5)-ROW(Data!B106),-200),0,400,1)=Data!B106)*(OFFSET(Data!A106,MAX(ROW(Data!$B$5)-ROW(Data!B106),-200),0,400,1)=Data!A106))=1</f>
        <v>1</v>
      </c>
      <c r="Y106" s="26" t="b">
        <f t="array" aca="1" ref="Y106" ca="1">IF(UPPER(Data!C106)="START",SUM((OFFSET(Data!C106,MAX(ROW(Data!$C$5)-ROW(Data!C106),-200),0,400,1)="START")*(OFFSET(Data!A106,MAX(ROW(Data!$B$5)-ROW(Data!B106),-200),0,400,1)=Data!A106))=1,TRUE)</f>
        <v>1</v>
      </c>
      <c r="Z106" s="26" t="b">
        <f t="array" aca="1" ref="Z106" ca="1">IF(UPPER(Data!C106)="END",SUM((OFFSET(Data!C106,MAX(ROW(Data!$C$5)-ROW(Data!C106),-200),0,400,1)="END")*(OFFSET(Data!A106,MAX(ROW(Data!$B$5)-ROW(Data!B106),-200),0,400,1)=Data!A106))=1,TRUE)</f>
        <v>1</v>
      </c>
      <c r="AA106" s="26" t="b">
        <f>IF(Checks!C106,ISERROR(FIND("&amp;",Data!D106)),TRUE)</f>
        <v>1</v>
      </c>
      <c r="AB106" s="26" t="b">
        <f>IF(Checks!$C106,IF(AND(UPPER(Data!$C106)&lt;&gt;"START",UPPER(Data!$C106)&lt;&gt;"DATA OBJECT",Data!E106&lt;&gt;""),NOT(ISERROR(MATCH(Data!$A106&amp;"||"&amp;Data!E106,Key,0))),TRUE),TRUE)</f>
        <v>1</v>
      </c>
      <c r="AC106" s="27" t="b">
        <f>IF(Checks!C106,IF(UPPER(Data!C106)="END",Data!E106&lt;&gt;"",TRUE),TRUE)</f>
        <v>1</v>
      </c>
    </row>
    <row r="107" spans="1:29" x14ac:dyDescent="0.25">
      <c r="A107" s="1" t="str">
        <f>Data!A107&amp;"||"&amp;Data!B107</f>
        <v>Miscellaneous/subflow/irmifrs9_store_analysis_data.bpmn||017_03_00</v>
      </c>
      <c r="B107" s="19"/>
      <c r="C107" s="24" t="b">
        <f>AND(UPPER(Data!A107)&lt;&gt;"EMPTY",Data!B107&lt;&gt;"")</f>
        <v>1</v>
      </c>
      <c r="D107" s="1"/>
      <c r="E107" s="25" t="b">
        <f t="shared" ca="1" si="2"/>
        <v>1</v>
      </c>
      <c r="F107" s="26" t="b">
        <f ca="1">IF(UPPER(Data!C107)="SUB PROCESS",NOT(ISERROR(MATCH(RIGHT(Data!BY107,LEN(Data!BY107)-5),OFFSET(Data,0,0,ItemsCount,1),0))),TRUE)</f>
        <v>1</v>
      </c>
      <c r="G107" s="26" t="b">
        <f ca="1">IF(MID(UPPER(Data!A107),1,13)="MISCELLANEOUS",NOT(ISERROR(MATCH("path="&amp;Data!A107,OFFSET(Data,0,76,ItemsCount,1),0))),TRUE)</f>
        <v>1</v>
      </c>
      <c r="L107" s="25" t="b">
        <f t="shared" ca="1" si="3"/>
        <v>1</v>
      </c>
      <c r="M107" s="24" t="b">
        <f>IF(Checks!$C107,Data!A107&lt;&gt;"",TRUE)</f>
        <v>1</v>
      </c>
      <c r="N107" s="26" t="b">
        <f>IF(Checks!C107,Data!B107&lt;&gt;"",TRUE)</f>
        <v>1</v>
      </c>
      <c r="O107" s="26" t="b">
        <f>IF(Checks!C107,IF(AND(UPPER(Data!C107)="SERVICE TASK",UPPER(Data!BZ107)="TYPE=SAS"),NodeExists(TRIM(RIGHT(Data!CA107,LEN(Data!CA107)-FIND("=",Data!CA107)))),TRUE),TRUE)</f>
        <v>1</v>
      </c>
      <c r="P107" s="26" t="b">
        <f>IF(Checks!C107,IF(Data!C107="DATA OBJECT",OR(AND(Data!BW107&lt;&gt;"",Data!BX107=""),AND(Data!BW107="",Data!BX107&lt;&gt;"")),TRUE),TRUE)</f>
        <v>1</v>
      </c>
      <c r="Q107" s="26" t="b">
        <f>IF(Checks!C107,UPPER(RIGHT(Data!A107,5))=".BPMN",TRUE)</f>
        <v>1</v>
      </c>
      <c r="R107" s="26" t="b">
        <f>IF(Checks!C107,IF(UPPER(Data!C107)="SUB PROCESS",UPPER(RIGHT(Data!BY107,5))=".BPMN",TRUE),TRUE)</f>
        <v>1</v>
      </c>
      <c r="S107" s="26" t="b">
        <f>IF(Checks!C107,IF(UPPER(Data!C107)="SERVICE TASK",IF(UPPER(Data!BZ107)="TYPE=SAS",UPPER(RIGHT(Data!CA107,4))=".SAS",TRUE),TRUE),TRUE)</f>
        <v>1</v>
      </c>
      <c r="T107" s="26" t="b">
        <f>IF(Checks!C107,IF(Data!B107&lt;&gt;"",Data!D107&lt;&gt;"",TRUE),TRUE)</f>
        <v>1</v>
      </c>
      <c r="U107" s="26" t="b">
        <f ca="1">IF(Checks!C107,IF(UPPER(Data!C107)="DATA OBJECT",NOT(ISERROR(MATCH(Data!A107&amp;"||"&amp;Data!BW107&amp;Data!BX107,Key,0))),TRUE),TRUE)</f>
        <v>1</v>
      </c>
      <c r="V107" s="26" t="b">
        <f>IF(Checks!C107,IF(UPPER(Data!C107)="SUB PROCESS",Data!BY107&lt;&gt;"",TRUE),TRUE)</f>
        <v>1</v>
      </c>
      <c r="W107" s="26" t="b">
        <f>IF(Checks!C107,IF(UPPER(Data!C107)="SERVICE TASK",AND(Data!BZ107&lt;&gt;"",Data!CA107&lt;&gt;""),TRUE),TRUE)</f>
        <v>1</v>
      </c>
      <c r="X107" s="26" t="b">
        <f t="array" aca="1" ref="X107" ca="1">SUM((OFFSET(Data!B107,MAX(ROW(Data!$B$5)-ROW(Data!B107),-200),0,400,1)=Data!B107)*(OFFSET(Data!A107,MAX(ROW(Data!$B$5)-ROW(Data!B107),-200),0,400,1)=Data!A107))=1</f>
        <v>1</v>
      </c>
      <c r="Y107" s="26" t="b">
        <f t="array" aca="1" ref="Y107" ca="1">IF(UPPER(Data!C107)="START",SUM((OFFSET(Data!C107,MAX(ROW(Data!$C$5)-ROW(Data!C107),-200),0,400,1)="START")*(OFFSET(Data!A107,MAX(ROW(Data!$B$5)-ROW(Data!B107),-200),0,400,1)=Data!A107))=1,TRUE)</f>
        <v>1</v>
      </c>
      <c r="Z107" s="26" t="b">
        <f t="array" aca="1" ref="Z107" ca="1">IF(UPPER(Data!C107)="END",SUM((OFFSET(Data!C107,MAX(ROW(Data!$C$5)-ROW(Data!C107),-200),0,400,1)="END")*(OFFSET(Data!A107,MAX(ROW(Data!$B$5)-ROW(Data!B107),-200),0,400,1)=Data!A107))=1,TRUE)</f>
        <v>1</v>
      </c>
      <c r="AA107" s="26" t="b">
        <f>IF(Checks!C107,ISERROR(FIND("&amp;",Data!D107)),TRUE)</f>
        <v>1</v>
      </c>
      <c r="AB107" s="26" t="b">
        <f>IF(Checks!$C107,IF(AND(UPPER(Data!$C107)&lt;&gt;"START",UPPER(Data!$C107)&lt;&gt;"DATA OBJECT",Data!E107&lt;&gt;""),NOT(ISERROR(MATCH(Data!$A107&amp;"||"&amp;Data!E107,Key,0))),TRUE),TRUE)</f>
        <v>1</v>
      </c>
      <c r="AC107" s="27" t="b">
        <f>IF(Checks!C107,IF(UPPER(Data!C107)="END",Data!E107&lt;&gt;"",TRUE),TRUE)</f>
        <v>1</v>
      </c>
    </row>
    <row r="108" spans="1:29" x14ac:dyDescent="0.25">
      <c r="A108" s="1" t="str">
        <f>Data!A108&amp;"||"&amp;Data!B108</f>
        <v>Miscellaneous/subflow/irmifrs9_store_analysis_data.bpmn||021</v>
      </c>
      <c r="B108" s="19"/>
      <c r="C108" s="24" t="b">
        <f>AND(UPPER(Data!A108)&lt;&gt;"EMPTY",Data!B108&lt;&gt;"")</f>
        <v>1</v>
      </c>
      <c r="D108" s="1"/>
      <c r="E108" s="25" t="b">
        <f t="shared" ca="1" si="2"/>
        <v>1</v>
      </c>
      <c r="F108" s="26" t="b">
        <f ca="1">IF(UPPER(Data!C108)="SUB PROCESS",NOT(ISERROR(MATCH(RIGHT(Data!BY108,LEN(Data!BY108)-5),OFFSET(Data,0,0,ItemsCount,1),0))),TRUE)</f>
        <v>1</v>
      </c>
      <c r="G108" s="26" t="b">
        <f ca="1">IF(MID(UPPER(Data!A108),1,13)="MISCELLANEOUS",NOT(ISERROR(MATCH("path="&amp;Data!A108,OFFSET(Data,0,76,ItemsCount,1),0))),TRUE)</f>
        <v>1</v>
      </c>
      <c r="L108" s="25" t="b">
        <f t="shared" ca="1" si="3"/>
        <v>1</v>
      </c>
      <c r="M108" s="24" t="b">
        <f>IF(Checks!$C108,Data!A108&lt;&gt;"",TRUE)</f>
        <v>1</v>
      </c>
      <c r="N108" s="26" t="b">
        <f>IF(Checks!C108,Data!B108&lt;&gt;"",TRUE)</f>
        <v>1</v>
      </c>
      <c r="O108" s="26" t="b">
        <f>IF(Checks!C108,IF(AND(UPPER(Data!C108)="SERVICE TASK",UPPER(Data!BZ108)="TYPE=SAS"),NodeExists(TRIM(RIGHT(Data!CA108,LEN(Data!CA108)-FIND("=",Data!CA108)))),TRUE),TRUE)</f>
        <v>1</v>
      </c>
      <c r="P108" s="26" t="b">
        <f>IF(Checks!C108,IF(Data!C108="DATA OBJECT",OR(AND(Data!BW108&lt;&gt;"",Data!BX108=""),AND(Data!BW108="",Data!BX108&lt;&gt;"")),TRUE),TRUE)</f>
        <v>1</v>
      </c>
      <c r="Q108" s="26" t="b">
        <f>IF(Checks!C108,UPPER(RIGHT(Data!A108,5))=".BPMN",TRUE)</f>
        <v>1</v>
      </c>
      <c r="R108" s="26" t="b">
        <f>IF(Checks!C108,IF(UPPER(Data!C108)="SUB PROCESS",UPPER(RIGHT(Data!BY108,5))=".BPMN",TRUE),TRUE)</f>
        <v>1</v>
      </c>
      <c r="S108" s="26" t="b">
        <f>IF(Checks!C108,IF(UPPER(Data!C108)="SERVICE TASK",IF(UPPER(Data!BZ108)="TYPE=SAS",UPPER(RIGHT(Data!CA108,4))=".SAS",TRUE),TRUE),TRUE)</f>
        <v>1</v>
      </c>
      <c r="T108" s="26" t="b">
        <f>IF(Checks!C108,IF(Data!B108&lt;&gt;"",Data!D108&lt;&gt;"",TRUE),TRUE)</f>
        <v>1</v>
      </c>
      <c r="U108" s="26" t="b">
        <f>IF(Checks!C108,IF(UPPER(Data!C108)="DATA OBJECT",NOT(ISERROR(MATCH(Data!A108&amp;"||"&amp;Data!BW108&amp;Data!BX108,Key,0))),TRUE),TRUE)</f>
        <v>1</v>
      </c>
      <c r="V108" s="26" t="b">
        <f>IF(Checks!C108,IF(UPPER(Data!C108)="SUB PROCESS",Data!BY108&lt;&gt;"",TRUE),TRUE)</f>
        <v>1</v>
      </c>
      <c r="W108" s="26" t="b">
        <f>IF(Checks!C108,IF(UPPER(Data!C108)="SERVICE TASK",AND(Data!BZ108&lt;&gt;"",Data!CA108&lt;&gt;""),TRUE),TRUE)</f>
        <v>1</v>
      </c>
      <c r="X108" s="26" t="b">
        <f t="array" aca="1" ref="X108" ca="1">SUM((OFFSET(Data!B108,MAX(ROW(Data!$B$5)-ROW(Data!B108),-200),0,400,1)=Data!B108)*(OFFSET(Data!A108,MAX(ROW(Data!$B$5)-ROW(Data!B108),-200),0,400,1)=Data!A108))=1</f>
        <v>1</v>
      </c>
      <c r="Y108" s="26" t="b">
        <f t="array" aca="1" ref="Y108" ca="1">IF(UPPER(Data!C108)="START",SUM((OFFSET(Data!C108,MAX(ROW(Data!$C$5)-ROW(Data!C108),-200),0,400,1)="START")*(OFFSET(Data!A108,MAX(ROW(Data!$B$5)-ROW(Data!B108),-200),0,400,1)=Data!A108))=1,TRUE)</f>
        <v>1</v>
      </c>
      <c r="Z108" s="26" t="b">
        <f t="array" aca="1" ref="Z108" ca="1">IF(UPPER(Data!C108)="END",SUM((OFFSET(Data!C108,MAX(ROW(Data!$C$5)-ROW(Data!C108),-200),0,400,1)="END")*(OFFSET(Data!A108,MAX(ROW(Data!$B$5)-ROW(Data!B108),-200),0,400,1)=Data!A108))=1,TRUE)</f>
        <v>1</v>
      </c>
      <c r="AA108" s="26" t="b">
        <f>IF(Checks!C108,ISERROR(FIND("&amp;",Data!D108)),TRUE)</f>
        <v>1</v>
      </c>
      <c r="AB108" s="26" t="b">
        <f ca="1">IF(Checks!$C108,IF(AND(UPPER(Data!$C108)&lt;&gt;"START",UPPER(Data!$C108)&lt;&gt;"DATA OBJECT",Data!E108&lt;&gt;""),NOT(ISERROR(MATCH(Data!$A108&amp;"||"&amp;Data!E108,Key,0))),TRUE),TRUE)</f>
        <v>1</v>
      </c>
      <c r="AC108" s="27" t="b">
        <f>IF(Checks!C108,IF(UPPER(Data!C108)="END",Data!E108&lt;&gt;"",TRUE),TRUE)</f>
        <v>1</v>
      </c>
    </row>
    <row r="109" spans="1:29" x14ac:dyDescent="0.25">
      <c r="A109" s="1" t="str">
        <f>Data!A109&amp;"||"&amp;Data!B109</f>
        <v>Miscellaneous/subflow/irmifrs9_get_scenarios.bpmn||000_00_00</v>
      </c>
      <c r="B109" s="19"/>
      <c r="C109" s="24" t="b">
        <f>AND(UPPER(Data!A109)&lt;&gt;"EMPTY",Data!B109&lt;&gt;"")</f>
        <v>1</v>
      </c>
      <c r="D109" s="1"/>
      <c r="E109" s="25" t="b">
        <f t="shared" ca="1" si="2"/>
        <v>1</v>
      </c>
      <c r="F109" s="26" t="b">
        <f ca="1">IF(UPPER(Data!C109)="SUB PROCESS",NOT(ISERROR(MATCH(RIGHT(Data!BY109,LEN(Data!BY109)-5),OFFSET(Data,0,0,ItemsCount,1),0))),TRUE)</f>
        <v>1</v>
      </c>
      <c r="G109" s="26" t="b">
        <f ca="1">IF(MID(UPPER(Data!A109),1,13)="MISCELLANEOUS",NOT(ISERROR(MATCH("path="&amp;Data!A109,OFFSET(Data,0,76,ItemsCount,1),0))),TRUE)</f>
        <v>1</v>
      </c>
      <c r="L109" s="25" t="b">
        <f t="shared" ca="1" si="3"/>
        <v>1</v>
      </c>
      <c r="M109" s="24" t="b">
        <f>IF(Checks!$C109,Data!A109&lt;&gt;"",TRUE)</f>
        <v>1</v>
      </c>
      <c r="N109" s="26" t="b">
        <f>IF(Checks!C109,Data!B109&lt;&gt;"",TRUE)</f>
        <v>1</v>
      </c>
      <c r="O109" s="26" t="b">
        <f>IF(Checks!C109,IF(AND(UPPER(Data!C109)="SERVICE TASK",UPPER(Data!BZ109)="TYPE=SAS"),NodeExists(TRIM(RIGHT(Data!CA109,LEN(Data!CA109)-FIND("=",Data!CA109)))),TRUE),TRUE)</f>
        <v>1</v>
      </c>
      <c r="P109" s="26" t="b">
        <f>IF(Checks!C109,IF(Data!C109="DATA OBJECT",OR(AND(Data!BW109&lt;&gt;"",Data!BX109=""),AND(Data!BW109="",Data!BX109&lt;&gt;"")),TRUE),TRUE)</f>
        <v>1</v>
      </c>
      <c r="Q109" s="26" t="b">
        <f>IF(Checks!C109,UPPER(RIGHT(Data!A109,5))=".BPMN",TRUE)</f>
        <v>1</v>
      </c>
      <c r="R109" s="26" t="b">
        <f>IF(Checks!C109,IF(UPPER(Data!C109)="SUB PROCESS",UPPER(RIGHT(Data!BY109,5))=".BPMN",TRUE),TRUE)</f>
        <v>1</v>
      </c>
      <c r="S109" s="26" t="b">
        <f>IF(Checks!C109,IF(UPPER(Data!C109)="SERVICE TASK",IF(UPPER(Data!BZ109)="TYPE=SAS",UPPER(RIGHT(Data!CA109,4))=".SAS",TRUE),TRUE),TRUE)</f>
        <v>1</v>
      </c>
      <c r="T109" s="26" t="b">
        <f>IF(Checks!C109,IF(Data!B109&lt;&gt;"",Data!D109&lt;&gt;"",TRUE),TRUE)</f>
        <v>1</v>
      </c>
      <c r="U109" s="26" t="b">
        <f>IF(Checks!C109,IF(UPPER(Data!C109)="DATA OBJECT",NOT(ISERROR(MATCH(Data!A109&amp;"||"&amp;Data!BW109&amp;Data!BX109,Key,0))),TRUE),TRUE)</f>
        <v>1</v>
      </c>
      <c r="V109" s="26" t="b">
        <f>IF(Checks!C109,IF(UPPER(Data!C109)="SUB PROCESS",Data!BY109&lt;&gt;"",TRUE),TRUE)</f>
        <v>1</v>
      </c>
      <c r="W109" s="26" t="b">
        <f>IF(Checks!C109,IF(UPPER(Data!C109)="SERVICE TASK",AND(Data!BZ109&lt;&gt;"",Data!CA109&lt;&gt;""),TRUE),TRUE)</f>
        <v>1</v>
      </c>
      <c r="X109" s="26" t="b">
        <f t="array" aca="1" ref="X109" ca="1">SUM((OFFSET(Data!B109,MAX(ROW(Data!$B$5)-ROW(Data!B109),-200),0,400,1)=Data!B109)*(OFFSET(Data!A109,MAX(ROW(Data!$B$5)-ROW(Data!B109),-200),0,400,1)=Data!A109))=1</f>
        <v>1</v>
      </c>
      <c r="Y109" s="26" t="b">
        <f t="array" aca="1" ref="Y109" ca="1">IF(UPPER(Data!C109)="START",SUM((OFFSET(Data!C109,MAX(ROW(Data!$C$5)-ROW(Data!C109),-200),0,400,1)="START")*(OFFSET(Data!A109,MAX(ROW(Data!$B$5)-ROW(Data!B109),-200),0,400,1)=Data!A109))=1,TRUE)</f>
        <v>1</v>
      </c>
      <c r="Z109" s="26" t="b">
        <f t="array" aca="1" ref="Z109" ca="1">IF(UPPER(Data!C109)="END",SUM((OFFSET(Data!C109,MAX(ROW(Data!$C$5)-ROW(Data!C109),-200),0,400,1)="END")*(OFFSET(Data!A109,MAX(ROW(Data!$B$5)-ROW(Data!B109),-200),0,400,1)=Data!A109))=1,TRUE)</f>
        <v>1</v>
      </c>
      <c r="AA109" s="26" t="b">
        <f>IF(Checks!C109,ISERROR(FIND("&amp;",Data!D109)),TRUE)</f>
        <v>1</v>
      </c>
      <c r="AB109" s="26" t="b">
        <f>IF(Checks!$C109,IF(AND(UPPER(Data!$C109)&lt;&gt;"START",UPPER(Data!$C109)&lt;&gt;"DATA OBJECT",Data!E109&lt;&gt;""),NOT(ISERROR(MATCH(Data!$A109&amp;"||"&amp;Data!E109,Key,0))),TRUE),TRUE)</f>
        <v>1</v>
      </c>
      <c r="AC109" s="27" t="b">
        <f>IF(Checks!C109,IF(UPPER(Data!C109)="END",Data!E109&lt;&gt;"",TRUE),TRUE)</f>
        <v>1</v>
      </c>
    </row>
    <row r="110" spans="1:29" x14ac:dyDescent="0.25">
      <c r="A110" s="1" t="str">
        <f>Data!A110&amp;"||"&amp;Data!B110</f>
        <v>Miscellaneous/subflow/irmifrs9_get_scenarios.bpmn||001_00_00</v>
      </c>
      <c r="B110" s="19"/>
      <c r="C110" s="24" t="b">
        <f>AND(UPPER(Data!A110)&lt;&gt;"EMPTY",Data!B110&lt;&gt;"")</f>
        <v>1</v>
      </c>
      <c r="D110" s="1"/>
      <c r="E110" s="25" t="b">
        <f t="shared" ca="1" si="2"/>
        <v>1</v>
      </c>
      <c r="F110" s="26" t="b">
        <f ca="1">IF(UPPER(Data!C110)="SUB PROCESS",NOT(ISERROR(MATCH(RIGHT(Data!BY110,LEN(Data!BY110)-5),OFFSET(Data,0,0,ItemsCount,1),0))),TRUE)</f>
        <v>1</v>
      </c>
      <c r="G110" s="26" t="b">
        <f ca="1">IF(MID(UPPER(Data!A110),1,13)="MISCELLANEOUS",NOT(ISERROR(MATCH("path="&amp;Data!A110,OFFSET(Data,0,76,ItemsCount,1),0))),TRUE)</f>
        <v>1</v>
      </c>
      <c r="L110" s="25" t="b">
        <f t="shared" ca="1" si="3"/>
        <v>1</v>
      </c>
      <c r="M110" s="24" t="b">
        <f>IF(Checks!$C110,Data!A110&lt;&gt;"",TRUE)</f>
        <v>1</v>
      </c>
      <c r="N110" s="26" t="b">
        <f>IF(Checks!C110,Data!B110&lt;&gt;"",TRUE)</f>
        <v>1</v>
      </c>
      <c r="O110" s="26" t="b">
        <f>IF(Checks!C110,IF(AND(UPPER(Data!C110)="SERVICE TASK",UPPER(Data!BZ110)="TYPE=SAS"),NodeExists(TRIM(RIGHT(Data!CA110,LEN(Data!CA110)-FIND("=",Data!CA110)))),TRUE),TRUE)</f>
        <v>1</v>
      </c>
      <c r="P110" s="26" t="b">
        <f>IF(Checks!C110,IF(Data!C110="DATA OBJECT",OR(AND(Data!BW110&lt;&gt;"",Data!BX110=""),AND(Data!BW110="",Data!BX110&lt;&gt;"")),TRUE),TRUE)</f>
        <v>1</v>
      </c>
      <c r="Q110" s="26" t="b">
        <f>IF(Checks!C110,UPPER(RIGHT(Data!A110,5))=".BPMN",TRUE)</f>
        <v>1</v>
      </c>
      <c r="R110" s="26" t="b">
        <f>IF(Checks!C110,IF(UPPER(Data!C110)="SUB PROCESS",UPPER(RIGHT(Data!BY110,5))=".BPMN",TRUE),TRUE)</f>
        <v>1</v>
      </c>
      <c r="S110" s="26" t="b">
        <f>IF(Checks!C110,IF(UPPER(Data!C110)="SERVICE TASK",IF(UPPER(Data!BZ110)="TYPE=SAS",UPPER(RIGHT(Data!CA110,4))=".SAS",TRUE),TRUE),TRUE)</f>
        <v>1</v>
      </c>
      <c r="T110" s="26" t="b">
        <f>IF(Checks!C110,IF(Data!B110&lt;&gt;"",Data!D110&lt;&gt;"",TRUE),TRUE)</f>
        <v>1</v>
      </c>
      <c r="U110" s="26" t="b">
        <f>IF(Checks!C110,IF(UPPER(Data!C110)="DATA OBJECT",NOT(ISERROR(MATCH(Data!A110&amp;"||"&amp;Data!BW110&amp;Data!BX110,Key,0))),TRUE),TRUE)</f>
        <v>1</v>
      </c>
      <c r="V110" s="26" t="b">
        <f>IF(Checks!C110,IF(UPPER(Data!C110)="SUB PROCESS",Data!BY110&lt;&gt;"",TRUE),TRUE)</f>
        <v>1</v>
      </c>
      <c r="W110" s="26" t="b">
        <f>IF(Checks!C110,IF(UPPER(Data!C110)="SERVICE TASK",AND(Data!BZ110&lt;&gt;"",Data!CA110&lt;&gt;""),TRUE),TRUE)</f>
        <v>1</v>
      </c>
      <c r="X110" s="26" t="b">
        <f t="array" aca="1" ref="X110" ca="1">SUM((OFFSET(Data!B110,MAX(ROW(Data!$B$5)-ROW(Data!B110),-200),0,400,1)=Data!B110)*(OFFSET(Data!A110,MAX(ROW(Data!$B$5)-ROW(Data!B110),-200),0,400,1)=Data!A110))=1</f>
        <v>1</v>
      </c>
      <c r="Y110" s="26" t="b">
        <f t="array" aca="1" ref="Y110" ca="1">IF(UPPER(Data!C110)="START",SUM((OFFSET(Data!C110,MAX(ROW(Data!$C$5)-ROW(Data!C110),-200),0,400,1)="START")*(OFFSET(Data!A110,MAX(ROW(Data!$B$5)-ROW(Data!B110),-200),0,400,1)=Data!A110))=1,TRUE)</f>
        <v>1</v>
      </c>
      <c r="Z110" s="26" t="b">
        <f t="array" aca="1" ref="Z110" ca="1">IF(UPPER(Data!C110)="END",SUM((OFFSET(Data!C110,MAX(ROW(Data!$C$5)-ROW(Data!C110),-200),0,400,1)="END")*(OFFSET(Data!A110,MAX(ROW(Data!$B$5)-ROW(Data!B110),-200),0,400,1)=Data!A110))=1,TRUE)</f>
        <v>1</v>
      </c>
      <c r="AA110" s="26" t="b">
        <f>IF(Checks!C110,ISERROR(FIND("&amp;",Data!D110)),TRUE)</f>
        <v>1</v>
      </c>
      <c r="AB110" s="26" t="b">
        <f ca="1">IF(Checks!$C110,IF(AND(UPPER(Data!$C110)&lt;&gt;"START",UPPER(Data!$C110)&lt;&gt;"DATA OBJECT",Data!E110&lt;&gt;""),NOT(ISERROR(MATCH(Data!$A110&amp;"||"&amp;Data!E110,Key,0))),TRUE),TRUE)</f>
        <v>1</v>
      </c>
      <c r="AC110" s="27" t="b">
        <f>IF(Checks!C110,IF(UPPER(Data!C110)="END",Data!E110&lt;&gt;"",TRUE),TRUE)</f>
        <v>1</v>
      </c>
    </row>
    <row r="111" spans="1:29" x14ac:dyDescent="0.25">
      <c r="A111" s="1" t="str">
        <f>Data!A111&amp;"||"&amp;Data!B111</f>
        <v>Miscellaneous/subflow/irmifrs9_get_scenarios.bpmn||001_00_01</v>
      </c>
      <c r="B111" s="19"/>
      <c r="C111" s="24" t="b">
        <f>AND(UPPER(Data!A111)&lt;&gt;"EMPTY",Data!B111&lt;&gt;"")</f>
        <v>1</v>
      </c>
      <c r="D111" s="1"/>
      <c r="E111" s="25" t="b">
        <f t="shared" ca="1" si="2"/>
        <v>1</v>
      </c>
      <c r="F111" s="26" t="b">
        <f ca="1">IF(UPPER(Data!C111)="SUB PROCESS",NOT(ISERROR(MATCH(RIGHT(Data!BY111,LEN(Data!BY111)-5),OFFSET(Data,0,0,ItemsCount,1),0))),TRUE)</f>
        <v>1</v>
      </c>
      <c r="G111" s="26" t="b">
        <f ca="1">IF(MID(UPPER(Data!A111),1,13)="MISCELLANEOUS",NOT(ISERROR(MATCH("path="&amp;Data!A111,OFFSET(Data,0,76,ItemsCount,1),0))),TRUE)</f>
        <v>1</v>
      </c>
      <c r="L111" s="25" t="b">
        <f t="shared" ca="1" si="3"/>
        <v>1</v>
      </c>
      <c r="M111" s="24" t="b">
        <f>IF(Checks!$C111,Data!A111&lt;&gt;"",TRUE)</f>
        <v>1</v>
      </c>
      <c r="N111" s="26" t="b">
        <f>IF(Checks!C111,Data!B111&lt;&gt;"",TRUE)</f>
        <v>1</v>
      </c>
      <c r="O111" s="26" t="b">
        <f>IF(Checks!C111,IF(AND(UPPER(Data!C111)="SERVICE TASK",UPPER(Data!BZ111)="TYPE=SAS"),NodeExists(TRIM(RIGHT(Data!CA111,LEN(Data!CA111)-FIND("=",Data!CA111)))),TRUE),TRUE)</f>
        <v>1</v>
      </c>
      <c r="P111" s="26" t="b">
        <f>IF(Checks!C111,IF(Data!C111="DATA OBJECT",OR(AND(Data!BW111&lt;&gt;"",Data!BX111=""),AND(Data!BW111="",Data!BX111&lt;&gt;"")),TRUE),TRUE)</f>
        <v>1</v>
      </c>
      <c r="Q111" s="26" t="b">
        <f>IF(Checks!C111,UPPER(RIGHT(Data!A111,5))=".BPMN",TRUE)</f>
        <v>1</v>
      </c>
      <c r="R111" s="26" t="b">
        <f>IF(Checks!C111,IF(UPPER(Data!C111)="SUB PROCESS",UPPER(RIGHT(Data!BY111,5))=".BPMN",TRUE),TRUE)</f>
        <v>1</v>
      </c>
      <c r="S111" s="26" t="b">
        <f>IF(Checks!C111,IF(UPPER(Data!C111)="SERVICE TASK",IF(UPPER(Data!BZ111)="TYPE=SAS",UPPER(RIGHT(Data!CA111,4))=".SAS",TRUE),TRUE),TRUE)</f>
        <v>1</v>
      </c>
      <c r="T111" s="26" t="b">
        <f>IF(Checks!C111,IF(Data!B111&lt;&gt;"",Data!D111&lt;&gt;"",TRUE),TRUE)</f>
        <v>1</v>
      </c>
      <c r="U111" s="26" t="b">
        <f ca="1">IF(Checks!C111,IF(UPPER(Data!C111)="DATA OBJECT",NOT(ISERROR(MATCH(Data!A111&amp;"||"&amp;Data!BW111&amp;Data!BX111,Key,0))),TRUE),TRUE)</f>
        <v>1</v>
      </c>
      <c r="V111" s="26" t="b">
        <f>IF(Checks!C111,IF(UPPER(Data!C111)="SUB PROCESS",Data!BY111&lt;&gt;"",TRUE),TRUE)</f>
        <v>1</v>
      </c>
      <c r="W111" s="26" t="b">
        <f>IF(Checks!C111,IF(UPPER(Data!C111)="SERVICE TASK",AND(Data!BZ111&lt;&gt;"",Data!CA111&lt;&gt;""),TRUE),TRUE)</f>
        <v>1</v>
      </c>
      <c r="X111" s="26" t="b">
        <f t="array" aca="1" ref="X111" ca="1">SUM((OFFSET(Data!B111,MAX(ROW(Data!$B$5)-ROW(Data!B111),-200),0,400,1)=Data!B111)*(OFFSET(Data!A111,MAX(ROW(Data!$B$5)-ROW(Data!B111),-200),0,400,1)=Data!A111))=1</f>
        <v>1</v>
      </c>
      <c r="Y111" s="26" t="b">
        <f t="array" aca="1" ref="Y111" ca="1">IF(UPPER(Data!C111)="START",SUM((OFFSET(Data!C111,MAX(ROW(Data!$C$5)-ROW(Data!C111),-200),0,400,1)="START")*(OFFSET(Data!A111,MAX(ROW(Data!$B$5)-ROW(Data!B111),-200),0,400,1)=Data!A111))=1,TRUE)</f>
        <v>1</v>
      </c>
      <c r="Z111" s="26" t="b">
        <f t="array" aca="1" ref="Z111" ca="1">IF(UPPER(Data!C111)="END",SUM((OFFSET(Data!C111,MAX(ROW(Data!$C$5)-ROW(Data!C111),-200),0,400,1)="END")*(OFFSET(Data!A111,MAX(ROW(Data!$B$5)-ROW(Data!B111),-200),0,400,1)=Data!A111))=1,TRUE)</f>
        <v>1</v>
      </c>
      <c r="AA111" s="26" t="b">
        <f>IF(Checks!C111,ISERROR(FIND("&amp;",Data!D111)),TRUE)</f>
        <v>1</v>
      </c>
      <c r="AB111" s="26" t="b">
        <f>IF(Checks!$C111,IF(AND(UPPER(Data!$C111)&lt;&gt;"START",UPPER(Data!$C111)&lt;&gt;"DATA OBJECT",Data!E111&lt;&gt;""),NOT(ISERROR(MATCH(Data!$A111&amp;"||"&amp;Data!E111,Key,0))),TRUE),TRUE)</f>
        <v>1</v>
      </c>
      <c r="AC111" s="27" t="b">
        <f>IF(Checks!C111,IF(UPPER(Data!C111)="END",Data!E111&lt;&gt;"",TRUE),TRUE)</f>
        <v>1</v>
      </c>
    </row>
    <row r="112" spans="1:29" x14ac:dyDescent="0.25">
      <c r="A112" s="1" t="str">
        <f>Data!A112&amp;"||"&amp;Data!B112</f>
        <v>Miscellaneous/subflow/irmifrs9_get_scenarios.bpmn||001_01_00</v>
      </c>
      <c r="B112" s="19"/>
      <c r="C112" s="24" t="b">
        <f>AND(UPPER(Data!A112)&lt;&gt;"EMPTY",Data!B112&lt;&gt;"")</f>
        <v>1</v>
      </c>
      <c r="D112" s="1"/>
      <c r="E112" s="25" t="b">
        <f t="shared" ca="1" si="2"/>
        <v>1</v>
      </c>
      <c r="F112" s="26" t="b">
        <f ca="1">IF(UPPER(Data!C112)="SUB PROCESS",NOT(ISERROR(MATCH(RIGHT(Data!BY112,LEN(Data!BY112)-5),OFFSET(Data,0,0,ItemsCount,1),0))),TRUE)</f>
        <v>1</v>
      </c>
      <c r="G112" s="26" t="b">
        <f ca="1">IF(MID(UPPER(Data!A112),1,13)="MISCELLANEOUS",NOT(ISERROR(MATCH("path="&amp;Data!A112,OFFSET(Data,0,76,ItemsCount,1),0))),TRUE)</f>
        <v>1</v>
      </c>
      <c r="L112" s="25" t="b">
        <f t="shared" ca="1" si="3"/>
        <v>1</v>
      </c>
      <c r="M112" s="24" t="b">
        <f>IF(Checks!$C112,Data!A112&lt;&gt;"",TRUE)</f>
        <v>1</v>
      </c>
      <c r="N112" s="26" t="b">
        <f>IF(Checks!C112,Data!B112&lt;&gt;"",TRUE)</f>
        <v>1</v>
      </c>
      <c r="O112" s="26" t="b">
        <f>IF(Checks!C112,IF(AND(UPPER(Data!C112)="SERVICE TASK",UPPER(Data!BZ112)="TYPE=SAS"),NodeExists(TRIM(RIGHT(Data!CA112,LEN(Data!CA112)-FIND("=",Data!CA112)))),TRUE),TRUE)</f>
        <v>1</v>
      </c>
      <c r="P112" s="26" t="b">
        <f>IF(Checks!C112,IF(Data!C112="DATA OBJECT",OR(AND(Data!BW112&lt;&gt;"",Data!BX112=""),AND(Data!BW112="",Data!BX112&lt;&gt;"")),TRUE),TRUE)</f>
        <v>1</v>
      </c>
      <c r="Q112" s="26" t="b">
        <f>IF(Checks!C112,UPPER(RIGHT(Data!A112,5))=".BPMN",TRUE)</f>
        <v>1</v>
      </c>
      <c r="R112" s="26" t="b">
        <f>IF(Checks!C112,IF(UPPER(Data!C112)="SUB PROCESS",UPPER(RIGHT(Data!BY112,5))=".BPMN",TRUE),TRUE)</f>
        <v>1</v>
      </c>
      <c r="S112" s="26" t="b">
        <f>IF(Checks!C112,IF(UPPER(Data!C112)="SERVICE TASK",IF(UPPER(Data!BZ112)="TYPE=SAS",UPPER(RIGHT(Data!CA112,4))=".SAS",TRUE),TRUE),TRUE)</f>
        <v>1</v>
      </c>
      <c r="T112" s="26" t="b">
        <f>IF(Checks!C112,IF(Data!B112&lt;&gt;"",Data!D112&lt;&gt;"",TRUE),TRUE)</f>
        <v>1</v>
      </c>
      <c r="U112" s="26" t="b">
        <f ca="1">IF(Checks!C112,IF(UPPER(Data!C112)="DATA OBJECT",NOT(ISERROR(MATCH(Data!A112&amp;"||"&amp;Data!BW112&amp;Data!BX112,Key,0))),TRUE),TRUE)</f>
        <v>1</v>
      </c>
      <c r="V112" s="26" t="b">
        <f>IF(Checks!C112,IF(UPPER(Data!C112)="SUB PROCESS",Data!BY112&lt;&gt;"",TRUE),TRUE)</f>
        <v>1</v>
      </c>
      <c r="W112" s="26" t="b">
        <f>IF(Checks!C112,IF(UPPER(Data!C112)="SERVICE TASK",AND(Data!BZ112&lt;&gt;"",Data!CA112&lt;&gt;""),TRUE),TRUE)</f>
        <v>1</v>
      </c>
      <c r="X112" s="26" t="b">
        <f t="array" aca="1" ref="X112" ca="1">SUM((OFFSET(Data!B112,MAX(ROW(Data!$B$5)-ROW(Data!B112),-200),0,400,1)=Data!B112)*(OFFSET(Data!A112,MAX(ROW(Data!$B$5)-ROW(Data!B112),-200),0,400,1)=Data!A112))=1</f>
        <v>1</v>
      </c>
      <c r="Y112" s="26" t="b">
        <f t="array" aca="1" ref="Y112" ca="1">IF(UPPER(Data!C112)="START",SUM((OFFSET(Data!C112,MAX(ROW(Data!$C$5)-ROW(Data!C112),-200),0,400,1)="START")*(OFFSET(Data!A112,MAX(ROW(Data!$B$5)-ROW(Data!B112),-200),0,400,1)=Data!A112))=1,TRUE)</f>
        <v>1</v>
      </c>
      <c r="Z112" s="26" t="b">
        <f t="array" aca="1" ref="Z112" ca="1">IF(UPPER(Data!C112)="END",SUM((OFFSET(Data!C112,MAX(ROW(Data!$C$5)-ROW(Data!C112),-200),0,400,1)="END")*(OFFSET(Data!A112,MAX(ROW(Data!$B$5)-ROW(Data!B112),-200),0,400,1)=Data!A112))=1,TRUE)</f>
        <v>1</v>
      </c>
      <c r="AA112" s="26" t="b">
        <f>IF(Checks!C112,ISERROR(FIND("&amp;",Data!D112)),TRUE)</f>
        <v>1</v>
      </c>
      <c r="AB112" s="26" t="b">
        <f>IF(Checks!$C112,IF(AND(UPPER(Data!$C112)&lt;&gt;"START",UPPER(Data!$C112)&lt;&gt;"DATA OBJECT",Data!E112&lt;&gt;""),NOT(ISERROR(MATCH(Data!$A112&amp;"||"&amp;Data!E112,Key,0))),TRUE),TRUE)</f>
        <v>1</v>
      </c>
      <c r="AC112" s="27" t="b">
        <f>IF(Checks!C112,IF(UPPER(Data!C112)="END",Data!E112&lt;&gt;"",TRUE),TRUE)</f>
        <v>1</v>
      </c>
    </row>
    <row r="113" spans="1:29" x14ac:dyDescent="0.25">
      <c r="A113" s="1" t="str">
        <f>Data!A113&amp;"||"&amp;Data!B113</f>
        <v>Miscellaneous/subflow/irmifrs9_get_scenarios.bpmn||010_00_00</v>
      </c>
      <c r="B113" s="19"/>
      <c r="C113" s="24" t="b">
        <f>AND(UPPER(Data!A113)&lt;&gt;"EMPTY",Data!B113&lt;&gt;"")</f>
        <v>1</v>
      </c>
      <c r="D113" s="1"/>
      <c r="E113" s="25" t="b">
        <f t="shared" ca="1" si="2"/>
        <v>1</v>
      </c>
      <c r="F113" s="26" t="b">
        <f ca="1">IF(UPPER(Data!C113)="SUB PROCESS",NOT(ISERROR(MATCH(RIGHT(Data!BY113,LEN(Data!BY113)-5),OFFSET(Data,0,0,ItemsCount,1),0))),TRUE)</f>
        <v>1</v>
      </c>
      <c r="G113" s="26" t="b">
        <f ca="1">IF(MID(UPPER(Data!A113),1,13)="MISCELLANEOUS",NOT(ISERROR(MATCH("path="&amp;Data!A113,OFFSET(Data,0,76,ItemsCount,1),0))),TRUE)</f>
        <v>1</v>
      </c>
      <c r="L113" s="25" t="b">
        <f t="shared" ca="1" si="3"/>
        <v>1</v>
      </c>
      <c r="M113" s="24" t="b">
        <f>IF(Checks!$C113,Data!A113&lt;&gt;"",TRUE)</f>
        <v>1</v>
      </c>
      <c r="N113" s="26" t="b">
        <f>IF(Checks!C113,Data!B113&lt;&gt;"",TRUE)</f>
        <v>1</v>
      </c>
      <c r="O113" s="26" t="b">
        <f>IF(Checks!C113,IF(AND(UPPER(Data!C113)="SERVICE TASK",UPPER(Data!BZ113)="TYPE=SAS"),NodeExists(TRIM(RIGHT(Data!CA113,LEN(Data!CA113)-FIND("=",Data!CA113)))),TRUE),TRUE)</f>
        <v>1</v>
      </c>
      <c r="P113" s="26" t="b">
        <f>IF(Checks!C113,IF(Data!C113="DATA OBJECT",OR(AND(Data!BW113&lt;&gt;"",Data!BX113=""),AND(Data!BW113="",Data!BX113&lt;&gt;"")),TRUE),TRUE)</f>
        <v>1</v>
      </c>
      <c r="Q113" s="26" t="b">
        <f>IF(Checks!C113,UPPER(RIGHT(Data!A113,5))=".BPMN",TRUE)</f>
        <v>1</v>
      </c>
      <c r="R113" s="26" t="b">
        <f>IF(Checks!C113,IF(UPPER(Data!C113)="SUB PROCESS",UPPER(RIGHT(Data!BY113,5))=".BPMN",TRUE),TRUE)</f>
        <v>1</v>
      </c>
      <c r="S113" s="26" t="b">
        <f>IF(Checks!C113,IF(UPPER(Data!C113)="SERVICE TASK",IF(UPPER(Data!BZ113)="TYPE=SAS",UPPER(RIGHT(Data!CA113,4))=".SAS",TRUE),TRUE),TRUE)</f>
        <v>1</v>
      </c>
      <c r="T113" s="26" t="b">
        <f>IF(Checks!C113,IF(Data!B113&lt;&gt;"",Data!D113&lt;&gt;"",TRUE),TRUE)</f>
        <v>1</v>
      </c>
      <c r="U113" s="26" t="b">
        <f>IF(Checks!C113,IF(UPPER(Data!C113)="DATA OBJECT",NOT(ISERROR(MATCH(Data!A113&amp;"||"&amp;Data!BW113&amp;Data!BX113,Key,0))),TRUE),TRUE)</f>
        <v>1</v>
      </c>
      <c r="V113" s="26" t="b">
        <f>IF(Checks!C113,IF(UPPER(Data!C113)="SUB PROCESS",Data!BY113&lt;&gt;"",TRUE),TRUE)</f>
        <v>1</v>
      </c>
      <c r="W113" s="26" t="b">
        <f>IF(Checks!C113,IF(UPPER(Data!C113)="SERVICE TASK",AND(Data!BZ113&lt;&gt;"",Data!CA113&lt;&gt;""),TRUE),TRUE)</f>
        <v>1</v>
      </c>
      <c r="X113" s="26" t="b">
        <f t="array" aca="1" ref="X113" ca="1">SUM((OFFSET(Data!B113,MAX(ROW(Data!$B$5)-ROW(Data!B113),-200),0,400,1)=Data!B113)*(OFFSET(Data!A113,MAX(ROW(Data!$B$5)-ROW(Data!B113),-200),0,400,1)=Data!A113))=1</f>
        <v>1</v>
      </c>
      <c r="Y113" s="26" t="b">
        <f t="array" aca="1" ref="Y113" ca="1">IF(UPPER(Data!C113)="START",SUM((OFFSET(Data!C113,MAX(ROW(Data!$C$5)-ROW(Data!C113),-200),0,400,1)="START")*(OFFSET(Data!A113,MAX(ROW(Data!$B$5)-ROW(Data!B113),-200),0,400,1)=Data!A113))=1,TRUE)</f>
        <v>1</v>
      </c>
      <c r="Z113" s="26" t="b">
        <f t="array" aca="1" ref="Z113" ca="1">IF(UPPER(Data!C113)="END",SUM((OFFSET(Data!C113,MAX(ROW(Data!$C$5)-ROW(Data!C113),-200),0,400,1)="END")*(OFFSET(Data!A113,MAX(ROW(Data!$B$5)-ROW(Data!B113),-200),0,400,1)=Data!A113))=1,TRUE)</f>
        <v>1</v>
      </c>
      <c r="AA113" s="26" t="b">
        <f>IF(Checks!C113,ISERROR(FIND("&amp;",Data!D113)),TRUE)</f>
        <v>1</v>
      </c>
      <c r="AB113" s="26" t="b">
        <f ca="1">IF(Checks!$C113,IF(AND(UPPER(Data!$C113)&lt;&gt;"START",UPPER(Data!$C113)&lt;&gt;"DATA OBJECT",Data!E113&lt;&gt;""),NOT(ISERROR(MATCH(Data!$A113&amp;"||"&amp;Data!E113,Key,0))),TRUE),TRUE)</f>
        <v>1</v>
      </c>
      <c r="AC113" s="27" t="b">
        <f>IF(Checks!C113,IF(UPPER(Data!C113)="END",Data!E113&lt;&gt;"",TRUE),TRUE)</f>
        <v>1</v>
      </c>
    </row>
    <row r="114" spans="1:29" x14ac:dyDescent="0.25">
      <c r="A114" s="1" t="str">
        <f>Data!A114&amp;"||"&amp;Data!B114</f>
        <v>Miscellaneous/subflow/irmifrs9_get_scenarios.bpmn||010_00_01</v>
      </c>
      <c r="B114" s="19"/>
      <c r="C114" s="24" t="b">
        <f>AND(UPPER(Data!A114)&lt;&gt;"EMPTY",Data!B114&lt;&gt;"")</f>
        <v>1</v>
      </c>
      <c r="D114" s="1"/>
      <c r="E114" s="25" t="b">
        <f t="shared" ca="1" si="2"/>
        <v>1</v>
      </c>
      <c r="F114" s="26" t="b">
        <f ca="1">IF(UPPER(Data!C114)="SUB PROCESS",NOT(ISERROR(MATCH(RIGHT(Data!BY114,LEN(Data!BY114)-5),OFFSET(Data,0,0,ItemsCount,1),0))),TRUE)</f>
        <v>1</v>
      </c>
      <c r="G114" s="26" t="b">
        <f ca="1">IF(MID(UPPER(Data!A114),1,13)="MISCELLANEOUS",NOT(ISERROR(MATCH("path="&amp;Data!A114,OFFSET(Data,0,76,ItemsCount,1),0))),TRUE)</f>
        <v>1</v>
      </c>
      <c r="L114" s="25" t="b">
        <f t="shared" ca="1" si="3"/>
        <v>1</v>
      </c>
      <c r="M114" s="24" t="b">
        <f>IF(Checks!$C114,Data!A114&lt;&gt;"",TRUE)</f>
        <v>1</v>
      </c>
      <c r="N114" s="26" t="b">
        <f>IF(Checks!C114,Data!B114&lt;&gt;"",TRUE)</f>
        <v>1</v>
      </c>
      <c r="O114" s="26" t="b">
        <f>IF(Checks!C114,IF(AND(UPPER(Data!C114)="SERVICE TASK",UPPER(Data!BZ114)="TYPE=SAS"),NodeExists(TRIM(RIGHT(Data!CA114,LEN(Data!CA114)-FIND("=",Data!CA114)))),TRUE),TRUE)</f>
        <v>1</v>
      </c>
      <c r="P114" s="26" t="b">
        <f>IF(Checks!C114,IF(Data!C114="DATA OBJECT",OR(AND(Data!BW114&lt;&gt;"",Data!BX114=""),AND(Data!BW114="",Data!BX114&lt;&gt;"")),TRUE),TRUE)</f>
        <v>1</v>
      </c>
      <c r="Q114" s="26" t="b">
        <f>IF(Checks!C114,UPPER(RIGHT(Data!A114,5))=".BPMN",TRUE)</f>
        <v>1</v>
      </c>
      <c r="R114" s="26" t="b">
        <f>IF(Checks!C114,IF(UPPER(Data!C114)="SUB PROCESS",UPPER(RIGHT(Data!BY114,5))=".BPMN",TRUE),TRUE)</f>
        <v>1</v>
      </c>
      <c r="S114" s="26" t="b">
        <f>IF(Checks!C114,IF(UPPER(Data!C114)="SERVICE TASK",IF(UPPER(Data!BZ114)="TYPE=SAS",UPPER(RIGHT(Data!CA114,4))=".SAS",TRUE),TRUE),TRUE)</f>
        <v>1</v>
      </c>
      <c r="T114" s="26" t="b">
        <f>IF(Checks!C114,IF(Data!B114&lt;&gt;"",Data!D114&lt;&gt;"",TRUE),TRUE)</f>
        <v>1</v>
      </c>
      <c r="U114" s="26" t="b">
        <f ca="1">IF(Checks!C114,IF(UPPER(Data!C114)="DATA OBJECT",NOT(ISERROR(MATCH(Data!A114&amp;"||"&amp;Data!BW114&amp;Data!BX114,Key,0))),TRUE),TRUE)</f>
        <v>1</v>
      </c>
      <c r="V114" s="26" t="b">
        <f>IF(Checks!C114,IF(UPPER(Data!C114)="SUB PROCESS",Data!BY114&lt;&gt;"",TRUE),TRUE)</f>
        <v>1</v>
      </c>
      <c r="W114" s="26" t="b">
        <f>IF(Checks!C114,IF(UPPER(Data!C114)="SERVICE TASK",AND(Data!BZ114&lt;&gt;"",Data!CA114&lt;&gt;""),TRUE),TRUE)</f>
        <v>1</v>
      </c>
      <c r="X114" s="26" t="b">
        <f t="array" aca="1" ref="X114" ca="1">SUM((OFFSET(Data!B114,MAX(ROW(Data!$B$5)-ROW(Data!B114),-200),0,400,1)=Data!B114)*(OFFSET(Data!A114,MAX(ROW(Data!$B$5)-ROW(Data!B114),-200),0,400,1)=Data!A114))=1</f>
        <v>1</v>
      </c>
      <c r="Y114" s="26" t="b">
        <f t="array" aca="1" ref="Y114" ca="1">IF(UPPER(Data!C114)="START",SUM((OFFSET(Data!C114,MAX(ROW(Data!$C$5)-ROW(Data!C114),-200),0,400,1)="START")*(OFFSET(Data!A114,MAX(ROW(Data!$B$5)-ROW(Data!B114),-200),0,400,1)=Data!A114))=1,TRUE)</f>
        <v>1</v>
      </c>
      <c r="Z114" s="26" t="b">
        <f t="array" aca="1" ref="Z114" ca="1">IF(UPPER(Data!C114)="END",SUM((OFFSET(Data!C114,MAX(ROW(Data!$C$5)-ROW(Data!C114),-200),0,400,1)="END")*(OFFSET(Data!A114,MAX(ROW(Data!$B$5)-ROW(Data!B114),-200),0,400,1)=Data!A114))=1,TRUE)</f>
        <v>1</v>
      </c>
      <c r="AA114" s="26" t="b">
        <f>IF(Checks!C114,ISERROR(FIND("&amp;",Data!D114)),TRUE)</f>
        <v>1</v>
      </c>
      <c r="AB114" s="26" t="b">
        <f>IF(Checks!$C114,IF(AND(UPPER(Data!$C114)&lt;&gt;"START",UPPER(Data!$C114)&lt;&gt;"DATA OBJECT",Data!E114&lt;&gt;""),NOT(ISERROR(MATCH(Data!$A114&amp;"||"&amp;Data!E114,Key,0))),TRUE),TRUE)</f>
        <v>1</v>
      </c>
      <c r="AC114" s="27" t="b">
        <f>IF(Checks!C114,IF(UPPER(Data!C114)="END",Data!E114&lt;&gt;"",TRUE),TRUE)</f>
        <v>1</v>
      </c>
    </row>
    <row r="115" spans="1:29" x14ac:dyDescent="0.25">
      <c r="A115" s="1" t="str">
        <f>Data!A115&amp;"||"&amp;Data!B115</f>
        <v>Miscellaneous/subflow/irmifrs9_get_scenarios.bpmn||010_00_02</v>
      </c>
      <c r="B115" s="19"/>
      <c r="C115" s="24" t="b">
        <f>AND(UPPER(Data!A115)&lt;&gt;"EMPTY",Data!B115&lt;&gt;"")</f>
        <v>1</v>
      </c>
      <c r="D115" s="1"/>
      <c r="E115" s="25" t="b">
        <f t="shared" ca="1" si="2"/>
        <v>1</v>
      </c>
      <c r="F115" s="26" t="b">
        <f ca="1">IF(UPPER(Data!C115)="SUB PROCESS",NOT(ISERROR(MATCH(RIGHT(Data!BY115,LEN(Data!BY115)-5),OFFSET(Data,0,0,ItemsCount,1),0))),TRUE)</f>
        <v>1</v>
      </c>
      <c r="G115" s="26" t="b">
        <f ca="1">IF(MID(UPPER(Data!A115),1,13)="MISCELLANEOUS",NOT(ISERROR(MATCH("path="&amp;Data!A115,OFFSET(Data,0,76,ItemsCount,1),0))),TRUE)</f>
        <v>1</v>
      </c>
      <c r="L115" s="25" t="b">
        <f t="shared" ca="1" si="3"/>
        <v>1</v>
      </c>
      <c r="M115" s="24" t="b">
        <f>IF(Checks!$C115,Data!A115&lt;&gt;"",TRUE)</f>
        <v>1</v>
      </c>
      <c r="N115" s="26" t="b">
        <f>IF(Checks!C115,Data!B115&lt;&gt;"",TRUE)</f>
        <v>1</v>
      </c>
      <c r="O115" s="26" t="b">
        <f>IF(Checks!C115,IF(AND(UPPER(Data!C115)="SERVICE TASK",UPPER(Data!BZ115)="TYPE=SAS"),NodeExists(TRIM(RIGHT(Data!CA115,LEN(Data!CA115)-FIND("=",Data!CA115)))),TRUE),TRUE)</f>
        <v>1</v>
      </c>
      <c r="P115" s="26" t="b">
        <f>IF(Checks!C115,IF(Data!C115="DATA OBJECT",OR(AND(Data!BW115&lt;&gt;"",Data!BX115=""),AND(Data!BW115="",Data!BX115&lt;&gt;"")),TRUE),TRUE)</f>
        <v>1</v>
      </c>
      <c r="Q115" s="26" t="b">
        <f>IF(Checks!C115,UPPER(RIGHT(Data!A115,5))=".BPMN",TRUE)</f>
        <v>1</v>
      </c>
      <c r="R115" s="26" t="b">
        <f>IF(Checks!C115,IF(UPPER(Data!C115)="SUB PROCESS",UPPER(RIGHT(Data!BY115,5))=".BPMN",TRUE),TRUE)</f>
        <v>1</v>
      </c>
      <c r="S115" s="26" t="b">
        <f>IF(Checks!C115,IF(UPPER(Data!C115)="SERVICE TASK",IF(UPPER(Data!BZ115)="TYPE=SAS",UPPER(RIGHT(Data!CA115,4))=".SAS",TRUE),TRUE),TRUE)</f>
        <v>1</v>
      </c>
      <c r="T115" s="26" t="b">
        <f>IF(Checks!C115,IF(Data!B115&lt;&gt;"",Data!D115&lt;&gt;"",TRUE),TRUE)</f>
        <v>1</v>
      </c>
      <c r="U115" s="26" t="b">
        <f ca="1">IF(Checks!C115,IF(UPPER(Data!C115)="DATA OBJECT",NOT(ISERROR(MATCH(Data!A115&amp;"||"&amp;Data!BW115&amp;Data!BX115,Key,0))),TRUE),TRUE)</f>
        <v>1</v>
      </c>
      <c r="V115" s="26" t="b">
        <f>IF(Checks!C115,IF(UPPER(Data!C115)="SUB PROCESS",Data!BY115&lt;&gt;"",TRUE),TRUE)</f>
        <v>1</v>
      </c>
      <c r="W115" s="26" t="b">
        <f>IF(Checks!C115,IF(UPPER(Data!C115)="SERVICE TASK",AND(Data!BZ115&lt;&gt;"",Data!CA115&lt;&gt;""),TRUE),TRUE)</f>
        <v>1</v>
      </c>
      <c r="X115" s="26" t="b">
        <f t="array" aca="1" ref="X115" ca="1">SUM((OFFSET(Data!B115,MAX(ROW(Data!$B$5)-ROW(Data!B115),-200),0,400,1)=Data!B115)*(OFFSET(Data!A115,MAX(ROW(Data!$B$5)-ROW(Data!B115),-200),0,400,1)=Data!A115))=1</f>
        <v>1</v>
      </c>
      <c r="Y115" s="26" t="b">
        <f t="array" aca="1" ref="Y115" ca="1">IF(UPPER(Data!C115)="START",SUM((OFFSET(Data!C115,MAX(ROW(Data!$C$5)-ROW(Data!C115),-200),0,400,1)="START")*(OFFSET(Data!A115,MAX(ROW(Data!$B$5)-ROW(Data!B115),-200),0,400,1)=Data!A115))=1,TRUE)</f>
        <v>1</v>
      </c>
      <c r="Z115" s="26" t="b">
        <f t="array" aca="1" ref="Z115" ca="1">IF(UPPER(Data!C115)="END",SUM((OFFSET(Data!C115,MAX(ROW(Data!$C$5)-ROW(Data!C115),-200),0,400,1)="END")*(OFFSET(Data!A115,MAX(ROW(Data!$B$5)-ROW(Data!B115),-200),0,400,1)=Data!A115))=1,TRUE)</f>
        <v>1</v>
      </c>
      <c r="AA115" s="26" t="b">
        <f>IF(Checks!C115,ISERROR(FIND("&amp;",Data!D115)),TRUE)</f>
        <v>1</v>
      </c>
      <c r="AB115" s="26" t="b">
        <f>IF(Checks!$C115,IF(AND(UPPER(Data!$C115)&lt;&gt;"START",UPPER(Data!$C115)&lt;&gt;"DATA OBJECT",Data!E115&lt;&gt;""),NOT(ISERROR(MATCH(Data!$A115&amp;"||"&amp;Data!E115,Key,0))),TRUE),TRUE)</f>
        <v>1</v>
      </c>
      <c r="AC115" s="27" t="b">
        <f>IF(Checks!C115,IF(UPPER(Data!C115)="END",Data!E115&lt;&gt;"",TRUE),TRUE)</f>
        <v>1</v>
      </c>
    </row>
    <row r="116" spans="1:29" x14ac:dyDescent="0.25">
      <c r="A116" s="1" t="str">
        <f>Data!A116&amp;"||"&amp;Data!B116</f>
        <v>Miscellaneous/subflow/irmifrs9_get_scenarios.bpmn||010_01_00</v>
      </c>
      <c r="B116" s="19"/>
      <c r="C116" s="24" t="b">
        <f>AND(UPPER(Data!A116)&lt;&gt;"EMPTY",Data!B116&lt;&gt;"")</f>
        <v>1</v>
      </c>
      <c r="D116" s="1"/>
      <c r="E116" s="25" t="b">
        <f t="shared" ca="1" si="2"/>
        <v>1</v>
      </c>
      <c r="F116" s="26" t="b">
        <f ca="1">IF(UPPER(Data!C116)="SUB PROCESS",NOT(ISERROR(MATCH(RIGHT(Data!BY116,LEN(Data!BY116)-5),OFFSET(Data,0,0,ItemsCount,1),0))),TRUE)</f>
        <v>1</v>
      </c>
      <c r="G116" s="26" t="b">
        <f ca="1">IF(MID(UPPER(Data!A116),1,13)="MISCELLANEOUS",NOT(ISERROR(MATCH("path="&amp;Data!A116,OFFSET(Data,0,76,ItemsCount,1),0))),TRUE)</f>
        <v>1</v>
      </c>
      <c r="L116" s="25" t="b">
        <f t="shared" ca="1" si="3"/>
        <v>1</v>
      </c>
      <c r="M116" s="24" t="b">
        <f>IF(Checks!$C116,Data!A116&lt;&gt;"",TRUE)</f>
        <v>1</v>
      </c>
      <c r="N116" s="26" t="b">
        <f>IF(Checks!C116,Data!B116&lt;&gt;"",TRUE)</f>
        <v>1</v>
      </c>
      <c r="O116" s="26" t="b">
        <f>IF(Checks!C116,IF(AND(UPPER(Data!C116)="SERVICE TASK",UPPER(Data!BZ116)="TYPE=SAS"),NodeExists(TRIM(RIGHT(Data!CA116,LEN(Data!CA116)-FIND("=",Data!CA116)))),TRUE),TRUE)</f>
        <v>1</v>
      </c>
      <c r="P116" s="26" t="b">
        <f>IF(Checks!C116,IF(Data!C116="DATA OBJECT",OR(AND(Data!BW116&lt;&gt;"",Data!BX116=""),AND(Data!BW116="",Data!BX116&lt;&gt;"")),TRUE),TRUE)</f>
        <v>1</v>
      </c>
      <c r="Q116" s="26" t="b">
        <f>IF(Checks!C116,UPPER(RIGHT(Data!A116,5))=".BPMN",TRUE)</f>
        <v>1</v>
      </c>
      <c r="R116" s="26" t="b">
        <f>IF(Checks!C116,IF(UPPER(Data!C116)="SUB PROCESS",UPPER(RIGHT(Data!BY116,5))=".BPMN",TRUE),TRUE)</f>
        <v>1</v>
      </c>
      <c r="S116" s="26" t="b">
        <f>IF(Checks!C116,IF(UPPER(Data!C116)="SERVICE TASK",IF(UPPER(Data!BZ116)="TYPE=SAS",UPPER(RIGHT(Data!CA116,4))=".SAS",TRUE),TRUE),TRUE)</f>
        <v>1</v>
      </c>
      <c r="T116" s="26" t="b">
        <f>IF(Checks!C116,IF(Data!B116&lt;&gt;"",Data!D116&lt;&gt;"",TRUE),TRUE)</f>
        <v>1</v>
      </c>
      <c r="U116" s="26" t="b">
        <f ca="1">IF(Checks!C116,IF(UPPER(Data!C116)="DATA OBJECT",NOT(ISERROR(MATCH(Data!A116&amp;"||"&amp;Data!BW116&amp;Data!BX116,Key,0))),TRUE),TRUE)</f>
        <v>1</v>
      </c>
      <c r="V116" s="26" t="b">
        <f>IF(Checks!C116,IF(UPPER(Data!C116)="SUB PROCESS",Data!BY116&lt;&gt;"",TRUE),TRUE)</f>
        <v>1</v>
      </c>
      <c r="W116" s="26" t="b">
        <f>IF(Checks!C116,IF(UPPER(Data!C116)="SERVICE TASK",AND(Data!BZ116&lt;&gt;"",Data!CA116&lt;&gt;""),TRUE),TRUE)</f>
        <v>1</v>
      </c>
      <c r="X116" s="26" t="b">
        <f t="array" aca="1" ref="X116" ca="1">SUM((OFFSET(Data!B116,MAX(ROW(Data!$B$5)-ROW(Data!B116),-200),0,400,1)=Data!B116)*(OFFSET(Data!A116,MAX(ROW(Data!$B$5)-ROW(Data!B116),-200),0,400,1)=Data!A116))=1</f>
        <v>1</v>
      </c>
      <c r="Y116" s="26" t="b">
        <f t="array" aca="1" ref="Y116" ca="1">IF(UPPER(Data!C116)="START",SUM((OFFSET(Data!C116,MAX(ROW(Data!$C$5)-ROW(Data!C116),-200),0,400,1)="START")*(OFFSET(Data!A116,MAX(ROW(Data!$B$5)-ROW(Data!B116),-200),0,400,1)=Data!A116))=1,TRUE)</f>
        <v>1</v>
      </c>
      <c r="Z116" s="26" t="b">
        <f t="array" aca="1" ref="Z116" ca="1">IF(UPPER(Data!C116)="END",SUM((OFFSET(Data!C116,MAX(ROW(Data!$C$5)-ROW(Data!C116),-200),0,400,1)="END")*(OFFSET(Data!A116,MAX(ROW(Data!$B$5)-ROW(Data!B116),-200),0,400,1)=Data!A116))=1,TRUE)</f>
        <v>1</v>
      </c>
      <c r="AA116" s="26" t="b">
        <f>IF(Checks!C116,ISERROR(FIND("&amp;",Data!D116)),TRUE)</f>
        <v>1</v>
      </c>
      <c r="AB116" s="26" t="b">
        <f>IF(Checks!$C116,IF(AND(UPPER(Data!$C116)&lt;&gt;"START",UPPER(Data!$C116)&lt;&gt;"DATA OBJECT",Data!E116&lt;&gt;""),NOT(ISERROR(MATCH(Data!$A116&amp;"||"&amp;Data!E116,Key,0))),TRUE),TRUE)</f>
        <v>1</v>
      </c>
      <c r="AC116" s="27" t="b">
        <f>IF(Checks!C116,IF(UPPER(Data!C116)="END",Data!E116&lt;&gt;"",TRUE),TRUE)</f>
        <v>1</v>
      </c>
    </row>
    <row r="117" spans="1:29" x14ac:dyDescent="0.25">
      <c r="A117" s="1" t="str">
        <f>Data!A117&amp;"||"&amp;Data!B117</f>
        <v>Miscellaneous/subflow/irmifrs9_get_scenarios.bpmn||020_00_00</v>
      </c>
      <c r="B117" s="19"/>
      <c r="C117" s="24" t="b">
        <f>AND(UPPER(Data!A117)&lt;&gt;"EMPTY",Data!B117&lt;&gt;"")</f>
        <v>1</v>
      </c>
      <c r="D117" s="1"/>
      <c r="E117" s="25" t="b">
        <f t="shared" ca="1" si="2"/>
        <v>1</v>
      </c>
      <c r="F117" s="26" t="b">
        <f ca="1">IF(UPPER(Data!C117)="SUB PROCESS",NOT(ISERROR(MATCH(RIGHT(Data!BY117,LEN(Data!BY117)-5),OFFSET(Data,0,0,ItemsCount,1),0))),TRUE)</f>
        <v>1</v>
      </c>
      <c r="G117" s="26" t="b">
        <f ca="1">IF(MID(UPPER(Data!A117),1,13)="MISCELLANEOUS",NOT(ISERROR(MATCH("path="&amp;Data!A117,OFFSET(Data,0,76,ItemsCount,1),0))),TRUE)</f>
        <v>1</v>
      </c>
      <c r="L117" s="25" t="b">
        <f t="shared" ca="1" si="3"/>
        <v>1</v>
      </c>
      <c r="M117" s="24" t="b">
        <f>IF(Checks!$C117,Data!A117&lt;&gt;"",TRUE)</f>
        <v>1</v>
      </c>
      <c r="N117" s="26" t="b">
        <f>IF(Checks!C117,Data!B117&lt;&gt;"",TRUE)</f>
        <v>1</v>
      </c>
      <c r="O117" s="26" t="b">
        <f>IF(Checks!C117,IF(AND(UPPER(Data!C117)="SERVICE TASK",UPPER(Data!BZ117)="TYPE=SAS"),NodeExists(TRIM(RIGHT(Data!CA117,LEN(Data!CA117)-FIND("=",Data!CA117)))),TRUE),TRUE)</f>
        <v>1</v>
      </c>
      <c r="P117" s="26" t="b">
        <f>IF(Checks!C117,IF(Data!C117="DATA OBJECT",OR(AND(Data!BW117&lt;&gt;"",Data!BX117=""),AND(Data!BW117="",Data!BX117&lt;&gt;"")),TRUE),TRUE)</f>
        <v>1</v>
      </c>
      <c r="Q117" s="26" t="b">
        <f>IF(Checks!C117,UPPER(RIGHT(Data!A117,5))=".BPMN",TRUE)</f>
        <v>1</v>
      </c>
      <c r="R117" s="26" t="b">
        <f>IF(Checks!C117,IF(UPPER(Data!C117)="SUB PROCESS",UPPER(RIGHT(Data!BY117,5))=".BPMN",TRUE),TRUE)</f>
        <v>1</v>
      </c>
      <c r="S117" s="26" t="b">
        <f>IF(Checks!C117,IF(UPPER(Data!C117)="SERVICE TASK",IF(UPPER(Data!BZ117)="TYPE=SAS",UPPER(RIGHT(Data!CA117,4))=".SAS",TRUE),TRUE),TRUE)</f>
        <v>1</v>
      </c>
      <c r="T117" s="26" t="b">
        <f>IF(Checks!C117,IF(Data!B117&lt;&gt;"",Data!D117&lt;&gt;"",TRUE),TRUE)</f>
        <v>1</v>
      </c>
      <c r="U117" s="26" t="b">
        <f>IF(Checks!C117,IF(UPPER(Data!C117)="DATA OBJECT",NOT(ISERROR(MATCH(Data!A117&amp;"||"&amp;Data!BW117&amp;Data!BX117,Key,0))),TRUE),TRUE)</f>
        <v>1</v>
      </c>
      <c r="V117" s="26" t="b">
        <f>IF(Checks!C117,IF(UPPER(Data!C117)="SUB PROCESS",Data!BY117&lt;&gt;"",TRUE),TRUE)</f>
        <v>1</v>
      </c>
      <c r="W117" s="26" t="b">
        <f>IF(Checks!C117,IF(UPPER(Data!C117)="SERVICE TASK",AND(Data!BZ117&lt;&gt;"",Data!CA117&lt;&gt;""),TRUE),TRUE)</f>
        <v>1</v>
      </c>
      <c r="X117" s="26" t="b">
        <f t="array" aca="1" ref="X117" ca="1">SUM((OFFSET(Data!B117,MAX(ROW(Data!$B$5)-ROW(Data!B117),-200),0,400,1)=Data!B117)*(OFFSET(Data!A117,MAX(ROW(Data!$B$5)-ROW(Data!B117),-200),0,400,1)=Data!A117))=1</f>
        <v>1</v>
      </c>
      <c r="Y117" s="26" t="b">
        <f t="array" aca="1" ref="Y117" ca="1">IF(UPPER(Data!C117)="START",SUM((OFFSET(Data!C117,MAX(ROW(Data!$C$5)-ROW(Data!C117),-200),0,400,1)="START")*(OFFSET(Data!A117,MAX(ROW(Data!$B$5)-ROW(Data!B117),-200),0,400,1)=Data!A117))=1,TRUE)</f>
        <v>1</v>
      </c>
      <c r="Z117" s="26" t="b">
        <f t="array" aca="1" ref="Z117" ca="1">IF(UPPER(Data!C117)="END",SUM((OFFSET(Data!C117,MAX(ROW(Data!$C$5)-ROW(Data!C117),-200),0,400,1)="END")*(OFFSET(Data!A117,MAX(ROW(Data!$B$5)-ROW(Data!B117),-200),0,400,1)=Data!A117))=1,TRUE)</f>
        <v>1</v>
      </c>
      <c r="AA117" s="26" t="b">
        <f>IF(Checks!C117,ISERROR(FIND("&amp;",Data!D117)),TRUE)</f>
        <v>1</v>
      </c>
      <c r="AB117" s="26" t="b">
        <f ca="1">IF(Checks!$C117,IF(AND(UPPER(Data!$C117)&lt;&gt;"START",UPPER(Data!$C117)&lt;&gt;"DATA OBJECT",Data!E117&lt;&gt;""),NOT(ISERROR(MATCH(Data!$A117&amp;"||"&amp;Data!E117,Key,0))),TRUE),TRUE)</f>
        <v>1</v>
      </c>
      <c r="AC117" s="27" t="b">
        <f>IF(Checks!C117,IF(UPPER(Data!C117)="END",Data!E117&lt;&gt;"",TRUE),TRUE)</f>
        <v>1</v>
      </c>
    </row>
    <row r="118" spans="1:29" x14ac:dyDescent="0.25">
      <c r="A118" s="1" t="str">
        <f>Data!A118&amp;"||"&amp;Data!B118</f>
        <v>Miscellaneous/subflow/irmifrs9_get_scenarios.bpmn||020_00_01</v>
      </c>
      <c r="B118" s="19"/>
      <c r="C118" s="24" t="b">
        <f>AND(UPPER(Data!A118)&lt;&gt;"EMPTY",Data!B118&lt;&gt;"")</f>
        <v>1</v>
      </c>
      <c r="D118" s="1"/>
      <c r="E118" s="25" t="b">
        <f t="shared" ca="1" si="2"/>
        <v>1</v>
      </c>
      <c r="F118" s="26" t="b">
        <f ca="1">IF(UPPER(Data!C118)="SUB PROCESS",NOT(ISERROR(MATCH(RIGHT(Data!BY118,LEN(Data!BY118)-5),OFFSET(Data,0,0,ItemsCount,1),0))),TRUE)</f>
        <v>1</v>
      </c>
      <c r="G118" s="26" t="b">
        <f ca="1">IF(MID(UPPER(Data!A118),1,13)="MISCELLANEOUS",NOT(ISERROR(MATCH("path="&amp;Data!A118,OFFSET(Data,0,76,ItemsCount,1),0))),TRUE)</f>
        <v>1</v>
      </c>
      <c r="L118" s="25" t="b">
        <f t="shared" ca="1" si="3"/>
        <v>1</v>
      </c>
      <c r="M118" s="24" t="b">
        <f>IF(Checks!$C118,Data!A118&lt;&gt;"",TRUE)</f>
        <v>1</v>
      </c>
      <c r="N118" s="26" t="b">
        <f>IF(Checks!C118,Data!B118&lt;&gt;"",TRUE)</f>
        <v>1</v>
      </c>
      <c r="O118" s="26" t="b">
        <f>IF(Checks!C118,IF(AND(UPPER(Data!C118)="SERVICE TASK",UPPER(Data!BZ118)="TYPE=SAS"),NodeExists(TRIM(RIGHT(Data!CA118,LEN(Data!CA118)-FIND("=",Data!CA118)))),TRUE),TRUE)</f>
        <v>1</v>
      </c>
      <c r="P118" s="26" t="b">
        <f>IF(Checks!C118,IF(Data!C118="DATA OBJECT",OR(AND(Data!BW118&lt;&gt;"",Data!BX118=""),AND(Data!BW118="",Data!BX118&lt;&gt;"")),TRUE),TRUE)</f>
        <v>1</v>
      </c>
      <c r="Q118" s="26" t="b">
        <f>IF(Checks!C118,UPPER(RIGHT(Data!A118,5))=".BPMN",TRUE)</f>
        <v>1</v>
      </c>
      <c r="R118" s="26" t="b">
        <f>IF(Checks!C118,IF(UPPER(Data!C118)="SUB PROCESS",UPPER(RIGHT(Data!BY118,5))=".BPMN",TRUE),TRUE)</f>
        <v>1</v>
      </c>
      <c r="S118" s="26" t="b">
        <f>IF(Checks!C118,IF(UPPER(Data!C118)="SERVICE TASK",IF(UPPER(Data!BZ118)="TYPE=SAS",UPPER(RIGHT(Data!CA118,4))=".SAS",TRUE),TRUE),TRUE)</f>
        <v>1</v>
      </c>
      <c r="T118" s="26" t="b">
        <f>IF(Checks!C118,IF(Data!B118&lt;&gt;"",Data!D118&lt;&gt;"",TRUE),TRUE)</f>
        <v>1</v>
      </c>
      <c r="U118" s="26" t="b">
        <f ca="1">IF(Checks!C118,IF(UPPER(Data!C118)="DATA OBJECT",NOT(ISERROR(MATCH(Data!A118&amp;"||"&amp;Data!BW118&amp;Data!BX118,Key,0))),TRUE),TRUE)</f>
        <v>1</v>
      </c>
      <c r="V118" s="26" t="b">
        <f>IF(Checks!C118,IF(UPPER(Data!C118)="SUB PROCESS",Data!BY118&lt;&gt;"",TRUE),TRUE)</f>
        <v>1</v>
      </c>
      <c r="W118" s="26" t="b">
        <f>IF(Checks!C118,IF(UPPER(Data!C118)="SERVICE TASK",AND(Data!BZ118&lt;&gt;"",Data!CA118&lt;&gt;""),TRUE),TRUE)</f>
        <v>1</v>
      </c>
      <c r="X118" s="26" t="b">
        <f t="array" aca="1" ref="X118" ca="1">SUM((OFFSET(Data!B118,MAX(ROW(Data!$B$5)-ROW(Data!B118),-200),0,400,1)=Data!B118)*(OFFSET(Data!A118,MAX(ROW(Data!$B$5)-ROW(Data!B118),-200),0,400,1)=Data!A118))=1</f>
        <v>1</v>
      </c>
      <c r="Y118" s="26" t="b">
        <f t="array" aca="1" ref="Y118" ca="1">IF(UPPER(Data!C118)="START",SUM((OFFSET(Data!C118,MAX(ROW(Data!$C$5)-ROW(Data!C118),-200),0,400,1)="START")*(OFFSET(Data!A118,MAX(ROW(Data!$B$5)-ROW(Data!B118),-200),0,400,1)=Data!A118))=1,TRUE)</f>
        <v>1</v>
      </c>
      <c r="Z118" s="26" t="b">
        <f t="array" aca="1" ref="Z118" ca="1">IF(UPPER(Data!C118)="END",SUM((OFFSET(Data!C118,MAX(ROW(Data!$C$5)-ROW(Data!C118),-200),0,400,1)="END")*(OFFSET(Data!A118,MAX(ROW(Data!$B$5)-ROW(Data!B118),-200),0,400,1)=Data!A118))=1,TRUE)</f>
        <v>1</v>
      </c>
      <c r="AA118" s="26" t="b">
        <f>IF(Checks!C118,ISERROR(FIND("&amp;",Data!D118)),TRUE)</f>
        <v>1</v>
      </c>
      <c r="AB118" s="26" t="b">
        <f>IF(Checks!$C118,IF(AND(UPPER(Data!$C118)&lt;&gt;"START",UPPER(Data!$C118)&lt;&gt;"DATA OBJECT",Data!E118&lt;&gt;""),NOT(ISERROR(MATCH(Data!$A118&amp;"||"&amp;Data!E118,Key,0))),TRUE),TRUE)</f>
        <v>1</v>
      </c>
      <c r="AC118" s="27" t="b">
        <f>IF(Checks!C118,IF(UPPER(Data!C118)="END",Data!E118&lt;&gt;"",TRUE),TRUE)</f>
        <v>1</v>
      </c>
    </row>
    <row r="119" spans="1:29" x14ac:dyDescent="0.25">
      <c r="A119" s="1" t="str">
        <f>Data!A119&amp;"||"&amp;Data!B119</f>
        <v>Miscellaneous/subflow/irmifrs9_get_scenarios.bpmn||020_00_02</v>
      </c>
      <c r="B119" s="19"/>
      <c r="C119" s="24" t="b">
        <f>AND(UPPER(Data!A119)&lt;&gt;"EMPTY",Data!B119&lt;&gt;"")</f>
        <v>1</v>
      </c>
      <c r="D119" s="1"/>
      <c r="E119" s="25" t="b">
        <f t="shared" ca="1" si="2"/>
        <v>1</v>
      </c>
      <c r="F119" s="26" t="b">
        <f ca="1">IF(UPPER(Data!C119)="SUB PROCESS",NOT(ISERROR(MATCH(RIGHT(Data!BY119,LEN(Data!BY119)-5),OFFSET(Data,0,0,ItemsCount,1),0))),TRUE)</f>
        <v>1</v>
      </c>
      <c r="G119" s="26" t="b">
        <f ca="1">IF(MID(UPPER(Data!A119),1,13)="MISCELLANEOUS",NOT(ISERROR(MATCH("path="&amp;Data!A119,OFFSET(Data,0,76,ItemsCount,1),0))),TRUE)</f>
        <v>1</v>
      </c>
      <c r="L119" s="25" t="b">
        <f t="shared" ca="1" si="3"/>
        <v>1</v>
      </c>
      <c r="M119" s="24" t="b">
        <f>IF(Checks!$C119,Data!A119&lt;&gt;"",TRUE)</f>
        <v>1</v>
      </c>
      <c r="N119" s="26" t="b">
        <f>IF(Checks!C119,Data!B119&lt;&gt;"",TRUE)</f>
        <v>1</v>
      </c>
      <c r="O119" s="26" t="b">
        <f>IF(Checks!C119,IF(AND(UPPER(Data!C119)="SERVICE TASK",UPPER(Data!BZ119)="TYPE=SAS"),NodeExists(TRIM(RIGHT(Data!CA119,LEN(Data!CA119)-FIND("=",Data!CA119)))),TRUE),TRUE)</f>
        <v>1</v>
      </c>
      <c r="P119" s="26" t="b">
        <f>IF(Checks!C119,IF(Data!C119="DATA OBJECT",OR(AND(Data!BW119&lt;&gt;"",Data!BX119=""),AND(Data!BW119="",Data!BX119&lt;&gt;"")),TRUE),TRUE)</f>
        <v>1</v>
      </c>
      <c r="Q119" s="26" t="b">
        <f>IF(Checks!C119,UPPER(RIGHT(Data!A119,5))=".BPMN",TRUE)</f>
        <v>1</v>
      </c>
      <c r="R119" s="26" t="b">
        <f>IF(Checks!C119,IF(UPPER(Data!C119)="SUB PROCESS",UPPER(RIGHT(Data!BY119,5))=".BPMN",TRUE),TRUE)</f>
        <v>1</v>
      </c>
      <c r="S119" s="26" t="b">
        <f>IF(Checks!C119,IF(UPPER(Data!C119)="SERVICE TASK",IF(UPPER(Data!BZ119)="TYPE=SAS",UPPER(RIGHT(Data!CA119,4))=".SAS",TRUE),TRUE),TRUE)</f>
        <v>1</v>
      </c>
      <c r="T119" s="26" t="b">
        <f>IF(Checks!C119,IF(Data!B119&lt;&gt;"",Data!D119&lt;&gt;"",TRUE),TRUE)</f>
        <v>1</v>
      </c>
      <c r="U119" s="26" t="b">
        <f ca="1">IF(Checks!C119,IF(UPPER(Data!C119)="DATA OBJECT",NOT(ISERROR(MATCH(Data!A119&amp;"||"&amp;Data!BW119&amp;Data!BX119,Key,0))),TRUE),TRUE)</f>
        <v>1</v>
      </c>
      <c r="V119" s="26" t="b">
        <f>IF(Checks!C119,IF(UPPER(Data!C119)="SUB PROCESS",Data!BY119&lt;&gt;"",TRUE),TRUE)</f>
        <v>1</v>
      </c>
      <c r="W119" s="26" t="b">
        <f>IF(Checks!C119,IF(UPPER(Data!C119)="SERVICE TASK",AND(Data!BZ119&lt;&gt;"",Data!CA119&lt;&gt;""),TRUE),TRUE)</f>
        <v>1</v>
      </c>
      <c r="X119" s="26" t="b">
        <f t="array" aca="1" ref="X119" ca="1">SUM((OFFSET(Data!B119,MAX(ROW(Data!$B$5)-ROW(Data!B119),-200),0,400,1)=Data!B119)*(OFFSET(Data!A119,MAX(ROW(Data!$B$5)-ROW(Data!B119),-200),0,400,1)=Data!A119))=1</f>
        <v>1</v>
      </c>
      <c r="Y119" s="26" t="b">
        <f t="array" aca="1" ref="Y119" ca="1">IF(UPPER(Data!C119)="START",SUM((OFFSET(Data!C119,MAX(ROW(Data!$C$5)-ROW(Data!C119),-200),0,400,1)="START")*(OFFSET(Data!A119,MAX(ROW(Data!$B$5)-ROW(Data!B119),-200),0,400,1)=Data!A119))=1,TRUE)</f>
        <v>1</v>
      </c>
      <c r="Z119" s="26" t="b">
        <f t="array" aca="1" ref="Z119" ca="1">IF(UPPER(Data!C119)="END",SUM((OFFSET(Data!C119,MAX(ROW(Data!$C$5)-ROW(Data!C119),-200),0,400,1)="END")*(OFFSET(Data!A119,MAX(ROW(Data!$B$5)-ROW(Data!B119),-200),0,400,1)=Data!A119))=1,TRUE)</f>
        <v>1</v>
      </c>
      <c r="AA119" s="26" t="b">
        <f>IF(Checks!C119,ISERROR(FIND("&amp;",Data!D119)),TRUE)</f>
        <v>1</v>
      </c>
      <c r="AB119" s="26" t="b">
        <f>IF(Checks!$C119,IF(AND(UPPER(Data!$C119)&lt;&gt;"START",UPPER(Data!$C119)&lt;&gt;"DATA OBJECT",Data!E119&lt;&gt;""),NOT(ISERROR(MATCH(Data!$A119&amp;"||"&amp;Data!E119,Key,0))),TRUE),TRUE)</f>
        <v>1</v>
      </c>
      <c r="AC119" s="27" t="b">
        <f>IF(Checks!C119,IF(UPPER(Data!C119)="END",Data!E119&lt;&gt;"",TRUE),TRUE)</f>
        <v>1</v>
      </c>
    </row>
    <row r="120" spans="1:29" x14ac:dyDescent="0.25">
      <c r="A120" s="1" t="str">
        <f>Data!A120&amp;"||"&amp;Data!B120</f>
        <v>Miscellaneous/subflow/irmifrs9_get_scenarios.bpmn||020_00_03</v>
      </c>
      <c r="B120" s="19"/>
      <c r="C120" s="24" t="b">
        <f>AND(UPPER(Data!A120)&lt;&gt;"EMPTY",Data!B120&lt;&gt;"")</f>
        <v>1</v>
      </c>
      <c r="D120" s="1"/>
      <c r="E120" s="25" t="b">
        <f t="shared" ca="1" si="2"/>
        <v>1</v>
      </c>
      <c r="F120" s="26" t="b">
        <f ca="1">IF(UPPER(Data!C120)="SUB PROCESS",NOT(ISERROR(MATCH(RIGHT(Data!BY120,LEN(Data!BY120)-5),OFFSET(Data,0,0,ItemsCount,1),0))),TRUE)</f>
        <v>1</v>
      </c>
      <c r="G120" s="26" t="b">
        <f ca="1">IF(MID(UPPER(Data!A120),1,13)="MISCELLANEOUS",NOT(ISERROR(MATCH("path="&amp;Data!A120,OFFSET(Data,0,76,ItemsCount,1),0))),TRUE)</f>
        <v>1</v>
      </c>
      <c r="L120" s="25" t="b">
        <f t="shared" ca="1" si="3"/>
        <v>1</v>
      </c>
      <c r="M120" s="24" t="b">
        <f>IF(Checks!$C120,Data!A120&lt;&gt;"",TRUE)</f>
        <v>1</v>
      </c>
      <c r="N120" s="26" t="b">
        <f>IF(Checks!C120,Data!B120&lt;&gt;"",TRUE)</f>
        <v>1</v>
      </c>
      <c r="O120" s="26" t="b">
        <f>IF(Checks!C120,IF(AND(UPPER(Data!C120)="SERVICE TASK",UPPER(Data!BZ120)="TYPE=SAS"),NodeExists(TRIM(RIGHT(Data!CA120,LEN(Data!CA120)-FIND("=",Data!CA120)))),TRUE),TRUE)</f>
        <v>1</v>
      </c>
      <c r="P120" s="26" t="b">
        <f>IF(Checks!C120,IF(Data!C120="DATA OBJECT",OR(AND(Data!BW120&lt;&gt;"",Data!BX120=""),AND(Data!BW120="",Data!BX120&lt;&gt;"")),TRUE),TRUE)</f>
        <v>1</v>
      </c>
      <c r="Q120" s="26" t="b">
        <f>IF(Checks!C120,UPPER(RIGHT(Data!A120,5))=".BPMN",TRUE)</f>
        <v>1</v>
      </c>
      <c r="R120" s="26" t="b">
        <f>IF(Checks!C120,IF(UPPER(Data!C120)="SUB PROCESS",UPPER(RIGHT(Data!BY120,5))=".BPMN",TRUE),TRUE)</f>
        <v>1</v>
      </c>
      <c r="S120" s="26" t="b">
        <f>IF(Checks!C120,IF(UPPER(Data!C120)="SERVICE TASK",IF(UPPER(Data!BZ120)="TYPE=SAS",UPPER(RIGHT(Data!CA120,4))=".SAS",TRUE),TRUE),TRUE)</f>
        <v>1</v>
      </c>
      <c r="T120" s="26" t="b">
        <f>IF(Checks!C120,IF(Data!B120&lt;&gt;"",Data!D120&lt;&gt;"",TRUE),TRUE)</f>
        <v>1</v>
      </c>
      <c r="U120" s="26" t="b">
        <f ca="1">IF(Checks!C120,IF(UPPER(Data!C120)="DATA OBJECT",NOT(ISERROR(MATCH(Data!A120&amp;"||"&amp;Data!BW120&amp;Data!BX120,Key,0))),TRUE),TRUE)</f>
        <v>1</v>
      </c>
      <c r="V120" s="26" t="b">
        <f>IF(Checks!C120,IF(UPPER(Data!C120)="SUB PROCESS",Data!BY120&lt;&gt;"",TRUE),TRUE)</f>
        <v>1</v>
      </c>
      <c r="W120" s="26" t="b">
        <f>IF(Checks!C120,IF(UPPER(Data!C120)="SERVICE TASK",AND(Data!BZ120&lt;&gt;"",Data!CA120&lt;&gt;""),TRUE),TRUE)</f>
        <v>1</v>
      </c>
      <c r="X120" s="26" t="b">
        <f t="array" aca="1" ref="X120" ca="1">SUM((OFFSET(Data!B120,MAX(ROW(Data!$B$5)-ROW(Data!B120),-200),0,400,1)=Data!B120)*(OFFSET(Data!A120,MAX(ROW(Data!$B$5)-ROW(Data!B120),-200),0,400,1)=Data!A120))=1</f>
        <v>1</v>
      </c>
      <c r="Y120" s="26" t="b">
        <f t="array" aca="1" ref="Y120" ca="1">IF(UPPER(Data!C120)="START",SUM((OFFSET(Data!C120,MAX(ROW(Data!$C$5)-ROW(Data!C120),-200),0,400,1)="START")*(OFFSET(Data!A120,MAX(ROW(Data!$B$5)-ROW(Data!B120),-200),0,400,1)=Data!A120))=1,TRUE)</f>
        <v>1</v>
      </c>
      <c r="Z120" s="26" t="b">
        <f t="array" aca="1" ref="Z120" ca="1">IF(UPPER(Data!C120)="END",SUM((OFFSET(Data!C120,MAX(ROW(Data!$C$5)-ROW(Data!C120),-200),0,400,1)="END")*(OFFSET(Data!A120,MAX(ROW(Data!$B$5)-ROW(Data!B120),-200),0,400,1)=Data!A120))=1,TRUE)</f>
        <v>1</v>
      </c>
      <c r="AA120" s="26" t="b">
        <f>IF(Checks!C120,ISERROR(FIND("&amp;",Data!D120)),TRUE)</f>
        <v>1</v>
      </c>
      <c r="AB120" s="26" t="b">
        <f>IF(Checks!$C120,IF(AND(UPPER(Data!$C120)&lt;&gt;"START",UPPER(Data!$C120)&lt;&gt;"DATA OBJECT",Data!E120&lt;&gt;""),NOT(ISERROR(MATCH(Data!$A120&amp;"||"&amp;Data!E120,Key,0))),TRUE),TRUE)</f>
        <v>1</v>
      </c>
      <c r="AC120" s="27" t="b">
        <f>IF(Checks!C120,IF(UPPER(Data!C120)="END",Data!E120&lt;&gt;"",TRUE),TRUE)</f>
        <v>1</v>
      </c>
    </row>
    <row r="121" spans="1:29" x14ac:dyDescent="0.25">
      <c r="A121" s="1" t="str">
        <f>Data!A121&amp;"||"&amp;Data!B121</f>
        <v>Miscellaneous/subflow/irmifrs9_get_scenarios.bpmn||020_01_00</v>
      </c>
      <c r="B121" s="19"/>
      <c r="C121" s="24" t="b">
        <f>AND(UPPER(Data!A121)&lt;&gt;"EMPTY",Data!B121&lt;&gt;"")</f>
        <v>1</v>
      </c>
      <c r="D121" s="1"/>
      <c r="E121" s="25" t="b">
        <f t="shared" ca="1" si="2"/>
        <v>1</v>
      </c>
      <c r="F121" s="26" t="b">
        <f ca="1">IF(UPPER(Data!C121)="SUB PROCESS",NOT(ISERROR(MATCH(RIGHT(Data!BY121,LEN(Data!BY121)-5),OFFSET(Data,0,0,ItemsCount,1),0))),TRUE)</f>
        <v>1</v>
      </c>
      <c r="G121" s="26" t="b">
        <f ca="1">IF(MID(UPPER(Data!A121),1,13)="MISCELLANEOUS",NOT(ISERROR(MATCH("path="&amp;Data!A121,OFFSET(Data,0,76,ItemsCount,1),0))),TRUE)</f>
        <v>1</v>
      </c>
      <c r="L121" s="25" t="b">
        <f t="shared" ca="1" si="3"/>
        <v>1</v>
      </c>
      <c r="M121" s="24" t="b">
        <f>IF(Checks!$C121,Data!A121&lt;&gt;"",TRUE)</f>
        <v>1</v>
      </c>
      <c r="N121" s="26" t="b">
        <f>IF(Checks!C121,Data!B121&lt;&gt;"",TRUE)</f>
        <v>1</v>
      </c>
      <c r="O121" s="26" t="b">
        <f>IF(Checks!C121,IF(AND(UPPER(Data!C121)="SERVICE TASK",UPPER(Data!BZ121)="TYPE=SAS"),NodeExists(TRIM(RIGHT(Data!CA121,LEN(Data!CA121)-FIND("=",Data!CA121)))),TRUE),TRUE)</f>
        <v>1</v>
      </c>
      <c r="P121" s="26" t="b">
        <f>IF(Checks!C121,IF(Data!C121="DATA OBJECT",OR(AND(Data!BW121&lt;&gt;"",Data!BX121=""),AND(Data!BW121="",Data!BX121&lt;&gt;"")),TRUE),TRUE)</f>
        <v>1</v>
      </c>
      <c r="Q121" s="26" t="b">
        <f>IF(Checks!C121,UPPER(RIGHT(Data!A121,5))=".BPMN",TRUE)</f>
        <v>1</v>
      </c>
      <c r="R121" s="26" t="b">
        <f>IF(Checks!C121,IF(UPPER(Data!C121)="SUB PROCESS",UPPER(RIGHT(Data!BY121,5))=".BPMN",TRUE),TRUE)</f>
        <v>1</v>
      </c>
      <c r="S121" s="26" t="b">
        <f>IF(Checks!C121,IF(UPPER(Data!C121)="SERVICE TASK",IF(UPPER(Data!BZ121)="TYPE=SAS",UPPER(RIGHT(Data!CA121,4))=".SAS",TRUE),TRUE),TRUE)</f>
        <v>1</v>
      </c>
      <c r="T121" s="26" t="b">
        <f>IF(Checks!C121,IF(Data!B121&lt;&gt;"",Data!D121&lt;&gt;"",TRUE),TRUE)</f>
        <v>1</v>
      </c>
      <c r="U121" s="26" t="b">
        <f ca="1">IF(Checks!C121,IF(UPPER(Data!C121)="DATA OBJECT",NOT(ISERROR(MATCH(Data!A121&amp;"||"&amp;Data!BW121&amp;Data!BX121,Key,0))),TRUE),TRUE)</f>
        <v>1</v>
      </c>
      <c r="V121" s="26" t="b">
        <f>IF(Checks!C121,IF(UPPER(Data!C121)="SUB PROCESS",Data!BY121&lt;&gt;"",TRUE),TRUE)</f>
        <v>1</v>
      </c>
      <c r="W121" s="26" t="b">
        <f>IF(Checks!C121,IF(UPPER(Data!C121)="SERVICE TASK",AND(Data!BZ121&lt;&gt;"",Data!CA121&lt;&gt;""),TRUE),TRUE)</f>
        <v>1</v>
      </c>
      <c r="X121" s="26" t="b">
        <f t="array" aca="1" ref="X121" ca="1">SUM((OFFSET(Data!B121,MAX(ROW(Data!$B$5)-ROW(Data!B121),-200),0,400,1)=Data!B121)*(OFFSET(Data!A121,MAX(ROW(Data!$B$5)-ROW(Data!B121),-200),0,400,1)=Data!A121))=1</f>
        <v>1</v>
      </c>
      <c r="Y121" s="26" t="b">
        <f t="array" aca="1" ref="Y121" ca="1">IF(UPPER(Data!C121)="START",SUM((OFFSET(Data!C121,MAX(ROW(Data!$C$5)-ROW(Data!C121),-200),0,400,1)="START")*(OFFSET(Data!A121,MAX(ROW(Data!$B$5)-ROW(Data!B121),-200),0,400,1)=Data!A121))=1,TRUE)</f>
        <v>1</v>
      </c>
      <c r="Z121" s="26" t="b">
        <f t="array" aca="1" ref="Z121" ca="1">IF(UPPER(Data!C121)="END",SUM((OFFSET(Data!C121,MAX(ROW(Data!$C$5)-ROW(Data!C121),-200),0,400,1)="END")*(OFFSET(Data!A121,MAX(ROW(Data!$B$5)-ROW(Data!B121),-200),0,400,1)=Data!A121))=1,TRUE)</f>
        <v>1</v>
      </c>
      <c r="AA121" s="26" t="b">
        <f>IF(Checks!C121,ISERROR(FIND("&amp;",Data!D121)),TRUE)</f>
        <v>1</v>
      </c>
      <c r="AB121" s="26" t="b">
        <f>IF(Checks!$C121,IF(AND(UPPER(Data!$C121)&lt;&gt;"START",UPPER(Data!$C121)&lt;&gt;"DATA OBJECT",Data!E121&lt;&gt;""),NOT(ISERROR(MATCH(Data!$A121&amp;"||"&amp;Data!E121,Key,0))),TRUE),TRUE)</f>
        <v>1</v>
      </c>
      <c r="AC121" s="27" t="b">
        <f>IF(Checks!C121,IF(UPPER(Data!C121)="END",Data!E121&lt;&gt;"",TRUE),TRUE)</f>
        <v>1</v>
      </c>
    </row>
    <row r="122" spans="1:29" x14ac:dyDescent="0.25">
      <c r="A122" s="1" t="str">
        <f>Data!A122&amp;"||"&amp;Data!B122</f>
        <v>Miscellaneous/subflow/irmifrs9_get_scenarios.bpmn||030_00_00</v>
      </c>
      <c r="B122" s="19"/>
      <c r="C122" s="24" t="b">
        <f>AND(UPPER(Data!A122)&lt;&gt;"EMPTY",Data!B122&lt;&gt;"")</f>
        <v>1</v>
      </c>
      <c r="D122" s="1"/>
      <c r="E122" s="25" t="b">
        <f t="shared" ca="1" si="2"/>
        <v>1</v>
      </c>
      <c r="F122" s="26" t="b">
        <f ca="1">IF(UPPER(Data!C122)="SUB PROCESS",NOT(ISERROR(MATCH(RIGHT(Data!BY122,LEN(Data!BY122)-5),OFFSET(Data,0,0,ItemsCount,1),0))),TRUE)</f>
        <v>1</v>
      </c>
      <c r="G122" s="26" t="b">
        <f ca="1">IF(MID(UPPER(Data!A122),1,13)="MISCELLANEOUS",NOT(ISERROR(MATCH("path="&amp;Data!A122,OFFSET(Data,0,76,ItemsCount,1),0))),TRUE)</f>
        <v>1</v>
      </c>
      <c r="L122" s="25" t="b">
        <f t="shared" ca="1" si="3"/>
        <v>1</v>
      </c>
      <c r="M122" s="24" t="b">
        <f>IF(Checks!$C122,Data!A122&lt;&gt;"",TRUE)</f>
        <v>1</v>
      </c>
      <c r="N122" s="26" t="b">
        <f>IF(Checks!C122,Data!B122&lt;&gt;"",TRUE)</f>
        <v>1</v>
      </c>
      <c r="O122" s="26" t="b">
        <f>IF(Checks!C122,IF(AND(UPPER(Data!C122)="SERVICE TASK",UPPER(Data!BZ122)="TYPE=SAS"),NodeExists(TRIM(RIGHT(Data!CA122,LEN(Data!CA122)-FIND("=",Data!CA122)))),TRUE),TRUE)</f>
        <v>1</v>
      </c>
      <c r="P122" s="26" t="b">
        <f>IF(Checks!C122,IF(Data!C122="DATA OBJECT",OR(AND(Data!BW122&lt;&gt;"",Data!BX122=""),AND(Data!BW122="",Data!BX122&lt;&gt;"")),TRUE),TRUE)</f>
        <v>1</v>
      </c>
      <c r="Q122" s="26" t="b">
        <f>IF(Checks!C122,UPPER(RIGHT(Data!A122,5))=".BPMN",TRUE)</f>
        <v>1</v>
      </c>
      <c r="R122" s="26" t="b">
        <f>IF(Checks!C122,IF(UPPER(Data!C122)="SUB PROCESS",UPPER(RIGHT(Data!BY122,5))=".BPMN",TRUE),TRUE)</f>
        <v>1</v>
      </c>
      <c r="S122" s="26" t="b">
        <f>IF(Checks!C122,IF(UPPER(Data!C122)="SERVICE TASK",IF(UPPER(Data!BZ122)="TYPE=SAS",UPPER(RIGHT(Data!CA122,4))=".SAS",TRUE),TRUE),TRUE)</f>
        <v>1</v>
      </c>
      <c r="T122" s="26" t="b">
        <f>IF(Checks!C122,IF(Data!B122&lt;&gt;"",Data!D122&lt;&gt;"",TRUE),TRUE)</f>
        <v>1</v>
      </c>
      <c r="U122" s="26" t="b">
        <f>IF(Checks!C122,IF(UPPER(Data!C122)="DATA OBJECT",NOT(ISERROR(MATCH(Data!A122&amp;"||"&amp;Data!BW122&amp;Data!BX122,Key,0))),TRUE),TRUE)</f>
        <v>1</v>
      </c>
      <c r="V122" s="26" t="b">
        <f>IF(Checks!C122,IF(UPPER(Data!C122)="SUB PROCESS",Data!BY122&lt;&gt;"",TRUE),TRUE)</f>
        <v>1</v>
      </c>
      <c r="W122" s="26" t="b">
        <f>IF(Checks!C122,IF(UPPER(Data!C122)="SERVICE TASK",AND(Data!BZ122&lt;&gt;"",Data!CA122&lt;&gt;""),TRUE),TRUE)</f>
        <v>1</v>
      </c>
      <c r="X122" s="26" t="b">
        <f t="array" aca="1" ref="X122" ca="1">SUM((OFFSET(Data!B122,MAX(ROW(Data!$B$5)-ROW(Data!B122),-200),0,400,1)=Data!B122)*(OFFSET(Data!A122,MAX(ROW(Data!$B$5)-ROW(Data!B122),-200),0,400,1)=Data!A122))=1</f>
        <v>1</v>
      </c>
      <c r="Y122" s="26" t="b">
        <f t="array" aca="1" ref="Y122" ca="1">IF(UPPER(Data!C122)="START",SUM((OFFSET(Data!C122,MAX(ROW(Data!$C$5)-ROW(Data!C122),-200),0,400,1)="START")*(OFFSET(Data!A122,MAX(ROW(Data!$B$5)-ROW(Data!B122),-200),0,400,1)=Data!A122))=1,TRUE)</f>
        <v>1</v>
      </c>
      <c r="Z122" s="26" t="b">
        <f t="array" aca="1" ref="Z122" ca="1">IF(UPPER(Data!C122)="END",SUM((OFFSET(Data!C122,MAX(ROW(Data!$C$5)-ROW(Data!C122),-200),0,400,1)="END")*(OFFSET(Data!A122,MAX(ROW(Data!$B$5)-ROW(Data!B122),-200),0,400,1)=Data!A122))=1,TRUE)</f>
        <v>1</v>
      </c>
      <c r="AA122" s="26" t="b">
        <f>IF(Checks!C122,ISERROR(FIND("&amp;",Data!D122)),TRUE)</f>
        <v>1</v>
      </c>
      <c r="AB122" s="26" t="b">
        <f ca="1">IF(Checks!$C122,IF(AND(UPPER(Data!$C122)&lt;&gt;"START",UPPER(Data!$C122)&lt;&gt;"DATA OBJECT",Data!E122&lt;&gt;""),NOT(ISERROR(MATCH(Data!$A122&amp;"||"&amp;Data!E122,Key,0))),TRUE),TRUE)</f>
        <v>1</v>
      </c>
      <c r="AC122" s="27" t="b">
        <f>IF(Checks!C122,IF(UPPER(Data!C122)="END",Data!E122&lt;&gt;"",TRUE),TRUE)</f>
        <v>1</v>
      </c>
    </row>
    <row r="123" spans="1:29" x14ac:dyDescent="0.25">
      <c r="A123" s="1" t="str">
        <f>Data!A123&amp;"||"&amp;Data!B123</f>
        <v>Miscellaneous/subflow/irmifrs9_get_scenarios.bpmn||030_00_01</v>
      </c>
      <c r="B123" s="19"/>
      <c r="C123" s="24" t="b">
        <f>AND(UPPER(Data!A123)&lt;&gt;"EMPTY",Data!B123&lt;&gt;"")</f>
        <v>1</v>
      </c>
      <c r="D123" s="1"/>
      <c r="E123" s="25" t="b">
        <f t="shared" ca="1" si="2"/>
        <v>1</v>
      </c>
      <c r="F123" s="26" t="b">
        <f ca="1">IF(UPPER(Data!C123)="SUB PROCESS",NOT(ISERROR(MATCH(RIGHT(Data!BY123,LEN(Data!BY123)-5),OFFSET(Data,0,0,ItemsCount,1),0))),TRUE)</f>
        <v>1</v>
      </c>
      <c r="G123" s="26" t="b">
        <f ca="1">IF(MID(UPPER(Data!A123),1,13)="MISCELLANEOUS",NOT(ISERROR(MATCH("path="&amp;Data!A123,OFFSET(Data,0,76,ItemsCount,1),0))),TRUE)</f>
        <v>1</v>
      </c>
      <c r="L123" s="25" t="b">
        <f t="shared" ca="1" si="3"/>
        <v>1</v>
      </c>
      <c r="M123" s="24" t="b">
        <f>IF(Checks!$C123,Data!A123&lt;&gt;"",TRUE)</f>
        <v>1</v>
      </c>
      <c r="N123" s="26" t="b">
        <f>IF(Checks!C123,Data!B123&lt;&gt;"",TRUE)</f>
        <v>1</v>
      </c>
      <c r="O123" s="26" t="b">
        <f>IF(Checks!C123,IF(AND(UPPER(Data!C123)="SERVICE TASK",UPPER(Data!BZ123)="TYPE=SAS"),NodeExists(TRIM(RIGHT(Data!CA123,LEN(Data!CA123)-FIND("=",Data!CA123)))),TRUE),TRUE)</f>
        <v>1</v>
      </c>
      <c r="P123" s="26" t="b">
        <f>IF(Checks!C123,IF(Data!C123="DATA OBJECT",OR(AND(Data!BW123&lt;&gt;"",Data!BX123=""),AND(Data!BW123="",Data!BX123&lt;&gt;"")),TRUE),TRUE)</f>
        <v>1</v>
      </c>
      <c r="Q123" s="26" t="b">
        <f>IF(Checks!C123,UPPER(RIGHT(Data!A123,5))=".BPMN",TRUE)</f>
        <v>1</v>
      </c>
      <c r="R123" s="26" t="b">
        <f>IF(Checks!C123,IF(UPPER(Data!C123)="SUB PROCESS",UPPER(RIGHT(Data!BY123,5))=".BPMN",TRUE),TRUE)</f>
        <v>1</v>
      </c>
      <c r="S123" s="26" t="b">
        <f>IF(Checks!C123,IF(UPPER(Data!C123)="SERVICE TASK",IF(UPPER(Data!BZ123)="TYPE=SAS",UPPER(RIGHT(Data!CA123,4))=".SAS",TRUE),TRUE),TRUE)</f>
        <v>1</v>
      </c>
      <c r="T123" s="26" t="b">
        <f>IF(Checks!C123,IF(Data!B123&lt;&gt;"",Data!D123&lt;&gt;"",TRUE),TRUE)</f>
        <v>1</v>
      </c>
      <c r="U123" s="26" t="b">
        <f ca="1">IF(Checks!C123,IF(UPPER(Data!C123)="DATA OBJECT",NOT(ISERROR(MATCH(Data!A123&amp;"||"&amp;Data!BW123&amp;Data!BX123,Key,0))),TRUE),TRUE)</f>
        <v>1</v>
      </c>
      <c r="V123" s="26" t="b">
        <f>IF(Checks!C123,IF(UPPER(Data!C123)="SUB PROCESS",Data!BY123&lt;&gt;"",TRUE),TRUE)</f>
        <v>1</v>
      </c>
      <c r="W123" s="26" t="b">
        <f>IF(Checks!C123,IF(UPPER(Data!C123)="SERVICE TASK",AND(Data!BZ123&lt;&gt;"",Data!CA123&lt;&gt;""),TRUE),TRUE)</f>
        <v>1</v>
      </c>
      <c r="X123" s="26" t="b">
        <f t="array" aca="1" ref="X123" ca="1">SUM((OFFSET(Data!B123,MAX(ROW(Data!$B$5)-ROW(Data!B123),-200),0,400,1)=Data!B123)*(OFFSET(Data!A123,MAX(ROW(Data!$B$5)-ROW(Data!B123),-200),0,400,1)=Data!A123))=1</f>
        <v>1</v>
      </c>
      <c r="Y123" s="26" t="b">
        <f t="array" aca="1" ref="Y123" ca="1">IF(UPPER(Data!C123)="START",SUM((OFFSET(Data!C123,MAX(ROW(Data!$C$5)-ROW(Data!C123),-200),0,400,1)="START")*(OFFSET(Data!A123,MAX(ROW(Data!$B$5)-ROW(Data!B123),-200),0,400,1)=Data!A123))=1,TRUE)</f>
        <v>1</v>
      </c>
      <c r="Z123" s="26" t="b">
        <f t="array" aca="1" ref="Z123" ca="1">IF(UPPER(Data!C123)="END",SUM((OFFSET(Data!C123,MAX(ROW(Data!$C$5)-ROW(Data!C123),-200),0,400,1)="END")*(OFFSET(Data!A123,MAX(ROW(Data!$B$5)-ROW(Data!B123),-200),0,400,1)=Data!A123))=1,TRUE)</f>
        <v>1</v>
      </c>
      <c r="AA123" s="26" t="b">
        <f>IF(Checks!C123,ISERROR(FIND("&amp;",Data!D123)),TRUE)</f>
        <v>1</v>
      </c>
      <c r="AB123" s="26" t="b">
        <f>IF(Checks!$C123,IF(AND(UPPER(Data!$C123)&lt;&gt;"START",UPPER(Data!$C123)&lt;&gt;"DATA OBJECT",Data!E123&lt;&gt;""),NOT(ISERROR(MATCH(Data!$A123&amp;"||"&amp;Data!E123,Key,0))),TRUE),TRUE)</f>
        <v>1</v>
      </c>
      <c r="AC123" s="27" t="b">
        <f>IF(Checks!C123,IF(UPPER(Data!C123)="END",Data!E123&lt;&gt;"",TRUE),TRUE)</f>
        <v>1</v>
      </c>
    </row>
    <row r="124" spans="1:29" x14ac:dyDescent="0.25">
      <c r="A124" s="1" t="str">
        <f>Data!A124&amp;"||"&amp;Data!B124</f>
        <v>Miscellaneous/subflow/irmifrs9_get_scenarios.bpmn||030_00_02</v>
      </c>
      <c r="B124" s="19"/>
      <c r="C124" s="24" t="b">
        <f>AND(UPPER(Data!A124)&lt;&gt;"EMPTY",Data!B124&lt;&gt;"")</f>
        <v>1</v>
      </c>
      <c r="D124" s="1"/>
      <c r="E124" s="25" t="b">
        <f t="shared" ca="1" si="2"/>
        <v>1</v>
      </c>
      <c r="F124" s="26" t="b">
        <f ca="1">IF(UPPER(Data!C124)="SUB PROCESS",NOT(ISERROR(MATCH(RIGHT(Data!BY124,LEN(Data!BY124)-5),OFFSET(Data,0,0,ItemsCount,1),0))),TRUE)</f>
        <v>1</v>
      </c>
      <c r="G124" s="26" t="b">
        <f ca="1">IF(MID(UPPER(Data!A124),1,13)="MISCELLANEOUS",NOT(ISERROR(MATCH("path="&amp;Data!A124,OFFSET(Data,0,76,ItemsCount,1),0))),TRUE)</f>
        <v>1</v>
      </c>
      <c r="L124" s="25" t="b">
        <f t="shared" ca="1" si="3"/>
        <v>1</v>
      </c>
      <c r="M124" s="24" t="b">
        <f>IF(Checks!$C124,Data!A124&lt;&gt;"",TRUE)</f>
        <v>1</v>
      </c>
      <c r="N124" s="26" t="b">
        <f>IF(Checks!C124,Data!B124&lt;&gt;"",TRUE)</f>
        <v>1</v>
      </c>
      <c r="O124" s="26" t="b">
        <f>IF(Checks!C124,IF(AND(UPPER(Data!C124)="SERVICE TASK",UPPER(Data!BZ124)="TYPE=SAS"),NodeExists(TRIM(RIGHT(Data!CA124,LEN(Data!CA124)-FIND("=",Data!CA124)))),TRUE),TRUE)</f>
        <v>1</v>
      </c>
      <c r="P124" s="26" t="b">
        <f>IF(Checks!C124,IF(Data!C124="DATA OBJECT",OR(AND(Data!BW124&lt;&gt;"",Data!BX124=""),AND(Data!BW124="",Data!BX124&lt;&gt;"")),TRUE),TRUE)</f>
        <v>1</v>
      </c>
      <c r="Q124" s="26" t="b">
        <f>IF(Checks!C124,UPPER(RIGHT(Data!A124,5))=".BPMN",TRUE)</f>
        <v>1</v>
      </c>
      <c r="R124" s="26" t="b">
        <f>IF(Checks!C124,IF(UPPER(Data!C124)="SUB PROCESS",UPPER(RIGHT(Data!BY124,5))=".BPMN",TRUE),TRUE)</f>
        <v>1</v>
      </c>
      <c r="S124" s="26" t="b">
        <f>IF(Checks!C124,IF(UPPER(Data!C124)="SERVICE TASK",IF(UPPER(Data!BZ124)="TYPE=SAS",UPPER(RIGHT(Data!CA124,4))=".SAS",TRUE),TRUE),TRUE)</f>
        <v>1</v>
      </c>
      <c r="T124" s="26" t="b">
        <f>IF(Checks!C124,IF(Data!B124&lt;&gt;"",Data!D124&lt;&gt;"",TRUE),TRUE)</f>
        <v>1</v>
      </c>
      <c r="U124" s="26" t="b">
        <f ca="1">IF(Checks!C124,IF(UPPER(Data!C124)="DATA OBJECT",NOT(ISERROR(MATCH(Data!A124&amp;"||"&amp;Data!BW124&amp;Data!BX124,Key,0))),TRUE),TRUE)</f>
        <v>1</v>
      </c>
      <c r="V124" s="26" t="b">
        <f>IF(Checks!C124,IF(UPPER(Data!C124)="SUB PROCESS",Data!BY124&lt;&gt;"",TRUE),TRUE)</f>
        <v>1</v>
      </c>
      <c r="W124" s="26" t="b">
        <f>IF(Checks!C124,IF(UPPER(Data!C124)="SERVICE TASK",AND(Data!BZ124&lt;&gt;"",Data!CA124&lt;&gt;""),TRUE),TRUE)</f>
        <v>1</v>
      </c>
      <c r="X124" s="26" t="b">
        <f t="array" aca="1" ref="X124" ca="1">SUM((OFFSET(Data!B124,MAX(ROW(Data!$B$5)-ROW(Data!B124),-200),0,400,1)=Data!B124)*(OFFSET(Data!A124,MAX(ROW(Data!$B$5)-ROW(Data!B124),-200),0,400,1)=Data!A124))=1</f>
        <v>1</v>
      </c>
      <c r="Y124" s="26" t="b">
        <f t="array" aca="1" ref="Y124" ca="1">IF(UPPER(Data!C124)="START",SUM((OFFSET(Data!C124,MAX(ROW(Data!$C$5)-ROW(Data!C124),-200),0,400,1)="START")*(OFFSET(Data!A124,MAX(ROW(Data!$B$5)-ROW(Data!B124),-200),0,400,1)=Data!A124))=1,TRUE)</f>
        <v>1</v>
      </c>
      <c r="Z124" s="26" t="b">
        <f t="array" aca="1" ref="Z124" ca="1">IF(UPPER(Data!C124)="END",SUM((OFFSET(Data!C124,MAX(ROW(Data!$C$5)-ROW(Data!C124),-200),0,400,1)="END")*(OFFSET(Data!A124,MAX(ROW(Data!$B$5)-ROW(Data!B124),-200),0,400,1)=Data!A124))=1,TRUE)</f>
        <v>1</v>
      </c>
      <c r="AA124" s="26" t="b">
        <f>IF(Checks!C124,ISERROR(FIND("&amp;",Data!D124)),TRUE)</f>
        <v>1</v>
      </c>
      <c r="AB124" s="26" t="b">
        <f>IF(Checks!$C124,IF(AND(UPPER(Data!$C124)&lt;&gt;"START",UPPER(Data!$C124)&lt;&gt;"DATA OBJECT",Data!E124&lt;&gt;""),NOT(ISERROR(MATCH(Data!$A124&amp;"||"&amp;Data!E124,Key,0))),TRUE),TRUE)</f>
        <v>1</v>
      </c>
      <c r="AC124" s="27" t="b">
        <f>IF(Checks!C124,IF(UPPER(Data!C124)="END",Data!E124&lt;&gt;"",TRUE),TRUE)</f>
        <v>1</v>
      </c>
    </row>
    <row r="125" spans="1:29" x14ac:dyDescent="0.25">
      <c r="A125" s="1" t="str">
        <f>Data!A125&amp;"||"&amp;Data!B125</f>
        <v>Miscellaneous/subflow/irmifrs9_get_scenarios.bpmn||030_01_00</v>
      </c>
      <c r="B125" s="19"/>
      <c r="C125" s="24" t="b">
        <f>AND(UPPER(Data!A125)&lt;&gt;"EMPTY",Data!B125&lt;&gt;"")</f>
        <v>1</v>
      </c>
      <c r="D125" s="1"/>
      <c r="E125" s="25" t="b">
        <f t="shared" ca="1" si="2"/>
        <v>1</v>
      </c>
      <c r="F125" s="26" t="b">
        <f ca="1">IF(UPPER(Data!C125)="SUB PROCESS",NOT(ISERROR(MATCH(RIGHT(Data!BY125,LEN(Data!BY125)-5),OFFSET(Data,0,0,ItemsCount,1),0))),TRUE)</f>
        <v>1</v>
      </c>
      <c r="G125" s="26" t="b">
        <f ca="1">IF(MID(UPPER(Data!A125),1,13)="MISCELLANEOUS",NOT(ISERROR(MATCH("path="&amp;Data!A125,OFFSET(Data,0,76,ItemsCount,1),0))),TRUE)</f>
        <v>1</v>
      </c>
      <c r="L125" s="25" t="b">
        <f t="shared" ca="1" si="3"/>
        <v>1</v>
      </c>
      <c r="M125" s="24" t="b">
        <f>IF(Checks!$C125,Data!A125&lt;&gt;"",TRUE)</f>
        <v>1</v>
      </c>
      <c r="N125" s="26" t="b">
        <f>IF(Checks!C125,Data!B125&lt;&gt;"",TRUE)</f>
        <v>1</v>
      </c>
      <c r="O125" s="26" t="b">
        <f>IF(Checks!C125,IF(AND(UPPER(Data!C125)="SERVICE TASK",UPPER(Data!BZ125)="TYPE=SAS"),NodeExists(TRIM(RIGHT(Data!CA125,LEN(Data!CA125)-FIND("=",Data!CA125)))),TRUE),TRUE)</f>
        <v>1</v>
      </c>
      <c r="P125" s="26" t="b">
        <f>IF(Checks!C125,IF(Data!C125="DATA OBJECT",OR(AND(Data!BW125&lt;&gt;"",Data!BX125=""),AND(Data!BW125="",Data!BX125&lt;&gt;"")),TRUE),TRUE)</f>
        <v>1</v>
      </c>
      <c r="Q125" s="26" t="b">
        <f>IF(Checks!C125,UPPER(RIGHT(Data!A125,5))=".BPMN",TRUE)</f>
        <v>1</v>
      </c>
      <c r="R125" s="26" t="b">
        <f>IF(Checks!C125,IF(UPPER(Data!C125)="SUB PROCESS",UPPER(RIGHT(Data!BY125,5))=".BPMN",TRUE),TRUE)</f>
        <v>1</v>
      </c>
      <c r="S125" s="26" t="b">
        <f>IF(Checks!C125,IF(UPPER(Data!C125)="SERVICE TASK",IF(UPPER(Data!BZ125)="TYPE=SAS",UPPER(RIGHT(Data!CA125,4))=".SAS",TRUE),TRUE),TRUE)</f>
        <v>1</v>
      </c>
      <c r="T125" s="26" t="b">
        <f>IF(Checks!C125,IF(Data!B125&lt;&gt;"",Data!D125&lt;&gt;"",TRUE),TRUE)</f>
        <v>1</v>
      </c>
      <c r="U125" s="26" t="b">
        <f ca="1">IF(Checks!C125,IF(UPPER(Data!C125)="DATA OBJECT",NOT(ISERROR(MATCH(Data!A125&amp;"||"&amp;Data!BW125&amp;Data!BX125,Key,0))),TRUE),TRUE)</f>
        <v>1</v>
      </c>
      <c r="V125" s="26" t="b">
        <f>IF(Checks!C125,IF(UPPER(Data!C125)="SUB PROCESS",Data!BY125&lt;&gt;"",TRUE),TRUE)</f>
        <v>1</v>
      </c>
      <c r="W125" s="26" t="b">
        <f>IF(Checks!C125,IF(UPPER(Data!C125)="SERVICE TASK",AND(Data!BZ125&lt;&gt;"",Data!CA125&lt;&gt;""),TRUE),TRUE)</f>
        <v>1</v>
      </c>
      <c r="X125" s="26" t="b">
        <f t="array" aca="1" ref="X125" ca="1">SUM((OFFSET(Data!B125,MAX(ROW(Data!$B$5)-ROW(Data!B125),-200),0,400,1)=Data!B125)*(OFFSET(Data!A125,MAX(ROW(Data!$B$5)-ROW(Data!B125),-200),0,400,1)=Data!A125))=1</f>
        <v>1</v>
      </c>
      <c r="Y125" s="26" t="b">
        <f t="array" aca="1" ref="Y125" ca="1">IF(UPPER(Data!C125)="START",SUM((OFFSET(Data!C125,MAX(ROW(Data!$C$5)-ROW(Data!C125),-200),0,400,1)="START")*(OFFSET(Data!A125,MAX(ROW(Data!$B$5)-ROW(Data!B125),-200),0,400,1)=Data!A125))=1,TRUE)</f>
        <v>1</v>
      </c>
      <c r="Z125" s="26" t="b">
        <f t="array" aca="1" ref="Z125" ca="1">IF(UPPER(Data!C125)="END",SUM((OFFSET(Data!C125,MAX(ROW(Data!$C$5)-ROW(Data!C125),-200),0,400,1)="END")*(OFFSET(Data!A125,MAX(ROW(Data!$B$5)-ROW(Data!B125),-200),0,400,1)=Data!A125))=1,TRUE)</f>
        <v>1</v>
      </c>
      <c r="AA125" s="26" t="b">
        <f>IF(Checks!C125,ISERROR(FIND("&amp;",Data!D125)),TRUE)</f>
        <v>1</v>
      </c>
      <c r="AB125" s="26" t="b">
        <f>IF(Checks!$C125,IF(AND(UPPER(Data!$C125)&lt;&gt;"START",UPPER(Data!$C125)&lt;&gt;"DATA OBJECT",Data!E125&lt;&gt;""),NOT(ISERROR(MATCH(Data!$A125&amp;"||"&amp;Data!E125,Key,0))),TRUE),TRUE)</f>
        <v>1</v>
      </c>
      <c r="AC125" s="27" t="b">
        <f>IF(Checks!C125,IF(UPPER(Data!C125)="END",Data!E125&lt;&gt;"",TRUE),TRUE)</f>
        <v>1</v>
      </c>
    </row>
    <row r="126" spans="1:29" x14ac:dyDescent="0.25">
      <c r="A126" s="1" t="str">
        <f>Data!A126&amp;"||"&amp;Data!B126</f>
        <v>Miscellaneous/subflow/irmifrs9_get_scenarios.bpmn||040_00_00</v>
      </c>
      <c r="B126" s="19"/>
      <c r="C126" s="24" t="b">
        <f>AND(UPPER(Data!A126)&lt;&gt;"EMPTY",Data!B126&lt;&gt;"")</f>
        <v>1</v>
      </c>
      <c r="D126" s="1"/>
      <c r="E126" s="25" t="b">
        <f t="shared" ca="1" si="2"/>
        <v>1</v>
      </c>
      <c r="F126" s="26" t="b">
        <f ca="1">IF(UPPER(Data!C126)="SUB PROCESS",NOT(ISERROR(MATCH(RIGHT(Data!BY126,LEN(Data!BY126)-5),OFFSET(Data,0,0,ItemsCount,1),0))),TRUE)</f>
        <v>1</v>
      </c>
      <c r="G126" s="26" t="b">
        <f ca="1">IF(MID(UPPER(Data!A126),1,13)="MISCELLANEOUS",NOT(ISERROR(MATCH("path="&amp;Data!A126,OFFSET(Data,0,76,ItemsCount,1),0))),TRUE)</f>
        <v>1</v>
      </c>
      <c r="L126" s="25" t="b">
        <f t="shared" ca="1" si="3"/>
        <v>1</v>
      </c>
      <c r="M126" s="24" t="b">
        <f>IF(Checks!$C126,Data!A126&lt;&gt;"",TRUE)</f>
        <v>1</v>
      </c>
      <c r="N126" s="26" t="b">
        <f>IF(Checks!C126,Data!B126&lt;&gt;"",TRUE)</f>
        <v>1</v>
      </c>
      <c r="O126" s="26" t="b">
        <f>IF(Checks!C126,IF(AND(UPPER(Data!C126)="SERVICE TASK",UPPER(Data!BZ126)="TYPE=SAS"),NodeExists(TRIM(RIGHT(Data!CA126,LEN(Data!CA126)-FIND("=",Data!CA126)))),TRUE),TRUE)</f>
        <v>1</v>
      </c>
      <c r="P126" s="26" t="b">
        <f>IF(Checks!C126,IF(Data!C126="DATA OBJECT",OR(AND(Data!BW126&lt;&gt;"",Data!BX126=""),AND(Data!BW126="",Data!BX126&lt;&gt;"")),TRUE),TRUE)</f>
        <v>1</v>
      </c>
      <c r="Q126" s="26" t="b">
        <f>IF(Checks!C126,UPPER(RIGHT(Data!A126,5))=".BPMN",TRUE)</f>
        <v>1</v>
      </c>
      <c r="R126" s="26" t="b">
        <f>IF(Checks!C126,IF(UPPER(Data!C126)="SUB PROCESS",UPPER(RIGHT(Data!BY126,5))=".BPMN",TRUE),TRUE)</f>
        <v>1</v>
      </c>
      <c r="S126" s="26" t="b">
        <f>IF(Checks!C126,IF(UPPER(Data!C126)="SERVICE TASK",IF(UPPER(Data!BZ126)="TYPE=SAS",UPPER(RIGHT(Data!CA126,4))=".SAS",TRUE),TRUE),TRUE)</f>
        <v>1</v>
      </c>
      <c r="T126" s="26" t="b">
        <f>IF(Checks!C126,IF(Data!B126&lt;&gt;"",Data!D126&lt;&gt;"",TRUE),TRUE)</f>
        <v>1</v>
      </c>
      <c r="U126" s="26" t="b">
        <f>IF(Checks!C126,IF(UPPER(Data!C126)="DATA OBJECT",NOT(ISERROR(MATCH(Data!A126&amp;"||"&amp;Data!BW126&amp;Data!BX126,Key,0))),TRUE),TRUE)</f>
        <v>1</v>
      </c>
      <c r="V126" s="26" t="b">
        <f>IF(Checks!C126,IF(UPPER(Data!C126)="SUB PROCESS",Data!BY126&lt;&gt;"",TRUE),TRUE)</f>
        <v>1</v>
      </c>
      <c r="W126" s="26" t="b">
        <f>IF(Checks!C126,IF(UPPER(Data!C126)="SERVICE TASK",AND(Data!BZ126&lt;&gt;"",Data!CA126&lt;&gt;""),TRUE),TRUE)</f>
        <v>1</v>
      </c>
      <c r="X126" s="26" t="b">
        <f t="array" aca="1" ref="X126" ca="1">SUM((OFFSET(Data!B126,MAX(ROW(Data!$B$5)-ROW(Data!B126),-200),0,400,1)=Data!B126)*(OFFSET(Data!A126,MAX(ROW(Data!$B$5)-ROW(Data!B126),-200),0,400,1)=Data!A126))=1</f>
        <v>1</v>
      </c>
      <c r="Y126" s="26" t="b">
        <f t="array" aca="1" ref="Y126" ca="1">IF(UPPER(Data!C126)="START",SUM((OFFSET(Data!C126,MAX(ROW(Data!$C$5)-ROW(Data!C126),-200),0,400,1)="START")*(OFFSET(Data!A126,MAX(ROW(Data!$B$5)-ROW(Data!B126),-200),0,400,1)=Data!A126))=1,TRUE)</f>
        <v>1</v>
      </c>
      <c r="Z126" s="26" t="b">
        <f t="array" aca="1" ref="Z126" ca="1">IF(UPPER(Data!C126)="END",SUM((OFFSET(Data!C126,MAX(ROW(Data!$C$5)-ROW(Data!C126),-200),0,400,1)="END")*(OFFSET(Data!A126,MAX(ROW(Data!$B$5)-ROW(Data!B126),-200),0,400,1)=Data!A126))=1,TRUE)</f>
        <v>1</v>
      </c>
      <c r="AA126" s="26" t="b">
        <f>IF(Checks!C126,ISERROR(FIND("&amp;",Data!D126)),TRUE)</f>
        <v>1</v>
      </c>
      <c r="AB126" s="26" t="b">
        <f ca="1">IF(Checks!$C126,IF(AND(UPPER(Data!$C126)&lt;&gt;"START",UPPER(Data!$C126)&lt;&gt;"DATA OBJECT",Data!E126&lt;&gt;""),NOT(ISERROR(MATCH(Data!$A126&amp;"||"&amp;Data!E126,Key,0))),TRUE),TRUE)</f>
        <v>1</v>
      </c>
      <c r="AC126" s="27" t="b">
        <f>IF(Checks!C126,IF(UPPER(Data!C126)="END",Data!E126&lt;&gt;"",TRUE),TRUE)</f>
        <v>1</v>
      </c>
    </row>
    <row r="127" spans="1:29" x14ac:dyDescent="0.25">
      <c r="A127" s="1" t="str">
        <f>Data!A127&amp;"||"&amp;Data!B127</f>
        <v>Miscellaneous/subflow/irmifrs9_get_scenarios.bpmn||040_00_01</v>
      </c>
      <c r="B127" s="19"/>
      <c r="C127" s="24" t="b">
        <f>AND(UPPER(Data!A127)&lt;&gt;"EMPTY",Data!B127&lt;&gt;"")</f>
        <v>1</v>
      </c>
      <c r="D127" s="1"/>
      <c r="E127" s="25" t="b">
        <f t="shared" ca="1" si="2"/>
        <v>1</v>
      </c>
      <c r="F127" s="26" t="b">
        <f ca="1">IF(UPPER(Data!C127)="SUB PROCESS",NOT(ISERROR(MATCH(RIGHT(Data!BY127,LEN(Data!BY127)-5),OFFSET(Data,0,0,ItemsCount,1),0))),TRUE)</f>
        <v>1</v>
      </c>
      <c r="G127" s="26" t="b">
        <f ca="1">IF(MID(UPPER(Data!A127),1,13)="MISCELLANEOUS",NOT(ISERROR(MATCH("path="&amp;Data!A127,OFFSET(Data,0,76,ItemsCount,1),0))),TRUE)</f>
        <v>1</v>
      </c>
      <c r="L127" s="25" t="b">
        <f t="shared" ca="1" si="3"/>
        <v>1</v>
      </c>
      <c r="M127" s="24" t="b">
        <f>IF(Checks!$C127,Data!A127&lt;&gt;"",TRUE)</f>
        <v>1</v>
      </c>
      <c r="N127" s="26" t="b">
        <f>IF(Checks!C127,Data!B127&lt;&gt;"",TRUE)</f>
        <v>1</v>
      </c>
      <c r="O127" s="26" t="b">
        <f>IF(Checks!C127,IF(AND(UPPER(Data!C127)="SERVICE TASK",UPPER(Data!BZ127)="TYPE=SAS"),NodeExists(TRIM(RIGHT(Data!CA127,LEN(Data!CA127)-FIND("=",Data!CA127)))),TRUE),TRUE)</f>
        <v>1</v>
      </c>
      <c r="P127" s="26" t="b">
        <f>IF(Checks!C127,IF(Data!C127="DATA OBJECT",OR(AND(Data!BW127&lt;&gt;"",Data!BX127=""),AND(Data!BW127="",Data!BX127&lt;&gt;"")),TRUE),TRUE)</f>
        <v>1</v>
      </c>
      <c r="Q127" s="26" t="b">
        <f>IF(Checks!C127,UPPER(RIGHT(Data!A127,5))=".BPMN",TRUE)</f>
        <v>1</v>
      </c>
      <c r="R127" s="26" t="b">
        <f>IF(Checks!C127,IF(UPPER(Data!C127)="SUB PROCESS",UPPER(RIGHT(Data!BY127,5))=".BPMN",TRUE),TRUE)</f>
        <v>1</v>
      </c>
      <c r="S127" s="26" t="b">
        <f>IF(Checks!C127,IF(UPPER(Data!C127)="SERVICE TASK",IF(UPPER(Data!BZ127)="TYPE=SAS",UPPER(RIGHT(Data!CA127,4))=".SAS",TRUE),TRUE),TRUE)</f>
        <v>1</v>
      </c>
      <c r="T127" s="26" t="b">
        <f>IF(Checks!C127,IF(Data!B127&lt;&gt;"",Data!D127&lt;&gt;"",TRUE),TRUE)</f>
        <v>1</v>
      </c>
      <c r="U127" s="26" t="b">
        <f ca="1">IF(Checks!C127,IF(UPPER(Data!C127)="DATA OBJECT",NOT(ISERROR(MATCH(Data!A127&amp;"||"&amp;Data!BW127&amp;Data!BX127,Key,0))),TRUE),TRUE)</f>
        <v>1</v>
      </c>
      <c r="V127" s="26" t="b">
        <f>IF(Checks!C127,IF(UPPER(Data!C127)="SUB PROCESS",Data!BY127&lt;&gt;"",TRUE),TRUE)</f>
        <v>1</v>
      </c>
      <c r="W127" s="26" t="b">
        <f>IF(Checks!C127,IF(UPPER(Data!C127)="SERVICE TASK",AND(Data!BZ127&lt;&gt;"",Data!CA127&lt;&gt;""),TRUE),TRUE)</f>
        <v>1</v>
      </c>
      <c r="X127" s="26" t="b">
        <f t="array" aca="1" ref="X127" ca="1">SUM((OFFSET(Data!B127,MAX(ROW(Data!$B$5)-ROW(Data!B127),-200),0,400,1)=Data!B127)*(OFFSET(Data!A127,MAX(ROW(Data!$B$5)-ROW(Data!B127),-200),0,400,1)=Data!A127))=1</f>
        <v>1</v>
      </c>
      <c r="Y127" s="26" t="b">
        <f t="array" aca="1" ref="Y127" ca="1">IF(UPPER(Data!C127)="START",SUM((OFFSET(Data!C127,MAX(ROW(Data!$C$5)-ROW(Data!C127),-200),0,400,1)="START")*(OFFSET(Data!A127,MAX(ROW(Data!$B$5)-ROW(Data!B127),-200),0,400,1)=Data!A127))=1,TRUE)</f>
        <v>1</v>
      </c>
      <c r="Z127" s="26" t="b">
        <f t="array" aca="1" ref="Z127" ca="1">IF(UPPER(Data!C127)="END",SUM((OFFSET(Data!C127,MAX(ROW(Data!$C$5)-ROW(Data!C127),-200),0,400,1)="END")*(OFFSET(Data!A127,MAX(ROW(Data!$B$5)-ROW(Data!B127),-200),0,400,1)=Data!A127))=1,TRUE)</f>
        <v>1</v>
      </c>
      <c r="AA127" s="26" t="b">
        <f>IF(Checks!C127,ISERROR(FIND("&amp;",Data!D127)),TRUE)</f>
        <v>1</v>
      </c>
      <c r="AB127" s="26" t="b">
        <f>IF(Checks!$C127,IF(AND(UPPER(Data!$C127)&lt;&gt;"START",UPPER(Data!$C127)&lt;&gt;"DATA OBJECT",Data!E127&lt;&gt;""),NOT(ISERROR(MATCH(Data!$A127&amp;"||"&amp;Data!E127,Key,0))),TRUE),TRUE)</f>
        <v>1</v>
      </c>
      <c r="AC127" s="27" t="b">
        <f>IF(Checks!C127,IF(UPPER(Data!C127)="END",Data!E127&lt;&gt;"",TRUE),TRUE)</f>
        <v>1</v>
      </c>
    </row>
    <row r="128" spans="1:29" x14ac:dyDescent="0.25">
      <c r="A128" s="1" t="str">
        <f>Data!A128&amp;"||"&amp;Data!B128</f>
        <v>Miscellaneous/subflow/irmifrs9_get_scenarios.bpmn||040_00_02</v>
      </c>
      <c r="B128" s="19"/>
      <c r="C128" s="24" t="b">
        <f>AND(UPPER(Data!A128)&lt;&gt;"EMPTY",Data!B128&lt;&gt;"")</f>
        <v>1</v>
      </c>
      <c r="D128" s="1"/>
      <c r="E128" s="25" t="b">
        <f t="shared" ca="1" si="2"/>
        <v>1</v>
      </c>
      <c r="F128" s="26" t="b">
        <f ca="1">IF(UPPER(Data!C128)="SUB PROCESS",NOT(ISERROR(MATCH(RIGHT(Data!BY128,LEN(Data!BY128)-5),OFFSET(Data,0,0,ItemsCount,1),0))),TRUE)</f>
        <v>1</v>
      </c>
      <c r="G128" s="26" t="b">
        <f ca="1">IF(MID(UPPER(Data!A128),1,13)="MISCELLANEOUS",NOT(ISERROR(MATCH("path="&amp;Data!A128,OFFSET(Data,0,76,ItemsCount,1),0))),TRUE)</f>
        <v>1</v>
      </c>
      <c r="L128" s="25" t="b">
        <f t="shared" ca="1" si="3"/>
        <v>1</v>
      </c>
      <c r="M128" s="24" t="b">
        <f>IF(Checks!$C128,Data!A128&lt;&gt;"",TRUE)</f>
        <v>1</v>
      </c>
      <c r="N128" s="26" t="b">
        <f>IF(Checks!C128,Data!B128&lt;&gt;"",TRUE)</f>
        <v>1</v>
      </c>
      <c r="O128" s="26" t="b">
        <f>IF(Checks!C128,IF(AND(UPPER(Data!C128)="SERVICE TASK",UPPER(Data!BZ128)="TYPE=SAS"),NodeExists(TRIM(RIGHT(Data!CA128,LEN(Data!CA128)-FIND("=",Data!CA128)))),TRUE),TRUE)</f>
        <v>1</v>
      </c>
      <c r="P128" s="26" t="b">
        <f>IF(Checks!C128,IF(Data!C128="DATA OBJECT",OR(AND(Data!BW128&lt;&gt;"",Data!BX128=""),AND(Data!BW128="",Data!BX128&lt;&gt;"")),TRUE),TRUE)</f>
        <v>1</v>
      </c>
      <c r="Q128" s="26" t="b">
        <f>IF(Checks!C128,UPPER(RIGHT(Data!A128,5))=".BPMN",TRUE)</f>
        <v>1</v>
      </c>
      <c r="R128" s="26" t="b">
        <f>IF(Checks!C128,IF(UPPER(Data!C128)="SUB PROCESS",UPPER(RIGHT(Data!BY128,5))=".BPMN",TRUE),TRUE)</f>
        <v>1</v>
      </c>
      <c r="S128" s="26" t="b">
        <f>IF(Checks!C128,IF(UPPER(Data!C128)="SERVICE TASK",IF(UPPER(Data!BZ128)="TYPE=SAS",UPPER(RIGHT(Data!CA128,4))=".SAS",TRUE),TRUE),TRUE)</f>
        <v>1</v>
      </c>
      <c r="T128" s="26" t="b">
        <f>IF(Checks!C128,IF(Data!B128&lt;&gt;"",Data!D128&lt;&gt;"",TRUE),TRUE)</f>
        <v>1</v>
      </c>
      <c r="U128" s="26" t="b">
        <f ca="1">IF(Checks!C128,IF(UPPER(Data!C128)="DATA OBJECT",NOT(ISERROR(MATCH(Data!A128&amp;"||"&amp;Data!BW128&amp;Data!BX128,Key,0))),TRUE),TRUE)</f>
        <v>1</v>
      </c>
      <c r="V128" s="26" t="b">
        <f>IF(Checks!C128,IF(UPPER(Data!C128)="SUB PROCESS",Data!BY128&lt;&gt;"",TRUE),TRUE)</f>
        <v>1</v>
      </c>
      <c r="W128" s="26" t="b">
        <f>IF(Checks!C128,IF(UPPER(Data!C128)="SERVICE TASK",AND(Data!BZ128&lt;&gt;"",Data!CA128&lt;&gt;""),TRUE),TRUE)</f>
        <v>1</v>
      </c>
      <c r="X128" s="26" t="b">
        <f t="array" aca="1" ref="X128" ca="1">SUM((OFFSET(Data!B128,MAX(ROW(Data!$B$5)-ROW(Data!B128),-200),0,400,1)=Data!B128)*(OFFSET(Data!A128,MAX(ROW(Data!$B$5)-ROW(Data!B128),-200),0,400,1)=Data!A128))=1</f>
        <v>1</v>
      </c>
      <c r="Y128" s="26" t="b">
        <f t="array" aca="1" ref="Y128" ca="1">IF(UPPER(Data!C128)="START",SUM((OFFSET(Data!C128,MAX(ROW(Data!$C$5)-ROW(Data!C128),-200),0,400,1)="START")*(OFFSET(Data!A128,MAX(ROW(Data!$B$5)-ROW(Data!B128),-200),0,400,1)=Data!A128))=1,TRUE)</f>
        <v>1</v>
      </c>
      <c r="Z128" s="26" t="b">
        <f t="array" aca="1" ref="Z128" ca="1">IF(UPPER(Data!C128)="END",SUM((OFFSET(Data!C128,MAX(ROW(Data!$C$5)-ROW(Data!C128),-200),0,400,1)="END")*(OFFSET(Data!A128,MAX(ROW(Data!$B$5)-ROW(Data!B128),-200),0,400,1)=Data!A128))=1,TRUE)</f>
        <v>1</v>
      </c>
      <c r="AA128" s="26" t="b">
        <f>IF(Checks!C128,ISERROR(FIND("&amp;",Data!D128)),TRUE)</f>
        <v>1</v>
      </c>
      <c r="AB128" s="26" t="b">
        <f>IF(Checks!$C128,IF(AND(UPPER(Data!$C128)&lt;&gt;"START",UPPER(Data!$C128)&lt;&gt;"DATA OBJECT",Data!E128&lt;&gt;""),NOT(ISERROR(MATCH(Data!$A128&amp;"||"&amp;Data!E128,Key,0))),TRUE),TRUE)</f>
        <v>1</v>
      </c>
      <c r="AC128" s="27" t="b">
        <f>IF(Checks!C128,IF(UPPER(Data!C128)="END",Data!E128&lt;&gt;"",TRUE),TRUE)</f>
        <v>1</v>
      </c>
    </row>
    <row r="129" spans="1:29" x14ac:dyDescent="0.25">
      <c r="A129" s="1" t="str">
        <f>Data!A129&amp;"||"&amp;Data!B129</f>
        <v>Miscellaneous/subflow/irmifrs9_get_scenarios.bpmn||040_00_03</v>
      </c>
      <c r="B129" s="19"/>
      <c r="C129" s="24" t="b">
        <f>AND(UPPER(Data!A129)&lt;&gt;"EMPTY",Data!B129&lt;&gt;"")</f>
        <v>1</v>
      </c>
      <c r="D129" s="1"/>
      <c r="E129" s="25" t="b">
        <f t="shared" ca="1" si="2"/>
        <v>1</v>
      </c>
      <c r="F129" s="26" t="b">
        <f ca="1">IF(UPPER(Data!C129)="SUB PROCESS",NOT(ISERROR(MATCH(RIGHT(Data!BY129,LEN(Data!BY129)-5),OFFSET(Data,0,0,ItemsCount,1),0))),TRUE)</f>
        <v>1</v>
      </c>
      <c r="G129" s="26" t="b">
        <f ca="1">IF(MID(UPPER(Data!A129),1,13)="MISCELLANEOUS",NOT(ISERROR(MATCH("path="&amp;Data!A129,OFFSET(Data,0,76,ItemsCount,1),0))),TRUE)</f>
        <v>1</v>
      </c>
      <c r="L129" s="25" t="b">
        <f t="shared" ca="1" si="3"/>
        <v>1</v>
      </c>
      <c r="M129" s="24" t="b">
        <f>IF(Checks!$C129,Data!A129&lt;&gt;"",TRUE)</f>
        <v>1</v>
      </c>
      <c r="N129" s="26" t="b">
        <f>IF(Checks!C129,Data!B129&lt;&gt;"",TRUE)</f>
        <v>1</v>
      </c>
      <c r="O129" s="26" t="b">
        <f>IF(Checks!C129,IF(AND(UPPER(Data!C129)="SERVICE TASK",UPPER(Data!BZ129)="TYPE=SAS"),NodeExists(TRIM(RIGHT(Data!CA129,LEN(Data!CA129)-FIND("=",Data!CA129)))),TRUE),TRUE)</f>
        <v>1</v>
      </c>
      <c r="P129" s="26" t="b">
        <f>IF(Checks!C129,IF(Data!C129="DATA OBJECT",OR(AND(Data!BW129&lt;&gt;"",Data!BX129=""),AND(Data!BW129="",Data!BX129&lt;&gt;"")),TRUE),TRUE)</f>
        <v>1</v>
      </c>
      <c r="Q129" s="26" t="b">
        <f>IF(Checks!C129,UPPER(RIGHT(Data!A129,5))=".BPMN",TRUE)</f>
        <v>1</v>
      </c>
      <c r="R129" s="26" t="b">
        <f>IF(Checks!C129,IF(UPPER(Data!C129)="SUB PROCESS",UPPER(RIGHT(Data!BY129,5))=".BPMN",TRUE),TRUE)</f>
        <v>1</v>
      </c>
      <c r="S129" s="26" t="b">
        <f>IF(Checks!C129,IF(UPPER(Data!C129)="SERVICE TASK",IF(UPPER(Data!BZ129)="TYPE=SAS",UPPER(RIGHT(Data!CA129,4))=".SAS",TRUE),TRUE),TRUE)</f>
        <v>1</v>
      </c>
      <c r="T129" s="26" t="b">
        <f>IF(Checks!C129,IF(Data!B129&lt;&gt;"",Data!D129&lt;&gt;"",TRUE),TRUE)</f>
        <v>1</v>
      </c>
      <c r="U129" s="26" t="b">
        <f ca="1">IF(Checks!C129,IF(UPPER(Data!C129)="DATA OBJECT",NOT(ISERROR(MATCH(Data!A129&amp;"||"&amp;Data!BW129&amp;Data!BX129,Key,0))),TRUE),TRUE)</f>
        <v>1</v>
      </c>
      <c r="V129" s="26" t="b">
        <f>IF(Checks!C129,IF(UPPER(Data!C129)="SUB PROCESS",Data!BY129&lt;&gt;"",TRUE),TRUE)</f>
        <v>1</v>
      </c>
      <c r="W129" s="26" t="b">
        <f>IF(Checks!C129,IF(UPPER(Data!C129)="SERVICE TASK",AND(Data!BZ129&lt;&gt;"",Data!CA129&lt;&gt;""),TRUE),TRUE)</f>
        <v>1</v>
      </c>
      <c r="X129" s="26" t="b">
        <f t="array" aca="1" ref="X129" ca="1">SUM((OFFSET(Data!B129,MAX(ROW(Data!$B$5)-ROW(Data!B129),-200),0,400,1)=Data!B129)*(OFFSET(Data!A129,MAX(ROW(Data!$B$5)-ROW(Data!B129),-200),0,400,1)=Data!A129))=1</f>
        <v>1</v>
      </c>
      <c r="Y129" s="26" t="b">
        <f t="array" aca="1" ref="Y129" ca="1">IF(UPPER(Data!C129)="START",SUM((OFFSET(Data!C129,MAX(ROW(Data!$C$5)-ROW(Data!C129),-200),0,400,1)="START")*(OFFSET(Data!A129,MAX(ROW(Data!$B$5)-ROW(Data!B129),-200),0,400,1)=Data!A129))=1,TRUE)</f>
        <v>1</v>
      </c>
      <c r="Z129" s="26" t="b">
        <f t="array" aca="1" ref="Z129" ca="1">IF(UPPER(Data!C129)="END",SUM((OFFSET(Data!C129,MAX(ROW(Data!$C$5)-ROW(Data!C129),-200),0,400,1)="END")*(OFFSET(Data!A129,MAX(ROW(Data!$B$5)-ROW(Data!B129),-200),0,400,1)=Data!A129))=1,TRUE)</f>
        <v>1</v>
      </c>
      <c r="AA129" s="26" t="b">
        <f>IF(Checks!C129,ISERROR(FIND("&amp;",Data!D129)),TRUE)</f>
        <v>1</v>
      </c>
      <c r="AB129" s="26" t="b">
        <f>IF(Checks!$C129,IF(AND(UPPER(Data!$C129)&lt;&gt;"START",UPPER(Data!$C129)&lt;&gt;"DATA OBJECT",Data!E129&lt;&gt;""),NOT(ISERROR(MATCH(Data!$A129&amp;"||"&amp;Data!E129,Key,0))),TRUE),TRUE)</f>
        <v>1</v>
      </c>
      <c r="AC129" s="27" t="b">
        <f>IF(Checks!C129,IF(UPPER(Data!C129)="END",Data!E129&lt;&gt;"",TRUE),TRUE)</f>
        <v>1</v>
      </c>
    </row>
    <row r="130" spans="1:29" x14ac:dyDescent="0.25">
      <c r="A130" s="1" t="str">
        <f>Data!A130&amp;"||"&amp;Data!B130</f>
        <v>Miscellaneous/subflow/irmifrs9_get_scenarios.bpmn||040_01_00</v>
      </c>
      <c r="B130" s="19"/>
      <c r="C130" s="24" t="b">
        <f>AND(UPPER(Data!A130)&lt;&gt;"EMPTY",Data!B130&lt;&gt;"")</f>
        <v>1</v>
      </c>
      <c r="D130" s="1"/>
      <c r="E130" s="25" t="b">
        <f t="shared" ca="1" si="2"/>
        <v>1</v>
      </c>
      <c r="F130" s="26" t="b">
        <f ca="1">IF(UPPER(Data!C130)="SUB PROCESS",NOT(ISERROR(MATCH(RIGHT(Data!BY130,LEN(Data!BY130)-5),OFFSET(Data,0,0,ItemsCount,1),0))),TRUE)</f>
        <v>1</v>
      </c>
      <c r="G130" s="26" t="b">
        <f ca="1">IF(MID(UPPER(Data!A130),1,13)="MISCELLANEOUS",NOT(ISERROR(MATCH("path="&amp;Data!A130,OFFSET(Data,0,76,ItemsCount,1),0))),TRUE)</f>
        <v>1</v>
      </c>
      <c r="L130" s="25" t="b">
        <f t="shared" ca="1" si="3"/>
        <v>1</v>
      </c>
      <c r="M130" s="24" t="b">
        <f>IF(Checks!$C130,Data!A130&lt;&gt;"",TRUE)</f>
        <v>1</v>
      </c>
      <c r="N130" s="26" t="b">
        <f>IF(Checks!C130,Data!B130&lt;&gt;"",TRUE)</f>
        <v>1</v>
      </c>
      <c r="O130" s="26" t="b">
        <f>IF(Checks!C130,IF(AND(UPPER(Data!C130)="SERVICE TASK",UPPER(Data!BZ130)="TYPE=SAS"),NodeExists(TRIM(RIGHT(Data!CA130,LEN(Data!CA130)-FIND("=",Data!CA130)))),TRUE),TRUE)</f>
        <v>1</v>
      </c>
      <c r="P130" s="26" t="b">
        <f>IF(Checks!C130,IF(Data!C130="DATA OBJECT",OR(AND(Data!BW130&lt;&gt;"",Data!BX130=""),AND(Data!BW130="",Data!BX130&lt;&gt;"")),TRUE),TRUE)</f>
        <v>1</v>
      </c>
      <c r="Q130" s="26" t="b">
        <f>IF(Checks!C130,UPPER(RIGHT(Data!A130,5))=".BPMN",TRUE)</f>
        <v>1</v>
      </c>
      <c r="R130" s="26" t="b">
        <f>IF(Checks!C130,IF(UPPER(Data!C130)="SUB PROCESS",UPPER(RIGHT(Data!BY130,5))=".BPMN",TRUE),TRUE)</f>
        <v>1</v>
      </c>
      <c r="S130" s="26" t="b">
        <f>IF(Checks!C130,IF(UPPER(Data!C130)="SERVICE TASK",IF(UPPER(Data!BZ130)="TYPE=SAS",UPPER(RIGHT(Data!CA130,4))=".SAS",TRUE),TRUE),TRUE)</f>
        <v>1</v>
      </c>
      <c r="T130" s="26" t="b">
        <f>IF(Checks!C130,IF(Data!B130&lt;&gt;"",Data!D130&lt;&gt;"",TRUE),TRUE)</f>
        <v>1</v>
      </c>
      <c r="U130" s="26" t="b">
        <f ca="1">IF(Checks!C130,IF(UPPER(Data!C130)="DATA OBJECT",NOT(ISERROR(MATCH(Data!A130&amp;"||"&amp;Data!BW130&amp;Data!BX130,Key,0))),TRUE),TRUE)</f>
        <v>1</v>
      </c>
      <c r="V130" s="26" t="b">
        <f>IF(Checks!C130,IF(UPPER(Data!C130)="SUB PROCESS",Data!BY130&lt;&gt;"",TRUE),TRUE)</f>
        <v>1</v>
      </c>
      <c r="W130" s="26" t="b">
        <f>IF(Checks!C130,IF(UPPER(Data!C130)="SERVICE TASK",AND(Data!BZ130&lt;&gt;"",Data!CA130&lt;&gt;""),TRUE),TRUE)</f>
        <v>1</v>
      </c>
      <c r="X130" s="26" t="b">
        <f t="array" aca="1" ref="X130" ca="1">SUM((OFFSET(Data!B130,MAX(ROW(Data!$B$5)-ROW(Data!B130),-200),0,400,1)=Data!B130)*(OFFSET(Data!A130,MAX(ROW(Data!$B$5)-ROW(Data!B130),-200),0,400,1)=Data!A130))=1</f>
        <v>1</v>
      </c>
      <c r="Y130" s="26" t="b">
        <f t="array" aca="1" ref="Y130" ca="1">IF(UPPER(Data!C130)="START",SUM((OFFSET(Data!C130,MAX(ROW(Data!$C$5)-ROW(Data!C130),-200),0,400,1)="START")*(OFFSET(Data!A130,MAX(ROW(Data!$B$5)-ROW(Data!B130),-200),0,400,1)=Data!A130))=1,TRUE)</f>
        <v>1</v>
      </c>
      <c r="Z130" s="26" t="b">
        <f t="array" aca="1" ref="Z130" ca="1">IF(UPPER(Data!C130)="END",SUM((OFFSET(Data!C130,MAX(ROW(Data!$C$5)-ROW(Data!C130),-200),0,400,1)="END")*(OFFSET(Data!A130,MAX(ROW(Data!$B$5)-ROW(Data!B130),-200),0,400,1)=Data!A130))=1,TRUE)</f>
        <v>1</v>
      </c>
      <c r="AA130" s="26" t="b">
        <f>IF(Checks!C130,ISERROR(FIND("&amp;",Data!D130)),TRUE)</f>
        <v>1</v>
      </c>
      <c r="AB130" s="26" t="b">
        <f>IF(Checks!$C130,IF(AND(UPPER(Data!$C130)&lt;&gt;"START",UPPER(Data!$C130)&lt;&gt;"DATA OBJECT",Data!E130&lt;&gt;""),NOT(ISERROR(MATCH(Data!$A130&amp;"||"&amp;Data!E130,Key,0))),TRUE),TRUE)</f>
        <v>1</v>
      </c>
      <c r="AC130" s="27" t="b">
        <f>IF(Checks!C130,IF(UPPER(Data!C130)="END",Data!E130&lt;&gt;"",TRUE),TRUE)</f>
        <v>1</v>
      </c>
    </row>
    <row r="131" spans="1:29" x14ac:dyDescent="0.25">
      <c r="A131" s="1" t="str">
        <f>Data!A131&amp;"||"&amp;Data!B131</f>
        <v>Miscellaneous/subflow/irmifrs9_get_scenarios.bpmn||040_02_00</v>
      </c>
      <c r="B131" s="19"/>
      <c r="C131" s="24" t="b">
        <f>AND(UPPER(Data!A131)&lt;&gt;"EMPTY",Data!B131&lt;&gt;"")</f>
        <v>1</v>
      </c>
      <c r="D131" s="1"/>
      <c r="E131" s="25" t="b">
        <f t="shared" ca="1" si="2"/>
        <v>1</v>
      </c>
      <c r="F131" s="26" t="b">
        <f ca="1">IF(UPPER(Data!C131)="SUB PROCESS",NOT(ISERROR(MATCH(RIGHT(Data!BY131,LEN(Data!BY131)-5),OFFSET(Data,0,0,ItemsCount,1),0))),TRUE)</f>
        <v>1</v>
      </c>
      <c r="G131" s="26" t="b">
        <f ca="1">IF(MID(UPPER(Data!A131),1,13)="MISCELLANEOUS",NOT(ISERROR(MATCH("path="&amp;Data!A131,OFFSET(Data,0,76,ItemsCount,1),0))),TRUE)</f>
        <v>1</v>
      </c>
      <c r="L131" s="25" t="b">
        <f t="shared" ca="1" si="3"/>
        <v>1</v>
      </c>
      <c r="M131" s="24" t="b">
        <f>IF(Checks!$C131,Data!A131&lt;&gt;"",TRUE)</f>
        <v>1</v>
      </c>
      <c r="N131" s="26" t="b">
        <f>IF(Checks!C131,Data!B131&lt;&gt;"",TRUE)</f>
        <v>1</v>
      </c>
      <c r="O131" s="26" t="b">
        <f>IF(Checks!C131,IF(AND(UPPER(Data!C131)="SERVICE TASK",UPPER(Data!BZ131)="TYPE=SAS"),NodeExists(TRIM(RIGHT(Data!CA131,LEN(Data!CA131)-FIND("=",Data!CA131)))),TRUE),TRUE)</f>
        <v>1</v>
      </c>
      <c r="P131" s="26" t="b">
        <f>IF(Checks!C131,IF(Data!C131="DATA OBJECT",OR(AND(Data!BW131&lt;&gt;"",Data!BX131=""),AND(Data!BW131="",Data!BX131&lt;&gt;"")),TRUE),TRUE)</f>
        <v>1</v>
      </c>
      <c r="Q131" s="26" t="b">
        <f>IF(Checks!C131,UPPER(RIGHT(Data!A131,5))=".BPMN",TRUE)</f>
        <v>1</v>
      </c>
      <c r="R131" s="26" t="b">
        <f>IF(Checks!C131,IF(UPPER(Data!C131)="SUB PROCESS",UPPER(RIGHT(Data!BY131,5))=".BPMN",TRUE),TRUE)</f>
        <v>1</v>
      </c>
      <c r="S131" s="26" t="b">
        <f>IF(Checks!C131,IF(UPPER(Data!C131)="SERVICE TASK",IF(UPPER(Data!BZ131)="TYPE=SAS",UPPER(RIGHT(Data!CA131,4))=".SAS",TRUE),TRUE),TRUE)</f>
        <v>1</v>
      </c>
      <c r="T131" s="26" t="b">
        <f>IF(Checks!C131,IF(Data!B131&lt;&gt;"",Data!D131&lt;&gt;"",TRUE),TRUE)</f>
        <v>1</v>
      </c>
      <c r="U131" s="26" t="b">
        <f ca="1">IF(Checks!C131,IF(UPPER(Data!C131)="DATA OBJECT",NOT(ISERROR(MATCH(Data!A131&amp;"||"&amp;Data!BW131&amp;Data!BX131,Key,0))),TRUE),TRUE)</f>
        <v>1</v>
      </c>
      <c r="V131" s="26" t="b">
        <f>IF(Checks!C131,IF(UPPER(Data!C131)="SUB PROCESS",Data!BY131&lt;&gt;"",TRUE),TRUE)</f>
        <v>1</v>
      </c>
      <c r="W131" s="26" t="b">
        <f>IF(Checks!C131,IF(UPPER(Data!C131)="SERVICE TASK",AND(Data!BZ131&lt;&gt;"",Data!CA131&lt;&gt;""),TRUE),TRUE)</f>
        <v>1</v>
      </c>
      <c r="X131" s="26" t="b">
        <f t="array" aca="1" ref="X131" ca="1">SUM((OFFSET(Data!B131,MAX(ROW(Data!$B$5)-ROW(Data!B131),-200),0,400,1)=Data!B131)*(OFFSET(Data!A131,MAX(ROW(Data!$B$5)-ROW(Data!B131),-200),0,400,1)=Data!A131))=1</f>
        <v>1</v>
      </c>
      <c r="Y131" s="26" t="b">
        <f t="array" aca="1" ref="Y131" ca="1">IF(UPPER(Data!C131)="START",SUM((OFFSET(Data!C131,MAX(ROW(Data!$C$5)-ROW(Data!C131),-200),0,400,1)="START")*(OFFSET(Data!A131,MAX(ROW(Data!$B$5)-ROW(Data!B131),-200),0,400,1)=Data!A131))=1,TRUE)</f>
        <v>1</v>
      </c>
      <c r="Z131" s="26" t="b">
        <f t="array" aca="1" ref="Z131" ca="1">IF(UPPER(Data!C131)="END",SUM((OFFSET(Data!C131,MAX(ROW(Data!$C$5)-ROW(Data!C131),-200),0,400,1)="END")*(OFFSET(Data!A131,MAX(ROW(Data!$B$5)-ROW(Data!B131),-200),0,400,1)=Data!A131))=1,TRUE)</f>
        <v>1</v>
      </c>
      <c r="AA131" s="26" t="b">
        <f>IF(Checks!C131,ISERROR(FIND("&amp;",Data!D131)),TRUE)</f>
        <v>1</v>
      </c>
      <c r="AB131" s="26" t="b">
        <f>IF(Checks!$C131,IF(AND(UPPER(Data!$C131)&lt;&gt;"START",UPPER(Data!$C131)&lt;&gt;"DATA OBJECT",Data!E131&lt;&gt;""),NOT(ISERROR(MATCH(Data!$A131&amp;"||"&amp;Data!E131,Key,0))),TRUE),TRUE)</f>
        <v>1</v>
      </c>
      <c r="AC131" s="27" t="b">
        <f>IF(Checks!C131,IF(UPPER(Data!C131)="END",Data!E131&lt;&gt;"",TRUE),TRUE)</f>
        <v>1</v>
      </c>
    </row>
    <row r="132" spans="1:29" x14ac:dyDescent="0.25">
      <c r="A132" s="1" t="str">
        <f>Data!A132&amp;"||"&amp;Data!B132</f>
        <v>Miscellaneous/subflow/irmifrs9_get_scenarios.bpmn||999_00_00</v>
      </c>
      <c r="B132" s="19"/>
      <c r="C132" s="24" t="b">
        <f>AND(UPPER(Data!A132)&lt;&gt;"EMPTY",Data!B132&lt;&gt;"")</f>
        <v>1</v>
      </c>
      <c r="D132" s="1"/>
      <c r="E132" s="25" t="b">
        <f t="shared" ca="1" si="2"/>
        <v>1</v>
      </c>
      <c r="F132" s="26" t="b">
        <f ca="1">IF(UPPER(Data!C132)="SUB PROCESS",NOT(ISERROR(MATCH(RIGHT(Data!BY132,LEN(Data!BY132)-5),OFFSET(Data,0,0,ItemsCount,1),0))),TRUE)</f>
        <v>1</v>
      </c>
      <c r="G132" s="26" t="b">
        <f ca="1">IF(MID(UPPER(Data!A132),1,13)="MISCELLANEOUS",NOT(ISERROR(MATCH("path="&amp;Data!A132,OFFSET(Data,0,76,ItemsCount,1),0))),TRUE)</f>
        <v>1</v>
      </c>
      <c r="L132" s="25" t="b">
        <f t="shared" ca="1" si="3"/>
        <v>1</v>
      </c>
      <c r="M132" s="24" t="b">
        <f>IF(Checks!$C132,Data!A132&lt;&gt;"",TRUE)</f>
        <v>1</v>
      </c>
      <c r="N132" s="26" t="b">
        <f>IF(Checks!C132,Data!B132&lt;&gt;"",TRUE)</f>
        <v>1</v>
      </c>
      <c r="O132" s="26" t="b">
        <f>IF(Checks!C132,IF(AND(UPPER(Data!C132)="SERVICE TASK",UPPER(Data!BZ132)="TYPE=SAS"),NodeExists(TRIM(RIGHT(Data!CA132,LEN(Data!CA132)-FIND("=",Data!CA132)))),TRUE),TRUE)</f>
        <v>1</v>
      </c>
      <c r="P132" s="26" t="b">
        <f>IF(Checks!C132,IF(Data!C132="DATA OBJECT",OR(AND(Data!BW132&lt;&gt;"",Data!BX132=""),AND(Data!BW132="",Data!BX132&lt;&gt;"")),TRUE),TRUE)</f>
        <v>1</v>
      </c>
      <c r="Q132" s="26" t="b">
        <f>IF(Checks!C132,UPPER(RIGHT(Data!A132,5))=".BPMN",TRUE)</f>
        <v>1</v>
      </c>
      <c r="R132" s="26" t="b">
        <f>IF(Checks!C132,IF(UPPER(Data!C132)="SUB PROCESS",UPPER(RIGHT(Data!BY132,5))=".BPMN",TRUE),TRUE)</f>
        <v>1</v>
      </c>
      <c r="S132" s="26" t="b">
        <f>IF(Checks!C132,IF(UPPER(Data!C132)="SERVICE TASK",IF(UPPER(Data!BZ132)="TYPE=SAS",UPPER(RIGHT(Data!CA132,4))=".SAS",TRUE),TRUE),TRUE)</f>
        <v>1</v>
      </c>
      <c r="T132" s="26" t="b">
        <f>IF(Checks!C132,IF(Data!B132&lt;&gt;"",Data!D132&lt;&gt;"",TRUE),TRUE)</f>
        <v>1</v>
      </c>
      <c r="U132" s="26" t="b">
        <f>IF(Checks!C132,IF(UPPER(Data!C132)="DATA OBJECT",NOT(ISERROR(MATCH(Data!A132&amp;"||"&amp;Data!BW132&amp;Data!BX132,Key,0))),TRUE),TRUE)</f>
        <v>1</v>
      </c>
      <c r="V132" s="26" t="b">
        <f>IF(Checks!C132,IF(UPPER(Data!C132)="SUB PROCESS",Data!BY132&lt;&gt;"",TRUE),TRUE)</f>
        <v>1</v>
      </c>
      <c r="W132" s="26" t="b">
        <f>IF(Checks!C132,IF(UPPER(Data!C132)="SERVICE TASK",AND(Data!BZ132&lt;&gt;"",Data!CA132&lt;&gt;""),TRUE),TRUE)</f>
        <v>1</v>
      </c>
      <c r="X132" s="26" t="b">
        <f t="array" aca="1" ref="X132" ca="1">SUM((OFFSET(Data!B132,MAX(ROW(Data!$B$5)-ROW(Data!B132),-200),0,400,1)=Data!B132)*(OFFSET(Data!A132,MAX(ROW(Data!$B$5)-ROW(Data!B132),-200),0,400,1)=Data!A132))=1</f>
        <v>1</v>
      </c>
      <c r="Y132" s="26" t="b">
        <f t="array" aca="1" ref="Y132" ca="1">IF(UPPER(Data!C132)="START",SUM((OFFSET(Data!C132,MAX(ROW(Data!$C$5)-ROW(Data!C132),-200),0,400,1)="START")*(OFFSET(Data!A132,MAX(ROW(Data!$B$5)-ROW(Data!B132),-200),0,400,1)=Data!A132))=1,TRUE)</f>
        <v>1</v>
      </c>
      <c r="Z132" s="26" t="b">
        <f t="array" aca="1" ref="Z132" ca="1">IF(UPPER(Data!C132)="END",SUM((OFFSET(Data!C132,MAX(ROW(Data!$C$5)-ROW(Data!C132),-200),0,400,1)="END")*(OFFSET(Data!A132,MAX(ROW(Data!$B$5)-ROW(Data!B132),-200),0,400,1)=Data!A132))=1,TRUE)</f>
        <v>1</v>
      </c>
      <c r="AA132" s="26" t="b">
        <f>IF(Checks!C132,ISERROR(FIND("&amp;",Data!D132)),TRUE)</f>
        <v>1</v>
      </c>
      <c r="AB132" s="26" t="b">
        <f ca="1">IF(Checks!$C132,IF(AND(UPPER(Data!$C132)&lt;&gt;"START",UPPER(Data!$C132)&lt;&gt;"DATA OBJECT",Data!E132&lt;&gt;""),NOT(ISERROR(MATCH(Data!$A132&amp;"||"&amp;Data!E132,Key,0))),TRUE),TRUE)</f>
        <v>1</v>
      </c>
      <c r="AC132" s="27" t="b">
        <f>IF(Checks!C132,IF(UPPER(Data!C132)="END",Data!E132&lt;&gt;"",TRUE),TRUE)</f>
        <v>1</v>
      </c>
    </row>
    <row r="133" spans="1:29" x14ac:dyDescent="0.25">
      <c r="A133" s="1" t="str">
        <f>Data!A133&amp;"||"&amp;Data!B133</f>
        <v>Miscellaneous/subflow/irmifrs9_credit_risk_analysis.bpmn||000_00_00</v>
      </c>
      <c r="B133" s="19"/>
      <c r="C133" s="24" t="b">
        <f>AND(UPPER(Data!A133)&lt;&gt;"EMPTY",Data!B133&lt;&gt;"")</f>
        <v>1</v>
      </c>
      <c r="D133" s="1"/>
      <c r="E133" s="25" t="b">
        <f t="shared" ca="1" si="2"/>
        <v>1</v>
      </c>
      <c r="F133" s="26" t="b">
        <f ca="1">IF(UPPER(Data!C133)="SUB PROCESS",NOT(ISERROR(MATCH(RIGHT(Data!BY133,LEN(Data!BY133)-5),OFFSET(Data,0,0,ItemsCount,1),0))),TRUE)</f>
        <v>1</v>
      </c>
      <c r="G133" s="26" t="b">
        <f ca="1">IF(MID(UPPER(Data!A133),1,13)="MISCELLANEOUS",NOT(ISERROR(MATCH("path="&amp;Data!A133,OFFSET(Data,0,76,ItemsCount,1),0))),TRUE)</f>
        <v>1</v>
      </c>
      <c r="L133" s="25" t="b">
        <f t="shared" ca="1" si="3"/>
        <v>1</v>
      </c>
      <c r="M133" s="24" t="b">
        <f>IF(Checks!$C133,Data!A133&lt;&gt;"",TRUE)</f>
        <v>1</v>
      </c>
      <c r="N133" s="26" t="b">
        <f>IF(Checks!C133,Data!B133&lt;&gt;"",TRUE)</f>
        <v>1</v>
      </c>
      <c r="O133" s="26" t="b">
        <f>IF(Checks!C133,IF(AND(UPPER(Data!C133)="SERVICE TASK",UPPER(Data!BZ133)="TYPE=SAS"),NodeExists(TRIM(RIGHT(Data!CA133,LEN(Data!CA133)-FIND("=",Data!CA133)))),TRUE),TRUE)</f>
        <v>1</v>
      </c>
      <c r="P133" s="26" t="b">
        <f>IF(Checks!C133,IF(Data!C133="DATA OBJECT",OR(AND(Data!BW133&lt;&gt;"",Data!BX133=""),AND(Data!BW133="",Data!BX133&lt;&gt;"")),TRUE),TRUE)</f>
        <v>1</v>
      </c>
      <c r="Q133" s="26" t="b">
        <f>IF(Checks!C133,UPPER(RIGHT(Data!A133,5))=".BPMN",TRUE)</f>
        <v>1</v>
      </c>
      <c r="R133" s="26" t="b">
        <f>IF(Checks!C133,IF(UPPER(Data!C133)="SUB PROCESS",UPPER(RIGHT(Data!BY133,5))=".BPMN",TRUE),TRUE)</f>
        <v>1</v>
      </c>
      <c r="S133" s="26" t="b">
        <f>IF(Checks!C133,IF(UPPER(Data!C133)="SERVICE TASK",IF(UPPER(Data!BZ133)="TYPE=SAS",UPPER(RIGHT(Data!CA133,4))=".SAS",TRUE),TRUE),TRUE)</f>
        <v>1</v>
      </c>
      <c r="T133" s="26" t="b">
        <f>IF(Checks!C133,IF(Data!B133&lt;&gt;"",Data!D133&lt;&gt;"",TRUE),TRUE)</f>
        <v>1</v>
      </c>
      <c r="U133" s="26" t="b">
        <f>IF(Checks!C133,IF(UPPER(Data!C133)="DATA OBJECT",NOT(ISERROR(MATCH(Data!A133&amp;"||"&amp;Data!BW133&amp;Data!BX133,Key,0))),TRUE),TRUE)</f>
        <v>1</v>
      </c>
      <c r="V133" s="26" t="b">
        <f>IF(Checks!C133,IF(UPPER(Data!C133)="SUB PROCESS",Data!BY133&lt;&gt;"",TRUE),TRUE)</f>
        <v>1</v>
      </c>
      <c r="W133" s="26" t="b">
        <f>IF(Checks!C133,IF(UPPER(Data!C133)="SERVICE TASK",AND(Data!BZ133&lt;&gt;"",Data!CA133&lt;&gt;""),TRUE),TRUE)</f>
        <v>1</v>
      </c>
      <c r="X133" s="26" t="b">
        <f t="array" aca="1" ref="X133" ca="1">SUM((OFFSET(Data!B133,MAX(ROW(Data!$B$5)-ROW(Data!B133),-200),0,400,1)=Data!B133)*(OFFSET(Data!A133,MAX(ROW(Data!$B$5)-ROW(Data!B133),-200),0,400,1)=Data!A133))=1</f>
        <v>1</v>
      </c>
      <c r="Y133" s="26" t="b">
        <f t="array" aca="1" ref="Y133" ca="1">IF(UPPER(Data!C133)="START",SUM((OFFSET(Data!C133,MAX(ROW(Data!$C$5)-ROW(Data!C133),-200),0,400,1)="START")*(OFFSET(Data!A133,MAX(ROW(Data!$B$5)-ROW(Data!B133),-200),0,400,1)=Data!A133))=1,TRUE)</f>
        <v>1</v>
      </c>
      <c r="Z133" s="26" t="b">
        <f t="array" aca="1" ref="Z133" ca="1">IF(UPPER(Data!C133)="END",SUM((OFFSET(Data!C133,MAX(ROW(Data!$C$5)-ROW(Data!C133),-200),0,400,1)="END")*(OFFSET(Data!A133,MAX(ROW(Data!$B$5)-ROW(Data!B133),-200),0,400,1)=Data!A133))=1,TRUE)</f>
        <v>1</v>
      </c>
      <c r="AA133" s="26" t="b">
        <f>IF(Checks!C133,ISERROR(FIND("&amp;",Data!D133)),TRUE)</f>
        <v>1</v>
      </c>
      <c r="AB133" s="26" t="b">
        <f>IF(Checks!$C133,IF(AND(UPPER(Data!$C133)&lt;&gt;"START",UPPER(Data!$C133)&lt;&gt;"DATA OBJECT",Data!E133&lt;&gt;""),NOT(ISERROR(MATCH(Data!$A133&amp;"||"&amp;Data!E133,Key,0))),TRUE),TRUE)</f>
        <v>1</v>
      </c>
      <c r="AC133" s="27" t="b">
        <f>IF(Checks!C133,IF(UPPER(Data!C133)="END",Data!E133&lt;&gt;"",TRUE),TRUE)</f>
        <v>1</v>
      </c>
    </row>
    <row r="134" spans="1:29" x14ac:dyDescent="0.25">
      <c r="A134" s="1" t="str">
        <f>Data!A134&amp;"||"&amp;Data!B134</f>
        <v>Miscellaneous/subflow/irmifrs9_credit_risk_analysis.bpmn||030_00_00</v>
      </c>
      <c r="B134" s="19"/>
      <c r="C134" s="24" t="b">
        <f>AND(UPPER(Data!A134)&lt;&gt;"EMPTY",Data!B134&lt;&gt;"")</f>
        <v>1</v>
      </c>
      <c r="D134" s="1"/>
      <c r="E134" s="25" t="b">
        <f t="shared" ref="E134:E197" ca="1" si="4">IF(C134,AND(F134:G134),TRUE)</f>
        <v>1</v>
      </c>
      <c r="F134" s="26" t="b">
        <f ca="1">IF(UPPER(Data!C134)="SUB PROCESS",NOT(ISERROR(MATCH(RIGHT(Data!BY134,LEN(Data!BY134)-5),OFFSET(Data,0,0,ItemsCount,1),0))),TRUE)</f>
        <v>1</v>
      </c>
      <c r="G134" s="26" t="b">
        <f ca="1">IF(MID(UPPER(Data!A134),1,13)="MISCELLANEOUS",NOT(ISERROR(MATCH("path="&amp;Data!A134,OFFSET(Data,0,76,ItemsCount,1),0))),TRUE)</f>
        <v>1</v>
      </c>
      <c r="L134" s="25" t="b">
        <f t="shared" ref="L134:L197" ca="1" si="5">IF(C134,AND(M134:AC134),TRUE)</f>
        <v>1</v>
      </c>
      <c r="M134" s="24" t="b">
        <f>IF(Checks!$C134,Data!A134&lt;&gt;"",TRUE)</f>
        <v>1</v>
      </c>
      <c r="N134" s="26" t="b">
        <f>IF(Checks!C134,Data!B134&lt;&gt;"",TRUE)</f>
        <v>1</v>
      </c>
      <c r="O134" s="26" t="b">
        <f>IF(Checks!C134,IF(AND(UPPER(Data!C134)="SERVICE TASK",UPPER(Data!BZ134)="TYPE=SAS"),NodeExists(TRIM(RIGHT(Data!CA134,LEN(Data!CA134)-FIND("=",Data!CA134)))),TRUE),TRUE)</f>
        <v>1</v>
      </c>
      <c r="P134" s="26" t="b">
        <f>IF(Checks!C134,IF(Data!C134="DATA OBJECT",OR(AND(Data!BW134&lt;&gt;"",Data!BX134=""),AND(Data!BW134="",Data!BX134&lt;&gt;"")),TRUE),TRUE)</f>
        <v>1</v>
      </c>
      <c r="Q134" s="26" t="b">
        <f>IF(Checks!C134,UPPER(RIGHT(Data!A134,5))=".BPMN",TRUE)</f>
        <v>1</v>
      </c>
      <c r="R134" s="26" t="b">
        <f>IF(Checks!C134,IF(UPPER(Data!C134)="SUB PROCESS",UPPER(RIGHT(Data!BY134,5))=".BPMN",TRUE),TRUE)</f>
        <v>1</v>
      </c>
      <c r="S134" s="26" t="b">
        <f>IF(Checks!C134,IF(UPPER(Data!C134)="SERVICE TASK",IF(UPPER(Data!BZ134)="TYPE=SAS",UPPER(RIGHT(Data!CA134,4))=".SAS",TRUE),TRUE),TRUE)</f>
        <v>1</v>
      </c>
      <c r="T134" s="26" t="b">
        <f>IF(Checks!C134,IF(Data!B134&lt;&gt;"",Data!D134&lt;&gt;"",TRUE),TRUE)</f>
        <v>1</v>
      </c>
      <c r="U134" s="26" t="b">
        <f>IF(Checks!C134,IF(UPPER(Data!C134)="DATA OBJECT",NOT(ISERROR(MATCH(Data!A134&amp;"||"&amp;Data!BW134&amp;Data!BX134,Key,0))),TRUE),TRUE)</f>
        <v>1</v>
      </c>
      <c r="V134" s="26" t="b">
        <f>IF(Checks!C134,IF(UPPER(Data!C134)="SUB PROCESS",Data!BY134&lt;&gt;"",TRUE),TRUE)</f>
        <v>1</v>
      </c>
      <c r="W134" s="26" t="b">
        <f>IF(Checks!C134,IF(UPPER(Data!C134)="SERVICE TASK",AND(Data!BZ134&lt;&gt;"",Data!CA134&lt;&gt;""),TRUE),TRUE)</f>
        <v>1</v>
      </c>
      <c r="X134" s="26" t="b">
        <f t="array" aca="1" ref="X134" ca="1">SUM((OFFSET(Data!B134,MAX(ROW(Data!$B$5)-ROW(Data!B134),-200),0,400,1)=Data!B134)*(OFFSET(Data!A134,MAX(ROW(Data!$B$5)-ROW(Data!B134),-200),0,400,1)=Data!A134))=1</f>
        <v>1</v>
      </c>
      <c r="Y134" s="26" t="b">
        <f t="array" aca="1" ref="Y134" ca="1">IF(UPPER(Data!C134)="START",SUM((OFFSET(Data!C134,MAX(ROW(Data!$C$5)-ROW(Data!C134),-200),0,400,1)="START")*(OFFSET(Data!A134,MAX(ROW(Data!$B$5)-ROW(Data!B134),-200),0,400,1)=Data!A134))=1,TRUE)</f>
        <v>1</v>
      </c>
      <c r="Z134" s="26" t="b">
        <f t="array" aca="1" ref="Z134" ca="1">IF(UPPER(Data!C134)="END",SUM((OFFSET(Data!C134,MAX(ROW(Data!$C$5)-ROW(Data!C134),-200),0,400,1)="END")*(OFFSET(Data!A134,MAX(ROW(Data!$B$5)-ROW(Data!B134),-200),0,400,1)=Data!A134))=1,TRUE)</f>
        <v>1</v>
      </c>
      <c r="AA134" s="26" t="b">
        <f>IF(Checks!C134,ISERROR(FIND("&amp;",Data!D134)),TRUE)</f>
        <v>1</v>
      </c>
      <c r="AB134" s="26" t="b">
        <f ca="1">IF(Checks!$C134,IF(AND(UPPER(Data!$C134)&lt;&gt;"START",UPPER(Data!$C134)&lt;&gt;"DATA OBJECT",Data!E134&lt;&gt;""),NOT(ISERROR(MATCH(Data!$A134&amp;"||"&amp;Data!E134,Key,0))),TRUE),TRUE)</f>
        <v>1</v>
      </c>
      <c r="AC134" s="27" t="b">
        <f>IF(Checks!C134,IF(UPPER(Data!C134)="END",Data!E134&lt;&gt;"",TRUE),TRUE)</f>
        <v>1</v>
      </c>
    </row>
    <row r="135" spans="1:29" x14ac:dyDescent="0.25">
      <c r="A135" s="1" t="str">
        <f>Data!A135&amp;"||"&amp;Data!B135</f>
        <v>Miscellaneous/subflow/irmifrs9_credit_risk_analysis.bpmn||030_00_01</v>
      </c>
      <c r="B135" s="19"/>
      <c r="C135" s="24" t="b">
        <f>AND(UPPER(Data!A135)&lt;&gt;"EMPTY",Data!B135&lt;&gt;"")</f>
        <v>1</v>
      </c>
      <c r="D135" s="1"/>
      <c r="E135" s="25" t="b">
        <f t="shared" ca="1" si="4"/>
        <v>1</v>
      </c>
      <c r="F135" s="26" t="b">
        <f ca="1">IF(UPPER(Data!C135)="SUB PROCESS",NOT(ISERROR(MATCH(RIGHT(Data!BY135,LEN(Data!BY135)-5),OFFSET(Data,0,0,ItemsCount,1),0))),TRUE)</f>
        <v>1</v>
      </c>
      <c r="G135" s="26" t="b">
        <f ca="1">IF(MID(UPPER(Data!A135),1,13)="MISCELLANEOUS",NOT(ISERROR(MATCH("path="&amp;Data!A135,OFFSET(Data,0,76,ItemsCount,1),0))),TRUE)</f>
        <v>1</v>
      </c>
      <c r="L135" s="25" t="b">
        <f t="shared" ca="1" si="5"/>
        <v>1</v>
      </c>
      <c r="M135" s="24" t="b">
        <f>IF(Checks!$C135,Data!A135&lt;&gt;"",TRUE)</f>
        <v>1</v>
      </c>
      <c r="N135" s="26" t="b">
        <f>IF(Checks!C135,Data!B135&lt;&gt;"",TRUE)</f>
        <v>1</v>
      </c>
      <c r="O135" s="26" t="b">
        <f>IF(Checks!C135,IF(AND(UPPER(Data!C135)="SERVICE TASK",UPPER(Data!BZ135)="TYPE=SAS"),NodeExists(TRIM(RIGHT(Data!CA135,LEN(Data!CA135)-FIND("=",Data!CA135)))),TRUE),TRUE)</f>
        <v>1</v>
      </c>
      <c r="P135" s="26" t="b">
        <f>IF(Checks!C135,IF(Data!C135="DATA OBJECT",OR(AND(Data!BW135&lt;&gt;"",Data!BX135=""),AND(Data!BW135="",Data!BX135&lt;&gt;"")),TRUE),TRUE)</f>
        <v>1</v>
      </c>
      <c r="Q135" s="26" t="b">
        <f>IF(Checks!C135,UPPER(RIGHT(Data!A135,5))=".BPMN",TRUE)</f>
        <v>1</v>
      </c>
      <c r="R135" s="26" t="b">
        <f>IF(Checks!C135,IF(UPPER(Data!C135)="SUB PROCESS",UPPER(RIGHT(Data!BY135,5))=".BPMN",TRUE),TRUE)</f>
        <v>1</v>
      </c>
      <c r="S135" s="26" t="b">
        <f>IF(Checks!C135,IF(UPPER(Data!C135)="SERVICE TASK",IF(UPPER(Data!BZ135)="TYPE=SAS",UPPER(RIGHT(Data!CA135,4))=".SAS",TRUE),TRUE),TRUE)</f>
        <v>1</v>
      </c>
      <c r="T135" s="26" t="b">
        <f>IF(Checks!C135,IF(Data!B135&lt;&gt;"",Data!D135&lt;&gt;"",TRUE),TRUE)</f>
        <v>1</v>
      </c>
      <c r="U135" s="26" t="b">
        <f ca="1">IF(Checks!C135,IF(UPPER(Data!C135)="DATA OBJECT",NOT(ISERROR(MATCH(Data!A135&amp;"||"&amp;Data!BW135&amp;Data!BX135,Key,0))),TRUE),TRUE)</f>
        <v>1</v>
      </c>
      <c r="V135" s="26" t="b">
        <f>IF(Checks!C135,IF(UPPER(Data!C135)="SUB PROCESS",Data!BY135&lt;&gt;"",TRUE),TRUE)</f>
        <v>1</v>
      </c>
      <c r="W135" s="26" t="b">
        <f>IF(Checks!C135,IF(UPPER(Data!C135)="SERVICE TASK",AND(Data!BZ135&lt;&gt;"",Data!CA135&lt;&gt;""),TRUE),TRUE)</f>
        <v>1</v>
      </c>
      <c r="X135" s="26" t="b">
        <f t="array" aca="1" ref="X135" ca="1">SUM((OFFSET(Data!B135,MAX(ROW(Data!$B$5)-ROW(Data!B135),-200),0,400,1)=Data!B135)*(OFFSET(Data!A135,MAX(ROW(Data!$B$5)-ROW(Data!B135),-200),0,400,1)=Data!A135))=1</f>
        <v>1</v>
      </c>
      <c r="Y135" s="26" t="b">
        <f t="array" aca="1" ref="Y135" ca="1">IF(UPPER(Data!C135)="START",SUM((OFFSET(Data!C135,MAX(ROW(Data!$C$5)-ROW(Data!C135),-200),0,400,1)="START")*(OFFSET(Data!A135,MAX(ROW(Data!$B$5)-ROW(Data!B135),-200),0,400,1)=Data!A135))=1,TRUE)</f>
        <v>1</v>
      </c>
      <c r="Z135" s="26" t="b">
        <f t="array" aca="1" ref="Z135" ca="1">IF(UPPER(Data!C135)="END",SUM((OFFSET(Data!C135,MAX(ROW(Data!$C$5)-ROW(Data!C135),-200),0,400,1)="END")*(OFFSET(Data!A135,MAX(ROW(Data!$B$5)-ROW(Data!B135),-200),0,400,1)=Data!A135))=1,TRUE)</f>
        <v>1</v>
      </c>
      <c r="AA135" s="26" t="b">
        <f>IF(Checks!C135,ISERROR(FIND("&amp;",Data!D135)),TRUE)</f>
        <v>1</v>
      </c>
      <c r="AB135" s="26" t="b">
        <f>IF(Checks!$C135,IF(AND(UPPER(Data!$C135)&lt;&gt;"START",UPPER(Data!$C135)&lt;&gt;"DATA OBJECT",Data!E135&lt;&gt;""),NOT(ISERROR(MATCH(Data!$A135&amp;"||"&amp;Data!E135,Key,0))),TRUE),TRUE)</f>
        <v>1</v>
      </c>
      <c r="AC135" s="27" t="b">
        <f>IF(Checks!C135,IF(UPPER(Data!C135)="END",Data!E135&lt;&gt;"",TRUE),TRUE)</f>
        <v>1</v>
      </c>
    </row>
    <row r="136" spans="1:29" x14ac:dyDescent="0.25">
      <c r="A136" s="1" t="str">
        <f>Data!A136&amp;"||"&amp;Data!B136</f>
        <v>Miscellaneous/subflow/irmifrs9_credit_risk_analysis.bpmn||030_00_02</v>
      </c>
      <c r="B136" s="19"/>
      <c r="C136" s="24" t="b">
        <f>AND(UPPER(Data!A136)&lt;&gt;"EMPTY",Data!B136&lt;&gt;"")</f>
        <v>1</v>
      </c>
      <c r="D136" s="1"/>
      <c r="E136" s="25" t="b">
        <f t="shared" ca="1" si="4"/>
        <v>1</v>
      </c>
      <c r="F136" s="26" t="b">
        <f ca="1">IF(UPPER(Data!C136)="SUB PROCESS",NOT(ISERROR(MATCH(RIGHT(Data!BY136,LEN(Data!BY136)-5),OFFSET(Data,0,0,ItemsCount,1),0))),TRUE)</f>
        <v>1</v>
      </c>
      <c r="G136" s="26" t="b">
        <f ca="1">IF(MID(UPPER(Data!A136),1,13)="MISCELLANEOUS",NOT(ISERROR(MATCH("path="&amp;Data!A136,OFFSET(Data,0,76,ItemsCount,1),0))),TRUE)</f>
        <v>1</v>
      </c>
      <c r="L136" s="25" t="b">
        <f t="shared" ca="1" si="5"/>
        <v>1</v>
      </c>
      <c r="M136" s="24" t="b">
        <f>IF(Checks!$C136,Data!A136&lt;&gt;"",TRUE)</f>
        <v>1</v>
      </c>
      <c r="N136" s="26" t="b">
        <f>IF(Checks!C136,Data!B136&lt;&gt;"",TRUE)</f>
        <v>1</v>
      </c>
      <c r="O136" s="26" t="b">
        <f>IF(Checks!C136,IF(AND(UPPER(Data!C136)="SERVICE TASK",UPPER(Data!BZ136)="TYPE=SAS"),NodeExists(TRIM(RIGHT(Data!CA136,LEN(Data!CA136)-FIND("=",Data!CA136)))),TRUE),TRUE)</f>
        <v>1</v>
      </c>
      <c r="P136" s="26" t="b">
        <f>IF(Checks!C136,IF(Data!C136="DATA OBJECT",OR(AND(Data!BW136&lt;&gt;"",Data!BX136=""),AND(Data!BW136="",Data!BX136&lt;&gt;"")),TRUE),TRUE)</f>
        <v>1</v>
      </c>
      <c r="Q136" s="26" t="b">
        <f>IF(Checks!C136,UPPER(RIGHT(Data!A136,5))=".BPMN",TRUE)</f>
        <v>1</v>
      </c>
      <c r="R136" s="26" t="b">
        <f>IF(Checks!C136,IF(UPPER(Data!C136)="SUB PROCESS",UPPER(RIGHT(Data!BY136,5))=".BPMN",TRUE),TRUE)</f>
        <v>1</v>
      </c>
      <c r="S136" s="26" t="b">
        <f>IF(Checks!C136,IF(UPPER(Data!C136)="SERVICE TASK",IF(UPPER(Data!BZ136)="TYPE=SAS",UPPER(RIGHT(Data!CA136,4))=".SAS",TRUE),TRUE),TRUE)</f>
        <v>1</v>
      </c>
      <c r="T136" s="26" t="b">
        <f>IF(Checks!C136,IF(Data!B136&lt;&gt;"",Data!D136&lt;&gt;"",TRUE),TRUE)</f>
        <v>1</v>
      </c>
      <c r="U136" s="26" t="b">
        <f ca="1">IF(Checks!C136,IF(UPPER(Data!C136)="DATA OBJECT",NOT(ISERROR(MATCH(Data!A136&amp;"||"&amp;Data!BW136&amp;Data!BX136,Key,0))),TRUE),TRUE)</f>
        <v>1</v>
      </c>
      <c r="V136" s="26" t="b">
        <f>IF(Checks!C136,IF(UPPER(Data!C136)="SUB PROCESS",Data!BY136&lt;&gt;"",TRUE),TRUE)</f>
        <v>1</v>
      </c>
      <c r="W136" s="26" t="b">
        <f>IF(Checks!C136,IF(UPPER(Data!C136)="SERVICE TASK",AND(Data!BZ136&lt;&gt;"",Data!CA136&lt;&gt;""),TRUE),TRUE)</f>
        <v>1</v>
      </c>
      <c r="X136" s="26" t="b">
        <f t="array" aca="1" ref="X136" ca="1">SUM((OFFSET(Data!B136,MAX(ROW(Data!$B$5)-ROW(Data!B136),-200),0,400,1)=Data!B136)*(OFFSET(Data!A136,MAX(ROW(Data!$B$5)-ROW(Data!B136),-200),0,400,1)=Data!A136))=1</f>
        <v>1</v>
      </c>
      <c r="Y136" s="26" t="b">
        <f t="array" aca="1" ref="Y136" ca="1">IF(UPPER(Data!C136)="START",SUM((OFFSET(Data!C136,MAX(ROW(Data!$C$5)-ROW(Data!C136),-200),0,400,1)="START")*(OFFSET(Data!A136,MAX(ROW(Data!$B$5)-ROW(Data!B136),-200),0,400,1)=Data!A136))=1,TRUE)</f>
        <v>1</v>
      </c>
      <c r="Z136" s="26" t="b">
        <f t="array" aca="1" ref="Z136" ca="1">IF(UPPER(Data!C136)="END",SUM((OFFSET(Data!C136,MAX(ROW(Data!$C$5)-ROW(Data!C136),-200),0,400,1)="END")*(OFFSET(Data!A136,MAX(ROW(Data!$B$5)-ROW(Data!B136),-200),0,400,1)=Data!A136))=1,TRUE)</f>
        <v>1</v>
      </c>
      <c r="AA136" s="26" t="b">
        <f>IF(Checks!C136,ISERROR(FIND("&amp;",Data!D136)),TRUE)</f>
        <v>1</v>
      </c>
      <c r="AB136" s="26" t="b">
        <f>IF(Checks!$C136,IF(AND(UPPER(Data!$C136)&lt;&gt;"START",UPPER(Data!$C136)&lt;&gt;"DATA OBJECT",Data!E136&lt;&gt;""),NOT(ISERROR(MATCH(Data!$A136&amp;"||"&amp;Data!E136,Key,0))),TRUE),TRUE)</f>
        <v>1</v>
      </c>
      <c r="AC136" s="27" t="b">
        <f>IF(Checks!C136,IF(UPPER(Data!C136)="END",Data!E136&lt;&gt;"",TRUE),TRUE)</f>
        <v>1</v>
      </c>
    </row>
    <row r="137" spans="1:29" x14ac:dyDescent="0.25">
      <c r="A137" s="1" t="str">
        <f>Data!A137&amp;"||"&amp;Data!B137</f>
        <v>Miscellaneous/subflow/irmifrs9_credit_risk_analysis.bpmn||030_00_03</v>
      </c>
      <c r="B137" s="19"/>
      <c r="C137" s="24" t="b">
        <f>AND(UPPER(Data!A137)&lt;&gt;"EMPTY",Data!B137&lt;&gt;"")</f>
        <v>1</v>
      </c>
      <c r="D137" s="1"/>
      <c r="E137" s="25" t="b">
        <f t="shared" ca="1" si="4"/>
        <v>1</v>
      </c>
      <c r="F137" s="26" t="b">
        <f ca="1">IF(UPPER(Data!C137)="SUB PROCESS",NOT(ISERROR(MATCH(RIGHT(Data!BY137,LEN(Data!BY137)-5),OFFSET(Data,0,0,ItemsCount,1),0))),TRUE)</f>
        <v>1</v>
      </c>
      <c r="G137" s="26" t="b">
        <f ca="1">IF(MID(UPPER(Data!A137),1,13)="MISCELLANEOUS",NOT(ISERROR(MATCH("path="&amp;Data!A137,OFFSET(Data,0,76,ItemsCount,1),0))),TRUE)</f>
        <v>1</v>
      </c>
      <c r="L137" s="25" t="b">
        <f t="shared" ca="1" si="5"/>
        <v>1</v>
      </c>
      <c r="M137" s="24" t="b">
        <f>IF(Checks!$C137,Data!A137&lt;&gt;"",TRUE)</f>
        <v>1</v>
      </c>
      <c r="N137" s="26" t="b">
        <f>IF(Checks!C137,Data!B137&lt;&gt;"",TRUE)</f>
        <v>1</v>
      </c>
      <c r="O137" s="26" t="b">
        <f>IF(Checks!C137,IF(AND(UPPER(Data!C137)="SERVICE TASK",UPPER(Data!BZ137)="TYPE=SAS"),NodeExists(TRIM(RIGHT(Data!CA137,LEN(Data!CA137)-FIND("=",Data!CA137)))),TRUE),TRUE)</f>
        <v>1</v>
      </c>
      <c r="P137" s="26" t="b">
        <f>IF(Checks!C137,IF(Data!C137="DATA OBJECT",OR(AND(Data!BW137&lt;&gt;"",Data!BX137=""),AND(Data!BW137="",Data!BX137&lt;&gt;"")),TRUE),TRUE)</f>
        <v>1</v>
      </c>
      <c r="Q137" s="26" t="b">
        <f>IF(Checks!C137,UPPER(RIGHT(Data!A137,5))=".BPMN",TRUE)</f>
        <v>1</v>
      </c>
      <c r="R137" s="26" t="b">
        <f>IF(Checks!C137,IF(UPPER(Data!C137)="SUB PROCESS",UPPER(RIGHT(Data!BY137,5))=".BPMN",TRUE),TRUE)</f>
        <v>1</v>
      </c>
      <c r="S137" s="26" t="b">
        <f>IF(Checks!C137,IF(UPPER(Data!C137)="SERVICE TASK",IF(UPPER(Data!BZ137)="TYPE=SAS",UPPER(RIGHT(Data!CA137,4))=".SAS",TRUE),TRUE),TRUE)</f>
        <v>1</v>
      </c>
      <c r="T137" s="26" t="b">
        <f>IF(Checks!C137,IF(Data!B137&lt;&gt;"",Data!D137&lt;&gt;"",TRUE),TRUE)</f>
        <v>1</v>
      </c>
      <c r="U137" s="26" t="b">
        <f ca="1">IF(Checks!C137,IF(UPPER(Data!C137)="DATA OBJECT",NOT(ISERROR(MATCH(Data!A137&amp;"||"&amp;Data!BW137&amp;Data!BX137,Key,0))),TRUE),TRUE)</f>
        <v>1</v>
      </c>
      <c r="V137" s="26" t="b">
        <f>IF(Checks!C137,IF(UPPER(Data!C137)="SUB PROCESS",Data!BY137&lt;&gt;"",TRUE),TRUE)</f>
        <v>1</v>
      </c>
      <c r="W137" s="26" t="b">
        <f>IF(Checks!C137,IF(UPPER(Data!C137)="SERVICE TASK",AND(Data!BZ137&lt;&gt;"",Data!CA137&lt;&gt;""),TRUE),TRUE)</f>
        <v>1</v>
      </c>
      <c r="X137" s="26" t="b">
        <f t="array" aca="1" ref="X137" ca="1">SUM((OFFSET(Data!B137,MAX(ROW(Data!$B$5)-ROW(Data!B137),-200),0,400,1)=Data!B137)*(OFFSET(Data!A137,MAX(ROW(Data!$B$5)-ROW(Data!B137),-200),0,400,1)=Data!A137))=1</f>
        <v>1</v>
      </c>
      <c r="Y137" s="26" t="b">
        <f t="array" aca="1" ref="Y137" ca="1">IF(UPPER(Data!C137)="START",SUM((OFFSET(Data!C137,MAX(ROW(Data!$C$5)-ROW(Data!C137),-200),0,400,1)="START")*(OFFSET(Data!A137,MAX(ROW(Data!$B$5)-ROW(Data!B137),-200),0,400,1)=Data!A137))=1,TRUE)</f>
        <v>1</v>
      </c>
      <c r="Z137" s="26" t="b">
        <f t="array" aca="1" ref="Z137" ca="1">IF(UPPER(Data!C137)="END",SUM((OFFSET(Data!C137,MAX(ROW(Data!$C$5)-ROW(Data!C137),-200),0,400,1)="END")*(OFFSET(Data!A137,MAX(ROW(Data!$B$5)-ROW(Data!B137),-200),0,400,1)=Data!A137))=1,TRUE)</f>
        <v>1</v>
      </c>
      <c r="AA137" s="26" t="b">
        <f>IF(Checks!C137,ISERROR(FIND("&amp;",Data!D137)),TRUE)</f>
        <v>1</v>
      </c>
      <c r="AB137" s="26" t="b">
        <f>IF(Checks!$C137,IF(AND(UPPER(Data!$C137)&lt;&gt;"START",UPPER(Data!$C137)&lt;&gt;"DATA OBJECT",Data!E137&lt;&gt;""),NOT(ISERROR(MATCH(Data!$A137&amp;"||"&amp;Data!E137,Key,0))),TRUE),TRUE)</f>
        <v>1</v>
      </c>
      <c r="AC137" s="27" t="b">
        <f>IF(Checks!C137,IF(UPPER(Data!C137)="END",Data!E137&lt;&gt;"",TRUE),TRUE)</f>
        <v>1</v>
      </c>
    </row>
    <row r="138" spans="1:29" x14ac:dyDescent="0.25">
      <c r="A138" s="1" t="str">
        <f>Data!A138&amp;"||"&amp;Data!B138</f>
        <v>Miscellaneous/subflow/irmifrs9_credit_risk_analysis.bpmn||030_00_04</v>
      </c>
      <c r="B138" s="19"/>
      <c r="C138" s="24" t="b">
        <f>AND(UPPER(Data!A138)&lt;&gt;"EMPTY",Data!B138&lt;&gt;"")</f>
        <v>1</v>
      </c>
      <c r="D138" s="1"/>
      <c r="E138" s="25" t="b">
        <f t="shared" ca="1" si="4"/>
        <v>1</v>
      </c>
      <c r="F138" s="26" t="b">
        <f ca="1">IF(UPPER(Data!C138)="SUB PROCESS",NOT(ISERROR(MATCH(RIGHT(Data!BY138,LEN(Data!BY138)-5),OFFSET(Data,0,0,ItemsCount,1),0))),TRUE)</f>
        <v>1</v>
      </c>
      <c r="G138" s="26" t="b">
        <f ca="1">IF(MID(UPPER(Data!A138),1,13)="MISCELLANEOUS",NOT(ISERROR(MATCH("path="&amp;Data!A138,OFFSET(Data,0,76,ItemsCount,1),0))),TRUE)</f>
        <v>1</v>
      </c>
      <c r="L138" s="25" t="b">
        <f t="shared" ca="1" si="5"/>
        <v>1</v>
      </c>
      <c r="M138" s="24" t="b">
        <f>IF(Checks!$C138,Data!A138&lt;&gt;"",TRUE)</f>
        <v>1</v>
      </c>
      <c r="N138" s="26" t="b">
        <f>IF(Checks!C138,Data!B138&lt;&gt;"",TRUE)</f>
        <v>1</v>
      </c>
      <c r="O138" s="26" t="b">
        <f>IF(Checks!C138,IF(AND(UPPER(Data!C138)="SERVICE TASK",UPPER(Data!BZ138)="TYPE=SAS"),NodeExists(TRIM(RIGHT(Data!CA138,LEN(Data!CA138)-FIND("=",Data!CA138)))),TRUE),TRUE)</f>
        <v>1</v>
      </c>
      <c r="P138" s="26" t="b">
        <f>IF(Checks!C138,IF(Data!C138="DATA OBJECT",OR(AND(Data!BW138&lt;&gt;"",Data!BX138=""),AND(Data!BW138="",Data!BX138&lt;&gt;"")),TRUE),TRUE)</f>
        <v>1</v>
      </c>
      <c r="Q138" s="26" t="b">
        <f>IF(Checks!C138,UPPER(RIGHT(Data!A138,5))=".BPMN",TRUE)</f>
        <v>1</v>
      </c>
      <c r="R138" s="26" t="b">
        <f>IF(Checks!C138,IF(UPPER(Data!C138)="SUB PROCESS",UPPER(RIGHT(Data!BY138,5))=".BPMN",TRUE),TRUE)</f>
        <v>1</v>
      </c>
      <c r="S138" s="26" t="b">
        <f>IF(Checks!C138,IF(UPPER(Data!C138)="SERVICE TASK",IF(UPPER(Data!BZ138)="TYPE=SAS",UPPER(RIGHT(Data!CA138,4))=".SAS",TRUE),TRUE),TRUE)</f>
        <v>1</v>
      </c>
      <c r="T138" s="26" t="b">
        <f>IF(Checks!C138,IF(Data!B138&lt;&gt;"",Data!D138&lt;&gt;"",TRUE),TRUE)</f>
        <v>1</v>
      </c>
      <c r="U138" s="26" t="b">
        <f ca="1">IF(Checks!C138,IF(UPPER(Data!C138)="DATA OBJECT",NOT(ISERROR(MATCH(Data!A138&amp;"||"&amp;Data!BW138&amp;Data!BX138,Key,0))),TRUE),TRUE)</f>
        <v>1</v>
      </c>
      <c r="V138" s="26" t="b">
        <f>IF(Checks!C138,IF(UPPER(Data!C138)="SUB PROCESS",Data!BY138&lt;&gt;"",TRUE),TRUE)</f>
        <v>1</v>
      </c>
      <c r="W138" s="26" t="b">
        <f>IF(Checks!C138,IF(UPPER(Data!C138)="SERVICE TASK",AND(Data!BZ138&lt;&gt;"",Data!CA138&lt;&gt;""),TRUE),TRUE)</f>
        <v>1</v>
      </c>
      <c r="X138" s="26" t="b">
        <f t="array" aca="1" ref="X138" ca="1">SUM((OFFSET(Data!B138,MAX(ROW(Data!$B$5)-ROW(Data!B138),-200),0,400,1)=Data!B138)*(OFFSET(Data!A138,MAX(ROW(Data!$B$5)-ROW(Data!B138),-200),0,400,1)=Data!A138))=1</f>
        <v>1</v>
      </c>
      <c r="Y138" s="26" t="b">
        <f t="array" aca="1" ref="Y138" ca="1">IF(UPPER(Data!C138)="START",SUM((OFFSET(Data!C138,MAX(ROW(Data!$C$5)-ROW(Data!C138),-200),0,400,1)="START")*(OFFSET(Data!A138,MAX(ROW(Data!$B$5)-ROW(Data!B138),-200),0,400,1)=Data!A138))=1,TRUE)</f>
        <v>1</v>
      </c>
      <c r="Z138" s="26" t="b">
        <f t="array" aca="1" ref="Z138" ca="1">IF(UPPER(Data!C138)="END",SUM((OFFSET(Data!C138,MAX(ROW(Data!$C$5)-ROW(Data!C138),-200),0,400,1)="END")*(OFFSET(Data!A138,MAX(ROW(Data!$B$5)-ROW(Data!B138),-200),0,400,1)=Data!A138))=1,TRUE)</f>
        <v>1</v>
      </c>
      <c r="AA138" s="26" t="b">
        <f>IF(Checks!C138,ISERROR(FIND("&amp;",Data!D138)),TRUE)</f>
        <v>1</v>
      </c>
      <c r="AB138" s="26" t="b">
        <f>IF(Checks!$C138,IF(AND(UPPER(Data!$C138)&lt;&gt;"START",UPPER(Data!$C138)&lt;&gt;"DATA OBJECT",Data!E138&lt;&gt;""),NOT(ISERROR(MATCH(Data!$A138&amp;"||"&amp;Data!E138,Key,0))),TRUE),TRUE)</f>
        <v>1</v>
      </c>
      <c r="AC138" s="27" t="b">
        <f>IF(Checks!C138,IF(UPPER(Data!C138)="END",Data!E138&lt;&gt;"",TRUE),TRUE)</f>
        <v>1</v>
      </c>
    </row>
    <row r="139" spans="1:29" x14ac:dyDescent="0.25">
      <c r="A139" s="1" t="str">
        <f>Data!A139&amp;"||"&amp;Data!B139</f>
        <v>Miscellaneous/subflow/irmifrs9_credit_risk_analysis.bpmn||030_00_05</v>
      </c>
      <c r="B139" s="19"/>
      <c r="C139" s="24" t="b">
        <f>AND(UPPER(Data!A139)&lt;&gt;"EMPTY",Data!B139&lt;&gt;"")</f>
        <v>1</v>
      </c>
      <c r="D139" s="1"/>
      <c r="E139" s="25" t="b">
        <f t="shared" ca="1" si="4"/>
        <v>1</v>
      </c>
      <c r="F139" s="26" t="b">
        <f ca="1">IF(UPPER(Data!C139)="SUB PROCESS",NOT(ISERROR(MATCH(RIGHT(Data!BY139,LEN(Data!BY139)-5),OFFSET(Data,0,0,ItemsCount,1),0))),TRUE)</f>
        <v>1</v>
      </c>
      <c r="G139" s="26" t="b">
        <f ca="1">IF(MID(UPPER(Data!A139),1,13)="MISCELLANEOUS",NOT(ISERROR(MATCH("path="&amp;Data!A139,OFFSET(Data,0,76,ItemsCount,1),0))),TRUE)</f>
        <v>1</v>
      </c>
      <c r="L139" s="25" t="b">
        <f t="shared" ca="1" si="5"/>
        <v>1</v>
      </c>
      <c r="M139" s="24" t="b">
        <f>IF(Checks!$C139,Data!A139&lt;&gt;"",TRUE)</f>
        <v>1</v>
      </c>
      <c r="N139" s="26" t="b">
        <f>IF(Checks!C139,Data!B139&lt;&gt;"",TRUE)</f>
        <v>1</v>
      </c>
      <c r="O139" s="26" t="b">
        <f>IF(Checks!C139,IF(AND(UPPER(Data!C139)="SERVICE TASK",UPPER(Data!BZ139)="TYPE=SAS"),NodeExists(TRIM(RIGHT(Data!CA139,LEN(Data!CA139)-FIND("=",Data!CA139)))),TRUE),TRUE)</f>
        <v>1</v>
      </c>
      <c r="P139" s="26" t="b">
        <f>IF(Checks!C139,IF(Data!C139="DATA OBJECT",OR(AND(Data!BW139&lt;&gt;"",Data!BX139=""),AND(Data!BW139="",Data!BX139&lt;&gt;"")),TRUE),TRUE)</f>
        <v>1</v>
      </c>
      <c r="Q139" s="26" t="b">
        <f>IF(Checks!C139,UPPER(RIGHT(Data!A139,5))=".BPMN",TRUE)</f>
        <v>1</v>
      </c>
      <c r="R139" s="26" t="b">
        <f>IF(Checks!C139,IF(UPPER(Data!C139)="SUB PROCESS",UPPER(RIGHT(Data!BY139,5))=".BPMN",TRUE),TRUE)</f>
        <v>1</v>
      </c>
      <c r="S139" s="26" t="b">
        <f>IF(Checks!C139,IF(UPPER(Data!C139)="SERVICE TASK",IF(UPPER(Data!BZ139)="TYPE=SAS",UPPER(RIGHT(Data!CA139,4))=".SAS",TRUE),TRUE),TRUE)</f>
        <v>1</v>
      </c>
      <c r="T139" s="26" t="b">
        <f>IF(Checks!C139,IF(Data!B139&lt;&gt;"",Data!D139&lt;&gt;"",TRUE),TRUE)</f>
        <v>1</v>
      </c>
      <c r="U139" s="26" t="b">
        <f ca="1">IF(Checks!C139,IF(UPPER(Data!C139)="DATA OBJECT",NOT(ISERROR(MATCH(Data!A139&amp;"||"&amp;Data!BW139&amp;Data!BX139,Key,0))),TRUE),TRUE)</f>
        <v>1</v>
      </c>
      <c r="V139" s="26" t="b">
        <f>IF(Checks!C139,IF(UPPER(Data!C139)="SUB PROCESS",Data!BY139&lt;&gt;"",TRUE),TRUE)</f>
        <v>1</v>
      </c>
      <c r="W139" s="26" t="b">
        <f>IF(Checks!C139,IF(UPPER(Data!C139)="SERVICE TASK",AND(Data!BZ139&lt;&gt;"",Data!CA139&lt;&gt;""),TRUE),TRUE)</f>
        <v>1</v>
      </c>
      <c r="X139" s="26" t="b">
        <f t="array" aca="1" ref="X139" ca="1">SUM((OFFSET(Data!B139,MAX(ROW(Data!$B$5)-ROW(Data!B139),-200),0,400,1)=Data!B139)*(OFFSET(Data!A139,MAX(ROW(Data!$B$5)-ROW(Data!B139),-200),0,400,1)=Data!A139))=1</f>
        <v>1</v>
      </c>
      <c r="Y139" s="26" t="b">
        <f t="array" aca="1" ref="Y139" ca="1">IF(UPPER(Data!C139)="START",SUM((OFFSET(Data!C139,MAX(ROW(Data!$C$5)-ROW(Data!C139),-200),0,400,1)="START")*(OFFSET(Data!A139,MAX(ROW(Data!$B$5)-ROW(Data!B139),-200),0,400,1)=Data!A139))=1,TRUE)</f>
        <v>1</v>
      </c>
      <c r="Z139" s="26" t="b">
        <f t="array" aca="1" ref="Z139" ca="1">IF(UPPER(Data!C139)="END",SUM((OFFSET(Data!C139,MAX(ROW(Data!$C$5)-ROW(Data!C139),-200),0,400,1)="END")*(OFFSET(Data!A139,MAX(ROW(Data!$B$5)-ROW(Data!B139),-200),0,400,1)=Data!A139))=1,TRUE)</f>
        <v>1</v>
      </c>
      <c r="AA139" s="26" t="b">
        <f>IF(Checks!C139,ISERROR(FIND("&amp;",Data!D139)),TRUE)</f>
        <v>1</v>
      </c>
      <c r="AB139" s="26" t="b">
        <f>IF(Checks!$C139,IF(AND(UPPER(Data!$C139)&lt;&gt;"START",UPPER(Data!$C139)&lt;&gt;"DATA OBJECT",Data!E139&lt;&gt;""),NOT(ISERROR(MATCH(Data!$A139&amp;"||"&amp;Data!E139,Key,0))),TRUE),TRUE)</f>
        <v>1</v>
      </c>
      <c r="AC139" s="27" t="b">
        <f>IF(Checks!C139,IF(UPPER(Data!C139)="END",Data!E139&lt;&gt;"",TRUE),TRUE)</f>
        <v>1</v>
      </c>
    </row>
    <row r="140" spans="1:29" x14ac:dyDescent="0.25">
      <c r="A140" s="1" t="str">
        <f>Data!A140&amp;"||"&amp;Data!B140</f>
        <v>Miscellaneous/subflow/irmifrs9_credit_risk_analysis.bpmn||030_00_08</v>
      </c>
      <c r="B140" s="19"/>
      <c r="C140" s="24" t="b">
        <f>AND(UPPER(Data!A140)&lt;&gt;"EMPTY",Data!B140&lt;&gt;"")</f>
        <v>1</v>
      </c>
      <c r="D140" s="1"/>
      <c r="E140" s="25" t="b">
        <f t="shared" ca="1" si="4"/>
        <v>1</v>
      </c>
      <c r="F140" s="26" t="b">
        <f ca="1">IF(UPPER(Data!C140)="SUB PROCESS",NOT(ISERROR(MATCH(RIGHT(Data!BY140,LEN(Data!BY140)-5),OFFSET(Data,0,0,ItemsCount,1),0))),TRUE)</f>
        <v>1</v>
      </c>
      <c r="G140" s="26" t="b">
        <f ca="1">IF(MID(UPPER(Data!A140),1,13)="MISCELLANEOUS",NOT(ISERROR(MATCH("path="&amp;Data!A140,OFFSET(Data,0,76,ItemsCount,1),0))),TRUE)</f>
        <v>1</v>
      </c>
      <c r="L140" s="25" t="b">
        <f t="shared" ca="1" si="5"/>
        <v>1</v>
      </c>
      <c r="M140" s="24" t="b">
        <f>IF(Checks!$C140,Data!A140&lt;&gt;"",TRUE)</f>
        <v>1</v>
      </c>
      <c r="N140" s="26" t="b">
        <f>IF(Checks!C140,Data!B140&lt;&gt;"",TRUE)</f>
        <v>1</v>
      </c>
      <c r="O140" s="26" t="b">
        <f>IF(Checks!C140,IF(AND(UPPER(Data!C140)="SERVICE TASK",UPPER(Data!BZ140)="TYPE=SAS"),NodeExists(TRIM(RIGHT(Data!CA140,LEN(Data!CA140)-FIND("=",Data!CA140)))),TRUE),TRUE)</f>
        <v>1</v>
      </c>
      <c r="P140" s="26" t="b">
        <f>IF(Checks!C140,IF(Data!C140="DATA OBJECT",OR(AND(Data!BW140&lt;&gt;"",Data!BX140=""),AND(Data!BW140="",Data!BX140&lt;&gt;"")),TRUE),TRUE)</f>
        <v>1</v>
      </c>
      <c r="Q140" s="26" t="b">
        <f>IF(Checks!C140,UPPER(RIGHT(Data!A140,5))=".BPMN",TRUE)</f>
        <v>1</v>
      </c>
      <c r="R140" s="26" t="b">
        <f>IF(Checks!C140,IF(UPPER(Data!C140)="SUB PROCESS",UPPER(RIGHT(Data!BY140,5))=".BPMN",TRUE),TRUE)</f>
        <v>1</v>
      </c>
      <c r="S140" s="26" t="b">
        <f>IF(Checks!C140,IF(UPPER(Data!C140)="SERVICE TASK",IF(UPPER(Data!BZ140)="TYPE=SAS",UPPER(RIGHT(Data!CA140,4))=".SAS",TRUE),TRUE),TRUE)</f>
        <v>1</v>
      </c>
      <c r="T140" s="26" t="b">
        <f>IF(Checks!C140,IF(Data!B140&lt;&gt;"",Data!D140&lt;&gt;"",TRUE),TRUE)</f>
        <v>1</v>
      </c>
      <c r="U140" s="26" t="b">
        <f ca="1">IF(Checks!C140,IF(UPPER(Data!C140)="DATA OBJECT",NOT(ISERROR(MATCH(Data!A140&amp;"||"&amp;Data!BW140&amp;Data!BX140,Key,0))),TRUE),TRUE)</f>
        <v>1</v>
      </c>
      <c r="V140" s="26" t="b">
        <f>IF(Checks!C140,IF(UPPER(Data!C140)="SUB PROCESS",Data!BY140&lt;&gt;"",TRUE),TRUE)</f>
        <v>1</v>
      </c>
      <c r="W140" s="26" t="b">
        <f>IF(Checks!C140,IF(UPPER(Data!C140)="SERVICE TASK",AND(Data!BZ140&lt;&gt;"",Data!CA140&lt;&gt;""),TRUE),TRUE)</f>
        <v>1</v>
      </c>
      <c r="X140" s="26" t="b">
        <f t="array" aca="1" ref="X140" ca="1">SUM((OFFSET(Data!B140,MAX(ROW(Data!$B$5)-ROW(Data!B140),-200),0,400,1)=Data!B140)*(OFFSET(Data!A140,MAX(ROW(Data!$B$5)-ROW(Data!B140),-200),0,400,1)=Data!A140))=1</f>
        <v>1</v>
      </c>
      <c r="Y140" s="26" t="b">
        <f t="array" aca="1" ref="Y140" ca="1">IF(UPPER(Data!C140)="START",SUM((OFFSET(Data!C140,MAX(ROW(Data!$C$5)-ROW(Data!C140),-200),0,400,1)="START")*(OFFSET(Data!A140,MAX(ROW(Data!$B$5)-ROW(Data!B140),-200),0,400,1)=Data!A140))=1,TRUE)</f>
        <v>1</v>
      </c>
      <c r="Z140" s="26" t="b">
        <f t="array" aca="1" ref="Z140" ca="1">IF(UPPER(Data!C140)="END",SUM((OFFSET(Data!C140,MAX(ROW(Data!$C$5)-ROW(Data!C140),-200),0,400,1)="END")*(OFFSET(Data!A140,MAX(ROW(Data!$B$5)-ROW(Data!B140),-200),0,400,1)=Data!A140))=1,TRUE)</f>
        <v>1</v>
      </c>
      <c r="AA140" s="26" t="b">
        <f>IF(Checks!C140,ISERROR(FIND("&amp;",Data!D140)),TRUE)</f>
        <v>1</v>
      </c>
      <c r="AB140" s="26" t="b">
        <f>IF(Checks!$C140,IF(AND(UPPER(Data!$C140)&lt;&gt;"START",UPPER(Data!$C140)&lt;&gt;"DATA OBJECT",Data!E140&lt;&gt;""),NOT(ISERROR(MATCH(Data!$A140&amp;"||"&amp;Data!E140,Key,0))),TRUE),TRUE)</f>
        <v>1</v>
      </c>
      <c r="AC140" s="27" t="b">
        <f>IF(Checks!C140,IF(UPPER(Data!C140)="END",Data!E140&lt;&gt;"",TRUE),TRUE)</f>
        <v>1</v>
      </c>
    </row>
    <row r="141" spans="1:29" x14ac:dyDescent="0.25">
      <c r="A141" s="1" t="str">
        <f>Data!A141&amp;"||"&amp;Data!B141</f>
        <v>Miscellaneous/subflow/irmifrs9_credit_risk_analysis.bpmn||030_00_09</v>
      </c>
      <c r="B141" s="19"/>
      <c r="C141" s="24" t="b">
        <f>AND(UPPER(Data!A141)&lt;&gt;"EMPTY",Data!B141&lt;&gt;"")</f>
        <v>1</v>
      </c>
      <c r="D141" s="1"/>
      <c r="E141" s="25" t="b">
        <f t="shared" ca="1" si="4"/>
        <v>1</v>
      </c>
      <c r="F141" s="26" t="b">
        <f ca="1">IF(UPPER(Data!C141)="SUB PROCESS",NOT(ISERROR(MATCH(RIGHT(Data!BY141,LEN(Data!BY141)-5),OFFSET(Data,0,0,ItemsCount,1),0))),TRUE)</f>
        <v>1</v>
      </c>
      <c r="G141" s="26" t="b">
        <f ca="1">IF(MID(UPPER(Data!A141),1,13)="MISCELLANEOUS",NOT(ISERROR(MATCH("path="&amp;Data!A141,OFFSET(Data,0,76,ItemsCount,1),0))),TRUE)</f>
        <v>1</v>
      </c>
      <c r="L141" s="25" t="b">
        <f t="shared" ca="1" si="5"/>
        <v>1</v>
      </c>
      <c r="M141" s="24" t="b">
        <f>IF(Checks!$C141,Data!A141&lt;&gt;"",TRUE)</f>
        <v>1</v>
      </c>
      <c r="N141" s="26" t="b">
        <f>IF(Checks!C141,Data!B141&lt;&gt;"",TRUE)</f>
        <v>1</v>
      </c>
      <c r="O141" s="26" t="b">
        <f>IF(Checks!C141,IF(AND(UPPER(Data!C141)="SERVICE TASK",UPPER(Data!BZ141)="TYPE=SAS"),NodeExists(TRIM(RIGHT(Data!CA141,LEN(Data!CA141)-FIND("=",Data!CA141)))),TRUE),TRUE)</f>
        <v>1</v>
      </c>
      <c r="P141" s="26" t="b">
        <f>IF(Checks!C141,IF(Data!C141="DATA OBJECT",OR(AND(Data!BW141&lt;&gt;"",Data!BX141=""),AND(Data!BW141="",Data!BX141&lt;&gt;"")),TRUE),TRUE)</f>
        <v>1</v>
      </c>
      <c r="Q141" s="26" t="b">
        <f>IF(Checks!C141,UPPER(RIGHT(Data!A141,5))=".BPMN",TRUE)</f>
        <v>1</v>
      </c>
      <c r="R141" s="26" t="b">
        <f>IF(Checks!C141,IF(UPPER(Data!C141)="SUB PROCESS",UPPER(RIGHT(Data!BY141,5))=".BPMN",TRUE),TRUE)</f>
        <v>1</v>
      </c>
      <c r="S141" s="26" t="b">
        <f>IF(Checks!C141,IF(UPPER(Data!C141)="SERVICE TASK",IF(UPPER(Data!BZ141)="TYPE=SAS",UPPER(RIGHT(Data!CA141,4))=".SAS",TRUE),TRUE),TRUE)</f>
        <v>1</v>
      </c>
      <c r="T141" s="26" t="b">
        <f>IF(Checks!C141,IF(Data!B141&lt;&gt;"",Data!D141&lt;&gt;"",TRUE),TRUE)</f>
        <v>1</v>
      </c>
      <c r="U141" s="26" t="b">
        <f ca="1">IF(Checks!C141,IF(UPPER(Data!C141)="DATA OBJECT",NOT(ISERROR(MATCH(Data!A141&amp;"||"&amp;Data!BW141&amp;Data!BX141,Key,0))),TRUE),TRUE)</f>
        <v>1</v>
      </c>
      <c r="V141" s="26" t="b">
        <f>IF(Checks!C141,IF(UPPER(Data!C141)="SUB PROCESS",Data!BY141&lt;&gt;"",TRUE),TRUE)</f>
        <v>1</v>
      </c>
      <c r="W141" s="26" t="b">
        <f>IF(Checks!C141,IF(UPPER(Data!C141)="SERVICE TASK",AND(Data!BZ141&lt;&gt;"",Data!CA141&lt;&gt;""),TRUE),TRUE)</f>
        <v>1</v>
      </c>
      <c r="X141" s="26" t="b">
        <f t="array" aca="1" ref="X141" ca="1">SUM((OFFSET(Data!B141,MAX(ROW(Data!$B$5)-ROW(Data!B141),-200),0,400,1)=Data!B141)*(OFFSET(Data!A141,MAX(ROW(Data!$B$5)-ROW(Data!B141),-200),0,400,1)=Data!A141))=1</f>
        <v>1</v>
      </c>
      <c r="Y141" s="26" t="b">
        <f t="array" aca="1" ref="Y141" ca="1">IF(UPPER(Data!C141)="START",SUM((OFFSET(Data!C141,MAX(ROW(Data!$C$5)-ROW(Data!C141),-200),0,400,1)="START")*(OFFSET(Data!A141,MAX(ROW(Data!$B$5)-ROW(Data!B141),-200),0,400,1)=Data!A141))=1,TRUE)</f>
        <v>1</v>
      </c>
      <c r="Z141" s="26" t="b">
        <f t="array" aca="1" ref="Z141" ca="1">IF(UPPER(Data!C141)="END",SUM((OFFSET(Data!C141,MAX(ROW(Data!$C$5)-ROW(Data!C141),-200),0,400,1)="END")*(OFFSET(Data!A141,MAX(ROW(Data!$B$5)-ROW(Data!B141),-200),0,400,1)=Data!A141))=1,TRUE)</f>
        <v>1</v>
      </c>
      <c r="AA141" s="26" t="b">
        <f>IF(Checks!C141,ISERROR(FIND("&amp;",Data!D141)),TRUE)</f>
        <v>1</v>
      </c>
      <c r="AB141" s="26" t="b">
        <f>IF(Checks!$C141,IF(AND(UPPER(Data!$C141)&lt;&gt;"START",UPPER(Data!$C141)&lt;&gt;"DATA OBJECT",Data!E141&lt;&gt;""),NOT(ISERROR(MATCH(Data!$A141&amp;"||"&amp;Data!E141,Key,0))),TRUE),TRUE)</f>
        <v>1</v>
      </c>
      <c r="AC141" s="27" t="b">
        <f>IF(Checks!C141,IF(UPPER(Data!C141)="END",Data!E141&lt;&gt;"",TRUE),TRUE)</f>
        <v>1</v>
      </c>
    </row>
    <row r="142" spans="1:29" x14ac:dyDescent="0.25">
      <c r="A142" s="1" t="str">
        <f>Data!A142&amp;"||"&amp;Data!B142</f>
        <v>Miscellaneous/subflow/irmifrs9_credit_risk_analysis.bpmn||030_01_00</v>
      </c>
      <c r="B142" s="19"/>
      <c r="C142" s="24" t="b">
        <f>AND(UPPER(Data!A142)&lt;&gt;"EMPTY",Data!B142&lt;&gt;"")</f>
        <v>1</v>
      </c>
      <c r="D142" s="1"/>
      <c r="E142" s="25" t="b">
        <f t="shared" ca="1" si="4"/>
        <v>1</v>
      </c>
      <c r="F142" s="26" t="b">
        <f ca="1">IF(UPPER(Data!C142)="SUB PROCESS",NOT(ISERROR(MATCH(RIGHT(Data!BY142,LEN(Data!BY142)-5),OFFSET(Data,0,0,ItemsCount,1),0))),TRUE)</f>
        <v>1</v>
      </c>
      <c r="G142" s="26" t="b">
        <f ca="1">IF(MID(UPPER(Data!A142),1,13)="MISCELLANEOUS",NOT(ISERROR(MATCH("path="&amp;Data!A142,OFFSET(Data,0,76,ItemsCount,1),0))),TRUE)</f>
        <v>1</v>
      </c>
      <c r="L142" s="25" t="b">
        <f t="shared" ca="1" si="5"/>
        <v>1</v>
      </c>
      <c r="M142" s="24" t="b">
        <f>IF(Checks!$C142,Data!A142&lt;&gt;"",TRUE)</f>
        <v>1</v>
      </c>
      <c r="N142" s="26" t="b">
        <f>IF(Checks!C142,Data!B142&lt;&gt;"",TRUE)</f>
        <v>1</v>
      </c>
      <c r="O142" s="26" t="b">
        <f>IF(Checks!C142,IF(AND(UPPER(Data!C142)="SERVICE TASK",UPPER(Data!BZ142)="TYPE=SAS"),NodeExists(TRIM(RIGHT(Data!CA142,LEN(Data!CA142)-FIND("=",Data!CA142)))),TRUE),TRUE)</f>
        <v>1</v>
      </c>
      <c r="P142" s="26" t="b">
        <f>IF(Checks!C142,IF(Data!C142="DATA OBJECT",OR(AND(Data!BW142&lt;&gt;"",Data!BX142=""),AND(Data!BW142="",Data!BX142&lt;&gt;"")),TRUE),TRUE)</f>
        <v>1</v>
      </c>
      <c r="Q142" s="26" t="b">
        <f>IF(Checks!C142,UPPER(RIGHT(Data!A142,5))=".BPMN",TRUE)</f>
        <v>1</v>
      </c>
      <c r="R142" s="26" t="b">
        <f>IF(Checks!C142,IF(UPPER(Data!C142)="SUB PROCESS",UPPER(RIGHT(Data!BY142,5))=".BPMN",TRUE),TRUE)</f>
        <v>1</v>
      </c>
      <c r="S142" s="26" t="b">
        <f>IF(Checks!C142,IF(UPPER(Data!C142)="SERVICE TASK",IF(UPPER(Data!BZ142)="TYPE=SAS",UPPER(RIGHT(Data!CA142,4))=".SAS",TRUE),TRUE),TRUE)</f>
        <v>1</v>
      </c>
      <c r="T142" s="26" t="b">
        <f>IF(Checks!C142,IF(Data!B142&lt;&gt;"",Data!D142&lt;&gt;"",TRUE),TRUE)</f>
        <v>1</v>
      </c>
      <c r="U142" s="26" t="b">
        <f ca="1">IF(Checks!C142,IF(UPPER(Data!C142)="DATA OBJECT",NOT(ISERROR(MATCH(Data!A142&amp;"||"&amp;Data!BW142&amp;Data!BX142,Key,0))),TRUE),TRUE)</f>
        <v>1</v>
      </c>
      <c r="V142" s="26" t="b">
        <f>IF(Checks!C142,IF(UPPER(Data!C142)="SUB PROCESS",Data!BY142&lt;&gt;"",TRUE),TRUE)</f>
        <v>1</v>
      </c>
      <c r="W142" s="26" t="b">
        <f>IF(Checks!C142,IF(UPPER(Data!C142)="SERVICE TASK",AND(Data!BZ142&lt;&gt;"",Data!CA142&lt;&gt;""),TRUE),TRUE)</f>
        <v>1</v>
      </c>
      <c r="X142" s="26" t="b">
        <f t="array" aca="1" ref="X142" ca="1">SUM((OFFSET(Data!B142,MAX(ROW(Data!$B$5)-ROW(Data!B142),-200),0,400,1)=Data!B142)*(OFFSET(Data!A142,MAX(ROW(Data!$B$5)-ROW(Data!B142),-200),0,400,1)=Data!A142))=1</f>
        <v>1</v>
      </c>
      <c r="Y142" s="26" t="b">
        <f t="array" aca="1" ref="Y142" ca="1">IF(UPPER(Data!C142)="START",SUM((OFFSET(Data!C142,MAX(ROW(Data!$C$5)-ROW(Data!C142),-200),0,400,1)="START")*(OFFSET(Data!A142,MAX(ROW(Data!$B$5)-ROW(Data!B142),-200),0,400,1)=Data!A142))=1,TRUE)</f>
        <v>1</v>
      </c>
      <c r="Z142" s="26" t="b">
        <f t="array" aca="1" ref="Z142" ca="1">IF(UPPER(Data!C142)="END",SUM((OFFSET(Data!C142,MAX(ROW(Data!$C$5)-ROW(Data!C142),-200),0,400,1)="END")*(OFFSET(Data!A142,MAX(ROW(Data!$B$5)-ROW(Data!B142),-200),0,400,1)=Data!A142))=1,TRUE)</f>
        <v>1</v>
      </c>
      <c r="AA142" s="26" t="b">
        <f>IF(Checks!C142,ISERROR(FIND("&amp;",Data!D142)),TRUE)</f>
        <v>1</v>
      </c>
      <c r="AB142" s="26" t="b">
        <f>IF(Checks!$C142,IF(AND(UPPER(Data!$C142)&lt;&gt;"START",UPPER(Data!$C142)&lt;&gt;"DATA OBJECT",Data!E142&lt;&gt;""),NOT(ISERROR(MATCH(Data!$A142&amp;"||"&amp;Data!E142,Key,0))),TRUE),TRUE)</f>
        <v>1</v>
      </c>
      <c r="AC142" s="27" t="b">
        <f>IF(Checks!C142,IF(UPPER(Data!C142)="END",Data!E142&lt;&gt;"",TRUE),TRUE)</f>
        <v>1</v>
      </c>
    </row>
    <row r="143" spans="1:29" x14ac:dyDescent="0.25">
      <c r="A143" s="1" t="str">
        <f>Data!A143&amp;"||"&amp;Data!B143</f>
        <v>Miscellaneous/subflow/irmifrs9_credit_risk_analysis.bpmn||030_02_00</v>
      </c>
      <c r="B143" s="19"/>
      <c r="C143" s="24" t="b">
        <f>AND(UPPER(Data!A143)&lt;&gt;"EMPTY",Data!B143&lt;&gt;"")</f>
        <v>1</v>
      </c>
      <c r="D143" s="1"/>
      <c r="E143" s="25" t="b">
        <f t="shared" ca="1" si="4"/>
        <v>1</v>
      </c>
      <c r="F143" s="26" t="b">
        <f ca="1">IF(UPPER(Data!C143)="SUB PROCESS",NOT(ISERROR(MATCH(RIGHT(Data!BY143,LEN(Data!BY143)-5),OFFSET(Data,0,0,ItemsCount,1),0))),TRUE)</f>
        <v>1</v>
      </c>
      <c r="G143" s="26" t="b">
        <f ca="1">IF(MID(UPPER(Data!A143),1,13)="MISCELLANEOUS",NOT(ISERROR(MATCH("path="&amp;Data!A143,OFFSET(Data,0,76,ItemsCount,1),0))),TRUE)</f>
        <v>1</v>
      </c>
      <c r="L143" s="25" t="b">
        <f t="shared" ca="1" si="5"/>
        <v>1</v>
      </c>
      <c r="M143" s="24" t="b">
        <f>IF(Checks!$C143,Data!A143&lt;&gt;"",TRUE)</f>
        <v>1</v>
      </c>
      <c r="N143" s="26" t="b">
        <f>IF(Checks!C143,Data!B143&lt;&gt;"",TRUE)</f>
        <v>1</v>
      </c>
      <c r="O143" s="26" t="b">
        <f>IF(Checks!C143,IF(AND(UPPER(Data!C143)="SERVICE TASK",UPPER(Data!BZ143)="TYPE=SAS"),NodeExists(TRIM(RIGHT(Data!CA143,LEN(Data!CA143)-FIND("=",Data!CA143)))),TRUE),TRUE)</f>
        <v>1</v>
      </c>
      <c r="P143" s="26" t="b">
        <f>IF(Checks!C143,IF(Data!C143="DATA OBJECT",OR(AND(Data!BW143&lt;&gt;"",Data!BX143=""),AND(Data!BW143="",Data!BX143&lt;&gt;"")),TRUE),TRUE)</f>
        <v>1</v>
      </c>
      <c r="Q143" s="26" t="b">
        <f>IF(Checks!C143,UPPER(RIGHT(Data!A143,5))=".BPMN",TRUE)</f>
        <v>1</v>
      </c>
      <c r="R143" s="26" t="b">
        <f>IF(Checks!C143,IF(UPPER(Data!C143)="SUB PROCESS",UPPER(RIGHT(Data!BY143,5))=".BPMN",TRUE),TRUE)</f>
        <v>1</v>
      </c>
      <c r="S143" s="26" t="b">
        <f>IF(Checks!C143,IF(UPPER(Data!C143)="SERVICE TASK",IF(UPPER(Data!BZ143)="TYPE=SAS",UPPER(RIGHT(Data!CA143,4))=".SAS",TRUE),TRUE),TRUE)</f>
        <v>1</v>
      </c>
      <c r="T143" s="26" t="b">
        <f>IF(Checks!C143,IF(Data!B143&lt;&gt;"",Data!D143&lt;&gt;"",TRUE),TRUE)</f>
        <v>1</v>
      </c>
      <c r="U143" s="26" t="b">
        <f ca="1">IF(Checks!C143,IF(UPPER(Data!C143)="DATA OBJECT",NOT(ISERROR(MATCH(Data!A143&amp;"||"&amp;Data!BW143&amp;Data!BX143,Key,0))),TRUE),TRUE)</f>
        <v>1</v>
      </c>
      <c r="V143" s="26" t="b">
        <f>IF(Checks!C143,IF(UPPER(Data!C143)="SUB PROCESS",Data!BY143&lt;&gt;"",TRUE),TRUE)</f>
        <v>1</v>
      </c>
      <c r="W143" s="26" t="b">
        <f>IF(Checks!C143,IF(UPPER(Data!C143)="SERVICE TASK",AND(Data!BZ143&lt;&gt;"",Data!CA143&lt;&gt;""),TRUE),TRUE)</f>
        <v>1</v>
      </c>
      <c r="X143" s="26" t="b">
        <f t="array" aca="1" ref="X143" ca="1">SUM((OFFSET(Data!B143,MAX(ROW(Data!$B$5)-ROW(Data!B143),-200),0,400,1)=Data!B143)*(OFFSET(Data!A143,MAX(ROW(Data!$B$5)-ROW(Data!B143),-200),0,400,1)=Data!A143))=1</f>
        <v>1</v>
      </c>
      <c r="Y143" s="26" t="b">
        <f t="array" aca="1" ref="Y143" ca="1">IF(UPPER(Data!C143)="START",SUM((OFFSET(Data!C143,MAX(ROW(Data!$C$5)-ROW(Data!C143),-200),0,400,1)="START")*(OFFSET(Data!A143,MAX(ROW(Data!$B$5)-ROW(Data!B143),-200),0,400,1)=Data!A143))=1,TRUE)</f>
        <v>1</v>
      </c>
      <c r="Z143" s="26" t="b">
        <f t="array" aca="1" ref="Z143" ca="1">IF(UPPER(Data!C143)="END",SUM((OFFSET(Data!C143,MAX(ROW(Data!$C$5)-ROW(Data!C143),-200),0,400,1)="END")*(OFFSET(Data!A143,MAX(ROW(Data!$B$5)-ROW(Data!B143),-200),0,400,1)=Data!A143))=1,TRUE)</f>
        <v>1</v>
      </c>
      <c r="AA143" s="26" t="b">
        <f>IF(Checks!C143,ISERROR(FIND("&amp;",Data!D143)),TRUE)</f>
        <v>1</v>
      </c>
      <c r="AB143" s="26" t="b">
        <f>IF(Checks!$C143,IF(AND(UPPER(Data!$C143)&lt;&gt;"START",UPPER(Data!$C143)&lt;&gt;"DATA OBJECT",Data!E143&lt;&gt;""),NOT(ISERROR(MATCH(Data!$A143&amp;"||"&amp;Data!E143,Key,0))),TRUE),TRUE)</f>
        <v>1</v>
      </c>
      <c r="AC143" s="27" t="b">
        <f>IF(Checks!C143,IF(UPPER(Data!C143)="END",Data!E143&lt;&gt;"",TRUE),TRUE)</f>
        <v>1</v>
      </c>
    </row>
    <row r="144" spans="1:29" x14ac:dyDescent="0.25">
      <c r="A144" s="1" t="str">
        <f>Data!A144&amp;"||"&amp;Data!B144</f>
        <v>Miscellaneous/subflow/irmifrs9_credit_risk_analysis.bpmn||030_03_00</v>
      </c>
      <c r="B144" s="19"/>
      <c r="C144" s="24" t="b">
        <f>AND(UPPER(Data!A144)&lt;&gt;"EMPTY",Data!B144&lt;&gt;"")</f>
        <v>1</v>
      </c>
      <c r="D144" s="1"/>
      <c r="E144" s="25" t="b">
        <f t="shared" ca="1" si="4"/>
        <v>1</v>
      </c>
      <c r="F144" s="26" t="b">
        <f ca="1">IF(UPPER(Data!C144)="SUB PROCESS",NOT(ISERROR(MATCH(RIGHT(Data!BY144,LEN(Data!BY144)-5),OFFSET(Data,0,0,ItemsCount,1),0))),TRUE)</f>
        <v>1</v>
      </c>
      <c r="G144" s="26" t="b">
        <f ca="1">IF(MID(UPPER(Data!A144),1,13)="MISCELLANEOUS",NOT(ISERROR(MATCH("path="&amp;Data!A144,OFFSET(Data,0,76,ItemsCount,1),0))),TRUE)</f>
        <v>1</v>
      </c>
      <c r="L144" s="25" t="b">
        <f t="shared" ca="1" si="5"/>
        <v>1</v>
      </c>
      <c r="M144" s="24" t="b">
        <f>IF(Checks!$C144,Data!A144&lt;&gt;"",TRUE)</f>
        <v>1</v>
      </c>
      <c r="N144" s="26" t="b">
        <f>IF(Checks!C144,Data!B144&lt;&gt;"",TRUE)</f>
        <v>1</v>
      </c>
      <c r="O144" s="26" t="b">
        <f>IF(Checks!C144,IF(AND(UPPER(Data!C144)="SERVICE TASK",UPPER(Data!BZ144)="TYPE=SAS"),NodeExists(TRIM(RIGHT(Data!CA144,LEN(Data!CA144)-FIND("=",Data!CA144)))),TRUE),TRUE)</f>
        <v>1</v>
      </c>
      <c r="P144" s="26" t="b">
        <f>IF(Checks!C144,IF(Data!C144="DATA OBJECT",OR(AND(Data!BW144&lt;&gt;"",Data!BX144=""),AND(Data!BW144="",Data!BX144&lt;&gt;"")),TRUE),TRUE)</f>
        <v>1</v>
      </c>
      <c r="Q144" s="26" t="b">
        <f>IF(Checks!C144,UPPER(RIGHT(Data!A144,5))=".BPMN",TRUE)</f>
        <v>1</v>
      </c>
      <c r="R144" s="26" t="b">
        <f>IF(Checks!C144,IF(UPPER(Data!C144)="SUB PROCESS",UPPER(RIGHT(Data!BY144,5))=".BPMN",TRUE),TRUE)</f>
        <v>1</v>
      </c>
      <c r="S144" s="26" t="b">
        <f>IF(Checks!C144,IF(UPPER(Data!C144)="SERVICE TASK",IF(UPPER(Data!BZ144)="TYPE=SAS",UPPER(RIGHT(Data!CA144,4))=".SAS",TRUE),TRUE),TRUE)</f>
        <v>1</v>
      </c>
      <c r="T144" s="26" t="b">
        <f>IF(Checks!C144,IF(Data!B144&lt;&gt;"",Data!D144&lt;&gt;"",TRUE),TRUE)</f>
        <v>1</v>
      </c>
      <c r="U144" s="26" t="b">
        <f ca="1">IF(Checks!C144,IF(UPPER(Data!C144)="DATA OBJECT",NOT(ISERROR(MATCH(Data!A144&amp;"||"&amp;Data!BW144&amp;Data!BX144,Key,0))),TRUE),TRUE)</f>
        <v>1</v>
      </c>
      <c r="V144" s="26" t="b">
        <f>IF(Checks!C144,IF(UPPER(Data!C144)="SUB PROCESS",Data!BY144&lt;&gt;"",TRUE),TRUE)</f>
        <v>1</v>
      </c>
      <c r="W144" s="26" t="b">
        <f>IF(Checks!C144,IF(UPPER(Data!C144)="SERVICE TASK",AND(Data!BZ144&lt;&gt;"",Data!CA144&lt;&gt;""),TRUE),TRUE)</f>
        <v>1</v>
      </c>
      <c r="X144" s="26" t="b">
        <f t="array" aca="1" ref="X144" ca="1">SUM((OFFSET(Data!B144,MAX(ROW(Data!$B$5)-ROW(Data!B144),-200),0,400,1)=Data!B144)*(OFFSET(Data!A144,MAX(ROW(Data!$B$5)-ROW(Data!B144),-200),0,400,1)=Data!A144))=1</f>
        <v>1</v>
      </c>
      <c r="Y144" s="26" t="b">
        <f t="array" aca="1" ref="Y144" ca="1">IF(UPPER(Data!C144)="START",SUM((OFFSET(Data!C144,MAX(ROW(Data!$C$5)-ROW(Data!C144),-200),0,400,1)="START")*(OFFSET(Data!A144,MAX(ROW(Data!$B$5)-ROW(Data!B144),-200),0,400,1)=Data!A144))=1,TRUE)</f>
        <v>1</v>
      </c>
      <c r="Z144" s="26" t="b">
        <f t="array" aca="1" ref="Z144" ca="1">IF(UPPER(Data!C144)="END",SUM((OFFSET(Data!C144,MAX(ROW(Data!$C$5)-ROW(Data!C144),-200),0,400,1)="END")*(OFFSET(Data!A144,MAX(ROW(Data!$B$5)-ROW(Data!B144),-200),0,400,1)=Data!A144))=1,TRUE)</f>
        <v>1</v>
      </c>
      <c r="AA144" s="26" t="b">
        <f>IF(Checks!C144,ISERROR(FIND("&amp;",Data!D144)),TRUE)</f>
        <v>1</v>
      </c>
      <c r="AB144" s="26" t="b">
        <f>IF(Checks!$C144,IF(AND(UPPER(Data!$C144)&lt;&gt;"START",UPPER(Data!$C144)&lt;&gt;"DATA OBJECT",Data!E144&lt;&gt;""),NOT(ISERROR(MATCH(Data!$A144&amp;"||"&amp;Data!E144,Key,0))),TRUE),TRUE)</f>
        <v>1</v>
      </c>
      <c r="AC144" s="27" t="b">
        <f>IF(Checks!C144,IF(UPPER(Data!C144)="END",Data!E144&lt;&gt;"",TRUE),TRUE)</f>
        <v>1</v>
      </c>
    </row>
    <row r="145" spans="1:29" x14ac:dyDescent="0.25">
      <c r="A145" s="1" t="str">
        <f>Data!A145&amp;"||"&amp;Data!B145</f>
        <v>Miscellaneous/subflow/irmifrs9_credit_risk_analysis.bpmn||040_00_00</v>
      </c>
      <c r="B145" s="19"/>
      <c r="C145" s="24" t="b">
        <f>AND(UPPER(Data!A145)&lt;&gt;"EMPTY",Data!B145&lt;&gt;"")</f>
        <v>1</v>
      </c>
      <c r="D145" s="1"/>
      <c r="E145" s="25" t="b">
        <f t="shared" ca="1" si="4"/>
        <v>1</v>
      </c>
      <c r="F145" s="26" t="b">
        <f ca="1">IF(UPPER(Data!C145)="SUB PROCESS",NOT(ISERROR(MATCH(RIGHT(Data!BY145,LEN(Data!BY145)-5),OFFSET(Data,0,0,ItemsCount,1),0))),TRUE)</f>
        <v>1</v>
      </c>
      <c r="G145" s="26" t="b">
        <f ca="1">IF(MID(UPPER(Data!A145),1,13)="MISCELLANEOUS",NOT(ISERROR(MATCH("path="&amp;Data!A145,OFFSET(Data,0,76,ItemsCount,1),0))),TRUE)</f>
        <v>1</v>
      </c>
      <c r="L145" s="25" t="b">
        <f t="shared" ca="1" si="5"/>
        <v>1</v>
      </c>
      <c r="M145" s="24" t="b">
        <f>IF(Checks!$C145,Data!A145&lt;&gt;"",TRUE)</f>
        <v>1</v>
      </c>
      <c r="N145" s="26" t="b">
        <f>IF(Checks!C145,Data!B145&lt;&gt;"",TRUE)</f>
        <v>1</v>
      </c>
      <c r="O145" s="26" t="b">
        <f>IF(Checks!C145,IF(AND(UPPER(Data!C145)="SERVICE TASK",UPPER(Data!BZ145)="TYPE=SAS"),NodeExists(TRIM(RIGHT(Data!CA145,LEN(Data!CA145)-FIND("=",Data!CA145)))),TRUE),TRUE)</f>
        <v>1</v>
      </c>
      <c r="P145" s="26" t="b">
        <f>IF(Checks!C145,IF(Data!C145="DATA OBJECT",OR(AND(Data!BW145&lt;&gt;"",Data!BX145=""),AND(Data!BW145="",Data!BX145&lt;&gt;"")),TRUE),TRUE)</f>
        <v>1</v>
      </c>
      <c r="Q145" s="26" t="b">
        <f>IF(Checks!C145,UPPER(RIGHT(Data!A145,5))=".BPMN",TRUE)</f>
        <v>1</v>
      </c>
      <c r="R145" s="26" t="b">
        <f>IF(Checks!C145,IF(UPPER(Data!C145)="SUB PROCESS",UPPER(RIGHT(Data!BY145,5))=".BPMN",TRUE),TRUE)</f>
        <v>1</v>
      </c>
      <c r="S145" s="26" t="b">
        <f>IF(Checks!C145,IF(UPPER(Data!C145)="SERVICE TASK",IF(UPPER(Data!BZ145)="TYPE=SAS",UPPER(RIGHT(Data!CA145,4))=".SAS",TRUE),TRUE),TRUE)</f>
        <v>1</v>
      </c>
      <c r="T145" s="26" t="b">
        <f>IF(Checks!C145,IF(Data!B145&lt;&gt;"",Data!D145&lt;&gt;"",TRUE),TRUE)</f>
        <v>1</v>
      </c>
      <c r="U145" s="26" t="b">
        <f>IF(Checks!C145,IF(UPPER(Data!C145)="DATA OBJECT",NOT(ISERROR(MATCH(Data!A145&amp;"||"&amp;Data!BW145&amp;Data!BX145,Key,0))),TRUE),TRUE)</f>
        <v>1</v>
      </c>
      <c r="V145" s="26" t="b">
        <f>IF(Checks!C145,IF(UPPER(Data!C145)="SUB PROCESS",Data!BY145&lt;&gt;"",TRUE),TRUE)</f>
        <v>1</v>
      </c>
      <c r="W145" s="26" t="b">
        <f>IF(Checks!C145,IF(UPPER(Data!C145)="SERVICE TASK",AND(Data!BZ145&lt;&gt;"",Data!CA145&lt;&gt;""),TRUE),TRUE)</f>
        <v>1</v>
      </c>
      <c r="X145" s="26" t="b">
        <f t="array" aca="1" ref="X145" ca="1">SUM((OFFSET(Data!B145,MAX(ROW(Data!$B$5)-ROW(Data!B145),-200),0,400,1)=Data!B145)*(OFFSET(Data!A145,MAX(ROW(Data!$B$5)-ROW(Data!B145),-200),0,400,1)=Data!A145))=1</f>
        <v>1</v>
      </c>
      <c r="Y145" s="26" t="b">
        <f t="array" aca="1" ref="Y145" ca="1">IF(UPPER(Data!C145)="START",SUM((OFFSET(Data!C145,MAX(ROW(Data!$C$5)-ROW(Data!C145),-200),0,400,1)="START")*(OFFSET(Data!A145,MAX(ROW(Data!$B$5)-ROW(Data!B145),-200),0,400,1)=Data!A145))=1,TRUE)</f>
        <v>1</v>
      </c>
      <c r="Z145" s="26" t="b">
        <f t="array" aca="1" ref="Z145" ca="1">IF(UPPER(Data!C145)="END",SUM((OFFSET(Data!C145,MAX(ROW(Data!$C$5)-ROW(Data!C145),-200),0,400,1)="END")*(OFFSET(Data!A145,MAX(ROW(Data!$B$5)-ROW(Data!B145),-200),0,400,1)=Data!A145))=1,TRUE)</f>
        <v>1</v>
      </c>
      <c r="AA145" s="26" t="b">
        <f>IF(Checks!C145,ISERROR(FIND("&amp;",Data!D145)),TRUE)</f>
        <v>1</v>
      </c>
      <c r="AB145" s="26" t="b">
        <f ca="1">IF(Checks!$C145,IF(AND(UPPER(Data!$C145)&lt;&gt;"START",UPPER(Data!$C145)&lt;&gt;"DATA OBJECT",Data!E145&lt;&gt;""),NOT(ISERROR(MATCH(Data!$A145&amp;"||"&amp;Data!E145,Key,0))),TRUE),TRUE)</f>
        <v>1</v>
      </c>
      <c r="AC145" s="27" t="b">
        <f>IF(Checks!C145,IF(UPPER(Data!C145)="END",Data!E145&lt;&gt;"",TRUE),TRUE)</f>
        <v>1</v>
      </c>
    </row>
    <row r="146" spans="1:29" x14ac:dyDescent="0.25">
      <c r="A146" s="1" t="str">
        <f>Data!A146&amp;"||"&amp;Data!B146</f>
        <v>Miscellaneous/subflow/irmifrs9_credit_risk_analysis.bpmn||040_00_01</v>
      </c>
      <c r="B146" s="19"/>
      <c r="C146" s="24" t="b">
        <f>AND(UPPER(Data!A146)&lt;&gt;"EMPTY",Data!B146&lt;&gt;"")</f>
        <v>1</v>
      </c>
      <c r="D146" s="1"/>
      <c r="E146" s="25" t="b">
        <f t="shared" ca="1" si="4"/>
        <v>1</v>
      </c>
      <c r="F146" s="26" t="b">
        <f ca="1">IF(UPPER(Data!C146)="SUB PROCESS",NOT(ISERROR(MATCH(RIGHT(Data!BY146,LEN(Data!BY146)-5),OFFSET(Data,0,0,ItemsCount,1),0))),TRUE)</f>
        <v>1</v>
      </c>
      <c r="G146" s="26" t="b">
        <f ca="1">IF(MID(UPPER(Data!A146),1,13)="MISCELLANEOUS",NOT(ISERROR(MATCH("path="&amp;Data!A146,OFFSET(Data,0,76,ItemsCount,1),0))),TRUE)</f>
        <v>1</v>
      </c>
      <c r="L146" s="25" t="b">
        <f t="shared" ca="1" si="5"/>
        <v>1</v>
      </c>
      <c r="M146" s="24" t="b">
        <f>IF(Checks!$C146,Data!A146&lt;&gt;"",TRUE)</f>
        <v>1</v>
      </c>
      <c r="N146" s="26" t="b">
        <f>IF(Checks!C146,Data!B146&lt;&gt;"",TRUE)</f>
        <v>1</v>
      </c>
      <c r="O146" s="26" t="b">
        <f>IF(Checks!C146,IF(AND(UPPER(Data!C146)="SERVICE TASK",UPPER(Data!BZ146)="TYPE=SAS"),NodeExists(TRIM(RIGHT(Data!CA146,LEN(Data!CA146)-FIND("=",Data!CA146)))),TRUE),TRUE)</f>
        <v>1</v>
      </c>
      <c r="P146" s="26" t="b">
        <f>IF(Checks!C146,IF(Data!C146="DATA OBJECT",OR(AND(Data!BW146&lt;&gt;"",Data!BX146=""),AND(Data!BW146="",Data!BX146&lt;&gt;"")),TRUE),TRUE)</f>
        <v>1</v>
      </c>
      <c r="Q146" s="26" t="b">
        <f>IF(Checks!C146,UPPER(RIGHT(Data!A146,5))=".BPMN",TRUE)</f>
        <v>1</v>
      </c>
      <c r="R146" s="26" t="b">
        <f>IF(Checks!C146,IF(UPPER(Data!C146)="SUB PROCESS",UPPER(RIGHT(Data!BY146,5))=".BPMN",TRUE),TRUE)</f>
        <v>1</v>
      </c>
      <c r="S146" s="26" t="b">
        <f>IF(Checks!C146,IF(UPPER(Data!C146)="SERVICE TASK",IF(UPPER(Data!BZ146)="TYPE=SAS",UPPER(RIGHT(Data!CA146,4))=".SAS",TRUE),TRUE),TRUE)</f>
        <v>1</v>
      </c>
      <c r="T146" s="26" t="b">
        <f>IF(Checks!C146,IF(Data!B146&lt;&gt;"",Data!D146&lt;&gt;"",TRUE),TRUE)</f>
        <v>1</v>
      </c>
      <c r="U146" s="26" t="b">
        <f ca="1">IF(Checks!C146,IF(UPPER(Data!C146)="DATA OBJECT",NOT(ISERROR(MATCH(Data!A146&amp;"||"&amp;Data!BW146&amp;Data!BX146,Key,0))),TRUE),TRUE)</f>
        <v>1</v>
      </c>
      <c r="V146" s="26" t="b">
        <f>IF(Checks!C146,IF(UPPER(Data!C146)="SUB PROCESS",Data!BY146&lt;&gt;"",TRUE),TRUE)</f>
        <v>1</v>
      </c>
      <c r="W146" s="26" t="b">
        <f>IF(Checks!C146,IF(UPPER(Data!C146)="SERVICE TASK",AND(Data!BZ146&lt;&gt;"",Data!CA146&lt;&gt;""),TRUE),TRUE)</f>
        <v>1</v>
      </c>
      <c r="X146" s="26" t="b">
        <f t="array" aca="1" ref="X146" ca="1">SUM((OFFSET(Data!B146,MAX(ROW(Data!$B$5)-ROW(Data!B146),-200),0,400,1)=Data!B146)*(OFFSET(Data!A146,MAX(ROW(Data!$B$5)-ROW(Data!B146),-200),0,400,1)=Data!A146))=1</f>
        <v>1</v>
      </c>
      <c r="Y146" s="26" t="b">
        <f t="array" aca="1" ref="Y146" ca="1">IF(UPPER(Data!C146)="START",SUM((OFFSET(Data!C146,MAX(ROW(Data!$C$5)-ROW(Data!C146),-200),0,400,1)="START")*(OFFSET(Data!A146,MAX(ROW(Data!$B$5)-ROW(Data!B146),-200),0,400,1)=Data!A146))=1,TRUE)</f>
        <v>1</v>
      </c>
      <c r="Z146" s="26" t="b">
        <f t="array" aca="1" ref="Z146" ca="1">IF(UPPER(Data!C146)="END",SUM((OFFSET(Data!C146,MAX(ROW(Data!$C$5)-ROW(Data!C146),-200),0,400,1)="END")*(OFFSET(Data!A146,MAX(ROW(Data!$B$5)-ROW(Data!B146),-200),0,400,1)=Data!A146))=1,TRUE)</f>
        <v>1</v>
      </c>
      <c r="AA146" s="26" t="b">
        <f>IF(Checks!C146,ISERROR(FIND("&amp;",Data!D146)),TRUE)</f>
        <v>1</v>
      </c>
      <c r="AB146" s="26" t="b">
        <f>IF(Checks!$C146,IF(AND(UPPER(Data!$C146)&lt;&gt;"START",UPPER(Data!$C146)&lt;&gt;"DATA OBJECT",Data!E146&lt;&gt;""),NOT(ISERROR(MATCH(Data!$A146&amp;"||"&amp;Data!E146,Key,0))),TRUE),TRUE)</f>
        <v>1</v>
      </c>
      <c r="AC146" s="27" t="b">
        <f>IF(Checks!C146,IF(UPPER(Data!C146)="END",Data!E146&lt;&gt;"",TRUE),TRUE)</f>
        <v>1</v>
      </c>
    </row>
    <row r="147" spans="1:29" x14ac:dyDescent="0.25">
      <c r="A147" s="1" t="str">
        <f>Data!A147&amp;"||"&amp;Data!B147</f>
        <v>Miscellaneous/subflow/irmifrs9_credit_risk_analysis.bpmn||040_00_02</v>
      </c>
      <c r="B147" s="19"/>
      <c r="C147" s="24" t="b">
        <f>AND(UPPER(Data!A147)&lt;&gt;"EMPTY",Data!B147&lt;&gt;"")</f>
        <v>1</v>
      </c>
      <c r="D147" s="1"/>
      <c r="E147" s="25" t="b">
        <f t="shared" ca="1" si="4"/>
        <v>1</v>
      </c>
      <c r="F147" s="26" t="b">
        <f ca="1">IF(UPPER(Data!C147)="SUB PROCESS",NOT(ISERROR(MATCH(RIGHT(Data!BY147,LEN(Data!BY147)-5),OFFSET(Data,0,0,ItemsCount,1),0))),TRUE)</f>
        <v>1</v>
      </c>
      <c r="G147" s="26" t="b">
        <f ca="1">IF(MID(UPPER(Data!A147),1,13)="MISCELLANEOUS",NOT(ISERROR(MATCH("path="&amp;Data!A147,OFFSET(Data,0,76,ItemsCount,1),0))),TRUE)</f>
        <v>1</v>
      </c>
      <c r="L147" s="25" t="b">
        <f t="shared" ca="1" si="5"/>
        <v>1</v>
      </c>
      <c r="M147" s="24" t="b">
        <f>IF(Checks!$C147,Data!A147&lt;&gt;"",TRUE)</f>
        <v>1</v>
      </c>
      <c r="N147" s="26" t="b">
        <f>IF(Checks!C147,Data!B147&lt;&gt;"",TRUE)</f>
        <v>1</v>
      </c>
      <c r="O147" s="26" t="b">
        <f>IF(Checks!C147,IF(AND(UPPER(Data!C147)="SERVICE TASK",UPPER(Data!BZ147)="TYPE=SAS"),NodeExists(TRIM(RIGHT(Data!CA147,LEN(Data!CA147)-FIND("=",Data!CA147)))),TRUE),TRUE)</f>
        <v>1</v>
      </c>
      <c r="P147" s="26" t="b">
        <f>IF(Checks!C147,IF(Data!C147="DATA OBJECT",OR(AND(Data!BW147&lt;&gt;"",Data!BX147=""),AND(Data!BW147="",Data!BX147&lt;&gt;"")),TRUE),TRUE)</f>
        <v>1</v>
      </c>
      <c r="Q147" s="26" t="b">
        <f>IF(Checks!C147,UPPER(RIGHT(Data!A147,5))=".BPMN",TRUE)</f>
        <v>1</v>
      </c>
      <c r="R147" s="26" t="b">
        <f>IF(Checks!C147,IF(UPPER(Data!C147)="SUB PROCESS",UPPER(RIGHT(Data!BY147,5))=".BPMN",TRUE),TRUE)</f>
        <v>1</v>
      </c>
      <c r="S147" s="26" t="b">
        <f>IF(Checks!C147,IF(UPPER(Data!C147)="SERVICE TASK",IF(UPPER(Data!BZ147)="TYPE=SAS",UPPER(RIGHT(Data!CA147,4))=".SAS",TRUE),TRUE),TRUE)</f>
        <v>1</v>
      </c>
      <c r="T147" s="26" t="b">
        <f>IF(Checks!C147,IF(Data!B147&lt;&gt;"",Data!D147&lt;&gt;"",TRUE),TRUE)</f>
        <v>1</v>
      </c>
      <c r="U147" s="26" t="b">
        <f ca="1">IF(Checks!C147,IF(UPPER(Data!C147)="DATA OBJECT",NOT(ISERROR(MATCH(Data!A147&amp;"||"&amp;Data!BW147&amp;Data!BX147,Key,0))),TRUE),TRUE)</f>
        <v>1</v>
      </c>
      <c r="V147" s="26" t="b">
        <f>IF(Checks!C147,IF(UPPER(Data!C147)="SUB PROCESS",Data!BY147&lt;&gt;"",TRUE),TRUE)</f>
        <v>1</v>
      </c>
      <c r="W147" s="26" t="b">
        <f>IF(Checks!C147,IF(UPPER(Data!C147)="SERVICE TASK",AND(Data!BZ147&lt;&gt;"",Data!CA147&lt;&gt;""),TRUE),TRUE)</f>
        <v>1</v>
      </c>
      <c r="X147" s="26" t="b">
        <f t="array" aca="1" ref="X147" ca="1">SUM((OFFSET(Data!B147,MAX(ROW(Data!$B$5)-ROW(Data!B147),-200),0,400,1)=Data!B147)*(OFFSET(Data!A147,MAX(ROW(Data!$B$5)-ROW(Data!B147),-200),0,400,1)=Data!A147))=1</f>
        <v>1</v>
      </c>
      <c r="Y147" s="26" t="b">
        <f t="array" aca="1" ref="Y147" ca="1">IF(UPPER(Data!C147)="START",SUM((OFFSET(Data!C147,MAX(ROW(Data!$C$5)-ROW(Data!C147),-200),0,400,1)="START")*(OFFSET(Data!A147,MAX(ROW(Data!$B$5)-ROW(Data!B147),-200),0,400,1)=Data!A147))=1,TRUE)</f>
        <v>1</v>
      </c>
      <c r="Z147" s="26" t="b">
        <f t="array" aca="1" ref="Z147" ca="1">IF(UPPER(Data!C147)="END",SUM((OFFSET(Data!C147,MAX(ROW(Data!$C$5)-ROW(Data!C147),-200),0,400,1)="END")*(OFFSET(Data!A147,MAX(ROW(Data!$B$5)-ROW(Data!B147),-200),0,400,1)=Data!A147))=1,TRUE)</f>
        <v>1</v>
      </c>
      <c r="AA147" s="26" t="b">
        <f>IF(Checks!C147,ISERROR(FIND("&amp;",Data!D147)),TRUE)</f>
        <v>1</v>
      </c>
      <c r="AB147" s="26" t="b">
        <f>IF(Checks!$C147,IF(AND(UPPER(Data!$C147)&lt;&gt;"START",UPPER(Data!$C147)&lt;&gt;"DATA OBJECT",Data!E147&lt;&gt;""),NOT(ISERROR(MATCH(Data!$A147&amp;"||"&amp;Data!E147,Key,0))),TRUE),TRUE)</f>
        <v>1</v>
      </c>
      <c r="AC147" s="27" t="b">
        <f>IF(Checks!C147,IF(UPPER(Data!C147)="END",Data!E147&lt;&gt;"",TRUE),TRUE)</f>
        <v>1</v>
      </c>
    </row>
    <row r="148" spans="1:29" x14ac:dyDescent="0.25">
      <c r="A148" s="1" t="str">
        <f>Data!A148&amp;"||"&amp;Data!B148</f>
        <v>Miscellaneous/subflow/irmifrs9_credit_risk_analysis.bpmn||040_00_03</v>
      </c>
      <c r="B148" s="19"/>
      <c r="C148" s="24" t="b">
        <f>AND(UPPER(Data!A148)&lt;&gt;"EMPTY",Data!B148&lt;&gt;"")</f>
        <v>1</v>
      </c>
      <c r="D148" s="1"/>
      <c r="E148" s="25" t="b">
        <f t="shared" ca="1" si="4"/>
        <v>1</v>
      </c>
      <c r="F148" s="26" t="b">
        <f ca="1">IF(UPPER(Data!C148)="SUB PROCESS",NOT(ISERROR(MATCH(RIGHT(Data!BY148,LEN(Data!BY148)-5),OFFSET(Data,0,0,ItemsCount,1),0))),TRUE)</f>
        <v>1</v>
      </c>
      <c r="G148" s="26" t="b">
        <f ca="1">IF(MID(UPPER(Data!A148),1,13)="MISCELLANEOUS",NOT(ISERROR(MATCH("path="&amp;Data!A148,OFFSET(Data,0,76,ItemsCount,1),0))),TRUE)</f>
        <v>1</v>
      </c>
      <c r="L148" s="25" t="b">
        <f t="shared" ca="1" si="5"/>
        <v>1</v>
      </c>
      <c r="M148" s="24" t="b">
        <f>IF(Checks!$C148,Data!A148&lt;&gt;"",TRUE)</f>
        <v>1</v>
      </c>
      <c r="N148" s="26" t="b">
        <f>IF(Checks!C148,Data!B148&lt;&gt;"",TRUE)</f>
        <v>1</v>
      </c>
      <c r="O148" s="26" t="b">
        <f>IF(Checks!C148,IF(AND(UPPER(Data!C148)="SERVICE TASK",UPPER(Data!BZ148)="TYPE=SAS"),NodeExists(TRIM(RIGHT(Data!CA148,LEN(Data!CA148)-FIND("=",Data!CA148)))),TRUE),TRUE)</f>
        <v>1</v>
      </c>
      <c r="P148" s="26" t="b">
        <f>IF(Checks!C148,IF(Data!C148="DATA OBJECT",OR(AND(Data!BW148&lt;&gt;"",Data!BX148=""),AND(Data!BW148="",Data!BX148&lt;&gt;"")),TRUE),TRUE)</f>
        <v>1</v>
      </c>
      <c r="Q148" s="26" t="b">
        <f>IF(Checks!C148,UPPER(RIGHT(Data!A148,5))=".BPMN",TRUE)</f>
        <v>1</v>
      </c>
      <c r="R148" s="26" t="b">
        <f>IF(Checks!C148,IF(UPPER(Data!C148)="SUB PROCESS",UPPER(RIGHT(Data!BY148,5))=".BPMN",TRUE),TRUE)</f>
        <v>1</v>
      </c>
      <c r="S148" s="26" t="b">
        <f>IF(Checks!C148,IF(UPPER(Data!C148)="SERVICE TASK",IF(UPPER(Data!BZ148)="TYPE=SAS",UPPER(RIGHT(Data!CA148,4))=".SAS",TRUE),TRUE),TRUE)</f>
        <v>1</v>
      </c>
      <c r="T148" s="26" t="b">
        <f>IF(Checks!C148,IF(Data!B148&lt;&gt;"",Data!D148&lt;&gt;"",TRUE),TRUE)</f>
        <v>1</v>
      </c>
      <c r="U148" s="26" t="b">
        <f ca="1">IF(Checks!C148,IF(UPPER(Data!C148)="DATA OBJECT",NOT(ISERROR(MATCH(Data!A148&amp;"||"&amp;Data!BW148&amp;Data!BX148,Key,0))),TRUE),TRUE)</f>
        <v>1</v>
      </c>
      <c r="V148" s="26" t="b">
        <f>IF(Checks!C148,IF(UPPER(Data!C148)="SUB PROCESS",Data!BY148&lt;&gt;"",TRUE),TRUE)</f>
        <v>1</v>
      </c>
      <c r="W148" s="26" t="b">
        <f>IF(Checks!C148,IF(UPPER(Data!C148)="SERVICE TASK",AND(Data!BZ148&lt;&gt;"",Data!CA148&lt;&gt;""),TRUE),TRUE)</f>
        <v>1</v>
      </c>
      <c r="X148" s="26" t="b">
        <f t="array" aca="1" ref="X148" ca="1">SUM((OFFSET(Data!B148,MAX(ROW(Data!$B$5)-ROW(Data!B148),-200),0,400,1)=Data!B148)*(OFFSET(Data!A148,MAX(ROW(Data!$B$5)-ROW(Data!B148),-200),0,400,1)=Data!A148))=1</f>
        <v>1</v>
      </c>
      <c r="Y148" s="26" t="b">
        <f t="array" aca="1" ref="Y148" ca="1">IF(UPPER(Data!C148)="START",SUM((OFFSET(Data!C148,MAX(ROW(Data!$C$5)-ROW(Data!C148),-200),0,400,1)="START")*(OFFSET(Data!A148,MAX(ROW(Data!$B$5)-ROW(Data!B148),-200),0,400,1)=Data!A148))=1,TRUE)</f>
        <v>1</v>
      </c>
      <c r="Z148" s="26" t="b">
        <f t="array" aca="1" ref="Z148" ca="1">IF(UPPER(Data!C148)="END",SUM((OFFSET(Data!C148,MAX(ROW(Data!$C$5)-ROW(Data!C148),-200),0,400,1)="END")*(OFFSET(Data!A148,MAX(ROW(Data!$B$5)-ROW(Data!B148),-200),0,400,1)=Data!A148))=1,TRUE)</f>
        <v>1</v>
      </c>
      <c r="AA148" s="26" t="b">
        <f>IF(Checks!C148,ISERROR(FIND("&amp;",Data!D148)),TRUE)</f>
        <v>1</v>
      </c>
      <c r="AB148" s="26" t="b">
        <f>IF(Checks!$C148,IF(AND(UPPER(Data!$C148)&lt;&gt;"START",UPPER(Data!$C148)&lt;&gt;"DATA OBJECT",Data!E148&lt;&gt;""),NOT(ISERROR(MATCH(Data!$A148&amp;"||"&amp;Data!E148,Key,0))),TRUE),TRUE)</f>
        <v>1</v>
      </c>
      <c r="AC148" s="27" t="b">
        <f>IF(Checks!C148,IF(UPPER(Data!C148)="END",Data!E148&lt;&gt;"",TRUE),TRUE)</f>
        <v>1</v>
      </c>
    </row>
    <row r="149" spans="1:29" x14ac:dyDescent="0.25">
      <c r="A149" s="1" t="str">
        <f>Data!A149&amp;"||"&amp;Data!B149</f>
        <v>Miscellaneous/subflow/irmifrs9_credit_risk_analysis.bpmn||040_00_04</v>
      </c>
      <c r="B149" s="19"/>
      <c r="C149" s="24" t="b">
        <f>AND(UPPER(Data!A149)&lt;&gt;"EMPTY",Data!B149&lt;&gt;"")</f>
        <v>1</v>
      </c>
      <c r="D149" s="1"/>
      <c r="E149" s="25" t="b">
        <f t="shared" ca="1" si="4"/>
        <v>1</v>
      </c>
      <c r="F149" s="26" t="b">
        <f ca="1">IF(UPPER(Data!C149)="SUB PROCESS",NOT(ISERROR(MATCH(RIGHT(Data!BY149,LEN(Data!BY149)-5),OFFSET(Data,0,0,ItemsCount,1),0))),TRUE)</f>
        <v>1</v>
      </c>
      <c r="G149" s="26" t="b">
        <f ca="1">IF(MID(UPPER(Data!A149),1,13)="MISCELLANEOUS",NOT(ISERROR(MATCH("path="&amp;Data!A149,OFFSET(Data,0,76,ItemsCount,1),0))),TRUE)</f>
        <v>1</v>
      </c>
      <c r="L149" s="25" t="b">
        <f t="shared" ca="1" si="5"/>
        <v>1</v>
      </c>
      <c r="M149" s="24" t="b">
        <f>IF(Checks!$C149,Data!A149&lt;&gt;"",TRUE)</f>
        <v>1</v>
      </c>
      <c r="N149" s="26" t="b">
        <f>IF(Checks!C149,Data!B149&lt;&gt;"",TRUE)</f>
        <v>1</v>
      </c>
      <c r="O149" s="26" t="b">
        <f>IF(Checks!C149,IF(AND(UPPER(Data!C149)="SERVICE TASK",UPPER(Data!BZ149)="TYPE=SAS"),NodeExists(TRIM(RIGHT(Data!CA149,LEN(Data!CA149)-FIND("=",Data!CA149)))),TRUE),TRUE)</f>
        <v>1</v>
      </c>
      <c r="P149" s="26" t="b">
        <f>IF(Checks!C149,IF(Data!C149="DATA OBJECT",OR(AND(Data!BW149&lt;&gt;"",Data!BX149=""),AND(Data!BW149="",Data!BX149&lt;&gt;"")),TRUE),TRUE)</f>
        <v>1</v>
      </c>
      <c r="Q149" s="26" t="b">
        <f>IF(Checks!C149,UPPER(RIGHT(Data!A149,5))=".BPMN",TRUE)</f>
        <v>1</v>
      </c>
      <c r="R149" s="26" t="b">
        <f>IF(Checks!C149,IF(UPPER(Data!C149)="SUB PROCESS",UPPER(RIGHT(Data!BY149,5))=".BPMN",TRUE),TRUE)</f>
        <v>1</v>
      </c>
      <c r="S149" s="26" t="b">
        <f>IF(Checks!C149,IF(UPPER(Data!C149)="SERVICE TASK",IF(UPPER(Data!BZ149)="TYPE=SAS",UPPER(RIGHT(Data!CA149,4))=".SAS",TRUE),TRUE),TRUE)</f>
        <v>1</v>
      </c>
      <c r="T149" s="26" t="b">
        <f>IF(Checks!C149,IF(Data!B149&lt;&gt;"",Data!D149&lt;&gt;"",TRUE),TRUE)</f>
        <v>1</v>
      </c>
      <c r="U149" s="26" t="b">
        <f ca="1">IF(Checks!C149,IF(UPPER(Data!C149)="DATA OBJECT",NOT(ISERROR(MATCH(Data!A149&amp;"||"&amp;Data!BW149&amp;Data!BX149,Key,0))),TRUE),TRUE)</f>
        <v>1</v>
      </c>
      <c r="V149" s="26" t="b">
        <f>IF(Checks!C149,IF(UPPER(Data!C149)="SUB PROCESS",Data!BY149&lt;&gt;"",TRUE),TRUE)</f>
        <v>1</v>
      </c>
      <c r="W149" s="26" t="b">
        <f>IF(Checks!C149,IF(UPPER(Data!C149)="SERVICE TASK",AND(Data!BZ149&lt;&gt;"",Data!CA149&lt;&gt;""),TRUE),TRUE)</f>
        <v>1</v>
      </c>
      <c r="X149" s="26" t="b">
        <f t="array" aca="1" ref="X149" ca="1">SUM((OFFSET(Data!B149,MAX(ROW(Data!$B$5)-ROW(Data!B149),-200),0,400,1)=Data!B149)*(OFFSET(Data!A149,MAX(ROW(Data!$B$5)-ROW(Data!B149),-200),0,400,1)=Data!A149))=1</f>
        <v>1</v>
      </c>
      <c r="Y149" s="26" t="b">
        <f t="array" aca="1" ref="Y149" ca="1">IF(UPPER(Data!C149)="START",SUM((OFFSET(Data!C149,MAX(ROW(Data!$C$5)-ROW(Data!C149),-200),0,400,1)="START")*(OFFSET(Data!A149,MAX(ROW(Data!$B$5)-ROW(Data!B149),-200),0,400,1)=Data!A149))=1,TRUE)</f>
        <v>1</v>
      </c>
      <c r="Z149" s="26" t="b">
        <f t="array" aca="1" ref="Z149" ca="1">IF(UPPER(Data!C149)="END",SUM((OFFSET(Data!C149,MAX(ROW(Data!$C$5)-ROW(Data!C149),-200),0,400,1)="END")*(OFFSET(Data!A149,MAX(ROW(Data!$B$5)-ROW(Data!B149),-200),0,400,1)=Data!A149))=1,TRUE)</f>
        <v>1</v>
      </c>
      <c r="AA149" s="26" t="b">
        <f>IF(Checks!C149,ISERROR(FIND("&amp;",Data!D149)),TRUE)</f>
        <v>1</v>
      </c>
      <c r="AB149" s="26" t="b">
        <f>IF(Checks!$C149,IF(AND(UPPER(Data!$C149)&lt;&gt;"START",UPPER(Data!$C149)&lt;&gt;"DATA OBJECT",Data!E149&lt;&gt;""),NOT(ISERROR(MATCH(Data!$A149&amp;"||"&amp;Data!E149,Key,0))),TRUE),TRUE)</f>
        <v>1</v>
      </c>
      <c r="AC149" s="27" t="b">
        <f>IF(Checks!C149,IF(UPPER(Data!C149)="END",Data!E149&lt;&gt;"",TRUE),TRUE)</f>
        <v>1</v>
      </c>
    </row>
    <row r="150" spans="1:29" x14ac:dyDescent="0.25">
      <c r="A150" s="1" t="str">
        <f>Data!A150&amp;"||"&amp;Data!B150</f>
        <v>Miscellaneous/subflow/irmifrs9_credit_risk_analysis.bpmn||040_00_05</v>
      </c>
      <c r="B150" s="19"/>
      <c r="C150" s="24" t="b">
        <f>AND(UPPER(Data!A150)&lt;&gt;"EMPTY",Data!B150&lt;&gt;"")</f>
        <v>1</v>
      </c>
      <c r="D150" s="1"/>
      <c r="E150" s="25" t="b">
        <f t="shared" ca="1" si="4"/>
        <v>1</v>
      </c>
      <c r="F150" s="26" t="b">
        <f ca="1">IF(UPPER(Data!C150)="SUB PROCESS",NOT(ISERROR(MATCH(RIGHT(Data!BY150,LEN(Data!BY150)-5),OFFSET(Data,0,0,ItemsCount,1),0))),TRUE)</f>
        <v>1</v>
      </c>
      <c r="G150" s="26" t="b">
        <f ca="1">IF(MID(UPPER(Data!A150),1,13)="MISCELLANEOUS",NOT(ISERROR(MATCH("path="&amp;Data!A150,OFFSET(Data,0,76,ItemsCount,1),0))),TRUE)</f>
        <v>1</v>
      </c>
      <c r="L150" s="25" t="b">
        <f t="shared" ca="1" si="5"/>
        <v>1</v>
      </c>
      <c r="M150" s="24" t="b">
        <f>IF(Checks!$C150,Data!A150&lt;&gt;"",TRUE)</f>
        <v>1</v>
      </c>
      <c r="N150" s="26" t="b">
        <f>IF(Checks!C150,Data!B150&lt;&gt;"",TRUE)</f>
        <v>1</v>
      </c>
      <c r="O150" s="26" t="b">
        <f>IF(Checks!C150,IF(AND(UPPER(Data!C150)="SERVICE TASK",UPPER(Data!BZ150)="TYPE=SAS"),NodeExists(TRIM(RIGHT(Data!CA150,LEN(Data!CA150)-FIND("=",Data!CA150)))),TRUE),TRUE)</f>
        <v>1</v>
      </c>
      <c r="P150" s="26" t="b">
        <f>IF(Checks!C150,IF(Data!C150="DATA OBJECT",OR(AND(Data!BW150&lt;&gt;"",Data!BX150=""),AND(Data!BW150="",Data!BX150&lt;&gt;"")),TRUE),TRUE)</f>
        <v>1</v>
      </c>
      <c r="Q150" s="26" t="b">
        <f>IF(Checks!C150,UPPER(RIGHT(Data!A150,5))=".BPMN",TRUE)</f>
        <v>1</v>
      </c>
      <c r="R150" s="26" t="b">
        <f>IF(Checks!C150,IF(UPPER(Data!C150)="SUB PROCESS",UPPER(RIGHT(Data!BY150,5))=".BPMN",TRUE),TRUE)</f>
        <v>1</v>
      </c>
      <c r="S150" s="26" t="b">
        <f>IF(Checks!C150,IF(UPPER(Data!C150)="SERVICE TASK",IF(UPPER(Data!BZ150)="TYPE=SAS",UPPER(RIGHT(Data!CA150,4))=".SAS",TRUE),TRUE),TRUE)</f>
        <v>1</v>
      </c>
      <c r="T150" s="26" t="b">
        <f>IF(Checks!C150,IF(Data!B150&lt;&gt;"",Data!D150&lt;&gt;"",TRUE),TRUE)</f>
        <v>1</v>
      </c>
      <c r="U150" s="26" t="b">
        <f ca="1">IF(Checks!C150,IF(UPPER(Data!C150)="DATA OBJECT",NOT(ISERROR(MATCH(Data!A150&amp;"||"&amp;Data!BW150&amp;Data!BX150,Key,0))),TRUE),TRUE)</f>
        <v>1</v>
      </c>
      <c r="V150" s="26" t="b">
        <f>IF(Checks!C150,IF(UPPER(Data!C150)="SUB PROCESS",Data!BY150&lt;&gt;"",TRUE),TRUE)</f>
        <v>1</v>
      </c>
      <c r="W150" s="26" t="b">
        <f>IF(Checks!C150,IF(UPPER(Data!C150)="SERVICE TASK",AND(Data!BZ150&lt;&gt;"",Data!CA150&lt;&gt;""),TRUE),TRUE)</f>
        <v>1</v>
      </c>
      <c r="X150" s="26" t="b">
        <f t="array" aca="1" ref="X150" ca="1">SUM((OFFSET(Data!B150,MAX(ROW(Data!$B$5)-ROW(Data!B150),-200),0,400,1)=Data!B150)*(OFFSET(Data!A150,MAX(ROW(Data!$B$5)-ROW(Data!B150),-200),0,400,1)=Data!A150))=1</f>
        <v>1</v>
      </c>
      <c r="Y150" s="26" t="b">
        <f t="array" aca="1" ref="Y150" ca="1">IF(UPPER(Data!C150)="START",SUM((OFFSET(Data!C150,MAX(ROW(Data!$C$5)-ROW(Data!C150),-200),0,400,1)="START")*(OFFSET(Data!A150,MAX(ROW(Data!$B$5)-ROW(Data!B150),-200),0,400,1)=Data!A150))=1,TRUE)</f>
        <v>1</v>
      </c>
      <c r="Z150" s="26" t="b">
        <f t="array" aca="1" ref="Z150" ca="1">IF(UPPER(Data!C150)="END",SUM((OFFSET(Data!C150,MAX(ROW(Data!$C$5)-ROW(Data!C150),-200),0,400,1)="END")*(OFFSET(Data!A150,MAX(ROW(Data!$B$5)-ROW(Data!B150),-200),0,400,1)=Data!A150))=1,TRUE)</f>
        <v>1</v>
      </c>
      <c r="AA150" s="26" t="b">
        <f>IF(Checks!C150,ISERROR(FIND("&amp;",Data!D150)),TRUE)</f>
        <v>1</v>
      </c>
      <c r="AB150" s="26" t="b">
        <f>IF(Checks!$C150,IF(AND(UPPER(Data!$C150)&lt;&gt;"START",UPPER(Data!$C150)&lt;&gt;"DATA OBJECT",Data!E150&lt;&gt;""),NOT(ISERROR(MATCH(Data!$A150&amp;"||"&amp;Data!E150,Key,0))),TRUE),TRUE)</f>
        <v>1</v>
      </c>
      <c r="AC150" s="27" t="b">
        <f>IF(Checks!C150,IF(UPPER(Data!C150)="END",Data!E150&lt;&gt;"",TRUE),TRUE)</f>
        <v>1</v>
      </c>
    </row>
    <row r="151" spans="1:29" x14ac:dyDescent="0.25">
      <c r="A151" s="1" t="str">
        <f>Data!A151&amp;"||"&amp;Data!B151</f>
        <v>Miscellaneous/subflow/irmifrs9_credit_risk_analysis.bpmn||040_00_06</v>
      </c>
      <c r="B151" s="19"/>
      <c r="C151" s="24" t="b">
        <f>AND(UPPER(Data!A151)&lt;&gt;"EMPTY",Data!B151&lt;&gt;"")</f>
        <v>1</v>
      </c>
      <c r="D151" s="1"/>
      <c r="E151" s="25" t="b">
        <f t="shared" ca="1" si="4"/>
        <v>1</v>
      </c>
      <c r="F151" s="26" t="b">
        <f ca="1">IF(UPPER(Data!C151)="SUB PROCESS",NOT(ISERROR(MATCH(RIGHT(Data!BY151,LEN(Data!BY151)-5),OFFSET(Data,0,0,ItemsCount,1),0))),TRUE)</f>
        <v>1</v>
      </c>
      <c r="G151" s="26" t="b">
        <f ca="1">IF(MID(UPPER(Data!A151),1,13)="MISCELLANEOUS",NOT(ISERROR(MATCH("path="&amp;Data!A151,OFFSET(Data,0,76,ItemsCount,1),0))),TRUE)</f>
        <v>1</v>
      </c>
      <c r="L151" s="25" t="b">
        <f t="shared" ca="1" si="5"/>
        <v>1</v>
      </c>
      <c r="M151" s="24" t="b">
        <f>IF(Checks!$C151,Data!A151&lt;&gt;"",TRUE)</f>
        <v>1</v>
      </c>
      <c r="N151" s="26" t="b">
        <f>IF(Checks!C151,Data!B151&lt;&gt;"",TRUE)</f>
        <v>1</v>
      </c>
      <c r="O151" s="26" t="b">
        <f>IF(Checks!C151,IF(AND(UPPER(Data!C151)="SERVICE TASK",UPPER(Data!BZ151)="TYPE=SAS"),NodeExists(TRIM(RIGHT(Data!CA151,LEN(Data!CA151)-FIND("=",Data!CA151)))),TRUE),TRUE)</f>
        <v>1</v>
      </c>
      <c r="P151" s="26" t="b">
        <f>IF(Checks!C151,IF(Data!C151="DATA OBJECT",OR(AND(Data!BW151&lt;&gt;"",Data!BX151=""),AND(Data!BW151="",Data!BX151&lt;&gt;"")),TRUE),TRUE)</f>
        <v>1</v>
      </c>
      <c r="Q151" s="26" t="b">
        <f>IF(Checks!C151,UPPER(RIGHT(Data!A151,5))=".BPMN",TRUE)</f>
        <v>1</v>
      </c>
      <c r="R151" s="26" t="b">
        <f>IF(Checks!C151,IF(UPPER(Data!C151)="SUB PROCESS",UPPER(RIGHT(Data!BY151,5))=".BPMN",TRUE),TRUE)</f>
        <v>1</v>
      </c>
      <c r="S151" s="26" t="b">
        <f>IF(Checks!C151,IF(UPPER(Data!C151)="SERVICE TASK",IF(UPPER(Data!BZ151)="TYPE=SAS",UPPER(RIGHT(Data!CA151,4))=".SAS",TRUE),TRUE),TRUE)</f>
        <v>1</v>
      </c>
      <c r="T151" s="26" t="b">
        <f>IF(Checks!C151,IF(Data!B151&lt;&gt;"",Data!D151&lt;&gt;"",TRUE),TRUE)</f>
        <v>1</v>
      </c>
      <c r="U151" s="26" t="b">
        <f ca="1">IF(Checks!C151,IF(UPPER(Data!C151)="DATA OBJECT",NOT(ISERROR(MATCH(Data!A151&amp;"||"&amp;Data!BW151&amp;Data!BX151,Key,0))),TRUE),TRUE)</f>
        <v>1</v>
      </c>
      <c r="V151" s="26" t="b">
        <f>IF(Checks!C151,IF(UPPER(Data!C151)="SUB PROCESS",Data!BY151&lt;&gt;"",TRUE),TRUE)</f>
        <v>1</v>
      </c>
      <c r="W151" s="26" t="b">
        <f>IF(Checks!C151,IF(UPPER(Data!C151)="SERVICE TASK",AND(Data!BZ151&lt;&gt;"",Data!CA151&lt;&gt;""),TRUE),TRUE)</f>
        <v>1</v>
      </c>
      <c r="X151" s="26" t="b">
        <f t="array" aca="1" ref="X151" ca="1">SUM((OFFSET(Data!B151,MAX(ROW(Data!$B$5)-ROW(Data!B151),-200),0,400,1)=Data!B151)*(OFFSET(Data!A151,MAX(ROW(Data!$B$5)-ROW(Data!B151),-200),0,400,1)=Data!A151))=1</f>
        <v>1</v>
      </c>
      <c r="Y151" s="26" t="b">
        <f t="array" aca="1" ref="Y151" ca="1">IF(UPPER(Data!C151)="START",SUM((OFFSET(Data!C151,MAX(ROW(Data!$C$5)-ROW(Data!C151),-200),0,400,1)="START")*(OFFSET(Data!A151,MAX(ROW(Data!$B$5)-ROW(Data!B151),-200),0,400,1)=Data!A151))=1,TRUE)</f>
        <v>1</v>
      </c>
      <c r="Z151" s="26" t="b">
        <f t="array" aca="1" ref="Z151" ca="1">IF(UPPER(Data!C151)="END",SUM((OFFSET(Data!C151,MAX(ROW(Data!$C$5)-ROW(Data!C151),-200),0,400,1)="END")*(OFFSET(Data!A151,MAX(ROW(Data!$B$5)-ROW(Data!B151),-200),0,400,1)=Data!A151))=1,TRUE)</f>
        <v>1</v>
      </c>
      <c r="AA151" s="26" t="b">
        <f>IF(Checks!C151,ISERROR(FIND("&amp;",Data!D151)),TRUE)</f>
        <v>1</v>
      </c>
      <c r="AB151" s="26" t="b">
        <f>IF(Checks!$C151,IF(AND(UPPER(Data!$C151)&lt;&gt;"START",UPPER(Data!$C151)&lt;&gt;"DATA OBJECT",Data!E151&lt;&gt;""),NOT(ISERROR(MATCH(Data!$A151&amp;"||"&amp;Data!E151,Key,0))),TRUE),TRUE)</f>
        <v>1</v>
      </c>
      <c r="AC151" s="27" t="b">
        <f>IF(Checks!C151,IF(UPPER(Data!C151)="END",Data!E151&lt;&gt;"",TRUE),TRUE)</f>
        <v>1</v>
      </c>
    </row>
    <row r="152" spans="1:29" x14ac:dyDescent="0.25">
      <c r="A152" s="1" t="str">
        <f>Data!A152&amp;"||"&amp;Data!B152</f>
        <v>Miscellaneous/subflow/irmifrs9_credit_risk_analysis.bpmn||040_00_07</v>
      </c>
      <c r="B152" s="19"/>
      <c r="C152" s="24" t="b">
        <f>AND(UPPER(Data!A152)&lt;&gt;"EMPTY",Data!B152&lt;&gt;"")</f>
        <v>1</v>
      </c>
      <c r="D152" s="1"/>
      <c r="E152" s="25" t="b">
        <f t="shared" ca="1" si="4"/>
        <v>1</v>
      </c>
      <c r="F152" s="26" t="b">
        <f ca="1">IF(UPPER(Data!C152)="SUB PROCESS",NOT(ISERROR(MATCH(RIGHT(Data!BY152,LEN(Data!BY152)-5),OFFSET(Data,0,0,ItemsCount,1),0))),TRUE)</f>
        <v>1</v>
      </c>
      <c r="G152" s="26" t="b">
        <f ca="1">IF(MID(UPPER(Data!A152),1,13)="MISCELLANEOUS",NOT(ISERROR(MATCH("path="&amp;Data!A152,OFFSET(Data,0,76,ItemsCount,1),0))),TRUE)</f>
        <v>1</v>
      </c>
      <c r="L152" s="25" t="b">
        <f t="shared" ca="1" si="5"/>
        <v>1</v>
      </c>
      <c r="M152" s="24" t="b">
        <f>IF(Checks!$C152,Data!A152&lt;&gt;"",TRUE)</f>
        <v>1</v>
      </c>
      <c r="N152" s="26" t="b">
        <f>IF(Checks!C152,Data!B152&lt;&gt;"",TRUE)</f>
        <v>1</v>
      </c>
      <c r="O152" s="26" t="b">
        <f>IF(Checks!C152,IF(AND(UPPER(Data!C152)="SERVICE TASK",UPPER(Data!BZ152)="TYPE=SAS"),NodeExists(TRIM(RIGHT(Data!CA152,LEN(Data!CA152)-FIND("=",Data!CA152)))),TRUE),TRUE)</f>
        <v>1</v>
      </c>
      <c r="P152" s="26" t="b">
        <f>IF(Checks!C152,IF(Data!C152="DATA OBJECT",OR(AND(Data!BW152&lt;&gt;"",Data!BX152=""),AND(Data!BW152="",Data!BX152&lt;&gt;"")),TRUE),TRUE)</f>
        <v>1</v>
      </c>
      <c r="Q152" s="26" t="b">
        <f>IF(Checks!C152,UPPER(RIGHT(Data!A152,5))=".BPMN",TRUE)</f>
        <v>1</v>
      </c>
      <c r="R152" s="26" t="b">
        <f>IF(Checks!C152,IF(UPPER(Data!C152)="SUB PROCESS",UPPER(RIGHT(Data!BY152,5))=".BPMN",TRUE),TRUE)</f>
        <v>1</v>
      </c>
      <c r="S152" s="26" t="b">
        <f>IF(Checks!C152,IF(UPPER(Data!C152)="SERVICE TASK",IF(UPPER(Data!BZ152)="TYPE=SAS",UPPER(RIGHT(Data!CA152,4))=".SAS",TRUE),TRUE),TRUE)</f>
        <v>1</v>
      </c>
      <c r="T152" s="26" t="b">
        <f>IF(Checks!C152,IF(Data!B152&lt;&gt;"",Data!D152&lt;&gt;"",TRUE),TRUE)</f>
        <v>1</v>
      </c>
      <c r="U152" s="26" t="b">
        <f ca="1">IF(Checks!C152,IF(UPPER(Data!C152)="DATA OBJECT",NOT(ISERROR(MATCH(Data!A152&amp;"||"&amp;Data!BW152&amp;Data!BX152,Key,0))),TRUE),TRUE)</f>
        <v>1</v>
      </c>
      <c r="V152" s="26" t="b">
        <f>IF(Checks!C152,IF(UPPER(Data!C152)="SUB PROCESS",Data!BY152&lt;&gt;"",TRUE),TRUE)</f>
        <v>1</v>
      </c>
      <c r="W152" s="26" t="b">
        <f>IF(Checks!C152,IF(UPPER(Data!C152)="SERVICE TASK",AND(Data!BZ152&lt;&gt;"",Data!CA152&lt;&gt;""),TRUE),TRUE)</f>
        <v>1</v>
      </c>
      <c r="X152" s="26" t="b">
        <f t="array" aca="1" ref="X152" ca="1">SUM((OFFSET(Data!B152,MAX(ROW(Data!$B$5)-ROW(Data!B152),-200),0,400,1)=Data!B152)*(OFFSET(Data!A152,MAX(ROW(Data!$B$5)-ROW(Data!B152),-200),0,400,1)=Data!A152))=1</f>
        <v>1</v>
      </c>
      <c r="Y152" s="26" t="b">
        <f t="array" aca="1" ref="Y152" ca="1">IF(UPPER(Data!C152)="START",SUM((OFFSET(Data!C152,MAX(ROW(Data!$C$5)-ROW(Data!C152),-200),0,400,1)="START")*(OFFSET(Data!A152,MAX(ROW(Data!$B$5)-ROW(Data!B152),-200),0,400,1)=Data!A152))=1,TRUE)</f>
        <v>1</v>
      </c>
      <c r="Z152" s="26" t="b">
        <f t="array" aca="1" ref="Z152" ca="1">IF(UPPER(Data!C152)="END",SUM((OFFSET(Data!C152,MAX(ROW(Data!$C$5)-ROW(Data!C152),-200),0,400,1)="END")*(OFFSET(Data!A152,MAX(ROW(Data!$B$5)-ROW(Data!B152),-200),0,400,1)=Data!A152))=1,TRUE)</f>
        <v>1</v>
      </c>
      <c r="AA152" s="26" t="b">
        <f>IF(Checks!C152,ISERROR(FIND("&amp;",Data!D152)),TRUE)</f>
        <v>1</v>
      </c>
      <c r="AB152" s="26" t="b">
        <f>IF(Checks!$C152,IF(AND(UPPER(Data!$C152)&lt;&gt;"START",UPPER(Data!$C152)&lt;&gt;"DATA OBJECT",Data!E152&lt;&gt;""),NOT(ISERROR(MATCH(Data!$A152&amp;"||"&amp;Data!E152,Key,0))),TRUE),TRUE)</f>
        <v>1</v>
      </c>
      <c r="AC152" s="27" t="b">
        <f>IF(Checks!C152,IF(UPPER(Data!C152)="END",Data!E152&lt;&gt;"",TRUE),TRUE)</f>
        <v>1</v>
      </c>
    </row>
    <row r="153" spans="1:29" x14ac:dyDescent="0.25">
      <c r="A153" s="1" t="str">
        <f>Data!A153&amp;"||"&amp;Data!B153</f>
        <v>Miscellaneous/subflow/irmifrs9_credit_risk_analysis.bpmn||040_00_08</v>
      </c>
      <c r="B153" s="19"/>
      <c r="C153" s="24" t="b">
        <f>AND(UPPER(Data!A153)&lt;&gt;"EMPTY",Data!B153&lt;&gt;"")</f>
        <v>1</v>
      </c>
      <c r="D153" s="1"/>
      <c r="E153" s="25" t="b">
        <f t="shared" ca="1" si="4"/>
        <v>1</v>
      </c>
      <c r="F153" s="26" t="b">
        <f ca="1">IF(UPPER(Data!C153)="SUB PROCESS",NOT(ISERROR(MATCH(RIGHT(Data!BY153,LEN(Data!BY153)-5),OFFSET(Data,0,0,ItemsCount,1),0))),TRUE)</f>
        <v>1</v>
      </c>
      <c r="G153" s="26" t="b">
        <f ca="1">IF(MID(UPPER(Data!A153),1,13)="MISCELLANEOUS",NOT(ISERROR(MATCH("path="&amp;Data!A153,OFFSET(Data,0,76,ItemsCount,1),0))),TRUE)</f>
        <v>1</v>
      </c>
      <c r="L153" s="25" t="b">
        <f t="shared" ca="1" si="5"/>
        <v>1</v>
      </c>
      <c r="M153" s="24" t="b">
        <f>IF(Checks!$C153,Data!A153&lt;&gt;"",TRUE)</f>
        <v>1</v>
      </c>
      <c r="N153" s="26" t="b">
        <f>IF(Checks!C153,Data!B153&lt;&gt;"",TRUE)</f>
        <v>1</v>
      </c>
      <c r="O153" s="26" t="b">
        <f>IF(Checks!C153,IF(AND(UPPER(Data!C153)="SERVICE TASK",UPPER(Data!BZ153)="TYPE=SAS"),NodeExists(TRIM(RIGHT(Data!CA153,LEN(Data!CA153)-FIND("=",Data!CA153)))),TRUE),TRUE)</f>
        <v>1</v>
      </c>
      <c r="P153" s="26" t="b">
        <f>IF(Checks!C153,IF(Data!C153="DATA OBJECT",OR(AND(Data!BW153&lt;&gt;"",Data!BX153=""),AND(Data!BW153="",Data!BX153&lt;&gt;"")),TRUE),TRUE)</f>
        <v>1</v>
      </c>
      <c r="Q153" s="26" t="b">
        <f>IF(Checks!C153,UPPER(RIGHT(Data!A153,5))=".BPMN",TRUE)</f>
        <v>1</v>
      </c>
      <c r="R153" s="26" t="b">
        <f>IF(Checks!C153,IF(UPPER(Data!C153)="SUB PROCESS",UPPER(RIGHT(Data!BY153,5))=".BPMN",TRUE),TRUE)</f>
        <v>1</v>
      </c>
      <c r="S153" s="26" t="b">
        <f>IF(Checks!C153,IF(UPPER(Data!C153)="SERVICE TASK",IF(UPPER(Data!BZ153)="TYPE=SAS",UPPER(RIGHT(Data!CA153,4))=".SAS",TRUE),TRUE),TRUE)</f>
        <v>1</v>
      </c>
      <c r="T153" s="26" t="b">
        <f>IF(Checks!C153,IF(Data!B153&lt;&gt;"",Data!D153&lt;&gt;"",TRUE),TRUE)</f>
        <v>1</v>
      </c>
      <c r="U153" s="26" t="b">
        <f ca="1">IF(Checks!C153,IF(UPPER(Data!C153)="DATA OBJECT",NOT(ISERROR(MATCH(Data!A153&amp;"||"&amp;Data!BW153&amp;Data!BX153,Key,0))),TRUE),TRUE)</f>
        <v>1</v>
      </c>
      <c r="V153" s="26" t="b">
        <f>IF(Checks!C153,IF(UPPER(Data!C153)="SUB PROCESS",Data!BY153&lt;&gt;"",TRUE),TRUE)</f>
        <v>1</v>
      </c>
      <c r="W153" s="26" t="b">
        <f>IF(Checks!C153,IF(UPPER(Data!C153)="SERVICE TASK",AND(Data!BZ153&lt;&gt;"",Data!CA153&lt;&gt;""),TRUE),TRUE)</f>
        <v>1</v>
      </c>
      <c r="X153" s="26" t="b">
        <f t="array" aca="1" ref="X153" ca="1">SUM((OFFSET(Data!B153,MAX(ROW(Data!$B$5)-ROW(Data!B153),-200),0,400,1)=Data!B153)*(OFFSET(Data!A153,MAX(ROW(Data!$B$5)-ROW(Data!B153),-200),0,400,1)=Data!A153))=1</f>
        <v>1</v>
      </c>
      <c r="Y153" s="26" t="b">
        <f t="array" aca="1" ref="Y153" ca="1">IF(UPPER(Data!C153)="START",SUM((OFFSET(Data!C153,MAX(ROW(Data!$C$5)-ROW(Data!C153),-200),0,400,1)="START")*(OFFSET(Data!A153,MAX(ROW(Data!$B$5)-ROW(Data!B153),-200),0,400,1)=Data!A153))=1,TRUE)</f>
        <v>1</v>
      </c>
      <c r="Z153" s="26" t="b">
        <f t="array" aca="1" ref="Z153" ca="1">IF(UPPER(Data!C153)="END",SUM((OFFSET(Data!C153,MAX(ROW(Data!$C$5)-ROW(Data!C153),-200),0,400,1)="END")*(OFFSET(Data!A153,MAX(ROW(Data!$B$5)-ROW(Data!B153),-200),0,400,1)=Data!A153))=1,TRUE)</f>
        <v>1</v>
      </c>
      <c r="AA153" s="26" t="b">
        <f>IF(Checks!C153,ISERROR(FIND("&amp;",Data!D153)),TRUE)</f>
        <v>1</v>
      </c>
      <c r="AB153" s="26" t="b">
        <f>IF(Checks!$C153,IF(AND(UPPER(Data!$C153)&lt;&gt;"START",UPPER(Data!$C153)&lt;&gt;"DATA OBJECT",Data!E153&lt;&gt;""),NOT(ISERROR(MATCH(Data!$A153&amp;"||"&amp;Data!E153,Key,0))),TRUE),TRUE)</f>
        <v>1</v>
      </c>
      <c r="AC153" s="27" t="b">
        <f>IF(Checks!C153,IF(UPPER(Data!C153)="END",Data!E153&lt;&gt;"",TRUE),TRUE)</f>
        <v>1</v>
      </c>
    </row>
    <row r="154" spans="1:29" x14ac:dyDescent="0.25">
      <c r="A154" s="1" t="str">
        <f>Data!A154&amp;"||"&amp;Data!B154</f>
        <v>Miscellaneous/subflow/irmifrs9_credit_risk_analysis.bpmn||040_00_09</v>
      </c>
      <c r="B154" s="19"/>
      <c r="C154" s="24" t="b">
        <f>AND(UPPER(Data!A154)&lt;&gt;"EMPTY",Data!B154&lt;&gt;"")</f>
        <v>1</v>
      </c>
      <c r="D154" s="1"/>
      <c r="E154" s="25" t="b">
        <f t="shared" ca="1" si="4"/>
        <v>1</v>
      </c>
      <c r="F154" s="26" t="b">
        <f ca="1">IF(UPPER(Data!C154)="SUB PROCESS",NOT(ISERROR(MATCH(RIGHT(Data!BY154,LEN(Data!BY154)-5),OFFSET(Data,0,0,ItemsCount,1),0))),TRUE)</f>
        <v>1</v>
      </c>
      <c r="G154" s="26" t="b">
        <f ca="1">IF(MID(UPPER(Data!A154),1,13)="MISCELLANEOUS",NOT(ISERROR(MATCH("path="&amp;Data!A154,OFFSET(Data,0,76,ItemsCount,1),0))),TRUE)</f>
        <v>1</v>
      </c>
      <c r="L154" s="25" t="b">
        <f t="shared" ca="1" si="5"/>
        <v>1</v>
      </c>
      <c r="M154" s="24" t="b">
        <f>IF(Checks!$C154,Data!A154&lt;&gt;"",TRUE)</f>
        <v>1</v>
      </c>
      <c r="N154" s="26" t="b">
        <f>IF(Checks!C154,Data!B154&lt;&gt;"",TRUE)</f>
        <v>1</v>
      </c>
      <c r="O154" s="26" t="b">
        <f>IF(Checks!C154,IF(AND(UPPER(Data!C154)="SERVICE TASK",UPPER(Data!BZ154)="TYPE=SAS"),NodeExists(TRIM(RIGHT(Data!CA154,LEN(Data!CA154)-FIND("=",Data!CA154)))),TRUE),TRUE)</f>
        <v>1</v>
      </c>
      <c r="P154" s="26" t="b">
        <f>IF(Checks!C154,IF(Data!C154="DATA OBJECT",OR(AND(Data!BW154&lt;&gt;"",Data!BX154=""),AND(Data!BW154="",Data!BX154&lt;&gt;"")),TRUE),TRUE)</f>
        <v>1</v>
      </c>
      <c r="Q154" s="26" t="b">
        <f>IF(Checks!C154,UPPER(RIGHT(Data!A154,5))=".BPMN",TRUE)</f>
        <v>1</v>
      </c>
      <c r="R154" s="26" t="b">
        <f>IF(Checks!C154,IF(UPPER(Data!C154)="SUB PROCESS",UPPER(RIGHT(Data!BY154,5))=".BPMN",TRUE),TRUE)</f>
        <v>1</v>
      </c>
      <c r="S154" s="26" t="b">
        <f>IF(Checks!C154,IF(UPPER(Data!C154)="SERVICE TASK",IF(UPPER(Data!BZ154)="TYPE=SAS",UPPER(RIGHT(Data!CA154,4))=".SAS",TRUE),TRUE),TRUE)</f>
        <v>1</v>
      </c>
      <c r="T154" s="26" t="b">
        <f>IF(Checks!C154,IF(Data!B154&lt;&gt;"",Data!D154&lt;&gt;"",TRUE),TRUE)</f>
        <v>1</v>
      </c>
      <c r="U154" s="26" t="b">
        <f ca="1">IF(Checks!C154,IF(UPPER(Data!C154)="DATA OBJECT",NOT(ISERROR(MATCH(Data!A154&amp;"||"&amp;Data!BW154&amp;Data!BX154,Key,0))),TRUE),TRUE)</f>
        <v>1</v>
      </c>
      <c r="V154" s="26" t="b">
        <f>IF(Checks!C154,IF(UPPER(Data!C154)="SUB PROCESS",Data!BY154&lt;&gt;"",TRUE),TRUE)</f>
        <v>1</v>
      </c>
      <c r="W154" s="26" t="b">
        <f>IF(Checks!C154,IF(UPPER(Data!C154)="SERVICE TASK",AND(Data!BZ154&lt;&gt;"",Data!CA154&lt;&gt;""),TRUE),TRUE)</f>
        <v>1</v>
      </c>
      <c r="X154" s="26" t="b">
        <f t="array" aca="1" ref="X154" ca="1">SUM((OFFSET(Data!B154,MAX(ROW(Data!$B$5)-ROW(Data!B154),-200),0,400,1)=Data!B154)*(OFFSET(Data!A154,MAX(ROW(Data!$B$5)-ROW(Data!B154),-200),0,400,1)=Data!A154))=1</f>
        <v>1</v>
      </c>
      <c r="Y154" s="26" t="b">
        <f t="array" aca="1" ref="Y154" ca="1">IF(UPPER(Data!C154)="START",SUM((OFFSET(Data!C154,MAX(ROW(Data!$C$5)-ROW(Data!C154),-200),0,400,1)="START")*(OFFSET(Data!A154,MAX(ROW(Data!$B$5)-ROW(Data!B154),-200),0,400,1)=Data!A154))=1,TRUE)</f>
        <v>1</v>
      </c>
      <c r="Z154" s="26" t="b">
        <f t="array" aca="1" ref="Z154" ca="1">IF(UPPER(Data!C154)="END",SUM((OFFSET(Data!C154,MAX(ROW(Data!$C$5)-ROW(Data!C154),-200),0,400,1)="END")*(OFFSET(Data!A154,MAX(ROW(Data!$B$5)-ROW(Data!B154),-200),0,400,1)=Data!A154))=1,TRUE)</f>
        <v>1</v>
      </c>
      <c r="AA154" s="26" t="b">
        <f>IF(Checks!C154,ISERROR(FIND("&amp;",Data!D154)),TRUE)</f>
        <v>1</v>
      </c>
      <c r="AB154" s="26" t="b">
        <f>IF(Checks!$C154,IF(AND(UPPER(Data!$C154)&lt;&gt;"START",UPPER(Data!$C154)&lt;&gt;"DATA OBJECT",Data!E154&lt;&gt;""),NOT(ISERROR(MATCH(Data!$A154&amp;"||"&amp;Data!E154,Key,0))),TRUE),TRUE)</f>
        <v>1</v>
      </c>
      <c r="AC154" s="27" t="b">
        <f>IF(Checks!C154,IF(UPPER(Data!C154)="END",Data!E154&lt;&gt;"",TRUE),TRUE)</f>
        <v>1</v>
      </c>
    </row>
    <row r="155" spans="1:29" x14ac:dyDescent="0.25">
      <c r="A155" s="1" t="str">
        <f>Data!A155&amp;"||"&amp;Data!B155</f>
        <v>Miscellaneous/subflow/irmifrs9_credit_risk_analysis.bpmn||040_00_10</v>
      </c>
      <c r="B155" s="19"/>
      <c r="C155" s="24" t="b">
        <f>AND(UPPER(Data!A155)&lt;&gt;"EMPTY",Data!B155&lt;&gt;"")</f>
        <v>1</v>
      </c>
      <c r="D155" s="1"/>
      <c r="E155" s="25" t="b">
        <f t="shared" ca="1" si="4"/>
        <v>1</v>
      </c>
      <c r="F155" s="26" t="b">
        <f ca="1">IF(UPPER(Data!C155)="SUB PROCESS",NOT(ISERROR(MATCH(RIGHT(Data!BY155,LEN(Data!BY155)-5),OFFSET(Data,0,0,ItemsCount,1),0))),TRUE)</f>
        <v>1</v>
      </c>
      <c r="G155" s="26" t="b">
        <f ca="1">IF(MID(UPPER(Data!A155),1,13)="MISCELLANEOUS",NOT(ISERROR(MATCH("path="&amp;Data!A155,OFFSET(Data,0,76,ItemsCount,1),0))),TRUE)</f>
        <v>1</v>
      </c>
      <c r="L155" s="25" t="b">
        <f t="shared" ca="1" si="5"/>
        <v>1</v>
      </c>
      <c r="M155" s="24" t="b">
        <f>IF(Checks!$C155,Data!A155&lt;&gt;"",TRUE)</f>
        <v>1</v>
      </c>
      <c r="N155" s="26" t="b">
        <f>IF(Checks!C155,Data!B155&lt;&gt;"",TRUE)</f>
        <v>1</v>
      </c>
      <c r="O155" s="26" t="b">
        <f>IF(Checks!C155,IF(AND(UPPER(Data!C155)="SERVICE TASK",UPPER(Data!BZ155)="TYPE=SAS"),NodeExists(TRIM(RIGHT(Data!CA155,LEN(Data!CA155)-FIND("=",Data!CA155)))),TRUE),TRUE)</f>
        <v>1</v>
      </c>
      <c r="P155" s="26" t="b">
        <f>IF(Checks!C155,IF(Data!C155="DATA OBJECT",OR(AND(Data!BW155&lt;&gt;"",Data!BX155=""),AND(Data!BW155="",Data!BX155&lt;&gt;"")),TRUE),TRUE)</f>
        <v>1</v>
      </c>
      <c r="Q155" s="26" t="b">
        <f>IF(Checks!C155,UPPER(RIGHT(Data!A155,5))=".BPMN",TRUE)</f>
        <v>1</v>
      </c>
      <c r="R155" s="26" t="b">
        <f>IF(Checks!C155,IF(UPPER(Data!C155)="SUB PROCESS",UPPER(RIGHT(Data!BY155,5))=".BPMN",TRUE),TRUE)</f>
        <v>1</v>
      </c>
      <c r="S155" s="26" t="b">
        <f>IF(Checks!C155,IF(UPPER(Data!C155)="SERVICE TASK",IF(UPPER(Data!BZ155)="TYPE=SAS",UPPER(RIGHT(Data!CA155,4))=".SAS",TRUE),TRUE),TRUE)</f>
        <v>1</v>
      </c>
      <c r="T155" s="26" t="b">
        <f>IF(Checks!C155,IF(Data!B155&lt;&gt;"",Data!D155&lt;&gt;"",TRUE),TRUE)</f>
        <v>1</v>
      </c>
      <c r="U155" s="26" t="b">
        <f ca="1">IF(Checks!C155,IF(UPPER(Data!C155)="DATA OBJECT",NOT(ISERROR(MATCH(Data!A155&amp;"||"&amp;Data!BW155&amp;Data!BX155,Key,0))),TRUE),TRUE)</f>
        <v>1</v>
      </c>
      <c r="V155" s="26" t="b">
        <f>IF(Checks!C155,IF(UPPER(Data!C155)="SUB PROCESS",Data!BY155&lt;&gt;"",TRUE),TRUE)</f>
        <v>1</v>
      </c>
      <c r="W155" s="26" t="b">
        <f>IF(Checks!C155,IF(UPPER(Data!C155)="SERVICE TASK",AND(Data!BZ155&lt;&gt;"",Data!CA155&lt;&gt;""),TRUE),TRUE)</f>
        <v>1</v>
      </c>
      <c r="X155" s="26" t="b">
        <f t="array" aca="1" ref="X155" ca="1">SUM((OFFSET(Data!B155,MAX(ROW(Data!$B$5)-ROW(Data!B155),-200),0,400,1)=Data!B155)*(OFFSET(Data!A155,MAX(ROW(Data!$B$5)-ROW(Data!B155),-200),0,400,1)=Data!A155))=1</f>
        <v>1</v>
      </c>
      <c r="Y155" s="26" t="b">
        <f t="array" aca="1" ref="Y155" ca="1">IF(UPPER(Data!C155)="START",SUM((OFFSET(Data!C155,MAX(ROW(Data!$C$5)-ROW(Data!C155),-200),0,400,1)="START")*(OFFSET(Data!A155,MAX(ROW(Data!$B$5)-ROW(Data!B155),-200),0,400,1)=Data!A155))=1,TRUE)</f>
        <v>1</v>
      </c>
      <c r="Z155" s="26" t="b">
        <f t="array" aca="1" ref="Z155" ca="1">IF(UPPER(Data!C155)="END",SUM((OFFSET(Data!C155,MAX(ROW(Data!$C$5)-ROW(Data!C155),-200),0,400,1)="END")*(OFFSET(Data!A155,MAX(ROW(Data!$B$5)-ROW(Data!B155),-200),0,400,1)=Data!A155))=1,TRUE)</f>
        <v>1</v>
      </c>
      <c r="AA155" s="26" t="b">
        <f>IF(Checks!C155,ISERROR(FIND("&amp;",Data!D155)),TRUE)</f>
        <v>1</v>
      </c>
      <c r="AB155" s="26" t="b">
        <f>IF(Checks!$C155,IF(AND(UPPER(Data!$C155)&lt;&gt;"START",UPPER(Data!$C155)&lt;&gt;"DATA OBJECT",Data!E155&lt;&gt;""),NOT(ISERROR(MATCH(Data!$A155&amp;"||"&amp;Data!E155,Key,0))),TRUE),TRUE)</f>
        <v>1</v>
      </c>
      <c r="AC155" s="27" t="b">
        <f>IF(Checks!C155,IF(UPPER(Data!C155)="END",Data!E155&lt;&gt;"",TRUE),TRUE)</f>
        <v>1</v>
      </c>
    </row>
    <row r="156" spans="1:29" x14ac:dyDescent="0.25">
      <c r="A156" s="1" t="str">
        <f>Data!A156&amp;"||"&amp;Data!B156</f>
        <v>Miscellaneous/subflow/irmifrs9_credit_risk_analysis.bpmn||040_01_00</v>
      </c>
      <c r="B156" s="19"/>
      <c r="C156" s="24" t="b">
        <f>AND(UPPER(Data!A156)&lt;&gt;"EMPTY",Data!B156&lt;&gt;"")</f>
        <v>1</v>
      </c>
      <c r="D156" s="1"/>
      <c r="E156" s="25" t="b">
        <f t="shared" ca="1" si="4"/>
        <v>1</v>
      </c>
      <c r="F156" s="26" t="b">
        <f ca="1">IF(UPPER(Data!C156)="SUB PROCESS",NOT(ISERROR(MATCH(RIGHT(Data!BY156,LEN(Data!BY156)-5),OFFSET(Data,0,0,ItemsCount,1),0))),TRUE)</f>
        <v>1</v>
      </c>
      <c r="G156" s="26" t="b">
        <f ca="1">IF(MID(UPPER(Data!A156),1,13)="MISCELLANEOUS",NOT(ISERROR(MATCH("path="&amp;Data!A156,OFFSET(Data,0,76,ItemsCount,1),0))),TRUE)</f>
        <v>1</v>
      </c>
      <c r="L156" s="25" t="b">
        <f t="shared" ca="1" si="5"/>
        <v>1</v>
      </c>
      <c r="M156" s="24" t="b">
        <f>IF(Checks!$C156,Data!A156&lt;&gt;"",TRUE)</f>
        <v>1</v>
      </c>
      <c r="N156" s="26" t="b">
        <f>IF(Checks!C156,Data!B156&lt;&gt;"",TRUE)</f>
        <v>1</v>
      </c>
      <c r="O156" s="26" t="b">
        <f>IF(Checks!C156,IF(AND(UPPER(Data!C156)="SERVICE TASK",UPPER(Data!BZ156)="TYPE=SAS"),NodeExists(TRIM(RIGHT(Data!CA156,LEN(Data!CA156)-FIND("=",Data!CA156)))),TRUE),TRUE)</f>
        <v>1</v>
      </c>
      <c r="P156" s="26" t="b">
        <f>IF(Checks!C156,IF(Data!C156="DATA OBJECT",OR(AND(Data!BW156&lt;&gt;"",Data!BX156=""),AND(Data!BW156="",Data!BX156&lt;&gt;"")),TRUE),TRUE)</f>
        <v>1</v>
      </c>
      <c r="Q156" s="26" t="b">
        <f>IF(Checks!C156,UPPER(RIGHT(Data!A156,5))=".BPMN",TRUE)</f>
        <v>1</v>
      </c>
      <c r="R156" s="26" t="b">
        <f>IF(Checks!C156,IF(UPPER(Data!C156)="SUB PROCESS",UPPER(RIGHT(Data!BY156,5))=".BPMN",TRUE),TRUE)</f>
        <v>1</v>
      </c>
      <c r="S156" s="26" t="b">
        <f>IF(Checks!C156,IF(UPPER(Data!C156)="SERVICE TASK",IF(UPPER(Data!BZ156)="TYPE=SAS",UPPER(RIGHT(Data!CA156,4))=".SAS",TRUE),TRUE),TRUE)</f>
        <v>1</v>
      </c>
      <c r="T156" s="26" t="b">
        <f>IF(Checks!C156,IF(Data!B156&lt;&gt;"",Data!D156&lt;&gt;"",TRUE),TRUE)</f>
        <v>1</v>
      </c>
      <c r="U156" s="26" t="b">
        <f ca="1">IF(Checks!C156,IF(UPPER(Data!C156)="DATA OBJECT",NOT(ISERROR(MATCH(Data!A156&amp;"||"&amp;Data!BW156&amp;Data!BX156,Key,0))),TRUE),TRUE)</f>
        <v>1</v>
      </c>
      <c r="V156" s="26" t="b">
        <f>IF(Checks!C156,IF(UPPER(Data!C156)="SUB PROCESS",Data!BY156&lt;&gt;"",TRUE),TRUE)</f>
        <v>1</v>
      </c>
      <c r="W156" s="26" t="b">
        <f>IF(Checks!C156,IF(UPPER(Data!C156)="SERVICE TASK",AND(Data!BZ156&lt;&gt;"",Data!CA156&lt;&gt;""),TRUE),TRUE)</f>
        <v>1</v>
      </c>
      <c r="X156" s="26" t="b">
        <f t="array" aca="1" ref="X156" ca="1">SUM((OFFSET(Data!B156,MAX(ROW(Data!$B$5)-ROW(Data!B156),-200),0,400,1)=Data!B156)*(OFFSET(Data!A156,MAX(ROW(Data!$B$5)-ROW(Data!B156),-200),0,400,1)=Data!A156))=1</f>
        <v>1</v>
      </c>
      <c r="Y156" s="26" t="b">
        <f t="array" aca="1" ref="Y156" ca="1">IF(UPPER(Data!C156)="START",SUM((OFFSET(Data!C156,MAX(ROW(Data!$C$5)-ROW(Data!C156),-200),0,400,1)="START")*(OFFSET(Data!A156,MAX(ROW(Data!$B$5)-ROW(Data!B156),-200),0,400,1)=Data!A156))=1,TRUE)</f>
        <v>1</v>
      </c>
      <c r="Z156" s="26" t="b">
        <f t="array" aca="1" ref="Z156" ca="1">IF(UPPER(Data!C156)="END",SUM((OFFSET(Data!C156,MAX(ROW(Data!$C$5)-ROW(Data!C156),-200),0,400,1)="END")*(OFFSET(Data!A156,MAX(ROW(Data!$B$5)-ROW(Data!B156),-200),0,400,1)=Data!A156))=1,TRUE)</f>
        <v>1</v>
      </c>
      <c r="AA156" s="26" t="b">
        <f>IF(Checks!C156,ISERROR(FIND("&amp;",Data!D156)),TRUE)</f>
        <v>1</v>
      </c>
      <c r="AB156" s="26" t="b">
        <f>IF(Checks!$C156,IF(AND(UPPER(Data!$C156)&lt;&gt;"START",UPPER(Data!$C156)&lt;&gt;"DATA OBJECT",Data!E156&lt;&gt;""),NOT(ISERROR(MATCH(Data!$A156&amp;"||"&amp;Data!E156,Key,0))),TRUE),TRUE)</f>
        <v>1</v>
      </c>
      <c r="AC156" s="27" t="b">
        <f>IF(Checks!C156,IF(UPPER(Data!C156)="END",Data!E156&lt;&gt;"",TRUE),TRUE)</f>
        <v>1</v>
      </c>
    </row>
    <row r="157" spans="1:29" x14ac:dyDescent="0.25">
      <c r="A157" s="1" t="str">
        <f>Data!A157&amp;"||"&amp;Data!B157</f>
        <v>Miscellaneous/subflow/irmifrs9_credit_risk_analysis.bpmn||040_02_00</v>
      </c>
      <c r="B157" s="19"/>
      <c r="C157" s="24" t="b">
        <f>AND(UPPER(Data!A157)&lt;&gt;"EMPTY",Data!B157&lt;&gt;"")</f>
        <v>1</v>
      </c>
      <c r="D157" s="1"/>
      <c r="E157" s="25" t="b">
        <f t="shared" ca="1" si="4"/>
        <v>1</v>
      </c>
      <c r="F157" s="26" t="b">
        <f ca="1">IF(UPPER(Data!C157)="SUB PROCESS",NOT(ISERROR(MATCH(RIGHT(Data!BY157,LEN(Data!BY157)-5),OFFSET(Data,0,0,ItemsCount,1),0))),TRUE)</f>
        <v>1</v>
      </c>
      <c r="G157" s="26" t="b">
        <f ca="1">IF(MID(UPPER(Data!A157),1,13)="MISCELLANEOUS",NOT(ISERROR(MATCH("path="&amp;Data!A157,OFFSET(Data,0,76,ItemsCount,1),0))),TRUE)</f>
        <v>1</v>
      </c>
      <c r="L157" s="25" t="b">
        <f t="shared" ca="1" si="5"/>
        <v>1</v>
      </c>
      <c r="M157" s="24" t="b">
        <f>IF(Checks!$C157,Data!A157&lt;&gt;"",TRUE)</f>
        <v>1</v>
      </c>
      <c r="N157" s="26" t="b">
        <f>IF(Checks!C157,Data!B157&lt;&gt;"",TRUE)</f>
        <v>1</v>
      </c>
      <c r="O157" s="26" t="b">
        <f>IF(Checks!C157,IF(AND(UPPER(Data!C157)="SERVICE TASK",UPPER(Data!BZ157)="TYPE=SAS"),NodeExists(TRIM(RIGHT(Data!CA157,LEN(Data!CA157)-FIND("=",Data!CA157)))),TRUE),TRUE)</f>
        <v>1</v>
      </c>
      <c r="P157" s="26" t="b">
        <f>IF(Checks!C157,IF(Data!C157="DATA OBJECT",OR(AND(Data!BW157&lt;&gt;"",Data!BX157=""),AND(Data!BW157="",Data!BX157&lt;&gt;"")),TRUE),TRUE)</f>
        <v>1</v>
      </c>
      <c r="Q157" s="26" t="b">
        <f>IF(Checks!C157,UPPER(RIGHT(Data!A157,5))=".BPMN",TRUE)</f>
        <v>1</v>
      </c>
      <c r="R157" s="26" t="b">
        <f>IF(Checks!C157,IF(UPPER(Data!C157)="SUB PROCESS",UPPER(RIGHT(Data!BY157,5))=".BPMN",TRUE),TRUE)</f>
        <v>1</v>
      </c>
      <c r="S157" s="26" t="b">
        <f>IF(Checks!C157,IF(UPPER(Data!C157)="SERVICE TASK",IF(UPPER(Data!BZ157)="TYPE=SAS",UPPER(RIGHT(Data!CA157,4))=".SAS",TRUE),TRUE),TRUE)</f>
        <v>1</v>
      </c>
      <c r="T157" s="26" t="b">
        <f>IF(Checks!C157,IF(Data!B157&lt;&gt;"",Data!D157&lt;&gt;"",TRUE),TRUE)</f>
        <v>1</v>
      </c>
      <c r="U157" s="26" t="b">
        <f ca="1">IF(Checks!C157,IF(UPPER(Data!C157)="DATA OBJECT",NOT(ISERROR(MATCH(Data!A157&amp;"||"&amp;Data!BW157&amp;Data!BX157,Key,0))),TRUE),TRUE)</f>
        <v>1</v>
      </c>
      <c r="V157" s="26" t="b">
        <f>IF(Checks!C157,IF(UPPER(Data!C157)="SUB PROCESS",Data!BY157&lt;&gt;"",TRUE),TRUE)</f>
        <v>1</v>
      </c>
      <c r="W157" s="26" t="b">
        <f>IF(Checks!C157,IF(UPPER(Data!C157)="SERVICE TASK",AND(Data!BZ157&lt;&gt;"",Data!CA157&lt;&gt;""),TRUE),TRUE)</f>
        <v>1</v>
      </c>
      <c r="X157" s="26" t="b">
        <f t="array" aca="1" ref="X157" ca="1">SUM((OFFSET(Data!B157,MAX(ROW(Data!$B$5)-ROW(Data!B157),-200),0,400,1)=Data!B157)*(OFFSET(Data!A157,MAX(ROW(Data!$B$5)-ROW(Data!B157),-200),0,400,1)=Data!A157))=1</f>
        <v>1</v>
      </c>
      <c r="Y157" s="26" t="b">
        <f t="array" aca="1" ref="Y157" ca="1">IF(UPPER(Data!C157)="START",SUM((OFFSET(Data!C157,MAX(ROW(Data!$C$5)-ROW(Data!C157),-200),0,400,1)="START")*(OFFSET(Data!A157,MAX(ROW(Data!$B$5)-ROW(Data!B157),-200),0,400,1)=Data!A157))=1,TRUE)</f>
        <v>1</v>
      </c>
      <c r="Z157" s="26" t="b">
        <f t="array" aca="1" ref="Z157" ca="1">IF(UPPER(Data!C157)="END",SUM((OFFSET(Data!C157,MAX(ROW(Data!$C$5)-ROW(Data!C157),-200),0,400,1)="END")*(OFFSET(Data!A157,MAX(ROW(Data!$B$5)-ROW(Data!B157),-200),0,400,1)=Data!A157))=1,TRUE)</f>
        <v>1</v>
      </c>
      <c r="AA157" s="26" t="b">
        <f>IF(Checks!C157,ISERROR(FIND("&amp;",Data!D157)),TRUE)</f>
        <v>1</v>
      </c>
      <c r="AB157" s="26" t="b">
        <f>IF(Checks!$C157,IF(AND(UPPER(Data!$C157)&lt;&gt;"START",UPPER(Data!$C157)&lt;&gt;"DATA OBJECT",Data!E157&lt;&gt;""),NOT(ISERROR(MATCH(Data!$A157&amp;"||"&amp;Data!E157,Key,0))),TRUE),TRUE)</f>
        <v>1</v>
      </c>
      <c r="AC157" s="27" t="b">
        <f>IF(Checks!C157,IF(UPPER(Data!C157)="END",Data!E157&lt;&gt;"",TRUE),TRUE)</f>
        <v>1</v>
      </c>
    </row>
    <row r="158" spans="1:29" x14ac:dyDescent="0.25">
      <c r="A158" s="1" t="str">
        <f>Data!A158&amp;"||"&amp;Data!B158</f>
        <v>Miscellaneous/subflow/irmifrs9_credit_risk_analysis.bpmn||040_03_00</v>
      </c>
      <c r="B158" s="19"/>
      <c r="C158" s="24" t="b">
        <f>AND(UPPER(Data!A158)&lt;&gt;"EMPTY",Data!B158&lt;&gt;"")</f>
        <v>1</v>
      </c>
      <c r="D158" s="1"/>
      <c r="E158" s="25" t="b">
        <f t="shared" ca="1" si="4"/>
        <v>1</v>
      </c>
      <c r="F158" s="26" t="b">
        <f ca="1">IF(UPPER(Data!C158)="SUB PROCESS",NOT(ISERROR(MATCH(RIGHT(Data!BY158,LEN(Data!BY158)-5),OFFSET(Data,0,0,ItemsCount,1),0))),TRUE)</f>
        <v>1</v>
      </c>
      <c r="G158" s="26" t="b">
        <f ca="1">IF(MID(UPPER(Data!A158),1,13)="MISCELLANEOUS",NOT(ISERROR(MATCH("path="&amp;Data!A158,OFFSET(Data,0,76,ItemsCount,1),0))),TRUE)</f>
        <v>1</v>
      </c>
      <c r="L158" s="25" t="b">
        <f t="shared" ca="1" si="5"/>
        <v>1</v>
      </c>
      <c r="M158" s="24" t="b">
        <f>IF(Checks!$C158,Data!A158&lt;&gt;"",TRUE)</f>
        <v>1</v>
      </c>
      <c r="N158" s="26" t="b">
        <f>IF(Checks!C158,Data!B158&lt;&gt;"",TRUE)</f>
        <v>1</v>
      </c>
      <c r="O158" s="26" t="b">
        <f>IF(Checks!C158,IF(AND(UPPER(Data!C158)="SERVICE TASK",UPPER(Data!BZ158)="TYPE=SAS"),NodeExists(TRIM(RIGHT(Data!CA158,LEN(Data!CA158)-FIND("=",Data!CA158)))),TRUE),TRUE)</f>
        <v>1</v>
      </c>
      <c r="P158" s="26" t="b">
        <f>IF(Checks!C158,IF(Data!C158="DATA OBJECT",OR(AND(Data!BW158&lt;&gt;"",Data!BX158=""),AND(Data!BW158="",Data!BX158&lt;&gt;"")),TRUE),TRUE)</f>
        <v>1</v>
      </c>
      <c r="Q158" s="26" t="b">
        <f>IF(Checks!C158,UPPER(RIGHT(Data!A158,5))=".BPMN",TRUE)</f>
        <v>1</v>
      </c>
      <c r="R158" s="26" t="b">
        <f>IF(Checks!C158,IF(UPPER(Data!C158)="SUB PROCESS",UPPER(RIGHT(Data!BY158,5))=".BPMN",TRUE),TRUE)</f>
        <v>1</v>
      </c>
      <c r="S158" s="26" t="b">
        <f>IF(Checks!C158,IF(UPPER(Data!C158)="SERVICE TASK",IF(UPPER(Data!BZ158)="TYPE=SAS",UPPER(RIGHT(Data!CA158,4))=".SAS",TRUE),TRUE),TRUE)</f>
        <v>1</v>
      </c>
      <c r="T158" s="26" t="b">
        <f>IF(Checks!C158,IF(Data!B158&lt;&gt;"",Data!D158&lt;&gt;"",TRUE),TRUE)</f>
        <v>1</v>
      </c>
      <c r="U158" s="26" t="b">
        <f ca="1">IF(Checks!C158,IF(UPPER(Data!C158)="DATA OBJECT",NOT(ISERROR(MATCH(Data!A158&amp;"||"&amp;Data!BW158&amp;Data!BX158,Key,0))),TRUE),TRUE)</f>
        <v>1</v>
      </c>
      <c r="V158" s="26" t="b">
        <f>IF(Checks!C158,IF(UPPER(Data!C158)="SUB PROCESS",Data!BY158&lt;&gt;"",TRUE),TRUE)</f>
        <v>1</v>
      </c>
      <c r="W158" s="26" t="b">
        <f>IF(Checks!C158,IF(UPPER(Data!C158)="SERVICE TASK",AND(Data!BZ158&lt;&gt;"",Data!CA158&lt;&gt;""),TRUE),TRUE)</f>
        <v>1</v>
      </c>
      <c r="X158" s="26" t="b">
        <f t="array" aca="1" ref="X158" ca="1">SUM((OFFSET(Data!B158,MAX(ROW(Data!$B$5)-ROW(Data!B158),-200),0,400,1)=Data!B158)*(OFFSET(Data!A158,MAX(ROW(Data!$B$5)-ROW(Data!B158),-200),0,400,1)=Data!A158))=1</f>
        <v>1</v>
      </c>
      <c r="Y158" s="26" t="b">
        <f t="array" aca="1" ref="Y158" ca="1">IF(UPPER(Data!C158)="START",SUM((OFFSET(Data!C158,MAX(ROW(Data!$C$5)-ROW(Data!C158),-200),0,400,1)="START")*(OFFSET(Data!A158,MAX(ROW(Data!$B$5)-ROW(Data!B158),-200),0,400,1)=Data!A158))=1,TRUE)</f>
        <v>1</v>
      </c>
      <c r="Z158" s="26" t="b">
        <f t="array" aca="1" ref="Z158" ca="1">IF(UPPER(Data!C158)="END",SUM((OFFSET(Data!C158,MAX(ROW(Data!$C$5)-ROW(Data!C158),-200),0,400,1)="END")*(OFFSET(Data!A158,MAX(ROW(Data!$B$5)-ROW(Data!B158),-200),0,400,1)=Data!A158))=1,TRUE)</f>
        <v>1</v>
      </c>
      <c r="AA158" s="26" t="b">
        <f>IF(Checks!C158,ISERROR(FIND("&amp;",Data!D158)),TRUE)</f>
        <v>1</v>
      </c>
      <c r="AB158" s="26" t="b">
        <f>IF(Checks!$C158,IF(AND(UPPER(Data!$C158)&lt;&gt;"START",UPPER(Data!$C158)&lt;&gt;"DATA OBJECT",Data!E158&lt;&gt;""),NOT(ISERROR(MATCH(Data!$A158&amp;"||"&amp;Data!E158,Key,0))),TRUE),TRUE)</f>
        <v>1</v>
      </c>
      <c r="AC158" s="27" t="b">
        <f>IF(Checks!C158,IF(UPPER(Data!C158)="END",Data!E158&lt;&gt;"",TRUE),TRUE)</f>
        <v>1</v>
      </c>
    </row>
    <row r="159" spans="1:29" x14ac:dyDescent="0.25">
      <c r="A159" s="1" t="str">
        <f>Data!A159&amp;"||"&amp;Data!B159</f>
        <v>Miscellaneous/subflow/irmifrs9_credit_risk_analysis.bpmn||040_04_00</v>
      </c>
      <c r="B159" s="19"/>
      <c r="C159" s="24" t="b">
        <f>AND(UPPER(Data!A159)&lt;&gt;"EMPTY",Data!B159&lt;&gt;"")</f>
        <v>1</v>
      </c>
      <c r="D159" s="1"/>
      <c r="E159" s="25" t="b">
        <f t="shared" ca="1" si="4"/>
        <v>1</v>
      </c>
      <c r="F159" s="26" t="b">
        <f ca="1">IF(UPPER(Data!C159)="SUB PROCESS",NOT(ISERROR(MATCH(RIGHT(Data!BY159,LEN(Data!BY159)-5),OFFSET(Data,0,0,ItemsCount,1),0))),TRUE)</f>
        <v>1</v>
      </c>
      <c r="G159" s="26" t="b">
        <f ca="1">IF(MID(UPPER(Data!A159),1,13)="MISCELLANEOUS",NOT(ISERROR(MATCH("path="&amp;Data!A159,OFFSET(Data,0,76,ItemsCount,1),0))),TRUE)</f>
        <v>1</v>
      </c>
      <c r="L159" s="25" t="b">
        <f t="shared" ca="1" si="5"/>
        <v>1</v>
      </c>
      <c r="M159" s="24" t="b">
        <f>IF(Checks!$C159,Data!A159&lt;&gt;"",TRUE)</f>
        <v>1</v>
      </c>
      <c r="N159" s="26" t="b">
        <f>IF(Checks!C159,Data!B159&lt;&gt;"",TRUE)</f>
        <v>1</v>
      </c>
      <c r="O159" s="26" t="b">
        <f>IF(Checks!C159,IF(AND(UPPER(Data!C159)="SERVICE TASK",UPPER(Data!BZ159)="TYPE=SAS"),NodeExists(TRIM(RIGHT(Data!CA159,LEN(Data!CA159)-FIND("=",Data!CA159)))),TRUE),TRUE)</f>
        <v>1</v>
      </c>
      <c r="P159" s="26" t="b">
        <f>IF(Checks!C159,IF(Data!C159="DATA OBJECT",OR(AND(Data!BW159&lt;&gt;"",Data!BX159=""),AND(Data!BW159="",Data!BX159&lt;&gt;"")),TRUE),TRUE)</f>
        <v>1</v>
      </c>
      <c r="Q159" s="26" t="b">
        <f>IF(Checks!C159,UPPER(RIGHT(Data!A159,5))=".BPMN",TRUE)</f>
        <v>1</v>
      </c>
      <c r="R159" s="26" t="b">
        <f>IF(Checks!C159,IF(UPPER(Data!C159)="SUB PROCESS",UPPER(RIGHT(Data!BY159,5))=".BPMN",TRUE),TRUE)</f>
        <v>1</v>
      </c>
      <c r="S159" s="26" t="b">
        <f>IF(Checks!C159,IF(UPPER(Data!C159)="SERVICE TASK",IF(UPPER(Data!BZ159)="TYPE=SAS",UPPER(RIGHT(Data!CA159,4))=".SAS",TRUE),TRUE),TRUE)</f>
        <v>1</v>
      </c>
      <c r="T159" s="26" t="b">
        <f>IF(Checks!C159,IF(Data!B159&lt;&gt;"",Data!D159&lt;&gt;"",TRUE),TRUE)</f>
        <v>1</v>
      </c>
      <c r="U159" s="26" t="b">
        <f ca="1">IF(Checks!C159,IF(UPPER(Data!C159)="DATA OBJECT",NOT(ISERROR(MATCH(Data!A159&amp;"||"&amp;Data!BW159&amp;Data!BX159,Key,0))),TRUE),TRUE)</f>
        <v>1</v>
      </c>
      <c r="V159" s="26" t="b">
        <f>IF(Checks!C159,IF(UPPER(Data!C159)="SUB PROCESS",Data!BY159&lt;&gt;"",TRUE),TRUE)</f>
        <v>1</v>
      </c>
      <c r="W159" s="26" t="b">
        <f>IF(Checks!C159,IF(UPPER(Data!C159)="SERVICE TASK",AND(Data!BZ159&lt;&gt;"",Data!CA159&lt;&gt;""),TRUE),TRUE)</f>
        <v>1</v>
      </c>
      <c r="X159" s="26" t="b">
        <f t="array" aca="1" ref="X159" ca="1">SUM((OFFSET(Data!B159,MAX(ROW(Data!$B$5)-ROW(Data!B159),-200),0,400,1)=Data!B159)*(OFFSET(Data!A159,MAX(ROW(Data!$B$5)-ROW(Data!B159),-200),0,400,1)=Data!A159))=1</f>
        <v>1</v>
      </c>
      <c r="Y159" s="26" t="b">
        <f t="array" aca="1" ref="Y159" ca="1">IF(UPPER(Data!C159)="START",SUM((OFFSET(Data!C159,MAX(ROW(Data!$C$5)-ROW(Data!C159),-200),0,400,1)="START")*(OFFSET(Data!A159,MAX(ROW(Data!$B$5)-ROW(Data!B159),-200),0,400,1)=Data!A159))=1,TRUE)</f>
        <v>1</v>
      </c>
      <c r="Z159" s="26" t="b">
        <f t="array" aca="1" ref="Z159" ca="1">IF(UPPER(Data!C159)="END",SUM((OFFSET(Data!C159,MAX(ROW(Data!$C$5)-ROW(Data!C159),-200),0,400,1)="END")*(OFFSET(Data!A159,MAX(ROW(Data!$B$5)-ROW(Data!B159),-200),0,400,1)=Data!A159))=1,TRUE)</f>
        <v>1</v>
      </c>
      <c r="AA159" s="26" t="b">
        <f>IF(Checks!C159,ISERROR(FIND("&amp;",Data!D159)),TRUE)</f>
        <v>1</v>
      </c>
      <c r="AB159" s="26" t="b">
        <f>IF(Checks!$C159,IF(AND(UPPER(Data!$C159)&lt;&gt;"START",UPPER(Data!$C159)&lt;&gt;"DATA OBJECT",Data!E159&lt;&gt;""),NOT(ISERROR(MATCH(Data!$A159&amp;"||"&amp;Data!E159,Key,0))),TRUE),TRUE)</f>
        <v>1</v>
      </c>
      <c r="AC159" s="27" t="b">
        <f>IF(Checks!C159,IF(UPPER(Data!C159)="END",Data!E159&lt;&gt;"",TRUE),TRUE)</f>
        <v>1</v>
      </c>
    </row>
    <row r="160" spans="1:29" x14ac:dyDescent="0.25">
      <c r="A160" s="1" t="str">
        <f>Data!A160&amp;"||"&amp;Data!B160</f>
        <v>Miscellaneous/subflow/irmifrs9_credit_risk_analysis.bpmn||999_00_00</v>
      </c>
      <c r="B160" s="19"/>
      <c r="C160" s="24" t="b">
        <f>AND(UPPER(Data!A160)&lt;&gt;"EMPTY",Data!B160&lt;&gt;"")</f>
        <v>1</v>
      </c>
      <c r="D160" s="1"/>
      <c r="E160" s="25" t="b">
        <f t="shared" ca="1" si="4"/>
        <v>1</v>
      </c>
      <c r="F160" s="26" t="b">
        <f ca="1">IF(UPPER(Data!C160)="SUB PROCESS",NOT(ISERROR(MATCH(RIGHT(Data!BY160,LEN(Data!BY160)-5),OFFSET(Data,0,0,ItemsCount,1),0))),TRUE)</f>
        <v>1</v>
      </c>
      <c r="G160" s="26" t="b">
        <f ca="1">IF(MID(UPPER(Data!A160),1,13)="MISCELLANEOUS",NOT(ISERROR(MATCH("path="&amp;Data!A160,OFFSET(Data,0,76,ItemsCount,1),0))),TRUE)</f>
        <v>1</v>
      </c>
      <c r="L160" s="25" t="b">
        <f t="shared" ca="1" si="5"/>
        <v>1</v>
      </c>
      <c r="M160" s="24" t="b">
        <f>IF(Checks!$C160,Data!A160&lt;&gt;"",TRUE)</f>
        <v>1</v>
      </c>
      <c r="N160" s="26" t="b">
        <f>IF(Checks!C160,Data!B160&lt;&gt;"",TRUE)</f>
        <v>1</v>
      </c>
      <c r="O160" s="26" t="b">
        <f>IF(Checks!C160,IF(AND(UPPER(Data!C160)="SERVICE TASK",UPPER(Data!BZ160)="TYPE=SAS"),NodeExists(TRIM(RIGHT(Data!CA160,LEN(Data!CA160)-FIND("=",Data!CA160)))),TRUE),TRUE)</f>
        <v>1</v>
      </c>
      <c r="P160" s="26" t="b">
        <f>IF(Checks!C160,IF(Data!C160="DATA OBJECT",OR(AND(Data!BW160&lt;&gt;"",Data!BX160=""),AND(Data!BW160="",Data!BX160&lt;&gt;"")),TRUE),TRUE)</f>
        <v>1</v>
      </c>
      <c r="Q160" s="26" t="b">
        <f>IF(Checks!C160,UPPER(RIGHT(Data!A160,5))=".BPMN",TRUE)</f>
        <v>1</v>
      </c>
      <c r="R160" s="26" t="b">
        <f>IF(Checks!C160,IF(UPPER(Data!C160)="SUB PROCESS",UPPER(RIGHT(Data!BY160,5))=".BPMN",TRUE),TRUE)</f>
        <v>1</v>
      </c>
      <c r="S160" s="26" t="b">
        <f>IF(Checks!C160,IF(UPPER(Data!C160)="SERVICE TASK",IF(UPPER(Data!BZ160)="TYPE=SAS",UPPER(RIGHT(Data!CA160,4))=".SAS",TRUE),TRUE),TRUE)</f>
        <v>1</v>
      </c>
      <c r="T160" s="26" t="b">
        <f>IF(Checks!C160,IF(Data!B160&lt;&gt;"",Data!D160&lt;&gt;"",TRUE),TRUE)</f>
        <v>1</v>
      </c>
      <c r="U160" s="26" t="b">
        <f>IF(Checks!C160,IF(UPPER(Data!C160)="DATA OBJECT",NOT(ISERROR(MATCH(Data!A160&amp;"||"&amp;Data!BW160&amp;Data!BX160,Key,0))),TRUE),TRUE)</f>
        <v>1</v>
      </c>
      <c r="V160" s="26" t="b">
        <f>IF(Checks!C160,IF(UPPER(Data!C160)="SUB PROCESS",Data!BY160&lt;&gt;"",TRUE),TRUE)</f>
        <v>1</v>
      </c>
      <c r="W160" s="26" t="b">
        <f>IF(Checks!C160,IF(UPPER(Data!C160)="SERVICE TASK",AND(Data!BZ160&lt;&gt;"",Data!CA160&lt;&gt;""),TRUE),TRUE)</f>
        <v>1</v>
      </c>
      <c r="X160" s="26" t="b">
        <f t="array" aca="1" ref="X160" ca="1">SUM((OFFSET(Data!B160,MAX(ROW(Data!$B$5)-ROW(Data!B160),-200),0,400,1)=Data!B160)*(OFFSET(Data!A160,MAX(ROW(Data!$B$5)-ROW(Data!B160),-200),0,400,1)=Data!A160))=1</f>
        <v>1</v>
      </c>
      <c r="Y160" s="26" t="b">
        <f t="array" aca="1" ref="Y160" ca="1">IF(UPPER(Data!C160)="START",SUM((OFFSET(Data!C160,MAX(ROW(Data!$C$5)-ROW(Data!C160),-200),0,400,1)="START")*(OFFSET(Data!A160,MAX(ROW(Data!$B$5)-ROW(Data!B160),-200),0,400,1)=Data!A160))=1,TRUE)</f>
        <v>1</v>
      </c>
      <c r="Z160" s="26" t="b">
        <f t="array" aca="1" ref="Z160" ca="1">IF(UPPER(Data!C160)="END",SUM((OFFSET(Data!C160,MAX(ROW(Data!$C$5)-ROW(Data!C160),-200),0,400,1)="END")*(OFFSET(Data!A160,MAX(ROW(Data!$B$5)-ROW(Data!B160),-200),0,400,1)=Data!A160))=1,TRUE)</f>
        <v>1</v>
      </c>
      <c r="AA160" s="26" t="b">
        <f>IF(Checks!C160,ISERROR(FIND("&amp;",Data!D160)),TRUE)</f>
        <v>1</v>
      </c>
      <c r="AB160" s="26" t="b">
        <f ca="1">IF(Checks!$C160,IF(AND(UPPER(Data!$C160)&lt;&gt;"START",UPPER(Data!$C160)&lt;&gt;"DATA OBJECT",Data!E160&lt;&gt;""),NOT(ISERROR(MATCH(Data!$A160&amp;"||"&amp;Data!E160,Key,0))),TRUE),TRUE)</f>
        <v>1</v>
      </c>
      <c r="AC160" s="27" t="b">
        <f>IF(Checks!C160,IF(UPPER(Data!C160)="END",Data!E160&lt;&gt;"",TRUE),TRUE)</f>
        <v>1</v>
      </c>
    </row>
    <row r="161" spans="1:29" x14ac:dyDescent="0.25">
      <c r="A161" s="1" t="str">
        <f>Data!A161&amp;"||"&amp;Data!B161</f>
        <v>Analytics/irmifrs9_credit_risk.bpmn||000_00_00</v>
      </c>
      <c r="B161" s="19"/>
      <c r="C161" s="24" t="b">
        <f>AND(UPPER(Data!A161)&lt;&gt;"EMPTY",Data!B161&lt;&gt;"")</f>
        <v>1</v>
      </c>
      <c r="D161" s="1"/>
      <c r="E161" s="25" t="b">
        <f t="shared" ca="1" si="4"/>
        <v>1</v>
      </c>
      <c r="F161" s="26" t="b">
        <f ca="1">IF(UPPER(Data!C161)="SUB PROCESS",NOT(ISERROR(MATCH(RIGHT(Data!BY161,LEN(Data!BY161)-5),OFFSET(Data,0,0,ItemsCount,1),0))),TRUE)</f>
        <v>1</v>
      </c>
      <c r="G161" s="26" t="b">
        <f ca="1">IF(MID(UPPER(Data!A161),1,13)="MISCELLANEOUS",NOT(ISERROR(MATCH("path="&amp;Data!A161,OFFSET(Data,0,76,ItemsCount,1),0))),TRUE)</f>
        <v>1</v>
      </c>
      <c r="L161" s="25" t="b">
        <f t="shared" ca="1" si="5"/>
        <v>1</v>
      </c>
      <c r="M161" s="24" t="b">
        <f>IF(Checks!$C161,Data!A161&lt;&gt;"",TRUE)</f>
        <v>1</v>
      </c>
      <c r="N161" s="26" t="b">
        <f>IF(Checks!C161,Data!B161&lt;&gt;"",TRUE)</f>
        <v>1</v>
      </c>
      <c r="O161" s="26" t="b">
        <f>IF(Checks!C161,IF(AND(UPPER(Data!C161)="SERVICE TASK",UPPER(Data!BZ161)="TYPE=SAS"),NodeExists(TRIM(RIGHT(Data!CA161,LEN(Data!CA161)-FIND("=",Data!CA161)))),TRUE),TRUE)</f>
        <v>1</v>
      </c>
      <c r="P161" s="26" t="b">
        <f>IF(Checks!C161,IF(Data!C161="DATA OBJECT",OR(AND(Data!BW161&lt;&gt;"",Data!BX161=""),AND(Data!BW161="",Data!BX161&lt;&gt;"")),TRUE),TRUE)</f>
        <v>1</v>
      </c>
      <c r="Q161" s="26" t="b">
        <f>IF(Checks!C161,UPPER(RIGHT(Data!A161,5))=".BPMN",TRUE)</f>
        <v>1</v>
      </c>
      <c r="R161" s="26" t="b">
        <f>IF(Checks!C161,IF(UPPER(Data!C161)="SUB PROCESS",UPPER(RIGHT(Data!BY161,5))=".BPMN",TRUE),TRUE)</f>
        <v>1</v>
      </c>
      <c r="S161" s="26" t="b">
        <f>IF(Checks!C161,IF(UPPER(Data!C161)="SERVICE TASK",IF(UPPER(Data!BZ161)="TYPE=SAS",UPPER(RIGHT(Data!CA161,4))=".SAS",TRUE),TRUE),TRUE)</f>
        <v>1</v>
      </c>
      <c r="T161" s="26" t="b">
        <f>IF(Checks!C161,IF(Data!B161&lt;&gt;"",Data!D161&lt;&gt;"",TRUE),TRUE)</f>
        <v>1</v>
      </c>
      <c r="U161" s="26" t="b">
        <f>IF(Checks!C161,IF(UPPER(Data!C161)="DATA OBJECT",NOT(ISERROR(MATCH(Data!A161&amp;"||"&amp;Data!BW161&amp;Data!BX161,Key,0))),TRUE),TRUE)</f>
        <v>1</v>
      </c>
      <c r="V161" s="26" t="b">
        <f>IF(Checks!C161,IF(UPPER(Data!C161)="SUB PROCESS",Data!BY161&lt;&gt;"",TRUE),TRUE)</f>
        <v>1</v>
      </c>
      <c r="W161" s="26" t="b">
        <f>IF(Checks!C161,IF(UPPER(Data!C161)="SERVICE TASK",AND(Data!BZ161&lt;&gt;"",Data!CA161&lt;&gt;""),TRUE),TRUE)</f>
        <v>1</v>
      </c>
      <c r="X161" s="26" t="b">
        <f t="array" aca="1" ref="X161" ca="1">SUM((OFFSET(Data!B161,MAX(ROW(Data!$B$5)-ROW(Data!B161),-200),0,400,1)=Data!B161)*(OFFSET(Data!A161,MAX(ROW(Data!$B$5)-ROW(Data!B161),-200),0,400,1)=Data!A161))=1</f>
        <v>1</v>
      </c>
      <c r="Y161" s="26" t="b">
        <f t="array" aca="1" ref="Y161" ca="1">IF(UPPER(Data!C161)="START",SUM((OFFSET(Data!C161,MAX(ROW(Data!$C$5)-ROW(Data!C161),-200),0,400,1)="START")*(OFFSET(Data!A161,MAX(ROW(Data!$B$5)-ROW(Data!B161),-200),0,400,1)=Data!A161))=1,TRUE)</f>
        <v>1</v>
      </c>
      <c r="Z161" s="26" t="b">
        <f t="array" aca="1" ref="Z161" ca="1">IF(UPPER(Data!C161)="END",SUM((OFFSET(Data!C161,MAX(ROW(Data!$C$5)-ROW(Data!C161),-200),0,400,1)="END")*(OFFSET(Data!A161,MAX(ROW(Data!$B$5)-ROW(Data!B161),-200),0,400,1)=Data!A161))=1,TRUE)</f>
        <v>1</v>
      </c>
      <c r="AA161" s="26" t="b">
        <f>IF(Checks!C161,ISERROR(FIND("&amp;",Data!D161)),TRUE)</f>
        <v>1</v>
      </c>
      <c r="AB161" s="26" t="b">
        <f>IF(Checks!$C161,IF(AND(UPPER(Data!$C161)&lt;&gt;"START",UPPER(Data!$C161)&lt;&gt;"DATA OBJECT",Data!E161&lt;&gt;""),NOT(ISERROR(MATCH(Data!$A161&amp;"||"&amp;Data!E161,Key,0))),TRUE),TRUE)</f>
        <v>1</v>
      </c>
      <c r="AC161" s="27" t="b">
        <f>IF(Checks!C161,IF(UPPER(Data!C161)="END",Data!E161&lt;&gt;"",TRUE),TRUE)</f>
        <v>1</v>
      </c>
    </row>
    <row r="162" spans="1:29" x14ac:dyDescent="0.25">
      <c r="A162" s="1" t="str">
        <f>Data!A162&amp;"||"&amp;Data!B162</f>
        <v>Analytics/irmifrs9_credit_risk.bpmn||010_00_00</v>
      </c>
      <c r="B162" s="19"/>
      <c r="C162" s="24" t="b">
        <f>AND(UPPER(Data!A162)&lt;&gt;"EMPTY",Data!B162&lt;&gt;"")</f>
        <v>1</v>
      </c>
      <c r="D162" s="1"/>
      <c r="E162" s="25" t="b">
        <f t="shared" ca="1" si="4"/>
        <v>1</v>
      </c>
      <c r="F162" s="26" t="b">
        <f ca="1">IF(UPPER(Data!C162)="SUB PROCESS",NOT(ISERROR(MATCH(RIGHT(Data!BY162,LEN(Data!BY162)-5),OFFSET(Data,0,0,ItemsCount,1),0))),TRUE)</f>
        <v>1</v>
      </c>
      <c r="G162" s="26" t="b">
        <f ca="1">IF(MID(UPPER(Data!A162),1,13)="MISCELLANEOUS",NOT(ISERROR(MATCH("path="&amp;Data!A162,OFFSET(Data,0,76,ItemsCount,1),0))),TRUE)</f>
        <v>1</v>
      </c>
      <c r="L162" s="25" t="b">
        <f t="shared" ca="1" si="5"/>
        <v>1</v>
      </c>
      <c r="M162" s="24" t="b">
        <f>IF(Checks!$C162,Data!A162&lt;&gt;"",TRUE)</f>
        <v>1</v>
      </c>
      <c r="N162" s="26" t="b">
        <f>IF(Checks!C162,Data!B162&lt;&gt;"",TRUE)</f>
        <v>1</v>
      </c>
      <c r="O162" s="26" t="b">
        <f>IF(Checks!C162,IF(AND(UPPER(Data!C162)="SERVICE TASK",UPPER(Data!BZ162)="TYPE=SAS"),NodeExists(TRIM(RIGHT(Data!CA162,LEN(Data!CA162)-FIND("=",Data!CA162)))),TRUE),TRUE)</f>
        <v>1</v>
      </c>
      <c r="P162" s="26" t="b">
        <f>IF(Checks!C162,IF(Data!C162="DATA OBJECT",OR(AND(Data!BW162&lt;&gt;"",Data!BX162=""),AND(Data!BW162="",Data!BX162&lt;&gt;"")),TRUE),TRUE)</f>
        <v>1</v>
      </c>
      <c r="Q162" s="26" t="b">
        <f>IF(Checks!C162,UPPER(RIGHT(Data!A162,5))=".BPMN",TRUE)</f>
        <v>1</v>
      </c>
      <c r="R162" s="26" t="b">
        <f>IF(Checks!C162,IF(UPPER(Data!C162)="SUB PROCESS",UPPER(RIGHT(Data!BY162,5))=".BPMN",TRUE),TRUE)</f>
        <v>1</v>
      </c>
      <c r="S162" s="26" t="b">
        <f>IF(Checks!C162,IF(UPPER(Data!C162)="SERVICE TASK",IF(UPPER(Data!BZ162)="TYPE=SAS",UPPER(RIGHT(Data!CA162,4))=".SAS",TRUE),TRUE),TRUE)</f>
        <v>1</v>
      </c>
      <c r="T162" s="26" t="b">
        <f>IF(Checks!C162,IF(Data!B162&lt;&gt;"",Data!D162&lt;&gt;"",TRUE),TRUE)</f>
        <v>1</v>
      </c>
      <c r="U162" s="26" t="b">
        <f>IF(Checks!C162,IF(UPPER(Data!C162)="DATA OBJECT",NOT(ISERROR(MATCH(Data!A162&amp;"||"&amp;Data!BW162&amp;Data!BX162,Key,0))),TRUE),TRUE)</f>
        <v>1</v>
      </c>
      <c r="V162" s="26" t="b">
        <f>IF(Checks!C162,IF(UPPER(Data!C162)="SUB PROCESS",Data!BY162&lt;&gt;"",TRUE),TRUE)</f>
        <v>1</v>
      </c>
      <c r="W162" s="26" t="b">
        <f>IF(Checks!C162,IF(UPPER(Data!C162)="SERVICE TASK",AND(Data!BZ162&lt;&gt;"",Data!CA162&lt;&gt;""),TRUE),TRUE)</f>
        <v>1</v>
      </c>
      <c r="X162" s="26" t="b">
        <f t="array" aca="1" ref="X162" ca="1">SUM((OFFSET(Data!B162,MAX(ROW(Data!$B$5)-ROW(Data!B162),-200),0,400,1)=Data!B162)*(OFFSET(Data!A162,MAX(ROW(Data!$B$5)-ROW(Data!B162),-200),0,400,1)=Data!A162))=1</f>
        <v>1</v>
      </c>
      <c r="Y162" s="26" t="b">
        <f t="array" aca="1" ref="Y162" ca="1">IF(UPPER(Data!C162)="START",SUM((OFFSET(Data!C162,MAX(ROW(Data!$C$5)-ROW(Data!C162),-200),0,400,1)="START")*(OFFSET(Data!A162,MAX(ROW(Data!$B$5)-ROW(Data!B162),-200),0,400,1)=Data!A162))=1,TRUE)</f>
        <v>1</v>
      </c>
      <c r="Z162" s="26" t="b">
        <f t="array" aca="1" ref="Z162" ca="1">IF(UPPER(Data!C162)="END",SUM((OFFSET(Data!C162,MAX(ROW(Data!$C$5)-ROW(Data!C162),-200),0,400,1)="END")*(OFFSET(Data!A162,MAX(ROW(Data!$B$5)-ROW(Data!B162),-200),0,400,1)=Data!A162))=1,TRUE)</f>
        <v>1</v>
      </c>
      <c r="AA162" s="26" t="b">
        <f>IF(Checks!C162,ISERROR(FIND("&amp;",Data!D162)),TRUE)</f>
        <v>1</v>
      </c>
      <c r="AB162" s="26" t="b">
        <f ca="1">IF(Checks!$C162,IF(AND(UPPER(Data!$C162)&lt;&gt;"START",UPPER(Data!$C162)&lt;&gt;"DATA OBJECT",Data!E162&lt;&gt;""),NOT(ISERROR(MATCH(Data!$A162&amp;"||"&amp;Data!E162,Key,0))),TRUE),TRUE)</f>
        <v>1</v>
      </c>
      <c r="AC162" s="27" t="b">
        <f>IF(Checks!C162,IF(UPPER(Data!C162)="END",Data!E162&lt;&gt;"",TRUE),TRUE)</f>
        <v>1</v>
      </c>
    </row>
    <row r="163" spans="1:29" x14ac:dyDescent="0.25">
      <c r="A163" s="1" t="str">
        <f>Data!A163&amp;"||"&amp;Data!B163</f>
        <v>Analytics/irmifrs9_credit_risk.bpmn||030_00_00</v>
      </c>
      <c r="B163" s="19"/>
      <c r="C163" s="24" t="b">
        <f>AND(UPPER(Data!A163)&lt;&gt;"EMPTY",Data!B163&lt;&gt;"")</f>
        <v>1</v>
      </c>
      <c r="D163" s="1"/>
      <c r="E163" s="25" t="b">
        <f t="shared" ca="1" si="4"/>
        <v>1</v>
      </c>
      <c r="F163" s="26" t="b">
        <f ca="1">IF(UPPER(Data!C163)="SUB PROCESS",NOT(ISERROR(MATCH(RIGHT(Data!BY163,LEN(Data!BY163)-5),OFFSET(Data,0,0,ItemsCount,1),0))),TRUE)</f>
        <v>1</v>
      </c>
      <c r="G163" s="26" t="b">
        <f ca="1">IF(MID(UPPER(Data!A163),1,13)="MISCELLANEOUS",NOT(ISERROR(MATCH("path="&amp;Data!A163,OFFSET(Data,0,76,ItemsCount,1),0))),TRUE)</f>
        <v>1</v>
      </c>
      <c r="L163" s="25" t="b">
        <f t="shared" ca="1" si="5"/>
        <v>1</v>
      </c>
      <c r="M163" s="24" t="b">
        <f>IF(Checks!$C163,Data!A163&lt;&gt;"",TRUE)</f>
        <v>1</v>
      </c>
      <c r="N163" s="26" t="b">
        <f>IF(Checks!C163,Data!B163&lt;&gt;"",TRUE)</f>
        <v>1</v>
      </c>
      <c r="O163" s="26" t="b">
        <f>IF(Checks!C163,IF(AND(UPPER(Data!C163)="SERVICE TASK",UPPER(Data!BZ163)="TYPE=SAS"),NodeExists(TRIM(RIGHT(Data!CA163,LEN(Data!CA163)-FIND("=",Data!CA163)))),TRUE),TRUE)</f>
        <v>1</v>
      </c>
      <c r="P163" s="26" t="b">
        <f>IF(Checks!C163,IF(Data!C163="DATA OBJECT",OR(AND(Data!BW163&lt;&gt;"",Data!BX163=""),AND(Data!BW163="",Data!BX163&lt;&gt;"")),TRUE),TRUE)</f>
        <v>1</v>
      </c>
      <c r="Q163" s="26" t="b">
        <f>IF(Checks!C163,UPPER(RIGHT(Data!A163,5))=".BPMN",TRUE)</f>
        <v>1</v>
      </c>
      <c r="R163" s="26" t="b">
        <f>IF(Checks!C163,IF(UPPER(Data!C163)="SUB PROCESS",UPPER(RIGHT(Data!BY163,5))=".BPMN",TRUE),TRUE)</f>
        <v>1</v>
      </c>
      <c r="S163" s="26" t="b">
        <f>IF(Checks!C163,IF(UPPER(Data!C163)="SERVICE TASK",IF(UPPER(Data!BZ163)="TYPE=SAS",UPPER(RIGHT(Data!CA163,4))=".SAS",TRUE),TRUE),TRUE)</f>
        <v>1</v>
      </c>
      <c r="T163" s="26" t="b">
        <f>IF(Checks!C163,IF(Data!B163&lt;&gt;"",Data!D163&lt;&gt;"",TRUE),TRUE)</f>
        <v>1</v>
      </c>
      <c r="U163" s="26" t="b">
        <f>IF(Checks!C163,IF(UPPER(Data!C163)="DATA OBJECT",NOT(ISERROR(MATCH(Data!A163&amp;"||"&amp;Data!BW163&amp;Data!BX163,Key,0))),TRUE),TRUE)</f>
        <v>1</v>
      </c>
      <c r="V163" s="26" t="b">
        <f>IF(Checks!C163,IF(UPPER(Data!C163)="SUB PROCESS",Data!BY163&lt;&gt;"",TRUE),TRUE)</f>
        <v>1</v>
      </c>
      <c r="W163" s="26" t="b">
        <f>IF(Checks!C163,IF(UPPER(Data!C163)="SERVICE TASK",AND(Data!BZ163&lt;&gt;"",Data!CA163&lt;&gt;""),TRUE),TRUE)</f>
        <v>1</v>
      </c>
      <c r="X163" s="26" t="b">
        <f t="array" aca="1" ref="X163" ca="1">SUM((OFFSET(Data!B163,MAX(ROW(Data!$B$5)-ROW(Data!B163),-200),0,400,1)=Data!B163)*(OFFSET(Data!A163,MAX(ROW(Data!$B$5)-ROW(Data!B163),-200),0,400,1)=Data!A163))=1</f>
        <v>1</v>
      </c>
      <c r="Y163" s="26" t="b">
        <f t="array" aca="1" ref="Y163" ca="1">IF(UPPER(Data!C163)="START",SUM((OFFSET(Data!C163,MAX(ROW(Data!$C$5)-ROW(Data!C163),-200),0,400,1)="START")*(OFFSET(Data!A163,MAX(ROW(Data!$B$5)-ROW(Data!B163),-200),0,400,1)=Data!A163))=1,TRUE)</f>
        <v>1</v>
      </c>
      <c r="Z163" s="26" t="b">
        <f t="array" aca="1" ref="Z163" ca="1">IF(UPPER(Data!C163)="END",SUM((OFFSET(Data!C163,MAX(ROW(Data!$C$5)-ROW(Data!C163),-200),0,400,1)="END")*(OFFSET(Data!A163,MAX(ROW(Data!$B$5)-ROW(Data!B163),-200),0,400,1)=Data!A163))=1,TRUE)</f>
        <v>1</v>
      </c>
      <c r="AA163" s="26" t="b">
        <f>IF(Checks!C163,ISERROR(FIND("&amp;",Data!D163)),TRUE)</f>
        <v>1</v>
      </c>
      <c r="AB163" s="26" t="b">
        <f ca="1">IF(Checks!$C163,IF(AND(UPPER(Data!$C163)&lt;&gt;"START",UPPER(Data!$C163)&lt;&gt;"DATA OBJECT",Data!E163&lt;&gt;""),NOT(ISERROR(MATCH(Data!$A163&amp;"||"&amp;Data!E163,Key,0))),TRUE),TRUE)</f>
        <v>1</v>
      </c>
      <c r="AC163" s="27" t="b">
        <f>IF(Checks!C163,IF(UPPER(Data!C163)="END",Data!E163&lt;&gt;"",TRUE),TRUE)</f>
        <v>1</v>
      </c>
    </row>
    <row r="164" spans="1:29" x14ac:dyDescent="0.25">
      <c r="A164" s="1" t="str">
        <f>Data!A164&amp;"||"&amp;Data!B164</f>
        <v>Analytics/irmifrs9_credit_risk.bpmn||040_00_00</v>
      </c>
      <c r="B164" s="19"/>
      <c r="C164" s="24" t="b">
        <f>AND(UPPER(Data!A164)&lt;&gt;"EMPTY",Data!B164&lt;&gt;"")</f>
        <v>1</v>
      </c>
      <c r="D164" s="1"/>
      <c r="E164" s="25" t="b">
        <f t="shared" ca="1" si="4"/>
        <v>1</v>
      </c>
      <c r="F164" s="26" t="b">
        <f ca="1">IF(UPPER(Data!C164)="SUB PROCESS",NOT(ISERROR(MATCH(RIGHT(Data!BY164,LEN(Data!BY164)-5),OFFSET(Data,0,0,ItemsCount,1),0))),TRUE)</f>
        <v>1</v>
      </c>
      <c r="G164" s="26" t="b">
        <f ca="1">IF(MID(UPPER(Data!A164),1,13)="MISCELLANEOUS",NOT(ISERROR(MATCH("path="&amp;Data!A164,OFFSET(Data,0,76,ItemsCount,1),0))),TRUE)</f>
        <v>1</v>
      </c>
      <c r="L164" s="25" t="b">
        <f t="shared" ca="1" si="5"/>
        <v>1</v>
      </c>
      <c r="M164" s="24" t="b">
        <f>IF(Checks!$C164,Data!A164&lt;&gt;"",TRUE)</f>
        <v>1</v>
      </c>
      <c r="N164" s="26" t="b">
        <f>IF(Checks!C164,Data!B164&lt;&gt;"",TRUE)</f>
        <v>1</v>
      </c>
      <c r="O164" s="26" t="b">
        <f>IF(Checks!C164,IF(AND(UPPER(Data!C164)="SERVICE TASK",UPPER(Data!BZ164)="TYPE=SAS"),NodeExists(TRIM(RIGHT(Data!CA164,LEN(Data!CA164)-FIND("=",Data!CA164)))),TRUE),TRUE)</f>
        <v>1</v>
      </c>
      <c r="P164" s="26" t="b">
        <f>IF(Checks!C164,IF(Data!C164="DATA OBJECT",OR(AND(Data!BW164&lt;&gt;"",Data!BX164=""),AND(Data!BW164="",Data!BX164&lt;&gt;"")),TRUE),TRUE)</f>
        <v>1</v>
      </c>
      <c r="Q164" s="26" t="b">
        <f>IF(Checks!C164,UPPER(RIGHT(Data!A164,5))=".BPMN",TRUE)</f>
        <v>1</v>
      </c>
      <c r="R164" s="26" t="b">
        <f>IF(Checks!C164,IF(UPPER(Data!C164)="SUB PROCESS",UPPER(RIGHT(Data!BY164,5))=".BPMN",TRUE),TRUE)</f>
        <v>1</v>
      </c>
      <c r="S164" s="26" t="b">
        <f>IF(Checks!C164,IF(UPPER(Data!C164)="SERVICE TASK",IF(UPPER(Data!BZ164)="TYPE=SAS",UPPER(RIGHT(Data!CA164,4))=".SAS",TRUE),TRUE),TRUE)</f>
        <v>1</v>
      </c>
      <c r="T164" s="26" t="b">
        <f>IF(Checks!C164,IF(Data!B164&lt;&gt;"",Data!D164&lt;&gt;"",TRUE),TRUE)</f>
        <v>1</v>
      </c>
      <c r="U164" s="26" t="b">
        <f>IF(Checks!C164,IF(UPPER(Data!C164)="DATA OBJECT",NOT(ISERROR(MATCH(Data!A164&amp;"||"&amp;Data!BW164&amp;Data!BX164,Key,0))),TRUE),TRUE)</f>
        <v>1</v>
      </c>
      <c r="V164" s="26" t="b">
        <f>IF(Checks!C164,IF(UPPER(Data!C164)="SUB PROCESS",Data!BY164&lt;&gt;"",TRUE),TRUE)</f>
        <v>1</v>
      </c>
      <c r="W164" s="26" t="b">
        <f>IF(Checks!C164,IF(UPPER(Data!C164)="SERVICE TASK",AND(Data!BZ164&lt;&gt;"",Data!CA164&lt;&gt;""),TRUE),TRUE)</f>
        <v>1</v>
      </c>
      <c r="X164" s="26" t="b">
        <f t="array" aca="1" ref="X164" ca="1">SUM((OFFSET(Data!B164,MAX(ROW(Data!$B$5)-ROW(Data!B164),-200),0,400,1)=Data!B164)*(OFFSET(Data!A164,MAX(ROW(Data!$B$5)-ROW(Data!B164),-200),0,400,1)=Data!A164))=1</f>
        <v>1</v>
      </c>
      <c r="Y164" s="26" t="b">
        <f t="array" aca="1" ref="Y164" ca="1">IF(UPPER(Data!C164)="START",SUM((OFFSET(Data!C164,MAX(ROW(Data!$C$5)-ROW(Data!C164),-200),0,400,1)="START")*(OFFSET(Data!A164,MAX(ROW(Data!$B$5)-ROW(Data!B164),-200),0,400,1)=Data!A164))=1,TRUE)</f>
        <v>1</v>
      </c>
      <c r="Z164" s="26" t="b">
        <f t="array" aca="1" ref="Z164" ca="1">IF(UPPER(Data!C164)="END",SUM((OFFSET(Data!C164,MAX(ROW(Data!$C$5)-ROW(Data!C164),-200),0,400,1)="END")*(OFFSET(Data!A164,MAX(ROW(Data!$B$5)-ROW(Data!B164),-200),0,400,1)=Data!A164))=1,TRUE)</f>
        <v>1</v>
      </c>
      <c r="AA164" s="26" t="b">
        <f>IF(Checks!C164,ISERROR(FIND("&amp;",Data!D164)),TRUE)</f>
        <v>1</v>
      </c>
      <c r="AB164" s="26" t="b">
        <f ca="1">IF(Checks!$C164,IF(AND(UPPER(Data!$C164)&lt;&gt;"START",UPPER(Data!$C164)&lt;&gt;"DATA OBJECT",Data!E164&lt;&gt;""),NOT(ISERROR(MATCH(Data!$A164&amp;"||"&amp;Data!E164,Key,0))),TRUE),TRUE)</f>
        <v>1</v>
      </c>
      <c r="AC164" s="27" t="b">
        <f>IF(Checks!C164,IF(UPPER(Data!C164)="END",Data!E164&lt;&gt;"",TRUE),TRUE)</f>
        <v>1</v>
      </c>
    </row>
    <row r="165" spans="1:29" x14ac:dyDescent="0.25">
      <c r="A165" s="1" t="str">
        <f>Data!A165&amp;"||"&amp;Data!B165</f>
        <v>Analytics/irmifrs9_credit_risk.bpmn||050_00_00</v>
      </c>
      <c r="B165" s="19"/>
      <c r="C165" s="24" t="b">
        <f>AND(UPPER(Data!A165)&lt;&gt;"EMPTY",Data!B165&lt;&gt;"")</f>
        <v>1</v>
      </c>
      <c r="D165" s="1"/>
      <c r="E165" s="25" t="b">
        <f t="shared" ca="1" si="4"/>
        <v>1</v>
      </c>
      <c r="F165" s="26" t="b">
        <f ca="1">IF(UPPER(Data!C165)="SUB PROCESS",NOT(ISERROR(MATCH(RIGHT(Data!BY165,LEN(Data!BY165)-5),OFFSET(Data,0,0,ItemsCount,1),0))),TRUE)</f>
        <v>1</v>
      </c>
      <c r="G165" s="26" t="b">
        <f ca="1">IF(MID(UPPER(Data!A165),1,13)="MISCELLANEOUS",NOT(ISERROR(MATCH("path="&amp;Data!A165,OFFSET(Data,0,76,ItemsCount,1),0))),TRUE)</f>
        <v>1</v>
      </c>
      <c r="L165" s="25" t="b">
        <f t="shared" ca="1" si="5"/>
        <v>1</v>
      </c>
      <c r="M165" s="24" t="b">
        <f>IF(Checks!$C165,Data!A165&lt;&gt;"",TRUE)</f>
        <v>1</v>
      </c>
      <c r="N165" s="26" t="b">
        <f>IF(Checks!C165,Data!B165&lt;&gt;"",TRUE)</f>
        <v>1</v>
      </c>
      <c r="O165" s="26" t="b">
        <f>IF(Checks!C165,IF(AND(UPPER(Data!C165)="SERVICE TASK",UPPER(Data!BZ165)="TYPE=SAS"),NodeExists(TRIM(RIGHT(Data!CA165,LEN(Data!CA165)-FIND("=",Data!CA165)))),TRUE),TRUE)</f>
        <v>1</v>
      </c>
      <c r="P165" s="26" t="b">
        <f>IF(Checks!C165,IF(Data!C165="DATA OBJECT",OR(AND(Data!BW165&lt;&gt;"",Data!BX165=""),AND(Data!BW165="",Data!BX165&lt;&gt;"")),TRUE),TRUE)</f>
        <v>1</v>
      </c>
      <c r="Q165" s="26" t="b">
        <f>IF(Checks!C165,UPPER(RIGHT(Data!A165,5))=".BPMN",TRUE)</f>
        <v>1</v>
      </c>
      <c r="R165" s="26" t="b">
        <f>IF(Checks!C165,IF(UPPER(Data!C165)="SUB PROCESS",UPPER(RIGHT(Data!BY165,5))=".BPMN",TRUE),TRUE)</f>
        <v>1</v>
      </c>
      <c r="S165" s="26" t="b">
        <f>IF(Checks!C165,IF(UPPER(Data!C165)="SERVICE TASK",IF(UPPER(Data!BZ165)="TYPE=SAS",UPPER(RIGHT(Data!CA165,4))=".SAS",TRUE),TRUE),TRUE)</f>
        <v>1</v>
      </c>
      <c r="T165" s="26" t="b">
        <f>IF(Checks!C165,IF(Data!B165&lt;&gt;"",Data!D165&lt;&gt;"",TRUE),TRUE)</f>
        <v>1</v>
      </c>
      <c r="U165" s="26" t="b">
        <f>IF(Checks!C165,IF(UPPER(Data!C165)="DATA OBJECT",NOT(ISERROR(MATCH(Data!A165&amp;"||"&amp;Data!BW165&amp;Data!BX165,Key,0))),TRUE),TRUE)</f>
        <v>1</v>
      </c>
      <c r="V165" s="26" t="b">
        <f>IF(Checks!C165,IF(UPPER(Data!C165)="SUB PROCESS",Data!BY165&lt;&gt;"",TRUE),TRUE)</f>
        <v>1</v>
      </c>
      <c r="W165" s="26" t="b">
        <f>IF(Checks!C165,IF(UPPER(Data!C165)="SERVICE TASK",AND(Data!BZ165&lt;&gt;"",Data!CA165&lt;&gt;""),TRUE),TRUE)</f>
        <v>1</v>
      </c>
      <c r="X165" s="26" t="b">
        <f t="array" aca="1" ref="X165" ca="1">SUM((OFFSET(Data!B165,MAX(ROW(Data!$B$5)-ROW(Data!B165),-200),0,400,1)=Data!B165)*(OFFSET(Data!A165,MAX(ROW(Data!$B$5)-ROW(Data!B165),-200),0,400,1)=Data!A165))=1</f>
        <v>1</v>
      </c>
      <c r="Y165" s="26" t="b">
        <f t="array" aca="1" ref="Y165" ca="1">IF(UPPER(Data!C165)="START",SUM((OFFSET(Data!C165,MAX(ROW(Data!$C$5)-ROW(Data!C165),-200),0,400,1)="START")*(OFFSET(Data!A165,MAX(ROW(Data!$B$5)-ROW(Data!B165),-200),0,400,1)=Data!A165))=1,TRUE)</f>
        <v>1</v>
      </c>
      <c r="Z165" s="26" t="b">
        <f t="array" aca="1" ref="Z165" ca="1">IF(UPPER(Data!C165)="END",SUM((OFFSET(Data!C165,MAX(ROW(Data!$C$5)-ROW(Data!C165),-200),0,400,1)="END")*(OFFSET(Data!A165,MAX(ROW(Data!$B$5)-ROW(Data!B165),-200),0,400,1)=Data!A165))=1,TRUE)</f>
        <v>1</v>
      </c>
      <c r="AA165" s="26" t="b">
        <f>IF(Checks!C165,ISERROR(FIND("&amp;",Data!D165)),TRUE)</f>
        <v>1</v>
      </c>
      <c r="AB165" s="26" t="b">
        <f ca="1">IF(Checks!$C165,IF(AND(UPPER(Data!$C165)&lt;&gt;"START",UPPER(Data!$C165)&lt;&gt;"DATA OBJECT",Data!E165&lt;&gt;""),NOT(ISERROR(MATCH(Data!$A165&amp;"||"&amp;Data!E165,Key,0))),TRUE),TRUE)</f>
        <v>1</v>
      </c>
      <c r="AC165" s="27" t="b">
        <f>IF(Checks!C165,IF(UPPER(Data!C165)="END",Data!E165&lt;&gt;"",TRUE),TRUE)</f>
        <v>1</v>
      </c>
    </row>
    <row r="166" spans="1:29" x14ac:dyDescent="0.25">
      <c r="A166" s="1" t="str">
        <f>Data!A166&amp;"||"&amp;Data!B166</f>
        <v>Analytics/irmifrs9_credit_risk.bpmn||050_00_01</v>
      </c>
      <c r="B166" s="19"/>
      <c r="C166" s="24" t="b">
        <f>AND(UPPER(Data!A166)&lt;&gt;"EMPTY",Data!B166&lt;&gt;"")</f>
        <v>1</v>
      </c>
      <c r="D166" s="1"/>
      <c r="E166" s="25" t="b">
        <f t="shared" ca="1" si="4"/>
        <v>1</v>
      </c>
      <c r="F166" s="26" t="b">
        <f ca="1">IF(UPPER(Data!C166)="SUB PROCESS",NOT(ISERROR(MATCH(RIGHT(Data!BY166,LEN(Data!BY166)-5),OFFSET(Data,0,0,ItemsCount,1),0))),TRUE)</f>
        <v>1</v>
      </c>
      <c r="G166" s="26" t="b">
        <f ca="1">IF(MID(UPPER(Data!A166),1,13)="MISCELLANEOUS",NOT(ISERROR(MATCH("path="&amp;Data!A166,OFFSET(Data,0,76,ItemsCount,1),0))),TRUE)</f>
        <v>1</v>
      </c>
      <c r="L166" s="25" t="b">
        <f t="shared" ca="1" si="5"/>
        <v>1</v>
      </c>
      <c r="M166" s="24" t="b">
        <f>IF(Checks!$C166,Data!A166&lt;&gt;"",TRUE)</f>
        <v>1</v>
      </c>
      <c r="N166" s="26" t="b">
        <f>IF(Checks!C166,Data!B166&lt;&gt;"",TRUE)</f>
        <v>1</v>
      </c>
      <c r="O166" s="26" t="b">
        <f>IF(Checks!C166,IF(AND(UPPER(Data!C166)="SERVICE TASK",UPPER(Data!BZ166)="TYPE=SAS"),NodeExists(TRIM(RIGHT(Data!CA166,LEN(Data!CA166)-FIND("=",Data!CA166)))),TRUE),TRUE)</f>
        <v>1</v>
      </c>
      <c r="P166" s="26" t="b">
        <f>IF(Checks!C166,IF(Data!C166="DATA OBJECT",OR(AND(Data!BW166&lt;&gt;"",Data!BX166=""),AND(Data!BW166="",Data!BX166&lt;&gt;"")),TRUE),TRUE)</f>
        <v>1</v>
      </c>
      <c r="Q166" s="26" t="b">
        <f>IF(Checks!C166,UPPER(RIGHT(Data!A166,5))=".BPMN",TRUE)</f>
        <v>1</v>
      </c>
      <c r="R166" s="26" t="b">
        <f>IF(Checks!C166,IF(UPPER(Data!C166)="SUB PROCESS",UPPER(RIGHT(Data!BY166,5))=".BPMN",TRUE),TRUE)</f>
        <v>1</v>
      </c>
      <c r="S166" s="26" t="b">
        <f>IF(Checks!C166,IF(UPPER(Data!C166)="SERVICE TASK",IF(UPPER(Data!BZ166)="TYPE=SAS",UPPER(RIGHT(Data!CA166,4))=".SAS",TRUE),TRUE),TRUE)</f>
        <v>1</v>
      </c>
      <c r="T166" s="26" t="b">
        <f>IF(Checks!C166,IF(Data!B166&lt;&gt;"",Data!D166&lt;&gt;"",TRUE),TRUE)</f>
        <v>1</v>
      </c>
      <c r="U166" s="26" t="b">
        <f ca="1">IF(Checks!C166,IF(UPPER(Data!C166)="DATA OBJECT",NOT(ISERROR(MATCH(Data!A166&amp;"||"&amp;Data!BW166&amp;Data!BX166,Key,0))),TRUE),TRUE)</f>
        <v>1</v>
      </c>
      <c r="V166" s="26" t="b">
        <f>IF(Checks!C166,IF(UPPER(Data!C166)="SUB PROCESS",Data!BY166&lt;&gt;"",TRUE),TRUE)</f>
        <v>1</v>
      </c>
      <c r="W166" s="26" t="b">
        <f>IF(Checks!C166,IF(UPPER(Data!C166)="SERVICE TASK",AND(Data!BZ166&lt;&gt;"",Data!CA166&lt;&gt;""),TRUE),TRUE)</f>
        <v>1</v>
      </c>
      <c r="X166" s="26" t="b">
        <f t="array" aca="1" ref="X166" ca="1">SUM((OFFSET(Data!B166,MAX(ROW(Data!$B$5)-ROW(Data!B166),-200),0,400,1)=Data!B166)*(OFFSET(Data!A166,MAX(ROW(Data!$B$5)-ROW(Data!B166),-200),0,400,1)=Data!A166))=1</f>
        <v>1</v>
      </c>
      <c r="Y166" s="26" t="b">
        <f t="array" aca="1" ref="Y166" ca="1">IF(UPPER(Data!C166)="START",SUM((OFFSET(Data!C166,MAX(ROW(Data!$C$5)-ROW(Data!C166),-200),0,400,1)="START")*(OFFSET(Data!A166,MAX(ROW(Data!$B$5)-ROW(Data!B166),-200),0,400,1)=Data!A166))=1,TRUE)</f>
        <v>1</v>
      </c>
      <c r="Z166" s="26" t="b">
        <f t="array" aca="1" ref="Z166" ca="1">IF(UPPER(Data!C166)="END",SUM((OFFSET(Data!C166,MAX(ROW(Data!$C$5)-ROW(Data!C166),-200),0,400,1)="END")*(OFFSET(Data!A166,MAX(ROW(Data!$B$5)-ROW(Data!B166),-200),0,400,1)=Data!A166))=1,TRUE)</f>
        <v>1</v>
      </c>
      <c r="AA166" s="26" t="b">
        <f>IF(Checks!C166,ISERROR(FIND("&amp;",Data!D166)),TRUE)</f>
        <v>1</v>
      </c>
      <c r="AB166" s="26" t="b">
        <f>IF(Checks!$C166,IF(AND(UPPER(Data!$C166)&lt;&gt;"START",UPPER(Data!$C166)&lt;&gt;"DATA OBJECT",Data!E166&lt;&gt;""),NOT(ISERROR(MATCH(Data!$A166&amp;"||"&amp;Data!E166,Key,0))),TRUE),TRUE)</f>
        <v>1</v>
      </c>
      <c r="AC166" s="27" t="b">
        <f>IF(Checks!C166,IF(UPPER(Data!C166)="END",Data!E166&lt;&gt;"",TRUE),TRUE)</f>
        <v>1</v>
      </c>
    </row>
    <row r="167" spans="1:29" x14ac:dyDescent="0.25">
      <c r="A167" s="1" t="str">
        <f>Data!A167&amp;"||"&amp;Data!B167</f>
        <v>Analytics/irmifrs9_credit_risk.bpmn||060_00_00</v>
      </c>
      <c r="B167" s="19"/>
      <c r="C167" s="24" t="b">
        <f>AND(UPPER(Data!A167)&lt;&gt;"EMPTY",Data!B167&lt;&gt;"")</f>
        <v>1</v>
      </c>
      <c r="D167" s="1"/>
      <c r="E167" s="25" t="b">
        <f t="shared" ca="1" si="4"/>
        <v>1</v>
      </c>
      <c r="F167" s="26" t="b">
        <f ca="1">IF(UPPER(Data!C167)="SUB PROCESS",NOT(ISERROR(MATCH(RIGHT(Data!BY167,LEN(Data!BY167)-5),OFFSET(Data,0,0,ItemsCount,1),0))),TRUE)</f>
        <v>1</v>
      </c>
      <c r="G167" s="26" t="b">
        <f ca="1">IF(MID(UPPER(Data!A167),1,13)="MISCELLANEOUS",NOT(ISERROR(MATCH("path="&amp;Data!A167,OFFSET(Data,0,76,ItemsCount,1),0))),TRUE)</f>
        <v>1</v>
      </c>
      <c r="L167" s="25" t="b">
        <f t="shared" ca="1" si="5"/>
        <v>1</v>
      </c>
      <c r="M167" s="24" t="b">
        <f>IF(Checks!$C167,Data!A167&lt;&gt;"",TRUE)</f>
        <v>1</v>
      </c>
      <c r="N167" s="26" t="b">
        <f>IF(Checks!C167,Data!B167&lt;&gt;"",TRUE)</f>
        <v>1</v>
      </c>
      <c r="O167" s="26" t="b">
        <f>IF(Checks!C167,IF(AND(UPPER(Data!C167)="SERVICE TASK",UPPER(Data!BZ167)="TYPE=SAS"),NodeExists(TRIM(RIGHT(Data!CA167,LEN(Data!CA167)-FIND("=",Data!CA167)))),TRUE),TRUE)</f>
        <v>1</v>
      </c>
      <c r="P167" s="26" t="b">
        <f>IF(Checks!C167,IF(Data!C167="DATA OBJECT",OR(AND(Data!BW167&lt;&gt;"",Data!BX167=""),AND(Data!BW167="",Data!BX167&lt;&gt;"")),TRUE),TRUE)</f>
        <v>1</v>
      </c>
      <c r="Q167" s="26" t="b">
        <f>IF(Checks!C167,UPPER(RIGHT(Data!A167,5))=".BPMN",TRUE)</f>
        <v>1</v>
      </c>
      <c r="R167" s="26" t="b">
        <f>IF(Checks!C167,IF(UPPER(Data!C167)="SUB PROCESS",UPPER(RIGHT(Data!BY167,5))=".BPMN",TRUE),TRUE)</f>
        <v>1</v>
      </c>
      <c r="S167" s="26" t="b">
        <f>IF(Checks!C167,IF(UPPER(Data!C167)="SERVICE TASK",IF(UPPER(Data!BZ167)="TYPE=SAS",UPPER(RIGHT(Data!CA167,4))=".SAS",TRUE),TRUE),TRUE)</f>
        <v>1</v>
      </c>
      <c r="T167" s="26" t="b">
        <f>IF(Checks!C167,IF(Data!B167&lt;&gt;"",Data!D167&lt;&gt;"",TRUE),TRUE)</f>
        <v>1</v>
      </c>
      <c r="U167" s="26" t="b">
        <f>IF(Checks!C167,IF(UPPER(Data!C167)="DATA OBJECT",NOT(ISERROR(MATCH(Data!A167&amp;"||"&amp;Data!BW167&amp;Data!BX167,Key,0))),TRUE),TRUE)</f>
        <v>1</v>
      </c>
      <c r="V167" s="26" t="b">
        <f>IF(Checks!C167,IF(UPPER(Data!C167)="SUB PROCESS",Data!BY167&lt;&gt;"",TRUE),TRUE)</f>
        <v>1</v>
      </c>
      <c r="W167" s="26" t="b">
        <f>IF(Checks!C167,IF(UPPER(Data!C167)="SERVICE TASK",AND(Data!BZ167&lt;&gt;"",Data!CA167&lt;&gt;""),TRUE),TRUE)</f>
        <v>1</v>
      </c>
      <c r="X167" s="26" t="b">
        <f t="array" aca="1" ref="X167" ca="1">SUM((OFFSET(Data!B167,MAX(ROW(Data!$B$5)-ROW(Data!B167),-200),0,400,1)=Data!B167)*(OFFSET(Data!A167,MAX(ROW(Data!$B$5)-ROW(Data!B167),-200),0,400,1)=Data!A167))=1</f>
        <v>1</v>
      </c>
      <c r="Y167" s="26" t="b">
        <f t="array" aca="1" ref="Y167" ca="1">IF(UPPER(Data!C167)="START",SUM((OFFSET(Data!C167,MAX(ROW(Data!$C$5)-ROW(Data!C167),-200),0,400,1)="START")*(OFFSET(Data!A167,MAX(ROW(Data!$B$5)-ROW(Data!B167),-200),0,400,1)=Data!A167))=1,TRUE)</f>
        <v>1</v>
      </c>
      <c r="Z167" s="26" t="b">
        <f t="array" aca="1" ref="Z167" ca="1">IF(UPPER(Data!C167)="END",SUM((OFFSET(Data!C167,MAX(ROW(Data!$C$5)-ROW(Data!C167),-200),0,400,1)="END")*(OFFSET(Data!A167,MAX(ROW(Data!$B$5)-ROW(Data!B167),-200),0,400,1)=Data!A167))=1,TRUE)</f>
        <v>1</v>
      </c>
      <c r="AA167" s="26" t="b">
        <f>IF(Checks!C167,ISERROR(FIND("&amp;",Data!D167)),TRUE)</f>
        <v>1</v>
      </c>
      <c r="AB167" s="26" t="b">
        <f ca="1">IF(Checks!$C167,IF(AND(UPPER(Data!$C167)&lt;&gt;"START",UPPER(Data!$C167)&lt;&gt;"DATA OBJECT",Data!E167&lt;&gt;""),NOT(ISERROR(MATCH(Data!$A167&amp;"||"&amp;Data!E167,Key,0))),TRUE),TRUE)</f>
        <v>1</v>
      </c>
      <c r="AC167" s="27" t="b">
        <f>IF(Checks!C167,IF(UPPER(Data!C167)="END",Data!E167&lt;&gt;"",TRUE),TRUE)</f>
        <v>1</v>
      </c>
    </row>
    <row r="168" spans="1:29" x14ac:dyDescent="0.25">
      <c r="A168" s="1" t="str">
        <f>Data!A168&amp;"||"&amp;Data!B168</f>
        <v>Analytics/irmifrs9_credit_risk.bpmn||060_00_01</v>
      </c>
      <c r="B168" s="19"/>
      <c r="C168" s="24" t="b">
        <f>AND(UPPER(Data!A168)&lt;&gt;"EMPTY",Data!B168&lt;&gt;"")</f>
        <v>1</v>
      </c>
      <c r="D168" s="1"/>
      <c r="E168" s="25" t="b">
        <f t="shared" ca="1" si="4"/>
        <v>1</v>
      </c>
      <c r="F168" s="26" t="b">
        <f ca="1">IF(UPPER(Data!C168)="SUB PROCESS",NOT(ISERROR(MATCH(RIGHT(Data!BY168,LEN(Data!BY168)-5),OFFSET(Data,0,0,ItemsCount,1),0))),TRUE)</f>
        <v>1</v>
      </c>
      <c r="G168" s="26" t="b">
        <f ca="1">IF(MID(UPPER(Data!A168),1,13)="MISCELLANEOUS",NOT(ISERROR(MATCH("path="&amp;Data!A168,OFFSET(Data,0,76,ItemsCount,1),0))),TRUE)</f>
        <v>1</v>
      </c>
      <c r="L168" s="25" t="b">
        <f t="shared" ca="1" si="5"/>
        <v>1</v>
      </c>
      <c r="M168" s="24" t="b">
        <f>IF(Checks!$C168,Data!A168&lt;&gt;"",TRUE)</f>
        <v>1</v>
      </c>
      <c r="N168" s="26" t="b">
        <f>IF(Checks!C168,Data!B168&lt;&gt;"",TRUE)</f>
        <v>1</v>
      </c>
      <c r="O168" s="26" t="b">
        <f>IF(Checks!C168,IF(AND(UPPER(Data!C168)="SERVICE TASK",UPPER(Data!BZ168)="TYPE=SAS"),NodeExists(TRIM(RIGHT(Data!CA168,LEN(Data!CA168)-FIND("=",Data!CA168)))),TRUE),TRUE)</f>
        <v>1</v>
      </c>
      <c r="P168" s="26" t="b">
        <f>IF(Checks!C168,IF(Data!C168="DATA OBJECT",OR(AND(Data!BW168&lt;&gt;"",Data!BX168=""),AND(Data!BW168="",Data!BX168&lt;&gt;"")),TRUE),TRUE)</f>
        <v>1</v>
      </c>
      <c r="Q168" s="26" t="b">
        <f>IF(Checks!C168,UPPER(RIGHT(Data!A168,5))=".BPMN",TRUE)</f>
        <v>1</v>
      </c>
      <c r="R168" s="26" t="b">
        <f>IF(Checks!C168,IF(UPPER(Data!C168)="SUB PROCESS",UPPER(RIGHT(Data!BY168,5))=".BPMN",TRUE),TRUE)</f>
        <v>1</v>
      </c>
      <c r="S168" s="26" t="b">
        <f>IF(Checks!C168,IF(UPPER(Data!C168)="SERVICE TASK",IF(UPPER(Data!BZ168)="TYPE=SAS",UPPER(RIGHT(Data!CA168,4))=".SAS",TRUE),TRUE),TRUE)</f>
        <v>1</v>
      </c>
      <c r="T168" s="26" t="b">
        <f>IF(Checks!C168,IF(Data!B168&lt;&gt;"",Data!D168&lt;&gt;"",TRUE),TRUE)</f>
        <v>1</v>
      </c>
      <c r="U168" s="26" t="b">
        <f ca="1">IF(Checks!C168,IF(UPPER(Data!C168)="DATA OBJECT",NOT(ISERROR(MATCH(Data!A168&amp;"||"&amp;Data!BW168&amp;Data!BX168,Key,0))),TRUE),TRUE)</f>
        <v>1</v>
      </c>
      <c r="V168" s="26" t="b">
        <f>IF(Checks!C168,IF(UPPER(Data!C168)="SUB PROCESS",Data!BY168&lt;&gt;"",TRUE),TRUE)</f>
        <v>1</v>
      </c>
      <c r="W168" s="26" t="b">
        <f>IF(Checks!C168,IF(UPPER(Data!C168)="SERVICE TASK",AND(Data!BZ168&lt;&gt;"",Data!CA168&lt;&gt;""),TRUE),TRUE)</f>
        <v>1</v>
      </c>
      <c r="X168" s="26" t="b">
        <f t="array" aca="1" ref="X168" ca="1">SUM((OFFSET(Data!B168,MAX(ROW(Data!$B$5)-ROW(Data!B168),-200),0,400,1)=Data!B168)*(OFFSET(Data!A168,MAX(ROW(Data!$B$5)-ROW(Data!B168),-200),0,400,1)=Data!A168))=1</f>
        <v>1</v>
      </c>
      <c r="Y168" s="26" t="b">
        <f t="array" aca="1" ref="Y168" ca="1">IF(UPPER(Data!C168)="START",SUM((OFFSET(Data!C168,MAX(ROW(Data!$C$5)-ROW(Data!C168),-200),0,400,1)="START")*(OFFSET(Data!A168,MAX(ROW(Data!$B$5)-ROW(Data!B168),-200),0,400,1)=Data!A168))=1,TRUE)</f>
        <v>1</v>
      </c>
      <c r="Z168" s="26" t="b">
        <f t="array" aca="1" ref="Z168" ca="1">IF(UPPER(Data!C168)="END",SUM((OFFSET(Data!C168,MAX(ROW(Data!$C$5)-ROW(Data!C168),-200),0,400,1)="END")*(OFFSET(Data!A168,MAX(ROW(Data!$B$5)-ROW(Data!B168),-200),0,400,1)=Data!A168))=1,TRUE)</f>
        <v>1</v>
      </c>
      <c r="AA168" s="26" t="b">
        <f>IF(Checks!C168,ISERROR(FIND("&amp;",Data!D168)),TRUE)</f>
        <v>1</v>
      </c>
      <c r="AB168" s="26" t="b">
        <f>IF(Checks!$C168,IF(AND(UPPER(Data!$C168)&lt;&gt;"START",UPPER(Data!$C168)&lt;&gt;"DATA OBJECT",Data!E168&lt;&gt;""),NOT(ISERROR(MATCH(Data!$A168&amp;"||"&amp;Data!E168,Key,0))),TRUE),TRUE)</f>
        <v>1</v>
      </c>
      <c r="AC168" s="27" t="b">
        <f>IF(Checks!C168,IF(UPPER(Data!C168)="END",Data!E168&lt;&gt;"",TRUE),TRUE)</f>
        <v>1</v>
      </c>
    </row>
    <row r="169" spans="1:29" x14ac:dyDescent="0.25">
      <c r="A169" s="1" t="str">
        <f>Data!A169&amp;"||"&amp;Data!B169</f>
        <v>Analytics/irmifrs9_credit_risk.bpmn||060_00_02</v>
      </c>
      <c r="B169" s="19"/>
      <c r="C169" s="24" t="b">
        <f>AND(UPPER(Data!A169)&lt;&gt;"EMPTY",Data!B169&lt;&gt;"")</f>
        <v>1</v>
      </c>
      <c r="D169" s="1"/>
      <c r="E169" s="25" t="b">
        <f t="shared" ca="1" si="4"/>
        <v>1</v>
      </c>
      <c r="F169" s="26" t="b">
        <f ca="1">IF(UPPER(Data!C169)="SUB PROCESS",NOT(ISERROR(MATCH(RIGHT(Data!BY169,LEN(Data!BY169)-5),OFFSET(Data,0,0,ItemsCount,1),0))),TRUE)</f>
        <v>1</v>
      </c>
      <c r="G169" s="26" t="b">
        <f ca="1">IF(MID(UPPER(Data!A169),1,13)="MISCELLANEOUS",NOT(ISERROR(MATCH("path="&amp;Data!A169,OFFSET(Data,0,76,ItemsCount,1),0))),TRUE)</f>
        <v>1</v>
      </c>
      <c r="L169" s="25" t="b">
        <f t="shared" ca="1" si="5"/>
        <v>1</v>
      </c>
      <c r="M169" s="24" t="b">
        <f>IF(Checks!$C169,Data!A169&lt;&gt;"",TRUE)</f>
        <v>1</v>
      </c>
      <c r="N169" s="26" t="b">
        <f>IF(Checks!C169,Data!B169&lt;&gt;"",TRUE)</f>
        <v>1</v>
      </c>
      <c r="O169" s="26" t="b">
        <f>IF(Checks!C169,IF(AND(UPPER(Data!C169)="SERVICE TASK",UPPER(Data!BZ169)="TYPE=SAS"),NodeExists(TRIM(RIGHT(Data!CA169,LEN(Data!CA169)-FIND("=",Data!CA169)))),TRUE),TRUE)</f>
        <v>1</v>
      </c>
      <c r="P169" s="26" t="b">
        <f>IF(Checks!C169,IF(Data!C169="DATA OBJECT",OR(AND(Data!BW169&lt;&gt;"",Data!BX169=""),AND(Data!BW169="",Data!BX169&lt;&gt;"")),TRUE),TRUE)</f>
        <v>1</v>
      </c>
      <c r="Q169" s="26" t="b">
        <f>IF(Checks!C169,UPPER(RIGHT(Data!A169,5))=".BPMN",TRUE)</f>
        <v>1</v>
      </c>
      <c r="R169" s="26" t="b">
        <f>IF(Checks!C169,IF(UPPER(Data!C169)="SUB PROCESS",UPPER(RIGHT(Data!BY169,5))=".BPMN",TRUE),TRUE)</f>
        <v>1</v>
      </c>
      <c r="S169" s="26" t="b">
        <f>IF(Checks!C169,IF(UPPER(Data!C169)="SERVICE TASK",IF(UPPER(Data!BZ169)="TYPE=SAS",UPPER(RIGHT(Data!CA169,4))=".SAS",TRUE),TRUE),TRUE)</f>
        <v>1</v>
      </c>
      <c r="T169" s="26" t="b">
        <f>IF(Checks!C169,IF(Data!B169&lt;&gt;"",Data!D169&lt;&gt;"",TRUE),TRUE)</f>
        <v>1</v>
      </c>
      <c r="U169" s="26" t="b">
        <f ca="1">IF(Checks!C169,IF(UPPER(Data!C169)="DATA OBJECT",NOT(ISERROR(MATCH(Data!A169&amp;"||"&amp;Data!BW169&amp;Data!BX169,Key,0))),TRUE),TRUE)</f>
        <v>1</v>
      </c>
      <c r="V169" s="26" t="b">
        <f>IF(Checks!C169,IF(UPPER(Data!C169)="SUB PROCESS",Data!BY169&lt;&gt;"",TRUE),TRUE)</f>
        <v>1</v>
      </c>
      <c r="W169" s="26" t="b">
        <f>IF(Checks!C169,IF(UPPER(Data!C169)="SERVICE TASK",AND(Data!BZ169&lt;&gt;"",Data!CA169&lt;&gt;""),TRUE),TRUE)</f>
        <v>1</v>
      </c>
      <c r="X169" s="26" t="b">
        <f t="array" aca="1" ref="X169" ca="1">SUM((OFFSET(Data!B169,MAX(ROW(Data!$B$5)-ROW(Data!B169),-200),0,400,1)=Data!B169)*(OFFSET(Data!A169,MAX(ROW(Data!$B$5)-ROW(Data!B169),-200),0,400,1)=Data!A169))=1</f>
        <v>1</v>
      </c>
      <c r="Y169" s="26" t="b">
        <f t="array" aca="1" ref="Y169" ca="1">IF(UPPER(Data!C169)="START",SUM((OFFSET(Data!C169,MAX(ROW(Data!$C$5)-ROW(Data!C169),-200),0,400,1)="START")*(OFFSET(Data!A169,MAX(ROW(Data!$B$5)-ROW(Data!B169),-200),0,400,1)=Data!A169))=1,TRUE)</f>
        <v>1</v>
      </c>
      <c r="Z169" s="26" t="b">
        <f t="array" aca="1" ref="Z169" ca="1">IF(UPPER(Data!C169)="END",SUM((OFFSET(Data!C169,MAX(ROW(Data!$C$5)-ROW(Data!C169),-200),0,400,1)="END")*(OFFSET(Data!A169,MAX(ROW(Data!$B$5)-ROW(Data!B169),-200),0,400,1)=Data!A169))=1,TRUE)</f>
        <v>1</v>
      </c>
      <c r="AA169" s="26" t="b">
        <f>IF(Checks!C169,ISERROR(FIND("&amp;",Data!D169)),TRUE)</f>
        <v>1</v>
      </c>
      <c r="AB169" s="26" t="b">
        <f>IF(Checks!$C169,IF(AND(UPPER(Data!$C169)&lt;&gt;"START",UPPER(Data!$C169)&lt;&gt;"DATA OBJECT",Data!E169&lt;&gt;""),NOT(ISERROR(MATCH(Data!$A169&amp;"||"&amp;Data!E169,Key,0))),TRUE),TRUE)</f>
        <v>1</v>
      </c>
      <c r="AC169" s="27" t="b">
        <f>IF(Checks!C169,IF(UPPER(Data!C169)="END",Data!E169&lt;&gt;"",TRUE),TRUE)</f>
        <v>1</v>
      </c>
    </row>
    <row r="170" spans="1:29" x14ac:dyDescent="0.25">
      <c r="A170" s="1" t="str">
        <f>Data!A170&amp;"||"&amp;Data!B170</f>
        <v>Analytics/irmifrs9_credit_risk.bpmn||060_00_03</v>
      </c>
      <c r="B170" s="19"/>
      <c r="C170" s="24" t="b">
        <f>AND(UPPER(Data!A170)&lt;&gt;"EMPTY",Data!B170&lt;&gt;"")</f>
        <v>1</v>
      </c>
      <c r="D170" s="1"/>
      <c r="E170" s="25" t="b">
        <f t="shared" ca="1" si="4"/>
        <v>1</v>
      </c>
      <c r="F170" s="26" t="b">
        <f ca="1">IF(UPPER(Data!C170)="SUB PROCESS",NOT(ISERROR(MATCH(RIGHT(Data!BY170,LEN(Data!BY170)-5),OFFSET(Data,0,0,ItemsCount,1),0))),TRUE)</f>
        <v>1</v>
      </c>
      <c r="G170" s="26" t="b">
        <f ca="1">IF(MID(UPPER(Data!A170),1,13)="MISCELLANEOUS",NOT(ISERROR(MATCH("path="&amp;Data!A170,OFFSET(Data,0,76,ItemsCount,1),0))),TRUE)</f>
        <v>1</v>
      </c>
      <c r="L170" s="25" t="b">
        <f t="shared" ca="1" si="5"/>
        <v>1</v>
      </c>
      <c r="M170" s="24" t="b">
        <f>IF(Checks!$C170,Data!A170&lt;&gt;"",TRUE)</f>
        <v>1</v>
      </c>
      <c r="N170" s="26" t="b">
        <f>IF(Checks!C170,Data!B170&lt;&gt;"",TRUE)</f>
        <v>1</v>
      </c>
      <c r="O170" s="26" t="b">
        <f>IF(Checks!C170,IF(AND(UPPER(Data!C170)="SERVICE TASK",UPPER(Data!BZ170)="TYPE=SAS"),NodeExists(TRIM(RIGHT(Data!CA170,LEN(Data!CA170)-FIND("=",Data!CA170)))),TRUE),TRUE)</f>
        <v>1</v>
      </c>
      <c r="P170" s="26" t="b">
        <f>IF(Checks!C170,IF(Data!C170="DATA OBJECT",OR(AND(Data!BW170&lt;&gt;"",Data!BX170=""),AND(Data!BW170="",Data!BX170&lt;&gt;"")),TRUE),TRUE)</f>
        <v>1</v>
      </c>
      <c r="Q170" s="26" t="b">
        <f>IF(Checks!C170,UPPER(RIGHT(Data!A170,5))=".BPMN",TRUE)</f>
        <v>1</v>
      </c>
      <c r="R170" s="26" t="b">
        <f>IF(Checks!C170,IF(UPPER(Data!C170)="SUB PROCESS",UPPER(RIGHT(Data!BY170,5))=".BPMN",TRUE),TRUE)</f>
        <v>1</v>
      </c>
      <c r="S170" s="26" t="b">
        <f>IF(Checks!C170,IF(UPPER(Data!C170)="SERVICE TASK",IF(UPPER(Data!BZ170)="TYPE=SAS",UPPER(RIGHT(Data!CA170,4))=".SAS",TRUE),TRUE),TRUE)</f>
        <v>1</v>
      </c>
      <c r="T170" s="26" t="b">
        <f>IF(Checks!C170,IF(Data!B170&lt;&gt;"",Data!D170&lt;&gt;"",TRUE),TRUE)</f>
        <v>1</v>
      </c>
      <c r="U170" s="26" t="b">
        <f ca="1">IF(Checks!C170,IF(UPPER(Data!C170)="DATA OBJECT",NOT(ISERROR(MATCH(Data!A170&amp;"||"&amp;Data!BW170&amp;Data!BX170,Key,0))),TRUE),TRUE)</f>
        <v>1</v>
      </c>
      <c r="V170" s="26" t="b">
        <f>IF(Checks!C170,IF(UPPER(Data!C170)="SUB PROCESS",Data!BY170&lt;&gt;"",TRUE),TRUE)</f>
        <v>1</v>
      </c>
      <c r="W170" s="26" t="b">
        <f>IF(Checks!C170,IF(UPPER(Data!C170)="SERVICE TASK",AND(Data!BZ170&lt;&gt;"",Data!CA170&lt;&gt;""),TRUE),TRUE)</f>
        <v>1</v>
      </c>
      <c r="X170" s="26" t="b">
        <f t="array" aca="1" ref="X170" ca="1">SUM((OFFSET(Data!B170,MAX(ROW(Data!$B$5)-ROW(Data!B170),-200),0,400,1)=Data!B170)*(OFFSET(Data!A170,MAX(ROW(Data!$B$5)-ROW(Data!B170),-200),0,400,1)=Data!A170))=1</f>
        <v>1</v>
      </c>
      <c r="Y170" s="26" t="b">
        <f t="array" aca="1" ref="Y170" ca="1">IF(UPPER(Data!C170)="START",SUM((OFFSET(Data!C170,MAX(ROW(Data!$C$5)-ROW(Data!C170),-200),0,400,1)="START")*(OFFSET(Data!A170,MAX(ROW(Data!$B$5)-ROW(Data!B170),-200),0,400,1)=Data!A170))=1,TRUE)</f>
        <v>1</v>
      </c>
      <c r="Z170" s="26" t="b">
        <f t="array" aca="1" ref="Z170" ca="1">IF(UPPER(Data!C170)="END",SUM((OFFSET(Data!C170,MAX(ROW(Data!$C$5)-ROW(Data!C170),-200),0,400,1)="END")*(OFFSET(Data!A170,MAX(ROW(Data!$B$5)-ROW(Data!B170),-200),0,400,1)=Data!A170))=1,TRUE)</f>
        <v>1</v>
      </c>
      <c r="AA170" s="26" t="b">
        <f>IF(Checks!C170,ISERROR(FIND("&amp;",Data!D170)),TRUE)</f>
        <v>1</v>
      </c>
      <c r="AB170" s="26" t="b">
        <f>IF(Checks!$C170,IF(AND(UPPER(Data!$C170)&lt;&gt;"START",UPPER(Data!$C170)&lt;&gt;"DATA OBJECT",Data!E170&lt;&gt;""),NOT(ISERROR(MATCH(Data!$A170&amp;"||"&amp;Data!E170,Key,0))),TRUE),TRUE)</f>
        <v>1</v>
      </c>
      <c r="AC170" s="27" t="b">
        <f>IF(Checks!C170,IF(UPPER(Data!C170)="END",Data!E170&lt;&gt;"",TRUE),TRUE)</f>
        <v>1</v>
      </c>
    </row>
    <row r="171" spans="1:29" x14ac:dyDescent="0.25">
      <c r="A171" s="1" t="str">
        <f>Data!A171&amp;"||"&amp;Data!B171</f>
        <v>Analytics/irmifrs9_credit_risk.bpmn||060_01_00</v>
      </c>
      <c r="B171" s="19"/>
      <c r="C171" s="24" t="b">
        <f>AND(UPPER(Data!A171)&lt;&gt;"EMPTY",Data!B171&lt;&gt;"")</f>
        <v>1</v>
      </c>
      <c r="D171" s="1"/>
      <c r="E171" s="25" t="b">
        <f t="shared" ca="1" si="4"/>
        <v>1</v>
      </c>
      <c r="F171" s="26" t="b">
        <f ca="1">IF(UPPER(Data!C171)="SUB PROCESS",NOT(ISERROR(MATCH(RIGHT(Data!BY171,LEN(Data!BY171)-5),OFFSET(Data,0,0,ItemsCount,1),0))),TRUE)</f>
        <v>1</v>
      </c>
      <c r="G171" s="26" t="b">
        <f ca="1">IF(MID(UPPER(Data!A171),1,13)="MISCELLANEOUS",NOT(ISERROR(MATCH("path="&amp;Data!A171,OFFSET(Data,0,76,ItemsCount,1),0))),TRUE)</f>
        <v>1</v>
      </c>
      <c r="L171" s="25" t="b">
        <f t="shared" ca="1" si="5"/>
        <v>1</v>
      </c>
      <c r="M171" s="24" t="b">
        <f>IF(Checks!$C171,Data!A171&lt;&gt;"",TRUE)</f>
        <v>1</v>
      </c>
      <c r="N171" s="26" t="b">
        <f>IF(Checks!C171,Data!B171&lt;&gt;"",TRUE)</f>
        <v>1</v>
      </c>
      <c r="O171" s="26" t="b">
        <f>IF(Checks!C171,IF(AND(UPPER(Data!C171)="SERVICE TASK",UPPER(Data!BZ171)="TYPE=SAS"),NodeExists(TRIM(RIGHT(Data!CA171,LEN(Data!CA171)-FIND("=",Data!CA171)))),TRUE),TRUE)</f>
        <v>1</v>
      </c>
      <c r="P171" s="26" t="b">
        <f>IF(Checks!C171,IF(Data!C171="DATA OBJECT",OR(AND(Data!BW171&lt;&gt;"",Data!BX171=""),AND(Data!BW171="",Data!BX171&lt;&gt;"")),TRUE),TRUE)</f>
        <v>1</v>
      </c>
      <c r="Q171" s="26" t="b">
        <f>IF(Checks!C171,UPPER(RIGHT(Data!A171,5))=".BPMN",TRUE)</f>
        <v>1</v>
      </c>
      <c r="R171" s="26" t="b">
        <f>IF(Checks!C171,IF(UPPER(Data!C171)="SUB PROCESS",UPPER(RIGHT(Data!BY171,5))=".BPMN",TRUE),TRUE)</f>
        <v>1</v>
      </c>
      <c r="S171" s="26" t="b">
        <f>IF(Checks!C171,IF(UPPER(Data!C171)="SERVICE TASK",IF(UPPER(Data!BZ171)="TYPE=SAS",UPPER(RIGHT(Data!CA171,4))=".SAS",TRUE),TRUE),TRUE)</f>
        <v>1</v>
      </c>
      <c r="T171" s="26" t="b">
        <f>IF(Checks!C171,IF(Data!B171&lt;&gt;"",Data!D171&lt;&gt;"",TRUE),TRUE)</f>
        <v>1</v>
      </c>
      <c r="U171" s="26" t="b">
        <f ca="1">IF(Checks!C171,IF(UPPER(Data!C171)="DATA OBJECT",NOT(ISERROR(MATCH(Data!A171&amp;"||"&amp;Data!BW171&amp;Data!BX171,Key,0))),TRUE),TRUE)</f>
        <v>1</v>
      </c>
      <c r="V171" s="26" t="b">
        <f>IF(Checks!C171,IF(UPPER(Data!C171)="SUB PROCESS",Data!BY171&lt;&gt;"",TRUE),TRUE)</f>
        <v>1</v>
      </c>
      <c r="W171" s="26" t="b">
        <f>IF(Checks!C171,IF(UPPER(Data!C171)="SERVICE TASK",AND(Data!BZ171&lt;&gt;"",Data!CA171&lt;&gt;""),TRUE),TRUE)</f>
        <v>1</v>
      </c>
      <c r="X171" s="26" t="b">
        <f t="array" aca="1" ref="X171" ca="1">SUM((OFFSET(Data!B171,MAX(ROW(Data!$B$5)-ROW(Data!B171),-200),0,400,1)=Data!B171)*(OFFSET(Data!A171,MAX(ROW(Data!$B$5)-ROW(Data!B171),-200),0,400,1)=Data!A171))=1</f>
        <v>1</v>
      </c>
      <c r="Y171" s="26" t="b">
        <f t="array" aca="1" ref="Y171" ca="1">IF(UPPER(Data!C171)="START",SUM((OFFSET(Data!C171,MAX(ROW(Data!$C$5)-ROW(Data!C171),-200),0,400,1)="START")*(OFFSET(Data!A171,MAX(ROW(Data!$B$5)-ROW(Data!B171),-200),0,400,1)=Data!A171))=1,TRUE)</f>
        <v>1</v>
      </c>
      <c r="Z171" s="26" t="b">
        <f t="array" aca="1" ref="Z171" ca="1">IF(UPPER(Data!C171)="END",SUM((OFFSET(Data!C171,MAX(ROW(Data!$C$5)-ROW(Data!C171),-200),0,400,1)="END")*(OFFSET(Data!A171,MAX(ROW(Data!$B$5)-ROW(Data!B171),-200),0,400,1)=Data!A171))=1,TRUE)</f>
        <v>1</v>
      </c>
      <c r="AA171" s="26" t="b">
        <f>IF(Checks!C171,ISERROR(FIND("&amp;",Data!D171)),TRUE)</f>
        <v>1</v>
      </c>
      <c r="AB171" s="26" t="b">
        <f>IF(Checks!$C171,IF(AND(UPPER(Data!$C171)&lt;&gt;"START",UPPER(Data!$C171)&lt;&gt;"DATA OBJECT",Data!E171&lt;&gt;""),NOT(ISERROR(MATCH(Data!$A171&amp;"||"&amp;Data!E171,Key,0))),TRUE),TRUE)</f>
        <v>1</v>
      </c>
      <c r="AC171" s="27" t="b">
        <f>IF(Checks!C171,IF(UPPER(Data!C171)="END",Data!E171&lt;&gt;"",TRUE),TRUE)</f>
        <v>1</v>
      </c>
    </row>
    <row r="172" spans="1:29" x14ac:dyDescent="0.25">
      <c r="A172" s="1" t="str">
        <f>Data!A172&amp;"||"&amp;Data!B172</f>
        <v>Analytics/irmifrs9_credit_risk.bpmn||070_00_00</v>
      </c>
      <c r="B172" s="19"/>
      <c r="C172" s="24" t="b">
        <f>AND(UPPER(Data!A172)&lt;&gt;"EMPTY",Data!B172&lt;&gt;"")</f>
        <v>1</v>
      </c>
      <c r="D172" s="1"/>
      <c r="E172" s="25" t="b">
        <f t="shared" ca="1" si="4"/>
        <v>1</v>
      </c>
      <c r="F172" s="26" t="b">
        <f ca="1">IF(UPPER(Data!C172)="SUB PROCESS",NOT(ISERROR(MATCH(RIGHT(Data!BY172,LEN(Data!BY172)-5),OFFSET(Data,0,0,ItemsCount,1),0))),TRUE)</f>
        <v>1</v>
      </c>
      <c r="G172" s="26" t="b">
        <f ca="1">IF(MID(UPPER(Data!A172),1,13)="MISCELLANEOUS",NOT(ISERROR(MATCH("path="&amp;Data!A172,OFFSET(Data,0,76,ItemsCount,1),0))),TRUE)</f>
        <v>1</v>
      </c>
      <c r="L172" s="25" t="b">
        <f t="shared" ca="1" si="5"/>
        <v>1</v>
      </c>
      <c r="M172" s="24" t="b">
        <f>IF(Checks!$C172,Data!A172&lt;&gt;"",TRUE)</f>
        <v>1</v>
      </c>
      <c r="N172" s="26" t="b">
        <f>IF(Checks!C172,Data!B172&lt;&gt;"",TRUE)</f>
        <v>1</v>
      </c>
      <c r="O172" s="26" t="b">
        <f>IF(Checks!C172,IF(AND(UPPER(Data!C172)="SERVICE TASK",UPPER(Data!BZ172)="TYPE=SAS"),NodeExists(TRIM(RIGHT(Data!CA172,LEN(Data!CA172)-FIND("=",Data!CA172)))),TRUE),TRUE)</f>
        <v>1</v>
      </c>
      <c r="P172" s="26" t="b">
        <f>IF(Checks!C172,IF(Data!C172="DATA OBJECT",OR(AND(Data!BW172&lt;&gt;"",Data!BX172=""),AND(Data!BW172="",Data!BX172&lt;&gt;"")),TRUE),TRUE)</f>
        <v>1</v>
      </c>
      <c r="Q172" s="26" t="b">
        <f>IF(Checks!C172,UPPER(RIGHT(Data!A172,5))=".BPMN",TRUE)</f>
        <v>1</v>
      </c>
      <c r="R172" s="26" t="b">
        <f>IF(Checks!C172,IF(UPPER(Data!C172)="SUB PROCESS",UPPER(RIGHT(Data!BY172,5))=".BPMN",TRUE),TRUE)</f>
        <v>1</v>
      </c>
      <c r="S172" s="26" t="b">
        <f>IF(Checks!C172,IF(UPPER(Data!C172)="SERVICE TASK",IF(UPPER(Data!BZ172)="TYPE=SAS",UPPER(RIGHT(Data!CA172,4))=".SAS",TRUE),TRUE),TRUE)</f>
        <v>1</v>
      </c>
      <c r="T172" s="26" t="b">
        <f>IF(Checks!C172,IF(Data!B172&lt;&gt;"",Data!D172&lt;&gt;"",TRUE),TRUE)</f>
        <v>1</v>
      </c>
      <c r="U172" s="26" t="b">
        <f>IF(Checks!C172,IF(UPPER(Data!C172)="DATA OBJECT",NOT(ISERROR(MATCH(Data!A172&amp;"||"&amp;Data!BW172&amp;Data!BX172,Key,0))),TRUE),TRUE)</f>
        <v>1</v>
      </c>
      <c r="V172" s="26" t="b">
        <f>IF(Checks!C172,IF(UPPER(Data!C172)="SUB PROCESS",Data!BY172&lt;&gt;"",TRUE),TRUE)</f>
        <v>1</v>
      </c>
      <c r="W172" s="26" t="b">
        <f>IF(Checks!C172,IF(UPPER(Data!C172)="SERVICE TASK",AND(Data!BZ172&lt;&gt;"",Data!CA172&lt;&gt;""),TRUE),TRUE)</f>
        <v>1</v>
      </c>
      <c r="X172" s="26" t="b">
        <f t="array" aca="1" ref="X172" ca="1">SUM((OFFSET(Data!B172,MAX(ROW(Data!$B$5)-ROW(Data!B172),-200),0,400,1)=Data!B172)*(OFFSET(Data!A172,MAX(ROW(Data!$B$5)-ROW(Data!B172),-200),0,400,1)=Data!A172))=1</f>
        <v>1</v>
      </c>
      <c r="Y172" s="26" t="b">
        <f t="array" aca="1" ref="Y172" ca="1">IF(UPPER(Data!C172)="START",SUM((OFFSET(Data!C172,MAX(ROW(Data!$C$5)-ROW(Data!C172),-200),0,400,1)="START")*(OFFSET(Data!A172,MAX(ROW(Data!$B$5)-ROW(Data!B172),-200),0,400,1)=Data!A172))=1,TRUE)</f>
        <v>1</v>
      </c>
      <c r="Z172" s="26" t="b">
        <f t="array" aca="1" ref="Z172" ca="1">IF(UPPER(Data!C172)="END",SUM((OFFSET(Data!C172,MAX(ROW(Data!$C$5)-ROW(Data!C172),-200),0,400,1)="END")*(OFFSET(Data!A172,MAX(ROW(Data!$B$5)-ROW(Data!B172),-200),0,400,1)=Data!A172))=1,TRUE)</f>
        <v>1</v>
      </c>
      <c r="AA172" s="26" t="b">
        <f>IF(Checks!C172,ISERROR(FIND("&amp;",Data!D172)),TRUE)</f>
        <v>1</v>
      </c>
      <c r="AB172" s="26" t="b">
        <f ca="1">IF(Checks!$C172,IF(AND(UPPER(Data!$C172)&lt;&gt;"START",UPPER(Data!$C172)&lt;&gt;"DATA OBJECT",Data!E172&lt;&gt;""),NOT(ISERROR(MATCH(Data!$A172&amp;"||"&amp;Data!E172,Key,0))),TRUE),TRUE)</f>
        <v>1</v>
      </c>
      <c r="AC172" s="27" t="b">
        <f>IF(Checks!C172,IF(UPPER(Data!C172)="END",Data!E172&lt;&gt;"",TRUE),TRUE)</f>
        <v>1</v>
      </c>
    </row>
    <row r="173" spans="1:29" x14ac:dyDescent="0.25">
      <c r="A173" s="1" t="str">
        <f>Data!A173&amp;"||"&amp;Data!B173</f>
        <v>Analytics/irmifrs9_credit_risk.bpmn||070_01_00</v>
      </c>
      <c r="B173" s="19"/>
      <c r="C173" s="24" t="b">
        <f>AND(UPPER(Data!A173)&lt;&gt;"EMPTY",Data!B173&lt;&gt;"")</f>
        <v>1</v>
      </c>
      <c r="D173" s="1"/>
      <c r="E173" s="25" t="b">
        <f t="shared" ca="1" si="4"/>
        <v>1</v>
      </c>
      <c r="F173" s="26" t="b">
        <f ca="1">IF(UPPER(Data!C173)="SUB PROCESS",NOT(ISERROR(MATCH(RIGHT(Data!BY173,LEN(Data!BY173)-5),OFFSET(Data,0,0,ItemsCount,1),0))),TRUE)</f>
        <v>1</v>
      </c>
      <c r="G173" s="26" t="b">
        <f ca="1">IF(MID(UPPER(Data!A173),1,13)="MISCELLANEOUS",NOT(ISERROR(MATCH("path="&amp;Data!A173,OFFSET(Data,0,76,ItemsCount,1),0))),TRUE)</f>
        <v>1</v>
      </c>
      <c r="L173" s="25" t="b">
        <f t="shared" ca="1" si="5"/>
        <v>1</v>
      </c>
      <c r="M173" s="24" t="b">
        <f>IF(Checks!$C173,Data!A173&lt;&gt;"",TRUE)</f>
        <v>1</v>
      </c>
      <c r="N173" s="26" t="b">
        <f>IF(Checks!C173,Data!B173&lt;&gt;"",TRUE)</f>
        <v>1</v>
      </c>
      <c r="O173" s="26" t="b">
        <f>IF(Checks!C173,IF(AND(UPPER(Data!C173)="SERVICE TASK",UPPER(Data!BZ173)="TYPE=SAS"),NodeExists(TRIM(RIGHT(Data!CA173,LEN(Data!CA173)-FIND("=",Data!CA173)))),TRUE),TRUE)</f>
        <v>1</v>
      </c>
      <c r="P173" s="26" t="b">
        <f>IF(Checks!C173,IF(Data!C173="DATA OBJECT",OR(AND(Data!BW173&lt;&gt;"",Data!BX173=""),AND(Data!BW173="",Data!BX173&lt;&gt;"")),TRUE),TRUE)</f>
        <v>1</v>
      </c>
      <c r="Q173" s="26" t="b">
        <f>IF(Checks!C173,UPPER(RIGHT(Data!A173,5))=".BPMN",TRUE)</f>
        <v>1</v>
      </c>
      <c r="R173" s="26" t="b">
        <f>IF(Checks!C173,IF(UPPER(Data!C173)="SUB PROCESS",UPPER(RIGHT(Data!BY173,5))=".BPMN",TRUE),TRUE)</f>
        <v>1</v>
      </c>
      <c r="S173" s="26" t="b">
        <f>IF(Checks!C173,IF(UPPER(Data!C173)="SERVICE TASK",IF(UPPER(Data!BZ173)="TYPE=SAS",UPPER(RIGHT(Data!CA173,4))=".SAS",TRUE),TRUE),TRUE)</f>
        <v>1</v>
      </c>
      <c r="T173" s="26" t="b">
        <f>IF(Checks!C173,IF(Data!B173&lt;&gt;"",Data!D173&lt;&gt;"",TRUE),TRUE)</f>
        <v>1</v>
      </c>
      <c r="U173" s="26" t="b">
        <f ca="1">IF(Checks!C173,IF(UPPER(Data!C173)="DATA OBJECT",NOT(ISERROR(MATCH(Data!A173&amp;"||"&amp;Data!BW173&amp;Data!BX173,Key,0))),TRUE),TRUE)</f>
        <v>1</v>
      </c>
      <c r="V173" s="26" t="b">
        <f>IF(Checks!C173,IF(UPPER(Data!C173)="SUB PROCESS",Data!BY173&lt;&gt;"",TRUE),TRUE)</f>
        <v>1</v>
      </c>
      <c r="W173" s="26" t="b">
        <f>IF(Checks!C173,IF(UPPER(Data!C173)="SERVICE TASK",AND(Data!BZ173&lt;&gt;"",Data!CA173&lt;&gt;""),TRUE),TRUE)</f>
        <v>1</v>
      </c>
      <c r="X173" s="26" t="b">
        <f t="array" aca="1" ref="X173" ca="1">SUM((OFFSET(Data!B173,MAX(ROW(Data!$B$5)-ROW(Data!B173),-200),0,400,1)=Data!B173)*(OFFSET(Data!A173,MAX(ROW(Data!$B$5)-ROW(Data!B173),-200),0,400,1)=Data!A173))=1</f>
        <v>1</v>
      </c>
      <c r="Y173" s="26" t="b">
        <f t="array" aca="1" ref="Y173" ca="1">IF(UPPER(Data!C173)="START",SUM((OFFSET(Data!C173,MAX(ROW(Data!$C$5)-ROW(Data!C173),-200),0,400,1)="START")*(OFFSET(Data!A173,MAX(ROW(Data!$B$5)-ROW(Data!B173),-200),0,400,1)=Data!A173))=1,TRUE)</f>
        <v>1</v>
      </c>
      <c r="Z173" s="26" t="b">
        <f t="array" aca="1" ref="Z173" ca="1">IF(UPPER(Data!C173)="END",SUM((OFFSET(Data!C173,MAX(ROW(Data!$C$5)-ROW(Data!C173),-200),0,400,1)="END")*(OFFSET(Data!A173,MAX(ROW(Data!$B$5)-ROW(Data!B173),-200),0,400,1)=Data!A173))=1,TRUE)</f>
        <v>1</v>
      </c>
      <c r="AA173" s="26" t="b">
        <f>IF(Checks!C173,ISERROR(FIND("&amp;",Data!D173)),TRUE)</f>
        <v>1</v>
      </c>
      <c r="AB173" s="26" t="b">
        <f>IF(Checks!$C173,IF(AND(UPPER(Data!$C173)&lt;&gt;"START",UPPER(Data!$C173)&lt;&gt;"DATA OBJECT",Data!E173&lt;&gt;""),NOT(ISERROR(MATCH(Data!$A173&amp;"||"&amp;Data!E173,Key,0))),TRUE),TRUE)</f>
        <v>1</v>
      </c>
      <c r="AC173" s="27" t="b">
        <f>IF(Checks!C173,IF(UPPER(Data!C173)="END",Data!E173&lt;&gt;"",TRUE),TRUE)</f>
        <v>1</v>
      </c>
    </row>
    <row r="174" spans="1:29" x14ac:dyDescent="0.25">
      <c r="A174" s="1" t="str">
        <f>Data!A174&amp;"||"&amp;Data!B174</f>
        <v>Analytics/irmifrs9_credit_risk.bpmn||080_00_00</v>
      </c>
      <c r="B174" s="19"/>
      <c r="C174" s="24" t="b">
        <f>AND(UPPER(Data!A174)&lt;&gt;"EMPTY",Data!B174&lt;&gt;"")</f>
        <v>1</v>
      </c>
      <c r="D174" s="1"/>
      <c r="E174" s="25" t="b">
        <f t="shared" ca="1" si="4"/>
        <v>1</v>
      </c>
      <c r="F174" s="26" t="b">
        <f ca="1">IF(UPPER(Data!C174)="SUB PROCESS",NOT(ISERROR(MATCH(RIGHT(Data!BY174,LEN(Data!BY174)-5),OFFSET(Data,0,0,ItemsCount,1),0))),TRUE)</f>
        <v>1</v>
      </c>
      <c r="G174" s="26" t="b">
        <f ca="1">IF(MID(UPPER(Data!A174),1,13)="MISCELLANEOUS",NOT(ISERROR(MATCH("path="&amp;Data!A174,OFFSET(Data,0,76,ItemsCount,1),0))),TRUE)</f>
        <v>1</v>
      </c>
      <c r="L174" s="25" t="b">
        <f t="shared" ca="1" si="5"/>
        <v>1</v>
      </c>
      <c r="M174" s="24" t="b">
        <f>IF(Checks!$C174,Data!A174&lt;&gt;"",TRUE)</f>
        <v>1</v>
      </c>
      <c r="N174" s="26" t="b">
        <f>IF(Checks!C174,Data!B174&lt;&gt;"",TRUE)</f>
        <v>1</v>
      </c>
      <c r="O174" s="26" t="b">
        <f>IF(Checks!C174,IF(AND(UPPER(Data!C174)="SERVICE TASK",UPPER(Data!BZ174)="TYPE=SAS"),NodeExists(TRIM(RIGHT(Data!CA174,LEN(Data!CA174)-FIND("=",Data!CA174)))),TRUE),TRUE)</f>
        <v>1</v>
      </c>
      <c r="P174" s="26" t="b">
        <f>IF(Checks!C174,IF(Data!C174="DATA OBJECT",OR(AND(Data!BW174&lt;&gt;"",Data!BX174=""),AND(Data!BW174="",Data!BX174&lt;&gt;"")),TRUE),TRUE)</f>
        <v>1</v>
      </c>
      <c r="Q174" s="26" t="b">
        <f>IF(Checks!C174,UPPER(RIGHT(Data!A174,5))=".BPMN",TRUE)</f>
        <v>1</v>
      </c>
      <c r="R174" s="26" t="b">
        <f>IF(Checks!C174,IF(UPPER(Data!C174)="SUB PROCESS",UPPER(RIGHT(Data!BY174,5))=".BPMN",TRUE),TRUE)</f>
        <v>1</v>
      </c>
      <c r="S174" s="26" t="b">
        <f>IF(Checks!C174,IF(UPPER(Data!C174)="SERVICE TASK",IF(UPPER(Data!BZ174)="TYPE=SAS",UPPER(RIGHT(Data!CA174,4))=".SAS",TRUE),TRUE),TRUE)</f>
        <v>1</v>
      </c>
      <c r="T174" s="26" t="b">
        <f>IF(Checks!C174,IF(Data!B174&lt;&gt;"",Data!D174&lt;&gt;"",TRUE),TRUE)</f>
        <v>1</v>
      </c>
      <c r="U174" s="26" t="b">
        <f>IF(Checks!C174,IF(UPPER(Data!C174)="DATA OBJECT",NOT(ISERROR(MATCH(Data!A174&amp;"||"&amp;Data!BW174&amp;Data!BX174,Key,0))),TRUE),TRUE)</f>
        <v>1</v>
      </c>
      <c r="V174" s="26" t="b">
        <f>IF(Checks!C174,IF(UPPER(Data!C174)="SUB PROCESS",Data!BY174&lt;&gt;"",TRUE),TRUE)</f>
        <v>1</v>
      </c>
      <c r="W174" s="26" t="b">
        <f>IF(Checks!C174,IF(UPPER(Data!C174)="SERVICE TASK",AND(Data!BZ174&lt;&gt;"",Data!CA174&lt;&gt;""),TRUE),TRUE)</f>
        <v>1</v>
      </c>
      <c r="X174" s="26" t="b">
        <f t="array" aca="1" ref="X174" ca="1">SUM((OFFSET(Data!B174,MAX(ROW(Data!$B$5)-ROW(Data!B174),-200),0,400,1)=Data!B174)*(OFFSET(Data!A174,MAX(ROW(Data!$B$5)-ROW(Data!B174),-200),0,400,1)=Data!A174))=1</f>
        <v>1</v>
      </c>
      <c r="Y174" s="26" t="b">
        <f t="array" aca="1" ref="Y174" ca="1">IF(UPPER(Data!C174)="START",SUM((OFFSET(Data!C174,MAX(ROW(Data!$C$5)-ROW(Data!C174),-200),0,400,1)="START")*(OFFSET(Data!A174,MAX(ROW(Data!$B$5)-ROW(Data!B174),-200),0,400,1)=Data!A174))=1,TRUE)</f>
        <v>1</v>
      </c>
      <c r="Z174" s="26" t="b">
        <f t="array" aca="1" ref="Z174" ca="1">IF(UPPER(Data!C174)="END",SUM((OFFSET(Data!C174,MAX(ROW(Data!$C$5)-ROW(Data!C174),-200),0,400,1)="END")*(OFFSET(Data!A174,MAX(ROW(Data!$B$5)-ROW(Data!B174),-200),0,400,1)=Data!A174))=1,TRUE)</f>
        <v>1</v>
      </c>
      <c r="AA174" s="26" t="b">
        <f>IF(Checks!C174,ISERROR(FIND("&amp;",Data!D174)),TRUE)</f>
        <v>1</v>
      </c>
      <c r="AB174" s="26" t="b">
        <f ca="1">IF(Checks!$C174,IF(AND(UPPER(Data!$C174)&lt;&gt;"START",UPPER(Data!$C174)&lt;&gt;"DATA OBJECT",Data!E174&lt;&gt;""),NOT(ISERROR(MATCH(Data!$A174&amp;"||"&amp;Data!E174,Key,0))),TRUE),TRUE)</f>
        <v>1</v>
      </c>
      <c r="AC174" s="27" t="b">
        <f>IF(Checks!C174,IF(UPPER(Data!C174)="END",Data!E174&lt;&gt;"",TRUE),TRUE)</f>
        <v>1</v>
      </c>
    </row>
    <row r="175" spans="1:29" x14ac:dyDescent="0.25">
      <c r="A175" s="1" t="str">
        <f>Data!A175&amp;"||"&amp;Data!B175</f>
        <v>Analytics/irmifrs9_credit_risk.bpmn||080_00_01</v>
      </c>
      <c r="B175" s="19"/>
      <c r="C175" s="24" t="b">
        <f>AND(UPPER(Data!A175)&lt;&gt;"EMPTY",Data!B175&lt;&gt;"")</f>
        <v>1</v>
      </c>
      <c r="D175" s="1"/>
      <c r="E175" s="25" t="b">
        <f t="shared" ca="1" si="4"/>
        <v>1</v>
      </c>
      <c r="F175" s="26" t="b">
        <f ca="1">IF(UPPER(Data!C175)="SUB PROCESS",NOT(ISERROR(MATCH(RIGHT(Data!BY175,LEN(Data!BY175)-5),OFFSET(Data,0,0,ItemsCount,1),0))),TRUE)</f>
        <v>1</v>
      </c>
      <c r="G175" s="26" t="b">
        <f ca="1">IF(MID(UPPER(Data!A175),1,13)="MISCELLANEOUS",NOT(ISERROR(MATCH("path="&amp;Data!A175,OFFSET(Data,0,76,ItemsCount,1),0))),TRUE)</f>
        <v>1</v>
      </c>
      <c r="L175" s="25" t="b">
        <f t="shared" ca="1" si="5"/>
        <v>1</v>
      </c>
      <c r="M175" s="24" t="b">
        <f>IF(Checks!$C175,Data!A175&lt;&gt;"",TRUE)</f>
        <v>1</v>
      </c>
      <c r="N175" s="26" t="b">
        <f>IF(Checks!C175,Data!B175&lt;&gt;"",TRUE)</f>
        <v>1</v>
      </c>
      <c r="O175" s="26" t="b">
        <f>IF(Checks!C175,IF(AND(UPPER(Data!C175)="SERVICE TASK",UPPER(Data!BZ175)="TYPE=SAS"),NodeExists(TRIM(RIGHT(Data!CA175,LEN(Data!CA175)-FIND("=",Data!CA175)))),TRUE),TRUE)</f>
        <v>1</v>
      </c>
      <c r="P175" s="26" t="b">
        <f>IF(Checks!C175,IF(Data!C175="DATA OBJECT",OR(AND(Data!BW175&lt;&gt;"",Data!BX175=""),AND(Data!BW175="",Data!BX175&lt;&gt;"")),TRUE),TRUE)</f>
        <v>1</v>
      </c>
      <c r="Q175" s="26" t="b">
        <f>IF(Checks!C175,UPPER(RIGHT(Data!A175,5))=".BPMN",TRUE)</f>
        <v>1</v>
      </c>
      <c r="R175" s="26" t="b">
        <f>IF(Checks!C175,IF(UPPER(Data!C175)="SUB PROCESS",UPPER(RIGHT(Data!BY175,5))=".BPMN",TRUE),TRUE)</f>
        <v>1</v>
      </c>
      <c r="S175" s="26" t="b">
        <f>IF(Checks!C175,IF(UPPER(Data!C175)="SERVICE TASK",IF(UPPER(Data!BZ175)="TYPE=SAS",UPPER(RIGHT(Data!CA175,4))=".SAS",TRUE),TRUE),TRUE)</f>
        <v>1</v>
      </c>
      <c r="T175" s="26" t="b">
        <f>IF(Checks!C175,IF(Data!B175&lt;&gt;"",Data!D175&lt;&gt;"",TRUE),TRUE)</f>
        <v>1</v>
      </c>
      <c r="U175" s="26" t="b">
        <f ca="1">IF(Checks!C175,IF(UPPER(Data!C175)="DATA OBJECT",NOT(ISERROR(MATCH(Data!A175&amp;"||"&amp;Data!BW175&amp;Data!BX175,Key,0))),TRUE),TRUE)</f>
        <v>1</v>
      </c>
      <c r="V175" s="26" t="b">
        <f>IF(Checks!C175,IF(UPPER(Data!C175)="SUB PROCESS",Data!BY175&lt;&gt;"",TRUE),TRUE)</f>
        <v>1</v>
      </c>
      <c r="W175" s="26" t="b">
        <f>IF(Checks!C175,IF(UPPER(Data!C175)="SERVICE TASK",AND(Data!BZ175&lt;&gt;"",Data!CA175&lt;&gt;""),TRUE),TRUE)</f>
        <v>1</v>
      </c>
      <c r="X175" s="26" t="b">
        <f t="array" aca="1" ref="X175" ca="1">SUM((OFFSET(Data!B175,MAX(ROW(Data!$B$5)-ROW(Data!B175),-200),0,400,1)=Data!B175)*(OFFSET(Data!A175,MAX(ROW(Data!$B$5)-ROW(Data!B175),-200),0,400,1)=Data!A175))=1</f>
        <v>1</v>
      </c>
      <c r="Y175" s="26" t="b">
        <f t="array" aca="1" ref="Y175" ca="1">IF(UPPER(Data!C175)="START",SUM((OFFSET(Data!C175,MAX(ROW(Data!$C$5)-ROW(Data!C175),-200),0,400,1)="START")*(OFFSET(Data!A175,MAX(ROW(Data!$B$5)-ROW(Data!B175),-200),0,400,1)=Data!A175))=1,TRUE)</f>
        <v>1</v>
      </c>
      <c r="Z175" s="26" t="b">
        <f t="array" aca="1" ref="Z175" ca="1">IF(UPPER(Data!C175)="END",SUM((OFFSET(Data!C175,MAX(ROW(Data!$C$5)-ROW(Data!C175),-200),0,400,1)="END")*(OFFSET(Data!A175,MAX(ROW(Data!$B$5)-ROW(Data!B175),-200),0,400,1)=Data!A175))=1,TRUE)</f>
        <v>1</v>
      </c>
      <c r="AA175" s="26" t="b">
        <f>IF(Checks!C175,ISERROR(FIND("&amp;",Data!D175)),TRUE)</f>
        <v>1</v>
      </c>
      <c r="AB175" s="26" t="b">
        <f>IF(Checks!$C175,IF(AND(UPPER(Data!$C175)&lt;&gt;"START",UPPER(Data!$C175)&lt;&gt;"DATA OBJECT",Data!E175&lt;&gt;""),NOT(ISERROR(MATCH(Data!$A175&amp;"||"&amp;Data!E175,Key,0))),TRUE),TRUE)</f>
        <v>1</v>
      </c>
      <c r="AC175" s="27" t="b">
        <f>IF(Checks!C175,IF(UPPER(Data!C175)="END",Data!E175&lt;&gt;"",TRUE),TRUE)</f>
        <v>1</v>
      </c>
    </row>
    <row r="176" spans="1:29" x14ac:dyDescent="0.25">
      <c r="A176" s="1" t="str">
        <f>Data!A176&amp;"||"&amp;Data!B176</f>
        <v>Analytics/irmifrs9_credit_risk.bpmn||080_00_02</v>
      </c>
      <c r="B176" s="19"/>
      <c r="C176" s="24" t="b">
        <f>AND(UPPER(Data!A176)&lt;&gt;"EMPTY",Data!B176&lt;&gt;"")</f>
        <v>1</v>
      </c>
      <c r="D176" s="1"/>
      <c r="E176" s="25" t="b">
        <f t="shared" ca="1" si="4"/>
        <v>1</v>
      </c>
      <c r="F176" s="26" t="b">
        <f ca="1">IF(UPPER(Data!C176)="SUB PROCESS",NOT(ISERROR(MATCH(RIGHT(Data!BY176,LEN(Data!BY176)-5),OFFSET(Data,0,0,ItemsCount,1),0))),TRUE)</f>
        <v>1</v>
      </c>
      <c r="G176" s="26" t="b">
        <f ca="1">IF(MID(UPPER(Data!A176),1,13)="MISCELLANEOUS",NOT(ISERROR(MATCH("path="&amp;Data!A176,OFFSET(Data,0,76,ItemsCount,1),0))),TRUE)</f>
        <v>1</v>
      </c>
      <c r="L176" s="25" t="b">
        <f t="shared" ca="1" si="5"/>
        <v>1</v>
      </c>
      <c r="M176" s="24" t="b">
        <f>IF(Checks!$C176,Data!A176&lt;&gt;"",TRUE)</f>
        <v>1</v>
      </c>
      <c r="N176" s="26" t="b">
        <f>IF(Checks!C176,Data!B176&lt;&gt;"",TRUE)</f>
        <v>1</v>
      </c>
      <c r="O176" s="26" t="b">
        <f>IF(Checks!C176,IF(AND(UPPER(Data!C176)="SERVICE TASK",UPPER(Data!BZ176)="TYPE=SAS"),NodeExists(TRIM(RIGHT(Data!CA176,LEN(Data!CA176)-FIND("=",Data!CA176)))),TRUE),TRUE)</f>
        <v>1</v>
      </c>
      <c r="P176" s="26" t="b">
        <f>IF(Checks!C176,IF(Data!C176="DATA OBJECT",OR(AND(Data!BW176&lt;&gt;"",Data!BX176=""),AND(Data!BW176="",Data!BX176&lt;&gt;"")),TRUE),TRUE)</f>
        <v>1</v>
      </c>
      <c r="Q176" s="26" t="b">
        <f>IF(Checks!C176,UPPER(RIGHT(Data!A176,5))=".BPMN",TRUE)</f>
        <v>1</v>
      </c>
      <c r="R176" s="26" t="b">
        <f>IF(Checks!C176,IF(UPPER(Data!C176)="SUB PROCESS",UPPER(RIGHT(Data!BY176,5))=".BPMN",TRUE),TRUE)</f>
        <v>1</v>
      </c>
      <c r="S176" s="26" t="b">
        <f>IF(Checks!C176,IF(UPPER(Data!C176)="SERVICE TASK",IF(UPPER(Data!BZ176)="TYPE=SAS",UPPER(RIGHT(Data!CA176,4))=".SAS",TRUE),TRUE),TRUE)</f>
        <v>1</v>
      </c>
      <c r="T176" s="26" t="b">
        <f>IF(Checks!C176,IF(Data!B176&lt;&gt;"",Data!D176&lt;&gt;"",TRUE),TRUE)</f>
        <v>1</v>
      </c>
      <c r="U176" s="26" t="b">
        <f ca="1">IF(Checks!C176,IF(UPPER(Data!C176)="DATA OBJECT",NOT(ISERROR(MATCH(Data!A176&amp;"||"&amp;Data!BW176&amp;Data!BX176,Key,0))),TRUE),TRUE)</f>
        <v>1</v>
      </c>
      <c r="V176" s="26" t="b">
        <f>IF(Checks!C176,IF(UPPER(Data!C176)="SUB PROCESS",Data!BY176&lt;&gt;"",TRUE),TRUE)</f>
        <v>1</v>
      </c>
      <c r="W176" s="26" t="b">
        <f>IF(Checks!C176,IF(UPPER(Data!C176)="SERVICE TASK",AND(Data!BZ176&lt;&gt;"",Data!CA176&lt;&gt;""),TRUE),TRUE)</f>
        <v>1</v>
      </c>
      <c r="X176" s="26" t="b">
        <f t="array" aca="1" ref="X176" ca="1">SUM((OFFSET(Data!B176,MAX(ROW(Data!$B$5)-ROW(Data!B176),-200),0,400,1)=Data!B176)*(OFFSET(Data!A176,MAX(ROW(Data!$B$5)-ROW(Data!B176),-200),0,400,1)=Data!A176))=1</f>
        <v>1</v>
      </c>
      <c r="Y176" s="26" t="b">
        <f t="array" aca="1" ref="Y176" ca="1">IF(UPPER(Data!C176)="START",SUM((OFFSET(Data!C176,MAX(ROW(Data!$C$5)-ROW(Data!C176),-200),0,400,1)="START")*(OFFSET(Data!A176,MAX(ROW(Data!$B$5)-ROW(Data!B176),-200),0,400,1)=Data!A176))=1,TRUE)</f>
        <v>1</v>
      </c>
      <c r="Z176" s="26" t="b">
        <f t="array" aca="1" ref="Z176" ca="1">IF(UPPER(Data!C176)="END",SUM((OFFSET(Data!C176,MAX(ROW(Data!$C$5)-ROW(Data!C176),-200),0,400,1)="END")*(OFFSET(Data!A176,MAX(ROW(Data!$B$5)-ROW(Data!B176),-200),0,400,1)=Data!A176))=1,TRUE)</f>
        <v>1</v>
      </c>
      <c r="AA176" s="26" t="b">
        <f>IF(Checks!C176,ISERROR(FIND("&amp;",Data!D176)),TRUE)</f>
        <v>1</v>
      </c>
      <c r="AB176" s="26" t="b">
        <f>IF(Checks!$C176,IF(AND(UPPER(Data!$C176)&lt;&gt;"START",UPPER(Data!$C176)&lt;&gt;"DATA OBJECT",Data!E176&lt;&gt;""),NOT(ISERROR(MATCH(Data!$A176&amp;"||"&amp;Data!E176,Key,0))),TRUE),TRUE)</f>
        <v>1</v>
      </c>
      <c r="AC176" s="27" t="b">
        <f>IF(Checks!C176,IF(UPPER(Data!C176)="END",Data!E176&lt;&gt;"",TRUE),TRUE)</f>
        <v>1</v>
      </c>
    </row>
    <row r="177" spans="1:29" x14ac:dyDescent="0.25">
      <c r="A177" s="1" t="str">
        <f>Data!A177&amp;"||"&amp;Data!B177</f>
        <v>Analytics/irmifrs9_credit_risk.bpmn||080_00_03</v>
      </c>
      <c r="B177" s="19"/>
      <c r="C177" s="24" t="b">
        <f>AND(UPPER(Data!A177)&lt;&gt;"EMPTY",Data!B177&lt;&gt;"")</f>
        <v>1</v>
      </c>
      <c r="D177" s="1"/>
      <c r="E177" s="25" t="b">
        <f t="shared" ca="1" si="4"/>
        <v>1</v>
      </c>
      <c r="F177" s="26" t="b">
        <f ca="1">IF(UPPER(Data!C177)="SUB PROCESS",NOT(ISERROR(MATCH(RIGHT(Data!BY177,LEN(Data!BY177)-5),OFFSET(Data,0,0,ItemsCount,1),0))),TRUE)</f>
        <v>1</v>
      </c>
      <c r="G177" s="26" t="b">
        <f ca="1">IF(MID(UPPER(Data!A177),1,13)="MISCELLANEOUS",NOT(ISERROR(MATCH("path="&amp;Data!A177,OFFSET(Data,0,76,ItemsCount,1),0))),TRUE)</f>
        <v>1</v>
      </c>
      <c r="L177" s="25" t="b">
        <f t="shared" ca="1" si="5"/>
        <v>1</v>
      </c>
      <c r="M177" s="24" t="b">
        <f>IF(Checks!$C177,Data!A177&lt;&gt;"",TRUE)</f>
        <v>1</v>
      </c>
      <c r="N177" s="26" t="b">
        <f>IF(Checks!C177,Data!B177&lt;&gt;"",TRUE)</f>
        <v>1</v>
      </c>
      <c r="O177" s="26" t="b">
        <f>IF(Checks!C177,IF(AND(UPPER(Data!C177)="SERVICE TASK",UPPER(Data!BZ177)="TYPE=SAS"),NodeExists(TRIM(RIGHT(Data!CA177,LEN(Data!CA177)-FIND("=",Data!CA177)))),TRUE),TRUE)</f>
        <v>1</v>
      </c>
      <c r="P177" s="26" t="b">
        <f>IF(Checks!C177,IF(Data!C177="DATA OBJECT",OR(AND(Data!BW177&lt;&gt;"",Data!BX177=""),AND(Data!BW177="",Data!BX177&lt;&gt;"")),TRUE),TRUE)</f>
        <v>1</v>
      </c>
      <c r="Q177" s="26" t="b">
        <f>IF(Checks!C177,UPPER(RIGHT(Data!A177,5))=".BPMN",TRUE)</f>
        <v>1</v>
      </c>
      <c r="R177" s="26" t="b">
        <f>IF(Checks!C177,IF(UPPER(Data!C177)="SUB PROCESS",UPPER(RIGHT(Data!BY177,5))=".BPMN",TRUE),TRUE)</f>
        <v>1</v>
      </c>
      <c r="S177" s="26" t="b">
        <f>IF(Checks!C177,IF(UPPER(Data!C177)="SERVICE TASK",IF(UPPER(Data!BZ177)="TYPE=SAS",UPPER(RIGHT(Data!CA177,4))=".SAS",TRUE),TRUE),TRUE)</f>
        <v>1</v>
      </c>
      <c r="T177" s="26" t="b">
        <f>IF(Checks!C177,IF(Data!B177&lt;&gt;"",Data!D177&lt;&gt;"",TRUE),TRUE)</f>
        <v>1</v>
      </c>
      <c r="U177" s="26" t="b">
        <f ca="1">IF(Checks!C177,IF(UPPER(Data!C177)="DATA OBJECT",NOT(ISERROR(MATCH(Data!A177&amp;"||"&amp;Data!BW177&amp;Data!BX177,Key,0))),TRUE),TRUE)</f>
        <v>1</v>
      </c>
      <c r="V177" s="26" t="b">
        <f>IF(Checks!C177,IF(UPPER(Data!C177)="SUB PROCESS",Data!BY177&lt;&gt;"",TRUE),TRUE)</f>
        <v>1</v>
      </c>
      <c r="W177" s="26" t="b">
        <f>IF(Checks!C177,IF(UPPER(Data!C177)="SERVICE TASK",AND(Data!BZ177&lt;&gt;"",Data!CA177&lt;&gt;""),TRUE),TRUE)</f>
        <v>1</v>
      </c>
      <c r="X177" s="26" t="b">
        <f t="array" aca="1" ref="X177" ca="1">SUM((OFFSET(Data!B177,MAX(ROW(Data!$B$5)-ROW(Data!B177),-200),0,400,1)=Data!B177)*(OFFSET(Data!A177,MAX(ROW(Data!$B$5)-ROW(Data!B177),-200),0,400,1)=Data!A177))=1</f>
        <v>1</v>
      </c>
      <c r="Y177" s="26" t="b">
        <f t="array" aca="1" ref="Y177" ca="1">IF(UPPER(Data!C177)="START",SUM((OFFSET(Data!C177,MAX(ROW(Data!$C$5)-ROW(Data!C177),-200),0,400,1)="START")*(OFFSET(Data!A177,MAX(ROW(Data!$B$5)-ROW(Data!B177),-200),0,400,1)=Data!A177))=1,TRUE)</f>
        <v>1</v>
      </c>
      <c r="Z177" s="26" t="b">
        <f t="array" aca="1" ref="Z177" ca="1">IF(UPPER(Data!C177)="END",SUM((OFFSET(Data!C177,MAX(ROW(Data!$C$5)-ROW(Data!C177),-200),0,400,1)="END")*(OFFSET(Data!A177,MAX(ROW(Data!$B$5)-ROW(Data!B177),-200),0,400,1)=Data!A177))=1,TRUE)</f>
        <v>1</v>
      </c>
      <c r="AA177" s="26" t="b">
        <f>IF(Checks!C177,ISERROR(FIND("&amp;",Data!D177)),TRUE)</f>
        <v>1</v>
      </c>
      <c r="AB177" s="26" t="b">
        <f>IF(Checks!$C177,IF(AND(UPPER(Data!$C177)&lt;&gt;"START",UPPER(Data!$C177)&lt;&gt;"DATA OBJECT",Data!E177&lt;&gt;""),NOT(ISERROR(MATCH(Data!$A177&amp;"||"&amp;Data!E177,Key,0))),TRUE),TRUE)</f>
        <v>1</v>
      </c>
      <c r="AC177" s="27" t="b">
        <f>IF(Checks!C177,IF(UPPER(Data!C177)="END",Data!E177&lt;&gt;"",TRUE),TRUE)</f>
        <v>1</v>
      </c>
    </row>
    <row r="178" spans="1:29" x14ac:dyDescent="0.25">
      <c r="A178" s="1" t="str">
        <f>Data!A178&amp;"||"&amp;Data!B178</f>
        <v>Analytics/irmifrs9_credit_risk.bpmn||080_01_00</v>
      </c>
      <c r="B178" s="19"/>
      <c r="C178" s="24" t="b">
        <f>AND(UPPER(Data!A178)&lt;&gt;"EMPTY",Data!B178&lt;&gt;"")</f>
        <v>1</v>
      </c>
      <c r="D178" s="1"/>
      <c r="E178" s="25" t="b">
        <f t="shared" ca="1" si="4"/>
        <v>1</v>
      </c>
      <c r="F178" s="26" t="b">
        <f ca="1">IF(UPPER(Data!C178)="SUB PROCESS",NOT(ISERROR(MATCH(RIGHT(Data!BY178,LEN(Data!BY178)-5),OFFSET(Data,0,0,ItemsCount,1),0))),TRUE)</f>
        <v>1</v>
      </c>
      <c r="G178" s="26" t="b">
        <f ca="1">IF(MID(UPPER(Data!A178),1,13)="MISCELLANEOUS",NOT(ISERROR(MATCH("path="&amp;Data!A178,OFFSET(Data,0,76,ItemsCount,1),0))),TRUE)</f>
        <v>1</v>
      </c>
      <c r="L178" s="25" t="b">
        <f t="shared" ca="1" si="5"/>
        <v>1</v>
      </c>
      <c r="M178" s="24" t="b">
        <f>IF(Checks!$C178,Data!A178&lt;&gt;"",TRUE)</f>
        <v>1</v>
      </c>
      <c r="N178" s="26" t="b">
        <f>IF(Checks!C178,Data!B178&lt;&gt;"",TRUE)</f>
        <v>1</v>
      </c>
      <c r="O178" s="26" t="b">
        <f>IF(Checks!C178,IF(AND(UPPER(Data!C178)="SERVICE TASK",UPPER(Data!BZ178)="TYPE=SAS"),NodeExists(TRIM(RIGHT(Data!CA178,LEN(Data!CA178)-FIND("=",Data!CA178)))),TRUE),TRUE)</f>
        <v>1</v>
      </c>
      <c r="P178" s="26" t="b">
        <f>IF(Checks!C178,IF(Data!C178="DATA OBJECT",OR(AND(Data!BW178&lt;&gt;"",Data!BX178=""),AND(Data!BW178="",Data!BX178&lt;&gt;"")),TRUE),TRUE)</f>
        <v>1</v>
      </c>
      <c r="Q178" s="26" t="b">
        <f>IF(Checks!C178,UPPER(RIGHT(Data!A178,5))=".BPMN",TRUE)</f>
        <v>1</v>
      </c>
      <c r="R178" s="26" t="b">
        <f>IF(Checks!C178,IF(UPPER(Data!C178)="SUB PROCESS",UPPER(RIGHT(Data!BY178,5))=".BPMN",TRUE),TRUE)</f>
        <v>1</v>
      </c>
      <c r="S178" s="26" t="b">
        <f>IF(Checks!C178,IF(UPPER(Data!C178)="SERVICE TASK",IF(UPPER(Data!BZ178)="TYPE=SAS",UPPER(RIGHT(Data!CA178,4))=".SAS",TRUE),TRUE),TRUE)</f>
        <v>1</v>
      </c>
      <c r="T178" s="26" t="b">
        <f>IF(Checks!C178,IF(Data!B178&lt;&gt;"",Data!D178&lt;&gt;"",TRUE),TRUE)</f>
        <v>1</v>
      </c>
      <c r="U178" s="26" t="b">
        <f ca="1">IF(Checks!C178,IF(UPPER(Data!C178)="DATA OBJECT",NOT(ISERROR(MATCH(Data!A178&amp;"||"&amp;Data!BW178&amp;Data!BX178,Key,0))),TRUE),TRUE)</f>
        <v>1</v>
      </c>
      <c r="V178" s="26" t="b">
        <f>IF(Checks!C178,IF(UPPER(Data!C178)="SUB PROCESS",Data!BY178&lt;&gt;"",TRUE),TRUE)</f>
        <v>1</v>
      </c>
      <c r="W178" s="26" t="b">
        <f>IF(Checks!C178,IF(UPPER(Data!C178)="SERVICE TASK",AND(Data!BZ178&lt;&gt;"",Data!CA178&lt;&gt;""),TRUE),TRUE)</f>
        <v>1</v>
      </c>
      <c r="X178" s="26" t="b">
        <f t="array" aca="1" ref="X178" ca="1">SUM((OFFSET(Data!B178,MAX(ROW(Data!$B$5)-ROW(Data!B178),-200),0,400,1)=Data!B178)*(OFFSET(Data!A178,MAX(ROW(Data!$B$5)-ROW(Data!B178),-200),0,400,1)=Data!A178))=1</f>
        <v>1</v>
      </c>
      <c r="Y178" s="26" t="b">
        <f t="array" aca="1" ref="Y178" ca="1">IF(UPPER(Data!C178)="START",SUM((OFFSET(Data!C178,MAX(ROW(Data!$C$5)-ROW(Data!C178),-200),0,400,1)="START")*(OFFSET(Data!A178,MAX(ROW(Data!$B$5)-ROW(Data!B178),-200),0,400,1)=Data!A178))=1,TRUE)</f>
        <v>1</v>
      </c>
      <c r="Z178" s="26" t="b">
        <f t="array" aca="1" ref="Z178" ca="1">IF(UPPER(Data!C178)="END",SUM((OFFSET(Data!C178,MAX(ROW(Data!$C$5)-ROW(Data!C178),-200),0,400,1)="END")*(OFFSET(Data!A178,MAX(ROW(Data!$B$5)-ROW(Data!B178),-200),0,400,1)=Data!A178))=1,TRUE)</f>
        <v>1</v>
      </c>
      <c r="AA178" s="26" t="b">
        <f>IF(Checks!C178,ISERROR(FIND("&amp;",Data!D178)),TRUE)</f>
        <v>1</v>
      </c>
      <c r="AB178" s="26" t="b">
        <f>IF(Checks!$C178,IF(AND(UPPER(Data!$C178)&lt;&gt;"START",UPPER(Data!$C178)&lt;&gt;"DATA OBJECT",Data!E178&lt;&gt;""),NOT(ISERROR(MATCH(Data!$A178&amp;"||"&amp;Data!E178,Key,0))),TRUE),TRUE)</f>
        <v>1</v>
      </c>
      <c r="AC178" s="27" t="b">
        <f>IF(Checks!C178,IF(UPPER(Data!C178)="END",Data!E178&lt;&gt;"",TRUE),TRUE)</f>
        <v>1</v>
      </c>
    </row>
    <row r="179" spans="1:29" x14ac:dyDescent="0.25">
      <c r="A179" s="1" t="str">
        <f>Data!A179&amp;"||"&amp;Data!B179</f>
        <v>Analytics/irmifrs9_credit_risk.bpmn||090_00_00</v>
      </c>
      <c r="B179" s="19"/>
      <c r="C179" s="24" t="b">
        <f>AND(UPPER(Data!A179)&lt;&gt;"EMPTY",Data!B179&lt;&gt;"")</f>
        <v>1</v>
      </c>
      <c r="D179" s="1"/>
      <c r="E179" s="25" t="b">
        <f t="shared" ca="1" si="4"/>
        <v>1</v>
      </c>
      <c r="F179" s="26" t="b">
        <f ca="1">IF(UPPER(Data!C179)="SUB PROCESS",NOT(ISERROR(MATCH(RIGHT(Data!BY179,LEN(Data!BY179)-5),OFFSET(Data,0,0,ItemsCount,1),0))),TRUE)</f>
        <v>1</v>
      </c>
      <c r="G179" s="26" t="b">
        <f ca="1">IF(MID(UPPER(Data!A179),1,13)="MISCELLANEOUS",NOT(ISERROR(MATCH("path="&amp;Data!A179,OFFSET(Data,0,76,ItemsCount,1),0))),TRUE)</f>
        <v>1</v>
      </c>
      <c r="L179" s="25" t="b">
        <f t="shared" ca="1" si="5"/>
        <v>1</v>
      </c>
      <c r="M179" s="24" t="b">
        <f>IF(Checks!$C179,Data!A179&lt;&gt;"",TRUE)</f>
        <v>1</v>
      </c>
      <c r="N179" s="26" t="b">
        <f>IF(Checks!C179,Data!B179&lt;&gt;"",TRUE)</f>
        <v>1</v>
      </c>
      <c r="O179" s="26" t="b">
        <f>IF(Checks!C179,IF(AND(UPPER(Data!C179)="SERVICE TASK",UPPER(Data!BZ179)="TYPE=SAS"),NodeExists(TRIM(RIGHT(Data!CA179,LEN(Data!CA179)-FIND("=",Data!CA179)))),TRUE),TRUE)</f>
        <v>1</v>
      </c>
      <c r="P179" s="26" t="b">
        <f>IF(Checks!C179,IF(Data!C179="DATA OBJECT",OR(AND(Data!BW179&lt;&gt;"",Data!BX179=""),AND(Data!BW179="",Data!BX179&lt;&gt;"")),TRUE),TRUE)</f>
        <v>1</v>
      </c>
      <c r="Q179" s="26" t="b">
        <f>IF(Checks!C179,UPPER(RIGHT(Data!A179,5))=".BPMN",TRUE)</f>
        <v>1</v>
      </c>
      <c r="R179" s="26" t="b">
        <f>IF(Checks!C179,IF(UPPER(Data!C179)="SUB PROCESS",UPPER(RIGHT(Data!BY179,5))=".BPMN",TRUE),TRUE)</f>
        <v>1</v>
      </c>
      <c r="S179" s="26" t="b">
        <f>IF(Checks!C179,IF(UPPER(Data!C179)="SERVICE TASK",IF(UPPER(Data!BZ179)="TYPE=SAS",UPPER(RIGHT(Data!CA179,4))=".SAS",TRUE),TRUE),TRUE)</f>
        <v>1</v>
      </c>
      <c r="T179" s="26" t="b">
        <f>IF(Checks!C179,IF(Data!B179&lt;&gt;"",Data!D179&lt;&gt;"",TRUE),TRUE)</f>
        <v>1</v>
      </c>
      <c r="U179" s="26" t="b">
        <f>IF(Checks!C179,IF(UPPER(Data!C179)="DATA OBJECT",NOT(ISERROR(MATCH(Data!A179&amp;"||"&amp;Data!BW179&amp;Data!BX179,Key,0))),TRUE),TRUE)</f>
        <v>1</v>
      </c>
      <c r="V179" s="26" t="b">
        <f>IF(Checks!C179,IF(UPPER(Data!C179)="SUB PROCESS",Data!BY179&lt;&gt;"",TRUE),TRUE)</f>
        <v>1</v>
      </c>
      <c r="W179" s="26" t="b">
        <f>IF(Checks!C179,IF(UPPER(Data!C179)="SERVICE TASK",AND(Data!BZ179&lt;&gt;"",Data!CA179&lt;&gt;""),TRUE),TRUE)</f>
        <v>1</v>
      </c>
      <c r="X179" s="26" t="b">
        <f t="array" aca="1" ref="X179" ca="1">SUM((OFFSET(Data!B179,MAX(ROW(Data!$B$5)-ROW(Data!B179),-200),0,400,1)=Data!B179)*(OFFSET(Data!A179,MAX(ROW(Data!$B$5)-ROW(Data!B179),-200),0,400,1)=Data!A179))=1</f>
        <v>1</v>
      </c>
      <c r="Y179" s="26" t="b">
        <f t="array" aca="1" ref="Y179" ca="1">IF(UPPER(Data!C179)="START",SUM((OFFSET(Data!C179,MAX(ROW(Data!$C$5)-ROW(Data!C179),-200),0,400,1)="START")*(OFFSET(Data!A179,MAX(ROW(Data!$B$5)-ROW(Data!B179),-200),0,400,1)=Data!A179))=1,TRUE)</f>
        <v>1</v>
      </c>
      <c r="Z179" s="26" t="b">
        <f t="array" aca="1" ref="Z179" ca="1">IF(UPPER(Data!C179)="END",SUM((OFFSET(Data!C179,MAX(ROW(Data!$C$5)-ROW(Data!C179),-200),0,400,1)="END")*(OFFSET(Data!A179,MAX(ROW(Data!$B$5)-ROW(Data!B179),-200),0,400,1)=Data!A179))=1,TRUE)</f>
        <v>1</v>
      </c>
      <c r="AA179" s="26" t="b">
        <f>IF(Checks!C179,ISERROR(FIND("&amp;",Data!D179)),TRUE)</f>
        <v>1</v>
      </c>
      <c r="AB179" s="26" t="b">
        <f ca="1">IF(Checks!$C179,IF(AND(UPPER(Data!$C179)&lt;&gt;"START",UPPER(Data!$C179)&lt;&gt;"DATA OBJECT",Data!E179&lt;&gt;""),NOT(ISERROR(MATCH(Data!$A179&amp;"||"&amp;Data!E179,Key,0))),TRUE),TRUE)</f>
        <v>1</v>
      </c>
      <c r="AC179" s="27" t="b">
        <f>IF(Checks!C179,IF(UPPER(Data!C179)="END",Data!E179&lt;&gt;"",TRUE),TRUE)</f>
        <v>1</v>
      </c>
    </row>
    <row r="180" spans="1:29" x14ac:dyDescent="0.25">
      <c r="A180" s="1" t="str">
        <f>Data!A180&amp;"||"&amp;Data!B180</f>
        <v>Analytics/irmifrs9_credit_risk.bpmn||999_00_00</v>
      </c>
      <c r="B180" s="19"/>
      <c r="C180" s="24" t="b">
        <f>AND(UPPER(Data!A180)&lt;&gt;"EMPTY",Data!B180&lt;&gt;"")</f>
        <v>1</v>
      </c>
      <c r="D180" s="1"/>
      <c r="E180" s="25" t="b">
        <f t="shared" ca="1" si="4"/>
        <v>1</v>
      </c>
      <c r="F180" s="26" t="b">
        <f ca="1">IF(UPPER(Data!C180)="SUB PROCESS",NOT(ISERROR(MATCH(RIGHT(Data!BY180,LEN(Data!BY180)-5),OFFSET(Data,0,0,ItemsCount,1),0))),TRUE)</f>
        <v>1</v>
      </c>
      <c r="G180" s="26" t="b">
        <f ca="1">IF(MID(UPPER(Data!A180),1,13)="MISCELLANEOUS",NOT(ISERROR(MATCH("path="&amp;Data!A180,OFFSET(Data,0,76,ItemsCount,1),0))),TRUE)</f>
        <v>1</v>
      </c>
      <c r="L180" s="25" t="b">
        <f t="shared" ca="1" si="5"/>
        <v>1</v>
      </c>
      <c r="M180" s="24" t="b">
        <f>IF(Checks!$C180,Data!A180&lt;&gt;"",TRUE)</f>
        <v>1</v>
      </c>
      <c r="N180" s="26" t="b">
        <f>IF(Checks!C180,Data!B180&lt;&gt;"",TRUE)</f>
        <v>1</v>
      </c>
      <c r="O180" s="26" t="b">
        <f>IF(Checks!C180,IF(AND(UPPER(Data!C180)="SERVICE TASK",UPPER(Data!BZ180)="TYPE=SAS"),NodeExists(TRIM(RIGHT(Data!CA180,LEN(Data!CA180)-FIND("=",Data!CA180)))),TRUE),TRUE)</f>
        <v>1</v>
      </c>
      <c r="P180" s="26" t="b">
        <f>IF(Checks!C180,IF(Data!C180="DATA OBJECT",OR(AND(Data!BW180&lt;&gt;"",Data!BX180=""),AND(Data!BW180="",Data!BX180&lt;&gt;"")),TRUE),TRUE)</f>
        <v>1</v>
      </c>
      <c r="Q180" s="26" t="b">
        <f>IF(Checks!C180,UPPER(RIGHT(Data!A180,5))=".BPMN",TRUE)</f>
        <v>1</v>
      </c>
      <c r="R180" s="26" t="b">
        <f>IF(Checks!C180,IF(UPPER(Data!C180)="SUB PROCESS",UPPER(RIGHT(Data!BY180,5))=".BPMN",TRUE),TRUE)</f>
        <v>1</v>
      </c>
      <c r="S180" s="26" t="b">
        <f>IF(Checks!C180,IF(UPPER(Data!C180)="SERVICE TASK",IF(UPPER(Data!BZ180)="TYPE=SAS",UPPER(RIGHT(Data!CA180,4))=".SAS",TRUE),TRUE),TRUE)</f>
        <v>1</v>
      </c>
      <c r="T180" s="26" t="b">
        <f>IF(Checks!C180,IF(Data!B180&lt;&gt;"",Data!D180&lt;&gt;"",TRUE),TRUE)</f>
        <v>1</v>
      </c>
      <c r="U180" s="26" t="b">
        <f>IF(Checks!C180,IF(UPPER(Data!C180)="DATA OBJECT",NOT(ISERROR(MATCH(Data!A180&amp;"||"&amp;Data!BW180&amp;Data!BX180,Key,0))),TRUE),TRUE)</f>
        <v>1</v>
      </c>
      <c r="V180" s="26" t="b">
        <f>IF(Checks!C180,IF(UPPER(Data!C180)="SUB PROCESS",Data!BY180&lt;&gt;"",TRUE),TRUE)</f>
        <v>1</v>
      </c>
      <c r="W180" s="26" t="b">
        <f>IF(Checks!C180,IF(UPPER(Data!C180)="SERVICE TASK",AND(Data!BZ180&lt;&gt;"",Data!CA180&lt;&gt;""),TRUE),TRUE)</f>
        <v>1</v>
      </c>
      <c r="X180" s="26" t="b">
        <f t="array" aca="1" ref="X180" ca="1">SUM((OFFSET(Data!B180,MAX(ROW(Data!$B$5)-ROW(Data!B180),-200),0,400,1)=Data!B180)*(OFFSET(Data!A180,MAX(ROW(Data!$B$5)-ROW(Data!B180),-200),0,400,1)=Data!A180))=1</f>
        <v>1</v>
      </c>
      <c r="Y180" s="26" t="b">
        <f t="array" aca="1" ref="Y180" ca="1">IF(UPPER(Data!C180)="START",SUM((OFFSET(Data!C180,MAX(ROW(Data!$C$5)-ROW(Data!C180),-200),0,400,1)="START")*(OFFSET(Data!A180,MAX(ROW(Data!$B$5)-ROW(Data!B180),-200),0,400,1)=Data!A180))=1,TRUE)</f>
        <v>1</v>
      </c>
      <c r="Z180" s="26" t="b">
        <f t="array" aca="1" ref="Z180" ca="1">IF(UPPER(Data!C180)="END",SUM((OFFSET(Data!C180,MAX(ROW(Data!$C$5)-ROW(Data!C180),-200),0,400,1)="END")*(OFFSET(Data!A180,MAX(ROW(Data!$B$5)-ROW(Data!B180),-200),0,400,1)=Data!A180))=1,TRUE)</f>
        <v>1</v>
      </c>
      <c r="AA180" s="26" t="b">
        <f>IF(Checks!C180,ISERROR(FIND("&amp;",Data!D180)),TRUE)</f>
        <v>1</v>
      </c>
      <c r="AB180" s="26" t="b">
        <f ca="1">IF(Checks!$C180,IF(AND(UPPER(Data!$C180)&lt;&gt;"START",UPPER(Data!$C180)&lt;&gt;"DATA OBJECT",Data!E180&lt;&gt;""),NOT(ISERROR(MATCH(Data!$A180&amp;"||"&amp;Data!E180,Key,0))),TRUE),TRUE)</f>
        <v>1</v>
      </c>
      <c r="AC180" s="27" t="b">
        <f>IF(Checks!C180,IF(UPPER(Data!C180)="END",Data!E180&lt;&gt;"",TRUE),TRUE)</f>
        <v>1</v>
      </c>
    </row>
    <row r="181" spans="1:29" x14ac:dyDescent="0.25">
      <c r="A181" s="1" t="str">
        <f>Data!A181&amp;"||"&amp;Data!B181</f>
        <v>Miscellaneous/subflow/irmifrs9_adjustment_alloc.bpmn||000_00_00</v>
      </c>
      <c r="B181" s="19"/>
      <c r="C181" s="24" t="b">
        <f>AND(UPPER(Data!A181)&lt;&gt;"EMPTY",Data!B181&lt;&gt;"")</f>
        <v>1</v>
      </c>
      <c r="D181" s="1"/>
      <c r="E181" s="25" t="b">
        <f t="shared" ca="1" si="4"/>
        <v>1</v>
      </c>
      <c r="F181" s="26" t="b">
        <f ca="1">IF(UPPER(Data!C181)="SUB PROCESS",NOT(ISERROR(MATCH(RIGHT(Data!BY181,LEN(Data!BY181)-5),OFFSET(Data,0,0,ItemsCount,1),0))),TRUE)</f>
        <v>1</v>
      </c>
      <c r="G181" s="26" t="b">
        <f ca="1">IF(MID(UPPER(Data!A181),1,13)="MISCELLANEOUS",NOT(ISERROR(MATCH("path="&amp;Data!A181,OFFSET(Data,0,76,ItemsCount,1),0))),TRUE)</f>
        <v>1</v>
      </c>
      <c r="L181" s="25" t="b">
        <f t="shared" ca="1" si="5"/>
        <v>1</v>
      </c>
      <c r="M181" s="24" t="b">
        <f>IF(Checks!$C181,Data!A181&lt;&gt;"",TRUE)</f>
        <v>1</v>
      </c>
      <c r="N181" s="26" t="b">
        <f>IF(Checks!C181,Data!B181&lt;&gt;"",TRUE)</f>
        <v>1</v>
      </c>
      <c r="O181" s="26" t="b">
        <f>IF(Checks!C181,IF(AND(UPPER(Data!C181)="SERVICE TASK",UPPER(Data!BZ181)="TYPE=SAS"),NodeExists(TRIM(RIGHT(Data!CA181,LEN(Data!CA181)-FIND("=",Data!CA181)))),TRUE),TRUE)</f>
        <v>1</v>
      </c>
      <c r="P181" s="26" t="b">
        <f>IF(Checks!C181,IF(Data!C181="DATA OBJECT",OR(AND(Data!BW181&lt;&gt;"",Data!BX181=""),AND(Data!BW181="",Data!BX181&lt;&gt;"")),TRUE),TRUE)</f>
        <v>1</v>
      </c>
      <c r="Q181" s="26" t="b">
        <f>IF(Checks!C181,UPPER(RIGHT(Data!A181,5))=".BPMN",TRUE)</f>
        <v>1</v>
      </c>
      <c r="R181" s="26" t="b">
        <f>IF(Checks!C181,IF(UPPER(Data!C181)="SUB PROCESS",UPPER(RIGHT(Data!BY181,5))=".BPMN",TRUE),TRUE)</f>
        <v>1</v>
      </c>
      <c r="S181" s="26" t="b">
        <f>IF(Checks!C181,IF(UPPER(Data!C181)="SERVICE TASK",IF(UPPER(Data!BZ181)="TYPE=SAS",UPPER(RIGHT(Data!CA181,4))=".SAS",TRUE),TRUE),TRUE)</f>
        <v>1</v>
      </c>
      <c r="T181" s="26" t="b">
        <f>IF(Checks!C181,IF(Data!B181&lt;&gt;"",Data!D181&lt;&gt;"",TRUE),TRUE)</f>
        <v>1</v>
      </c>
      <c r="U181" s="26" t="b">
        <f>IF(Checks!C181,IF(UPPER(Data!C181)="DATA OBJECT",NOT(ISERROR(MATCH(Data!A181&amp;"||"&amp;Data!BW181&amp;Data!BX181,Key,0))),TRUE),TRUE)</f>
        <v>1</v>
      </c>
      <c r="V181" s="26" t="b">
        <f>IF(Checks!C181,IF(UPPER(Data!C181)="SUB PROCESS",Data!BY181&lt;&gt;"",TRUE),TRUE)</f>
        <v>1</v>
      </c>
      <c r="W181" s="26" t="b">
        <f>IF(Checks!C181,IF(UPPER(Data!C181)="SERVICE TASK",AND(Data!BZ181&lt;&gt;"",Data!CA181&lt;&gt;""),TRUE),TRUE)</f>
        <v>1</v>
      </c>
      <c r="X181" s="26" t="b">
        <f t="array" aca="1" ref="X181" ca="1">SUM((OFFSET(Data!B181,MAX(ROW(Data!$B$5)-ROW(Data!B181),-200),0,400,1)=Data!B181)*(OFFSET(Data!A181,MAX(ROW(Data!$B$5)-ROW(Data!B181),-200),0,400,1)=Data!A181))=1</f>
        <v>1</v>
      </c>
      <c r="Y181" s="26" t="b">
        <f t="array" aca="1" ref="Y181" ca="1">IF(UPPER(Data!C181)="START",SUM((OFFSET(Data!C181,MAX(ROW(Data!$C$5)-ROW(Data!C181),-200),0,400,1)="START")*(OFFSET(Data!A181,MAX(ROW(Data!$B$5)-ROW(Data!B181),-200),0,400,1)=Data!A181))=1,TRUE)</f>
        <v>1</v>
      </c>
      <c r="Z181" s="26" t="b">
        <f t="array" aca="1" ref="Z181" ca="1">IF(UPPER(Data!C181)="END",SUM((OFFSET(Data!C181,MAX(ROW(Data!$C$5)-ROW(Data!C181),-200),0,400,1)="END")*(OFFSET(Data!A181,MAX(ROW(Data!$B$5)-ROW(Data!B181),-200),0,400,1)=Data!A181))=1,TRUE)</f>
        <v>1</v>
      </c>
      <c r="AA181" s="26" t="b">
        <f>IF(Checks!C181,ISERROR(FIND("&amp;",Data!D181)),TRUE)</f>
        <v>1</v>
      </c>
      <c r="AB181" s="26" t="b">
        <f>IF(Checks!$C181,IF(AND(UPPER(Data!$C181)&lt;&gt;"START",UPPER(Data!$C181)&lt;&gt;"DATA OBJECT",Data!E181&lt;&gt;""),NOT(ISERROR(MATCH(Data!$A181&amp;"||"&amp;Data!E181,Key,0))),TRUE),TRUE)</f>
        <v>1</v>
      </c>
      <c r="AC181" s="27" t="b">
        <f>IF(Checks!C181,IF(UPPER(Data!C181)="END",Data!E181&lt;&gt;"",TRUE),TRUE)</f>
        <v>1</v>
      </c>
    </row>
    <row r="182" spans="1:29" x14ac:dyDescent="0.25">
      <c r="A182" s="1" t="str">
        <f>Data!A182&amp;"||"&amp;Data!B182</f>
        <v>Miscellaneous/subflow/irmifrs9_adjustment_alloc.bpmn||010_00_00</v>
      </c>
      <c r="B182" s="19"/>
      <c r="C182" s="24" t="b">
        <f>AND(UPPER(Data!A182)&lt;&gt;"EMPTY",Data!B182&lt;&gt;"")</f>
        <v>1</v>
      </c>
      <c r="D182" s="1"/>
      <c r="E182" s="25" t="b">
        <f t="shared" ca="1" si="4"/>
        <v>1</v>
      </c>
      <c r="F182" s="26" t="b">
        <f ca="1">IF(UPPER(Data!C182)="SUB PROCESS",NOT(ISERROR(MATCH(RIGHT(Data!BY182,LEN(Data!BY182)-5),OFFSET(Data,0,0,ItemsCount,1),0))),TRUE)</f>
        <v>1</v>
      </c>
      <c r="G182" s="26" t="b">
        <f ca="1">IF(MID(UPPER(Data!A182),1,13)="MISCELLANEOUS",NOT(ISERROR(MATCH("path="&amp;Data!A182,OFFSET(Data,0,76,ItemsCount,1),0))),TRUE)</f>
        <v>1</v>
      </c>
      <c r="L182" s="25" t="b">
        <f t="shared" ca="1" si="5"/>
        <v>1</v>
      </c>
      <c r="M182" s="24" t="b">
        <f>IF(Checks!$C182,Data!A182&lt;&gt;"",TRUE)</f>
        <v>1</v>
      </c>
      <c r="N182" s="26" t="b">
        <f>IF(Checks!C182,Data!B182&lt;&gt;"",TRUE)</f>
        <v>1</v>
      </c>
      <c r="O182" s="26" t="b">
        <f>IF(Checks!C182,IF(AND(UPPER(Data!C182)="SERVICE TASK",UPPER(Data!BZ182)="TYPE=SAS"),NodeExists(TRIM(RIGHT(Data!CA182,LEN(Data!CA182)-FIND("=",Data!CA182)))),TRUE),TRUE)</f>
        <v>1</v>
      </c>
      <c r="P182" s="26" t="b">
        <f>IF(Checks!C182,IF(Data!C182="DATA OBJECT",OR(AND(Data!BW182&lt;&gt;"",Data!BX182=""),AND(Data!BW182="",Data!BX182&lt;&gt;"")),TRUE),TRUE)</f>
        <v>1</v>
      </c>
      <c r="Q182" s="26" t="b">
        <f>IF(Checks!C182,UPPER(RIGHT(Data!A182,5))=".BPMN",TRUE)</f>
        <v>1</v>
      </c>
      <c r="R182" s="26" t="b">
        <f>IF(Checks!C182,IF(UPPER(Data!C182)="SUB PROCESS",UPPER(RIGHT(Data!BY182,5))=".BPMN",TRUE),TRUE)</f>
        <v>1</v>
      </c>
      <c r="S182" s="26" t="b">
        <f>IF(Checks!C182,IF(UPPER(Data!C182)="SERVICE TASK",IF(UPPER(Data!BZ182)="TYPE=SAS",UPPER(RIGHT(Data!CA182,4))=".SAS",TRUE),TRUE),TRUE)</f>
        <v>1</v>
      </c>
      <c r="T182" s="26" t="b">
        <f>IF(Checks!C182,IF(Data!B182&lt;&gt;"",Data!D182&lt;&gt;"",TRUE),TRUE)</f>
        <v>1</v>
      </c>
      <c r="U182" s="26" t="b">
        <f>IF(Checks!C182,IF(UPPER(Data!C182)="DATA OBJECT",NOT(ISERROR(MATCH(Data!A182&amp;"||"&amp;Data!BW182&amp;Data!BX182,Key,0))),TRUE),TRUE)</f>
        <v>1</v>
      </c>
      <c r="V182" s="26" t="b">
        <f>IF(Checks!C182,IF(UPPER(Data!C182)="SUB PROCESS",Data!BY182&lt;&gt;"",TRUE),TRUE)</f>
        <v>1</v>
      </c>
      <c r="W182" s="26" t="b">
        <f>IF(Checks!C182,IF(UPPER(Data!C182)="SERVICE TASK",AND(Data!BZ182&lt;&gt;"",Data!CA182&lt;&gt;""),TRUE),TRUE)</f>
        <v>1</v>
      </c>
      <c r="X182" s="26" t="b">
        <f t="array" aca="1" ref="X182" ca="1">SUM((OFFSET(Data!B182,MAX(ROW(Data!$B$5)-ROW(Data!B182),-200),0,400,1)=Data!B182)*(OFFSET(Data!A182,MAX(ROW(Data!$B$5)-ROW(Data!B182),-200),0,400,1)=Data!A182))=1</f>
        <v>1</v>
      </c>
      <c r="Y182" s="26" t="b">
        <f t="array" aca="1" ref="Y182" ca="1">IF(UPPER(Data!C182)="START",SUM((OFFSET(Data!C182,MAX(ROW(Data!$C$5)-ROW(Data!C182),-200),0,400,1)="START")*(OFFSET(Data!A182,MAX(ROW(Data!$B$5)-ROW(Data!B182),-200),0,400,1)=Data!A182))=1,TRUE)</f>
        <v>1</v>
      </c>
      <c r="Z182" s="26" t="b">
        <f t="array" aca="1" ref="Z182" ca="1">IF(UPPER(Data!C182)="END",SUM((OFFSET(Data!C182,MAX(ROW(Data!$C$5)-ROW(Data!C182),-200),0,400,1)="END")*(OFFSET(Data!A182,MAX(ROW(Data!$B$5)-ROW(Data!B182),-200),0,400,1)=Data!A182))=1,TRUE)</f>
        <v>1</v>
      </c>
      <c r="AA182" s="26" t="b">
        <f>IF(Checks!C182,ISERROR(FIND("&amp;",Data!D182)),TRUE)</f>
        <v>1</v>
      </c>
      <c r="AB182" s="26" t="b">
        <f ca="1">IF(Checks!$C182,IF(AND(UPPER(Data!$C182)&lt;&gt;"START",UPPER(Data!$C182)&lt;&gt;"DATA OBJECT",Data!E182&lt;&gt;""),NOT(ISERROR(MATCH(Data!$A182&amp;"||"&amp;Data!E182,Key,0))),TRUE),TRUE)</f>
        <v>1</v>
      </c>
      <c r="AC182" s="27" t="b">
        <f>IF(Checks!C182,IF(UPPER(Data!C182)="END",Data!E182&lt;&gt;"",TRUE),TRUE)</f>
        <v>1</v>
      </c>
    </row>
    <row r="183" spans="1:29" x14ac:dyDescent="0.25">
      <c r="A183" s="1" t="str">
        <f>Data!A183&amp;"||"&amp;Data!B183</f>
        <v>Miscellaneous/subflow/irmifrs9_adjustment_alloc.bpmn||010_00_01</v>
      </c>
      <c r="B183" s="19"/>
      <c r="C183" s="24" t="b">
        <f>AND(UPPER(Data!A183)&lt;&gt;"EMPTY",Data!B183&lt;&gt;"")</f>
        <v>1</v>
      </c>
      <c r="D183" s="1"/>
      <c r="E183" s="25" t="b">
        <f t="shared" ca="1" si="4"/>
        <v>1</v>
      </c>
      <c r="F183" s="26" t="b">
        <f ca="1">IF(UPPER(Data!C183)="SUB PROCESS",NOT(ISERROR(MATCH(RIGHT(Data!BY183,LEN(Data!BY183)-5),OFFSET(Data,0,0,ItemsCount,1),0))),TRUE)</f>
        <v>1</v>
      </c>
      <c r="G183" s="26" t="b">
        <f ca="1">IF(MID(UPPER(Data!A183),1,13)="MISCELLANEOUS",NOT(ISERROR(MATCH("path="&amp;Data!A183,OFFSET(Data,0,76,ItemsCount,1),0))),TRUE)</f>
        <v>1</v>
      </c>
      <c r="L183" s="25" t="b">
        <f t="shared" ca="1" si="5"/>
        <v>1</v>
      </c>
      <c r="M183" s="24" t="b">
        <f>IF(Checks!$C183,Data!A183&lt;&gt;"",TRUE)</f>
        <v>1</v>
      </c>
      <c r="N183" s="26" t="b">
        <f>IF(Checks!C183,Data!B183&lt;&gt;"",TRUE)</f>
        <v>1</v>
      </c>
      <c r="O183" s="26" t="b">
        <f>IF(Checks!C183,IF(AND(UPPER(Data!C183)="SERVICE TASK",UPPER(Data!BZ183)="TYPE=SAS"),NodeExists(TRIM(RIGHT(Data!CA183,LEN(Data!CA183)-FIND("=",Data!CA183)))),TRUE),TRUE)</f>
        <v>1</v>
      </c>
      <c r="P183" s="26" t="b">
        <f>IF(Checks!C183,IF(Data!C183="DATA OBJECT",OR(AND(Data!BW183&lt;&gt;"",Data!BX183=""),AND(Data!BW183="",Data!BX183&lt;&gt;"")),TRUE),TRUE)</f>
        <v>1</v>
      </c>
      <c r="Q183" s="26" t="b">
        <f>IF(Checks!C183,UPPER(RIGHT(Data!A183,5))=".BPMN",TRUE)</f>
        <v>1</v>
      </c>
      <c r="R183" s="26" t="b">
        <f>IF(Checks!C183,IF(UPPER(Data!C183)="SUB PROCESS",UPPER(RIGHT(Data!BY183,5))=".BPMN",TRUE),TRUE)</f>
        <v>1</v>
      </c>
      <c r="S183" s="26" t="b">
        <f>IF(Checks!C183,IF(UPPER(Data!C183)="SERVICE TASK",IF(UPPER(Data!BZ183)="TYPE=SAS",UPPER(RIGHT(Data!CA183,4))=".SAS",TRUE),TRUE),TRUE)</f>
        <v>1</v>
      </c>
      <c r="T183" s="26" t="b">
        <f>IF(Checks!C183,IF(Data!B183&lt;&gt;"",Data!D183&lt;&gt;"",TRUE),TRUE)</f>
        <v>1</v>
      </c>
      <c r="U183" s="26" t="b">
        <f ca="1">IF(Checks!C183,IF(UPPER(Data!C183)="DATA OBJECT",NOT(ISERROR(MATCH(Data!A183&amp;"||"&amp;Data!BW183&amp;Data!BX183,Key,0))),TRUE),TRUE)</f>
        <v>1</v>
      </c>
      <c r="V183" s="26" t="b">
        <f>IF(Checks!C183,IF(UPPER(Data!C183)="SUB PROCESS",Data!BY183&lt;&gt;"",TRUE),TRUE)</f>
        <v>1</v>
      </c>
      <c r="W183" s="26" t="b">
        <f>IF(Checks!C183,IF(UPPER(Data!C183)="SERVICE TASK",AND(Data!BZ183&lt;&gt;"",Data!CA183&lt;&gt;""),TRUE),TRUE)</f>
        <v>1</v>
      </c>
      <c r="X183" s="26" t="b">
        <f t="array" aca="1" ref="X183" ca="1">SUM((OFFSET(Data!B183,MAX(ROW(Data!$B$5)-ROW(Data!B183),-200),0,400,1)=Data!B183)*(OFFSET(Data!A183,MAX(ROW(Data!$B$5)-ROW(Data!B183),-200),0,400,1)=Data!A183))=1</f>
        <v>1</v>
      </c>
      <c r="Y183" s="26" t="b">
        <f t="array" aca="1" ref="Y183" ca="1">IF(UPPER(Data!C183)="START",SUM((OFFSET(Data!C183,MAX(ROW(Data!$C$5)-ROW(Data!C183),-200),0,400,1)="START")*(OFFSET(Data!A183,MAX(ROW(Data!$B$5)-ROW(Data!B183),-200),0,400,1)=Data!A183))=1,TRUE)</f>
        <v>1</v>
      </c>
      <c r="Z183" s="26" t="b">
        <f t="array" aca="1" ref="Z183" ca="1">IF(UPPER(Data!C183)="END",SUM((OFFSET(Data!C183,MAX(ROW(Data!$C$5)-ROW(Data!C183),-200),0,400,1)="END")*(OFFSET(Data!A183,MAX(ROW(Data!$B$5)-ROW(Data!B183),-200),0,400,1)=Data!A183))=1,TRUE)</f>
        <v>1</v>
      </c>
      <c r="AA183" s="26" t="b">
        <f>IF(Checks!C183,ISERROR(FIND("&amp;",Data!D183)),TRUE)</f>
        <v>1</v>
      </c>
      <c r="AB183" s="26" t="b">
        <f>IF(Checks!$C183,IF(AND(UPPER(Data!$C183)&lt;&gt;"START",UPPER(Data!$C183)&lt;&gt;"DATA OBJECT",Data!E183&lt;&gt;""),NOT(ISERROR(MATCH(Data!$A183&amp;"||"&amp;Data!E183,Key,0))),TRUE),TRUE)</f>
        <v>1</v>
      </c>
      <c r="AC183" s="27" t="b">
        <f>IF(Checks!C183,IF(UPPER(Data!C183)="END",Data!E183&lt;&gt;"",TRUE),TRUE)</f>
        <v>1</v>
      </c>
    </row>
    <row r="184" spans="1:29" x14ac:dyDescent="0.25">
      <c r="A184" s="1" t="str">
        <f>Data!A184&amp;"||"&amp;Data!B184</f>
        <v>Miscellaneous/subflow/irmifrs9_adjustment_alloc.bpmn||010_00_02</v>
      </c>
      <c r="B184" s="19"/>
      <c r="C184" s="24" t="b">
        <f>AND(UPPER(Data!A184)&lt;&gt;"EMPTY",Data!B184&lt;&gt;"")</f>
        <v>1</v>
      </c>
      <c r="D184" s="1"/>
      <c r="E184" s="25" t="b">
        <f t="shared" ca="1" si="4"/>
        <v>1</v>
      </c>
      <c r="F184" s="26" t="b">
        <f ca="1">IF(UPPER(Data!C184)="SUB PROCESS",NOT(ISERROR(MATCH(RIGHT(Data!BY184,LEN(Data!BY184)-5),OFFSET(Data,0,0,ItemsCount,1),0))),TRUE)</f>
        <v>1</v>
      </c>
      <c r="G184" s="26" t="b">
        <f ca="1">IF(MID(UPPER(Data!A184),1,13)="MISCELLANEOUS",NOT(ISERROR(MATCH("path="&amp;Data!A184,OFFSET(Data,0,76,ItemsCount,1),0))),TRUE)</f>
        <v>1</v>
      </c>
      <c r="L184" s="25" t="b">
        <f t="shared" ca="1" si="5"/>
        <v>1</v>
      </c>
      <c r="M184" s="24" t="b">
        <f>IF(Checks!$C184,Data!A184&lt;&gt;"",TRUE)</f>
        <v>1</v>
      </c>
      <c r="N184" s="26" t="b">
        <f>IF(Checks!C184,Data!B184&lt;&gt;"",TRUE)</f>
        <v>1</v>
      </c>
      <c r="O184" s="26" t="b">
        <f>IF(Checks!C184,IF(AND(UPPER(Data!C184)="SERVICE TASK",UPPER(Data!BZ184)="TYPE=SAS"),NodeExists(TRIM(RIGHT(Data!CA184,LEN(Data!CA184)-FIND("=",Data!CA184)))),TRUE),TRUE)</f>
        <v>1</v>
      </c>
      <c r="P184" s="26" t="b">
        <f>IF(Checks!C184,IF(Data!C184="DATA OBJECT",OR(AND(Data!BW184&lt;&gt;"",Data!BX184=""),AND(Data!BW184="",Data!BX184&lt;&gt;"")),TRUE),TRUE)</f>
        <v>1</v>
      </c>
      <c r="Q184" s="26" t="b">
        <f>IF(Checks!C184,UPPER(RIGHT(Data!A184,5))=".BPMN",TRUE)</f>
        <v>1</v>
      </c>
      <c r="R184" s="26" t="b">
        <f>IF(Checks!C184,IF(UPPER(Data!C184)="SUB PROCESS",UPPER(RIGHT(Data!BY184,5))=".BPMN",TRUE),TRUE)</f>
        <v>1</v>
      </c>
      <c r="S184" s="26" t="b">
        <f>IF(Checks!C184,IF(UPPER(Data!C184)="SERVICE TASK",IF(UPPER(Data!BZ184)="TYPE=SAS",UPPER(RIGHT(Data!CA184,4))=".SAS",TRUE),TRUE),TRUE)</f>
        <v>1</v>
      </c>
      <c r="T184" s="26" t="b">
        <f>IF(Checks!C184,IF(Data!B184&lt;&gt;"",Data!D184&lt;&gt;"",TRUE),TRUE)</f>
        <v>1</v>
      </c>
      <c r="U184" s="26" t="b">
        <f ca="1">IF(Checks!C184,IF(UPPER(Data!C184)="DATA OBJECT",NOT(ISERROR(MATCH(Data!A184&amp;"||"&amp;Data!BW184&amp;Data!BX184,Key,0))),TRUE),TRUE)</f>
        <v>1</v>
      </c>
      <c r="V184" s="26" t="b">
        <f>IF(Checks!C184,IF(UPPER(Data!C184)="SUB PROCESS",Data!BY184&lt;&gt;"",TRUE),TRUE)</f>
        <v>1</v>
      </c>
      <c r="W184" s="26" t="b">
        <f>IF(Checks!C184,IF(UPPER(Data!C184)="SERVICE TASK",AND(Data!BZ184&lt;&gt;"",Data!CA184&lt;&gt;""),TRUE),TRUE)</f>
        <v>1</v>
      </c>
      <c r="X184" s="26" t="b">
        <f t="array" aca="1" ref="X184" ca="1">SUM((OFFSET(Data!B184,MAX(ROW(Data!$B$5)-ROW(Data!B184),-200),0,400,1)=Data!B184)*(OFFSET(Data!A184,MAX(ROW(Data!$B$5)-ROW(Data!B184),-200),0,400,1)=Data!A184))=1</f>
        <v>1</v>
      </c>
      <c r="Y184" s="26" t="b">
        <f t="array" aca="1" ref="Y184" ca="1">IF(UPPER(Data!C184)="START",SUM((OFFSET(Data!C184,MAX(ROW(Data!$C$5)-ROW(Data!C184),-200),0,400,1)="START")*(OFFSET(Data!A184,MAX(ROW(Data!$B$5)-ROW(Data!B184),-200),0,400,1)=Data!A184))=1,TRUE)</f>
        <v>1</v>
      </c>
      <c r="Z184" s="26" t="b">
        <f t="array" aca="1" ref="Z184" ca="1">IF(UPPER(Data!C184)="END",SUM((OFFSET(Data!C184,MAX(ROW(Data!$C$5)-ROW(Data!C184),-200),0,400,1)="END")*(OFFSET(Data!A184,MAX(ROW(Data!$B$5)-ROW(Data!B184),-200),0,400,1)=Data!A184))=1,TRUE)</f>
        <v>1</v>
      </c>
      <c r="AA184" s="26" t="b">
        <f>IF(Checks!C184,ISERROR(FIND("&amp;",Data!D184)),TRUE)</f>
        <v>1</v>
      </c>
      <c r="AB184" s="26" t="b">
        <f>IF(Checks!$C184,IF(AND(UPPER(Data!$C184)&lt;&gt;"START",UPPER(Data!$C184)&lt;&gt;"DATA OBJECT",Data!E184&lt;&gt;""),NOT(ISERROR(MATCH(Data!$A184&amp;"||"&amp;Data!E184,Key,0))),TRUE),TRUE)</f>
        <v>1</v>
      </c>
      <c r="AC184" s="27" t="b">
        <f>IF(Checks!C184,IF(UPPER(Data!C184)="END",Data!E184&lt;&gt;"",TRUE),TRUE)</f>
        <v>1</v>
      </c>
    </row>
    <row r="185" spans="1:29" x14ac:dyDescent="0.25">
      <c r="A185" s="1" t="str">
        <f>Data!A185&amp;"||"&amp;Data!B185</f>
        <v>Miscellaneous/subflow/irmifrs9_adjustment_alloc.bpmn||010_00_03</v>
      </c>
      <c r="B185" s="19"/>
      <c r="C185" s="24" t="b">
        <f>AND(UPPER(Data!A185)&lt;&gt;"EMPTY",Data!B185&lt;&gt;"")</f>
        <v>1</v>
      </c>
      <c r="D185" s="1"/>
      <c r="E185" s="25" t="b">
        <f t="shared" ca="1" si="4"/>
        <v>1</v>
      </c>
      <c r="F185" s="26" t="b">
        <f ca="1">IF(UPPER(Data!C185)="SUB PROCESS",NOT(ISERROR(MATCH(RIGHT(Data!BY185,LEN(Data!BY185)-5),OFFSET(Data,0,0,ItemsCount,1),0))),TRUE)</f>
        <v>1</v>
      </c>
      <c r="G185" s="26" t="b">
        <f ca="1">IF(MID(UPPER(Data!A185),1,13)="MISCELLANEOUS",NOT(ISERROR(MATCH("path="&amp;Data!A185,OFFSET(Data,0,76,ItemsCount,1),0))),TRUE)</f>
        <v>1</v>
      </c>
      <c r="L185" s="25" t="b">
        <f t="shared" ca="1" si="5"/>
        <v>1</v>
      </c>
      <c r="M185" s="24" t="b">
        <f>IF(Checks!$C185,Data!A185&lt;&gt;"",TRUE)</f>
        <v>1</v>
      </c>
      <c r="N185" s="26" t="b">
        <f>IF(Checks!C185,Data!B185&lt;&gt;"",TRUE)</f>
        <v>1</v>
      </c>
      <c r="O185" s="26" t="b">
        <f>IF(Checks!C185,IF(AND(UPPER(Data!C185)="SERVICE TASK",UPPER(Data!BZ185)="TYPE=SAS"),NodeExists(TRIM(RIGHT(Data!CA185,LEN(Data!CA185)-FIND("=",Data!CA185)))),TRUE),TRUE)</f>
        <v>1</v>
      </c>
      <c r="P185" s="26" t="b">
        <f>IF(Checks!C185,IF(Data!C185="DATA OBJECT",OR(AND(Data!BW185&lt;&gt;"",Data!BX185=""),AND(Data!BW185="",Data!BX185&lt;&gt;"")),TRUE),TRUE)</f>
        <v>1</v>
      </c>
      <c r="Q185" s="26" t="b">
        <f>IF(Checks!C185,UPPER(RIGHT(Data!A185,5))=".BPMN",TRUE)</f>
        <v>1</v>
      </c>
      <c r="R185" s="26" t="b">
        <f>IF(Checks!C185,IF(UPPER(Data!C185)="SUB PROCESS",UPPER(RIGHT(Data!BY185,5))=".BPMN",TRUE),TRUE)</f>
        <v>1</v>
      </c>
      <c r="S185" s="26" t="b">
        <f>IF(Checks!C185,IF(UPPER(Data!C185)="SERVICE TASK",IF(UPPER(Data!BZ185)="TYPE=SAS",UPPER(RIGHT(Data!CA185,4))=".SAS",TRUE),TRUE),TRUE)</f>
        <v>1</v>
      </c>
      <c r="T185" s="26" t="b">
        <f>IF(Checks!C185,IF(Data!B185&lt;&gt;"",Data!D185&lt;&gt;"",TRUE),TRUE)</f>
        <v>1</v>
      </c>
      <c r="U185" s="26" t="b">
        <f ca="1">IF(Checks!C185,IF(UPPER(Data!C185)="DATA OBJECT",NOT(ISERROR(MATCH(Data!A185&amp;"||"&amp;Data!BW185&amp;Data!BX185,Key,0))),TRUE),TRUE)</f>
        <v>1</v>
      </c>
      <c r="V185" s="26" t="b">
        <f>IF(Checks!C185,IF(UPPER(Data!C185)="SUB PROCESS",Data!BY185&lt;&gt;"",TRUE),TRUE)</f>
        <v>1</v>
      </c>
      <c r="W185" s="26" t="b">
        <f>IF(Checks!C185,IF(UPPER(Data!C185)="SERVICE TASK",AND(Data!BZ185&lt;&gt;"",Data!CA185&lt;&gt;""),TRUE),TRUE)</f>
        <v>1</v>
      </c>
      <c r="X185" s="26" t="b">
        <f t="array" aca="1" ref="X185" ca="1">SUM((OFFSET(Data!B185,MAX(ROW(Data!$B$5)-ROW(Data!B185),-200),0,400,1)=Data!B185)*(OFFSET(Data!A185,MAX(ROW(Data!$B$5)-ROW(Data!B185),-200),0,400,1)=Data!A185))=1</f>
        <v>1</v>
      </c>
      <c r="Y185" s="26" t="b">
        <f t="array" aca="1" ref="Y185" ca="1">IF(UPPER(Data!C185)="START",SUM((OFFSET(Data!C185,MAX(ROW(Data!$C$5)-ROW(Data!C185),-200),0,400,1)="START")*(OFFSET(Data!A185,MAX(ROW(Data!$B$5)-ROW(Data!B185),-200),0,400,1)=Data!A185))=1,TRUE)</f>
        <v>1</v>
      </c>
      <c r="Z185" s="26" t="b">
        <f t="array" aca="1" ref="Z185" ca="1">IF(UPPER(Data!C185)="END",SUM((OFFSET(Data!C185,MAX(ROW(Data!$C$5)-ROW(Data!C185),-200),0,400,1)="END")*(OFFSET(Data!A185,MAX(ROW(Data!$B$5)-ROW(Data!B185),-200),0,400,1)=Data!A185))=1,TRUE)</f>
        <v>1</v>
      </c>
      <c r="AA185" s="26" t="b">
        <f>IF(Checks!C185,ISERROR(FIND("&amp;",Data!D185)),TRUE)</f>
        <v>1</v>
      </c>
      <c r="AB185" s="26" t="b">
        <f>IF(Checks!$C185,IF(AND(UPPER(Data!$C185)&lt;&gt;"START",UPPER(Data!$C185)&lt;&gt;"DATA OBJECT",Data!E185&lt;&gt;""),NOT(ISERROR(MATCH(Data!$A185&amp;"||"&amp;Data!E185,Key,0))),TRUE),TRUE)</f>
        <v>1</v>
      </c>
      <c r="AC185" s="27" t="b">
        <f>IF(Checks!C185,IF(UPPER(Data!C185)="END",Data!E185&lt;&gt;"",TRUE),TRUE)</f>
        <v>1</v>
      </c>
    </row>
    <row r="186" spans="1:29" x14ac:dyDescent="0.25">
      <c r="A186" s="1" t="str">
        <f>Data!A186&amp;"||"&amp;Data!B186</f>
        <v>Miscellaneous/subflow/irmifrs9_adjustment_alloc.bpmn||010_01_00</v>
      </c>
      <c r="B186" s="19"/>
      <c r="C186" s="24" t="b">
        <f>AND(UPPER(Data!A186)&lt;&gt;"EMPTY",Data!B186&lt;&gt;"")</f>
        <v>1</v>
      </c>
      <c r="D186" s="1"/>
      <c r="E186" s="25" t="b">
        <f t="shared" ca="1" si="4"/>
        <v>1</v>
      </c>
      <c r="F186" s="26" t="b">
        <f ca="1">IF(UPPER(Data!C186)="SUB PROCESS",NOT(ISERROR(MATCH(RIGHT(Data!BY186,LEN(Data!BY186)-5),OFFSET(Data,0,0,ItemsCount,1),0))),TRUE)</f>
        <v>1</v>
      </c>
      <c r="G186" s="26" t="b">
        <f ca="1">IF(MID(UPPER(Data!A186),1,13)="MISCELLANEOUS",NOT(ISERROR(MATCH("path="&amp;Data!A186,OFFSET(Data,0,76,ItemsCount,1),0))),TRUE)</f>
        <v>1</v>
      </c>
      <c r="L186" s="25" t="b">
        <f t="shared" ca="1" si="5"/>
        <v>1</v>
      </c>
      <c r="M186" s="24" t="b">
        <f>IF(Checks!$C186,Data!A186&lt;&gt;"",TRUE)</f>
        <v>1</v>
      </c>
      <c r="N186" s="26" t="b">
        <f>IF(Checks!C186,Data!B186&lt;&gt;"",TRUE)</f>
        <v>1</v>
      </c>
      <c r="O186" s="26" t="b">
        <f>IF(Checks!C186,IF(AND(UPPER(Data!C186)="SERVICE TASK",UPPER(Data!BZ186)="TYPE=SAS"),NodeExists(TRIM(RIGHT(Data!CA186,LEN(Data!CA186)-FIND("=",Data!CA186)))),TRUE),TRUE)</f>
        <v>1</v>
      </c>
      <c r="P186" s="26" t="b">
        <f>IF(Checks!C186,IF(Data!C186="DATA OBJECT",OR(AND(Data!BW186&lt;&gt;"",Data!BX186=""),AND(Data!BW186="",Data!BX186&lt;&gt;"")),TRUE),TRUE)</f>
        <v>1</v>
      </c>
      <c r="Q186" s="26" t="b">
        <f>IF(Checks!C186,UPPER(RIGHT(Data!A186,5))=".BPMN",TRUE)</f>
        <v>1</v>
      </c>
      <c r="R186" s="26" t="b">
        <f>IF(Checks!C186,IF(UPPER(Data!C186)="SUB PROCESS",UPPER(RIGHT(Data!BY186,5))=".BPMN",TRUE),TRUE)</f>
        <v>1</v>
      </c>
      <c r="S186" s="26" t="b">
        <f>IF(Checks!C186,IF(UPPER(Data!C186)="SERVICE TASK",IF(UPPER(Data!BZ186)="TYPE=SAS",UPPER(RIGHT(Data!CA186,4))=".SAS",TRUE),TRUE),TRUE)</f>
        <v>1</v>
      </c>
      <c r="T186" s="26" t="b">
        <f>IF(Checks!C186,IF(Data!B186&lt;&gt;"",Data!D186&lt;&gt;"",TRUE),TRUE)</f>
        <v>1</v>
      </c>
      <c r="U186" s="26" t="b">
        <f ca="1">IF(Checks!C186,IF(UPPER(Data!C186)="DATA OBJECT",NOT(ISERROR(MATCH(Data!A186&amp;"||"&amp;Data!BW186&amp;Data!BX186,Key,0))),TRUE),TRUE)</f>
        <v>1</v>
      </c>
      <c r="V186" s="26" t="b">
        <f>IF(Checks!C186,IF(UPPER(Data!C186)="SUB PROCESS",Data!BY186&lt;&gt;"",TRUE),TRUE)</f>
        <v>1</v>
      </c>
      <c r="W186" s="26" t="b">
        <f>IF(Checks!C186,IF(UPPER(Data!C186)="SERVICE TASK",AND(Data!BZ186&lt;&gt;"",Data!CA186&lt;&gt;""),TRUE),TRUE)</f>
        <v>1</v>
      </c>
      <c r="X186" s="26" t="b">
        <f t="array" aca="1" ref="X186" ca="1">SUM((OFFSET(Data!B186,MAX(ROW(Data!$B$5)-ROW(Data!B186),-200),0,400,1)=Data!B186)*(OFFSET(Data!A186,MAX(ROW(Data!$B$5)-ROW(Data!B186),-200),0,400,1)=Data!A186))=1</f>
        <v>1</v>
      </c>
      <c r="Y186" s="26" t="b">
        <f t="array" aca="1" ref="Y186" ca="1">IF(UPPER(Data!C186)="START",SUM((OFFSET(Data!C186,MAX(ROW(Data!$C$5)-ROW(Data!C186),-200),0,400,1)="START")*(OFFSET(Data!A186,MAX(ROW(Data!$B$5)-ROW(Data!B186),-200),0,400,1)=Data!A186))=1,TRUE)</f>
        <v>1</v>
      </c>
      <c r="Z186" s="26" t="b">
        <f t="array" aca="1" ref="Z186" ca="1">IF(UPPER(Data!C186)="END",SUM((OFFSET(Data!C186,MAX(ROW(Data!$C$5)-ROW(Data!C186),-200),0,400,1)="END")*(OFFSET(Data!A186,MAX(ROW(Data!$B$5)-ROW(Data!B186),-200),0,400,1)=Data!A186))=1,TRUE)</f>
        <v>1</v>
      </c>
      <c r="AA186" s="26" t="b">
        <f>IF(Checks!C186,ISERROR(FIND("&amp;",Data!D186)),TRUE)</f>
        <v>1</v>
      </c>
      <c r="AB186" s="26" t="b">
        <f>IF(Checks!$C186,IF(AND(UPPER(Data!$C186)&lt;&gt;"START",UPPER(Data!$C186)&lt;&gt;"DATA OBJECT",Data!E186&lt;&gt;""),NOT(ISERROR(MATCH(Data!$A186&amp;"||"&amp;Data!E186,Key,0))),TRUE),TRUE)</f>
        <v>1</v>
      </c>
      <c r="AC186" s="27" t="b">
        <f>IF(Checks!C186,IF(UPPER(Data!C186)="END",Data!E186&lt;&gt;"",TRUE),TRUE)</f>
        <v>1</v>
      </c>
    </row>
    <row r="187" spans="1:29" x14ac:dyDescent="0.25">
      <c r="A187" s="1" t="str">
        <f>Data!A187&amp;"||"&amp;Data!B187</f>
        <v>Miscellaneous/subflow/irmifrs9_adjustment_alloc.bpmn||010_02_00</v>
      </c>
      <c r="B187" s="19"/>
      <c r="C187" s="24" t="b">
        <f>AND(UPPER(Data!A187)&lt;&gt;"EMPTY",Data!B187&lt;&gt;"")</f>
        <v>1</v>
      </c>
      <c r="D187" s="1"/>
      <c r="E187" s="25" t="b">
        <f t="shared" ca="1" si="4"/>
        <v>1</v>
      </c>
      <c r="F187" s="26" t="b">
        <f ca="1">IF(UPPER(Data!C187)="SUB PROCESS",NOT(ISERROR(MATCH(RIGHT(Data!BY187,LEN(Data!BY187)-5),OFFSET(Data,0,0,ItemsCount,1),0))),TRUE)</f>
        <v>1</v>
      </c>
      <c r="G187" s="26" t="b">
        <f ca="1">IF(MID(UPPER(Data!A187),1,13)="MISCELLANEOUS",NOT(ISERROR(MATCH("path="&amp;Data!A187,OFFSET(Data,0,76,ItemsCount,1),0))),TRUE)</f>
        <v>1</v>
      </c>
      <c r="L187" s="25" t="b">
        <f t="shared" ca="1" si="5"/>
        <v>1</v>
      </c>
      <c r="M187" s="24" t="b">
        <f>IF(Checks!$C187,Data!A187&lt;&gt;"",TRUE)</f>
        <v>1</v>
      </c>
      <c r="N187" s="26" t="b">
        <f>IF(Checks!C187,Data!B187&lt;&gt;"",TRUE)</f>
        <v>1</v>
      </c>
      <c r="O187" s="26" t="b">
        <f>IF(Checks!C187,IF(AND(UPPER(Data!C187)="SERVICE TASK",UPPER(Data!BZ187)="TYPE=SAS"),NodeExists(TRIM(RIGHT(Data!CA187,LEN(Data!CA187)-FIND("=",Data!CA187)))),TRUE),TRUE)</f>
        <v>1</v>
      </c>
      <c r="P187" s="26" t="b">
        <f>IF(Checks!C187,IF(Data!C187="DATA OBJECT",OR(AND(Data!BW187&lt;&gt;"",Data!BX187=""),AND(Data!BW187="",Data!BX187&lt;&gt;"")),TRUE),TRUE)</f>
        <v>1</v>
      </c>
      <c r="Q187" s="26" t="b">
        <f>IF(Checks!C187,UPPER(RIGHT(Data!A187,5))=".BPMN",TRUE)</f>
        <v>1</v>
      </c>
      <c r="R187" s="26" t="b">
        <f>IF(Checks!C187,IF(UPPER(Data!C187)="SUB PROCESS",UPPER(RIGHT(Data!BY187,5))=".BPMN",TRUE),TRUE)</f>
        <v>1</v>
      </c>
      <c r="S187" s="26" t="b">
        <f>IF(Checks!C187,IF(UPPER(Data!C187)="SERVICE TASK",IF(UPPER(Data!BZ187)="TYPE=SAS",UPPER(RIGHT(Data!CA187,4))=".SAS",TRUE),TRUE),TRUE)</f>
        <v>1</v>
      </c>
      <c r="T187" s="26" t="b">
        <f>IF(Checks!C187,IF(Data!B187&lt;&gt;"",Data!D187&lt;&gt;"",TRUE),TRUE)</f>
        <v>1</v>
      </c>
      <c r="U187" s="26" t="b">
        <f ca="1">IF(Checks!C187,IF(UPPER(Data!C187)="DATA OBJECT",NOT(ISERROR(MATCH(Data!A187&amp;"||"&amp;Data!BW187&amp;Data!BX187,Key,0))),TRUE),TRUE)</f>
        <v>1</v>
      </c>
      <c r="V187" s="26" t="b">
        <f>IF(Checks!C187,IF(UPPER(Data!C187)="SUB PROCESS",Data!BY187&lt;&gt;"",TRUE),TRUE)</f>
        <v>1</v>
      </c>
      <c r="W187" s="26" t="b">
        <f>IF(Checks!C187,IF(UPPER(Data!C187)="SERVICE TASK",AND(Data!BZ187&lt;&gt;"",Data!CA187&lt;&gt;""),TRUE),TRUE)</f>
        <v>1</v>
      </c>
      <c r="X187" s="26" t="b">
        <f t="array" aca="1" ref="X187" ca="1">SUM((OFFSET(Data!B187,MAX(ROW(Data!$B$5)-ROW(Data!B187),-200),0,400,1)=Data!B187)*(OFFSET(Data!A187,MAX(ROW(Data!$B$5)-ROW(Data!B187),-200),0,400,1)=Data!A187))=1</f>
        <v>1</v>
      </c>
      <c r="Y187" s="26" t="b">
        <f t="array" aca="1" ref="Y187" ca="1">IF(UPPER(Data!C187)="START",SUM((OFFSET(Data!C187,MAX(ROW(Data!$C$5)-ROW(Data!C187),-200),0,400,1)="START")*(OFFSET(Data!A187,MAX(ROW(Data!$B$5)-ROW(Data!B187),-200),0,400,1)=Data!A187))=1,TRUE)</f>
        <v>1</v>
      </c>
      <c r="Z187" s="26" t="b">
        <f t="array" aca="1" ref="Z187" ca="1">IF(UPPER(Data!C187)="END",SUM((OFFSET(Data!C187,MAX(ROW(Data!$C$5)-ROW(Data!C187),-200),0,400,1)="END")*(OFFSET(Data!A187,MAX(ROW(Data!$B$5)-ROW(Data!B187),-200),0,400,1)=Data!A187))=1,TRUE)</f>
        <v>1</v>
      </c>
      <c r="AA187" s="26" t="b">
        <f>IF(Checks!C187,ISERROR(FIND("&amp;",Data!D187)),TRUE)</f>
        <v>1</v>
      </c>
      <c r="AB187" s="26" t="b">
        <f>IF(Checks!$C187,IF(AND(UPPER(Data!$C187)&lt;&gt;"START",UPPER(Data!$C187)&lt;&gt;"DATA OBJECT",Data!E187&lt;&gt;""),NOT(ISERROR(MATCH(Data!$A187&amp;"||"&amp;Data!E187,Key,0))),TRUE),TRUE)</f>
        <v>1</v>
      </c>
      <c r="AC187" s="27" t="b">
        <f>IF(Checks!C187,IF(UPPER(Data!C187)="END",Data!E187&lt;&gt;"",TRUE),TRUE)</f>
        <v>1</v>
      </c>
    </row>
    <row r="188" spans="1:29" x14ac:dyDescent="0.25">
      <c r="A188" s="1" t="str">
        <f>Data!A188&amp;"||"&amp;Data!B188</f>
        <v>Miscellaneous/subflow/irmifrs9_adjustment_alloc.bpmn||010_03_00</v>
      </c>
      <c r="B188" s="19"/>
      <c r="C188" s="24" t="b">
        <f>AND(UPPER(Data!A188)&lt;&gt;"EMPTY",Data!B188&lt;&gt;"")</f>
        <v>1</v>
      </c>
      <c r="D188" s="1"/>
      <c r="E188" s="25" t="b">
        <f t="shared" ca="1" si="4"/>
        <v>1</v>
      </c>
      <c r="F188" s="26" t="b">
        <f ca="1">IF(UPPER(Data!C188)="SUB PROCESS",NOT(ISERROR(MATCH(RIGHT(Data!BY188,LEN(Data!BY188)-5),OFFSET(Data,0,0,ItemsCount,1),0))),TRUE)</f>
        <v>1</v>
      </c>
      <c r="G188" s="26" t="b">
        <f ca="1">IF(MID(UPPER(Data!A188),1,13)="MISCELLANEOUS",NOT(ISERROR(MATCH("path="&amp;Data!A188,OFFSET(Data,0,76,ItemsCount,1),0))),TRUE)</f>
        <v>1</v>
      </c>
      <c r="L188" s="25" t="b">
        <f t="shared" ca="1" si="5"/>
        <v>1</v>
      </c>
      <c r="M188" s="24" t="b">
        <f>IF(Checks!$C188,Data!A188&lt;&gt;"",TRUE)</f>
        <v>1</v>
      </c>
      <c r="N188" s="26" t="b">
        <f>IF(Checks!C188,Data!B188&lt;&gt;"",TRUE)</f>
        <v>1</v>
      </c>
      <c r="O188" s="26" t="b">
        <f>IF(Checks!C188,IF(AND(UPPER(Data!C188)="SERVICE TASK",UPPER(Data!BZ188)="TYPE=SAS"),NodeExists(TRIM(RIGHT(Data!CA188,LEN(Data!CA188)-FIND("=",Data!CA188)))),TRUE),TRUE)</f>
        <v>1</v>
      </c>
      <c r="P188" s="26" t="b">
        <f>IF(Checks!C188,IF(Data!C188="DATA OBJECT",OR(AND(Data!BW188&lt;&gt;"",Data!BX188=""),AND(Data!BW188="",Data!BX188&lt;&gt;"")),TRUE),TRUE)</f>
        <v>1</v>
      </c>
      <c r="Q188" s="26" t="b">
        <f>IF(Checks!C188,UPPER(RIGHT(Data!A188,5))=".BPMN",TRUE)</f>
        <v>1</v>
      </c>
      <c r="R188" s="26" t="b">
        <f>IF(Checks!C188,IF(UPPER(Data!C188)="SUB PROCESS",UPPER(RIGHT(Data!BY188,5))=".BPMN",TRUE),TRUE)</f>
        <v>1</v>
      </c>
      <c r="S188" s="26" t="b">
        <f>IF(Checks!C188,IF(UPPER(Data!C188)="SERVICE TASK",IF(UPPER(Data!BZ188)="TYPE=SAS",UPPER(RIGHT(Data!CA188,4))=".SAS",TRUE),TRUE),TRUE)</f>
        <v>1</v>
      </c>
      <c r="T188" s="26" t="b">
        <f>IF(Checks!C188,IF(Data!B188&lt;&gt;"",Data!D188&lt;&gt;"",TRUE),TRUE)</f>
        <v>1</v>
      </c>
      <c r="U188" s="26" t="b">
        <f ca="1">IF(Checks!C188,IF(UPPER(Data!C188)="DATA OBJECT",NOT(ISERROR(MATCH(Data!A188&amp;"||"&amp;Data!BW188&amp;Data!BX188,Key,0))),TRUE),TRUE)</f>
        <v>1</v>
      </c>
      <c r="V188" s="26" t="b">
        <f>IF(Checks!C188,IF(UPPER(Data!C188)="SUB PROCESS",Data!BY188&lt;&gt;"",TRUE),TRUE)</f>
        <v>1</v>
      </c>
      <c r="W188" s="26" t="b">
        <f>IF(Checks!C188,IF(UPPER(Data!C188)="SERVICE TASK",AND(Data!BZ188&lt;&gt;"",Data!CA188&lt;&gt;""),TRUE),TRUE)</f>
        <v>1</v>
      </c>
      <c r="X188" s="26" t="b">
        <f t="array" aca="1" ref="X188" ca="1">SUM((OFFSET(Data!B188,MAX(ROW(Data!$B$5)-ROW(Data!B188),-200),0,400,1)=Data!B188)*(OFFSET(Data!A188,MAX(ROW(Data!$B$5)-ROW(Data!B188),-200),0,400,1)=Data!A188))=1</f>
        <v>1</v>
      </c>
      <c r="Y188" s="26" t="b">
        <f t="array" aca="1" ref="Y188" ca="1">IF(UPPER(Data!C188)="START",SUM((OFFSET(Data!C188,MAX(ROW(Data!$C$5)-ROW(Data!C188),-200),0,400,1)="START")*(OFFSET(Data!A188,MAX(ROW(Data!$B$5)-ROW(Data!B188),-200),0,400,1)=Data!A188))=1,TRUE)</f>
        <v>1</v>
      </c>
      <c r="Z188" s="26" t="b">
        <f t="array" aca="1" ref="Z188" ca="1">IF(UPPER(Data!C188)="END",SUM((OFFSET(Data!C188,MAX(ROW(Data!$C$5)-ROW(Data!C188),-200),0,400,1)="END")*(OFFSET(Data!A188,MAX(ROW(Data!$B$5)-ROW(Data!B188),-200),0,400,1)=Data!A188))=1,TRUE)</f>
        <v>1</v>
      </c>
      <c r="AA188" s="26" t="b">
        <f>IF(Checks!C188,ISERROR(FIND("&amp;",Data!D188)),TRUE)</f>
        <v>1</v>
      </c>
      <c r="AB188" s="26" t="b">
        <f>IF(Checks!$C188,IF(AND(UPPER(Data!$C188)&lt;&gt;"START",UPPER(Data!$C188)&lt;&gt;"DATA OBJECT",Data!E188&lt;&gt;""),NOT(ISERROR(MATCH(Data!$A188&amp;"||"&amp;Data!E188,Key,0))),TRUE),TRUE)</f>
        <v>1</v>
      </c>
      <c r="AC188" s="27" t="b">
        <f>IF(Checks!C188,IF(UPPER(Data!C188)="END",Data!E188&lt;&gt;"",TRUE),TRUE)</f>
        <v>1</v>
      </c>
    </row>
    <row r="189" spans="1:29" x14ac:dyDescent="0.25">
      <c r="A189" s="1" t="str">
        <f>Data!A189&amp;"||"&amp;Data!B189</f>
        <v>Miscellaneous/subflow/irmifrs9_adjustment_alloc.bpmn||010_04_00</v>
      </c>
      <c r="B189" s="19"/>
      <c r="C189" s="24" t="b">
        <f>AND(UPPER(Data!A189)&lt;&gt;"EMPTY",Data!B189&lt;&gt;"")</f>
        <v>1</v>
      </c>
      <c r="D189" s="1"/>
      <c r="E189" s="25" t="b">
        <f t="shared" ca="1" si="4"/>
        <v>1</v>
      </c>
      <c r="F189" s="26" t="b">
        <f ca="1">IF(UPPER(Data!C189)="SUB PROCESS",NOT(ISERROR(MATCH(RIGHT(Data!BY189,LEN(Data!BY189)-5),OFFSET(Data,0,0,ItemsCount,1),0))),TRUE)</f>
        <v>1</v>
      </c>
      <c r="G189" s="26" t="b">
        <f ca="1">IF(MID(UPPER(Data!A189),1,13)="MISCELLANEOUS",NOT(ISERROR(MATCH("path="&amp;Data!A189,OFFSET(Data,0,76,ItemsCount,1),0))),TRUE)</f>
        <v>1</v>
      </c>
      <c r="L189" s="25" t="b">
        <f t="shared" ca="1" si="5"/>
        <v>1</v>
      </c>
      <c r="M189" s="24" t="b">
        <f>IF(Checks!$C189,Data!A189&lt;&gt;"",TRUE)</f>
        <v>1</v>
      </c>
      <c r="N189" s="26" t="b">
        <f>IF(Checks!C189,Data!B189&lt;&gt;"",TRUE)</f>
        <v>1</v>
      </c>
      <c r="O189" s="26" t="b">
        <f>IF(Checks!C189,IF(AND(UPPER(Data!C189)="SERVICE TASK",UPPER(Data!BZ189)="TYPE=SAS"),NodeExists(TRIM(RIGHT(Data!CA189,LEN(Data!CA189)-FIND("=",Data!CA189)))),TRUE),TRUE)</f>
        <v>1</v>
      </c>
      <c r="P189" s="26" t="b">
        <f>IF(Checks!C189,IF(Data!C189="DATA OBJECT",OR(AND(Data!BW189&lt;&gt;"",Data!BX189=""),AND(Data!BW189="",Data!BX189&lt;&gt;"")),TRUE),TRUE)</f>
        <v>1</v>
      </c>
      <c r="Q189" s="26" t="b">
        <f>IF(Checks!C189,UPPER(RIGHT(Data!A189,5))=".BPMN",TRUE)</f>
        <v>1</v>
      </c>
      <c r="R189" s="26" t="b">
        <f>IF(Checks!C189,IF(UPPER(Data!C189)="SUB PROCESS",UPPER(RIGHT(Data!BY189,5))=".BPMN",TRUE),TRUE)</f>
        <v>1</v>
      </c>
      <c r="S189" s="26" t="b">
        <f>IF(Checks!C189,IF(UPPER(Data!C189)="SERVICE TASK",IF(UPPER(Data!BZ189)="TYPE=SAS",UPPER(RIGHT(Data!CA189,4))=".SAS",TRUE),TRUE),TRUE)</f>
        <v>1</v>
      </c>
      <c r="T189" s="26" t="b">
        <f>IF(Checks!C189,IF(Data!B189&lt;&gt;"",Data!D189&lt;&gt;"",TRUE),TRUE)</f>
        <v>1</v>
      </c>
      <c r="U189" s="26" t="b">
        <f ca="1">IF(Checks!C189,IF(UPPER(Data!C189)="DATA OBJECT",NOT(ISERROR(MATCH(Data!A189&amp;"||"&amp;Data!BW189&amp;Data!BX189,Key,0))),TRUE),TRUE)</f>
        <v>1</v>
      </c>
      <c r="V189" s="26" t="b">
        <f>IF(Checks!C189,IF(UPPER(Data!C189)="SUB PROCESS",Data!BY189&lt;&gt;"",TRUE),TRUE)</f>
        <v>1</v>
      </c>
      <c r="W189" s="26" t="b">
        <f>IF(Checks!C189,IF(UPPER(Data!C189)="SERVICE TASK",AND(Data!BZ189&lt;&gt;"",Data!CA189&lt;&gt;""),TRUE),TRUE)</f>
        <v>1</v>
      </c>
      <c r="X189" s="26" t="b">
        <f t="array" aca="1" ref="X189" ca="1">SUM((OFFSET(Data!B189,MAX(ROW(Data!$B$5)-ROW(Data!B189),-200),0,400,1)=Data!B189)*(OFFSET(Data!A189,MAX(ROW(Data!$B$5)-ROW(Data!B189),-200),0,400,1)=Data!A189))=1</f>
        <v>1</v>
      </c>
      <c r="Y189" s="26" t="b">
        <f t="array" aca="1" ref="Y189" ca="1">IF(UPPER(Data!C189)="START",SUM((OFFSET(Data!C189,MAX(ROW(Data!$C$5)-ROW(Data!C189),-200),0,400,1)="START")*(OFFSET(Data!A189,MAX(ROW(Data!$B$5)-ROW(Data!B189),-200),0,400,1)=Data!A189))=1,TRUE)</f>
        <v>1</v>
      </c>
      <c r="Z189" s="26" t="b">
        <f t="array" aca="1" ref="Z189" ca="1">IF(UPPER(Data!C189)="END",SUM((OFFSET(Data!C189,MAX(ROW(Data!$C$5)-ROW(Data!C189),-200),0,400,1)="END")*(OFFSET(Data!A189,MAX(ROW(Data!$B$5)-ROW(Data!B189),-200),0,400,1)=Data!A189))=1,TRUE)</f>
        <v>1</v>
      </c>
      <c r="AA189" s="26" t="b">
        <f>IF(Checks!C189,ISERROR(FIND("&amp;",Data!D189)),TRUE)</f>
        <v>1</v>
      </c>
      <c r="AB189" s="26" t="b">
        <f>IF(Checks!$C189,IF(AND(UPPER(Data!$C189)&lt;&gt;"START",UPPER(Data!$C189)&lt;&gt;"DATA OBJECT",Data!E189&lt;&gt;""),NOT(ISERROR(MATCH(Data!$A189&amp;"||"&amp;Data!E189,Key,0))),TRUE),TRUE)</f>
        <v>1</v>
      </c>
      <c r="AC189" s="27" t="b">
        <f>IF(Checks!C189,IF(UPPER(Data!C189)="END",Data!E189&lt;&gt;"",TRUE),TRUE)</f>
        <v>1</v>
      </c>
    </row>
    <row r="190" spans="1:29" x14ac:dyDescent="0.25">
      <c r="A190" s="1" t="str">
        <f>Data!A190&amp;"||"&amp;Data!B190</f>
        <v>Miscellaneous/subflow/irmifrs9_adjustment_alloc.bpmn||020_00_00</v>
      </c>
      <c r="B190" s="19"/>
      <c r="C190" s="24" t="b">
        <f>AND(UPPER(Data!A190)&lt;&gt;"EMPTY",Data!B190&lt;&gt;"")</f>
        <v>1</v>
      </c>
      <c r="D190" s="1"/>
      <c r="E190" s="25" t="b">
        <f t="shared" ca="1" si="4"/>
        <v>1</v>
      </c>
      <c r="F190" s="26" t="b">
        <f ca="1">IF(UPPER(Data!C190)="SUB PROCESS",NOT(ISERROR(MATCH(RIGHT(Data!BY190,LEN(Data!BY190)-5),OFFSET(Data,0,0,ItemsCount,1),0))),TRUE)</f>
        <v>1</v>
      </c>
      <c r="G190" s="26" t="b">
        <f ca="1">IF(MID(UPPER(Data!A190),1,13)="MISCELLANEOUS",NOT(ISERROR(MATCH("path="&amp;Data!A190,OFFSET(Data,0,76,ItemsCount,1),0))),TRUE)</f>
        <v>1</v>
      </c>
      <c r="L190" s="25" t="b">
        <f t="shared" ca="1" si="5"/>
        <v>1</v>
      </c>
      <c r="M190" s="24" t="b">
        <f>IF(Checks!$C190,Data!A190&lt;&gt;"",TRUE)</f>
        <v>1</v>
      </c>
      <c r="N190" s="26" t="b">
        <f>IF(Checks!C190,Data!B190&lt;&gt;"",TRUE)</f>
        <v>1</v>
      </c>
      <c r="O190" s="26" t="b">
        <f>IF(Checks!C190,IF(AND(UPPER(Data!C190)="SERVICE TASK",UPPER(Data!BZ190)="TYPE=SAS"),NodeExists(TRIM(RIGHT(Data!CA190,LEN(Data!CA190)-FIND("=",Data!CA190)))),TRUE),TRUE)</f>
        <v>1</v>
      </c>
      <c r="P190" s="26" t="b">
        <f>IF(Checks!C190,IF(Data!C190="DATA OBJECT",OR(AND(Data!BW190&lt;&gt;"",Data!BX190=""),AND(Data!BW190="",Data!BX190&lt;&gt;"")),TRUE),TRUE)</f>
        <v>1</v>
      </c>
      <c r="Q190" s="26" t="b">
        <f>IF(Checks!C190,UPPER(RIGHT(Data!A190,5))=".BPMN",TRUE)</f>
        <v>1</v>
      </c>
      <c r="R190" s="26" t="b">
        <f>IF(Checks!C190,IF(UPPER(Data!C190)="SUB PROCESS",UPPER(RIGHT(Data!BY190,5))=".BPMN",TRUE),TRUE)</f>
        <v>1</v>
      </c>
      <c r="S190" s="26" t="b">
        <f>IF(Checks!C190,IF(UPPER(Data!C190)="SERVICE TASK",IF(UPPER(Data!BZ190)="TYPE=SAS",UPPER(RIGHT(Data!CA190,4))=".SAS",TRUE),TRUE),TRUE)</f>
        <v>1</v>
      </c>
      <c r="T190" s="26" t="b">
        <f>IF(Checks!C190,IF(Data!B190&lt;&gt;"",Data!D190&lt;&gt;"",TRUE),TRUE)</f>
        <v>1</v>
      </c>
      <c r="U190" s="26" t="b">
        <f>IF(Checks!C190,IF(UPPER(Data!C190)="DATA OBJECT",NOT(ISERROR(MATCH(Data!A190&amp;"||"&amp;Data!BW190&amp;Data!BX190,Key,0))),TRUE),TRUE)</f>
        <v>1</v>
      </c>
      <c r="V190" s="26" t="b">
        <f>IF(Checks!C190,IF(UPPER(Data!C190)="SUB PROCESS",Data!BY190&lt;&gt;"",TRUE),TRUE)</f>
        <v>1</v>
      </c>
      <c r="W190" s="26" t="b">
        <f>IF(Checks!C190,IF(UPPER(Data!C190)="SERVICE TASK",AND(Data!BZ190&lt;&gt;"",Data!CA190&lt;&gt;""),TRUE),TRUE)</f>
        <v>1</v>
      </c>
      <c r="X190" s="26" t="b">
        <f t="array" aca="1" ref="X190" ca="1">SUM((OFFSET(Data!B190,MAX(ROW(Data!$B$5)-ROW(Data!B190),-200),0,400,1)=Data!B190)*(OFFSET(Data!A190,MAX(ROW(Data!$B$5)-ROW(Data!B190),-200),0,400,1)=Data!A190))=1</f>
        <v>1</v>
      </c>
      <c r="Y190" s="26" t="b">
        <f t="array" aca="1" ref="Y190" ca="1">IF(UPPER(Data!C190)="START",SUM((OFFSET(Data!C190,MAX(ROW(Data!$C$5)-ROW(Data!C190),-200),0,400,1)="START")*(OFFSET(Data!A190,MAX(ROW(Data!$B$5)-ROW(Data!B190),-200),0,400,1)=Data!A190))=1,TRUE)</f>
        <v>1</v>
      </c>
      <c r="Z190" s="26" t="b">
        <f t="array" aca="1" ref="Z190" ca="1">IF(UPPER(Data!C190)="END",SUM((OFFSET(Data!C190,MAX(ROW(Data!$C$5)-ROW(Data!C190),-200),0,400,1)="END")*(OFFSET(Data!A190,MAX(ROW(Data!$B$5)-ROW(Data!B190),-200),0,400,1)=Data!A190))=1,TRUE)</f>
        <v>1</v>
      </c>
      <c r="AA190" s="26" t="b">
        <f>IF(Checks!C190,ISERROR(FIND("&amp;",Data!D190)),TRUE)</f>
        <v>1</v>
      </c>
      <c r="AB190" s="26" t="b">
        <f ca="1">IF(Checks!$C190,IF(AND(UPPER(Data!$C190)&lt;&gt;"START",UPPER(Data!$C190)&lt;&gt;"DATA OBJECT",Data!E190&lt;&gt;""),NOT(ISERROR(MATCH(Data!$A190&amp;"||"&amp;Data!E190,Key,0))),TRUE),TRUE)</f>
        <v>1</v>
      </c>
      <c r="AC190" s="27" t="b">
        <f>IF(Checks!C190,IF(UPPER(Data!C190)="END",Data!E190&lt;&gt;"",TRUE),TRUE)</f>
        <v>1</v>
      </c>
    </row>
    <row r="191" spans="1:29" x14ac:dyDescent="0.25">
      <c r="A191" s="1" t="str">
        <f>Data!A191&amp;"||"&amp;Data!B191</f>
        <v>Miscellaneous/subflow/irmifrs9_adjustment_alloc.bpmn||020_00_01</v>
      </c>
      <c r="B191" s="19"/>
      <c r="C191" s="24" t="b">
        <f>AND(UPPER(Data!A191)&lt;&gt;"EMPTY",Data!B191&lt;&gt;"")</f>
        <v>1</v>
      </c>
      <c r="D191" s="1"/>
      <c r="E191" s="25" t="b">
        <f t="shared" ca="1" si="4"/>
        <v>1</v>
      </c>
      <c r="F191" s="26" t="b">
        <f ca="1">IF(UPPER(Data!C191)="SUB PROCESS",NOT(ISERROR(MATCH(RIGHT(Data!BY191,LEN(Data!BY191)-5),OFFSET(Data,0,0,ItemsCount,1),0))),TRUE)</f>
        <v>1</v>
      </c>
      <c r="G191" s="26" t="b">
        <f ca="1">IF(MID(UPPER(Data!A191),1,13)="MISCELLANEOUS",NOT(ISERROR(MATCH("path="&amp;Data!A191,OFFSET(Data,0,76,ItemsCount,1),0))),TRUE)</f>
        <v>1</v>
      </c>
      <c r="L191" s="25" t="b">
        <f t="shared" ca="1" si="5"/>
        <v>1</v>
      </c>
      <c r="M191" s="24" t="b">
        <f>IF(Checks!$C191,Data!A191&lt;&gt;"",TRUE)</f>
        <v>1</v>
      </c>
      <c r="N191" s="26" t="b">
        <f>IF(Checks!C191,Data!B191&lt;&gt;"",TRUE)</f>
        <v>1</v>
      </c>
      <c r="O191" s="26" t="b">
        <f>IF(Checks!C191,IF(AND(UPPER(Data!C191)="SERVICE TASK",UPPER(Data!BZ191)="TYPE=SAS"),NodeExists(TRIM(RIGHT(Data!CA191,LEN(Data!CA191)-FIND("=",Data!CA191)))),TRUE),TRUE)</f>
        <v>1</v>
      </c>
      <c r="P191" s="26" t="b">
        <f>IF(Checks!C191,IF(Data!C191="DATA OBJECT",OR(AND(Data!BW191&lt;&gt;"",Data!BX191=""),AND(Data!BW191="",Data!BX191&lt;&gt;"")),TRUE),TRUE)</f>
        <v>1</v>
      </c>
      <c r="Q191" s="26" t="b">
        <f>IF(Checks!C191,UPPER(RIGHT(Data!A191,5))=".BPMN",TRUE)</f>
        <v>1</v>
      </c>
      <c r="R191" s="26" t="b">
        <f>IF(Checks!C191,IF(UPPER(Data!C191)="SUB PROCESS",UPPER(RIGHT(Data!BY191,5))=".BPMN",TRUE),TRUE)</f>
        <v>1</v>
      </c>
      <c r="S191" s="26" t="b">
        <f>IF(Checks!C191,IF(UPPER(Data!C191)="SERVICE TASK",IF(UPPER(Data!BZ191)="TYPE=SAS",UPPER(RIGHT(Data!CA191,4))=".SAS",TRUE),TRUE),TRUE)</f>
        <v>1</v>
      </c>
      <c r="T191" s="26" t="b">
        <f>IF(Checks!C191,IF(Data!B191&lt;&gt;"",Data!D191&lt;&gt;"",TRUE),TRUE)</f>
        <v>1</v>
      </c>
      <c r="U191" s="26" t="b">
        <f ca="1">IF(Checks!C191,IF(UPPER(Data!C191)="DATA OBJECT",NOT(ISERROR(MATCH(Data!A191&amp;"||"&amp;Data!BW191&amp;Data!BX191,Key,0))),TRUE),TRUE)</f>
        <v>1</v>
      </c>
      <c r="V191" s="26" t="b">
        <f>IF(Checks!C191,IF(UPPER(Data!C191)="SUB PROCESS",Data!BY191&lt;&gt;"",TRUE),TRUE)</f>
        <v>1</v>
      </c>
      <c r="W191" s="26" t="b">
        <f>IF(Checks!C191,IF(UPPER(Data!C191)="SERVICE TASK",AND(Data!BZ191&lt;&gt;"",Data!CA191&lt;&gt;""),TRUE),TRUE)</f>
        <v>1</v>
      </c>
      <c r="X191" s="26" t="b">
        <f t="array" aca="1" ref="X191" ca="1">SUM((OFFSET(Data!B191,MAX(ROW(Data!$B$5)-ROW(Data!B191),-200),0,400,1)=Data!B191)*(OFFSET(Data!A191,MAX(ROW(Data!$B$5)-ROW(Data!B191),-200),0,400,1)=Data!A191))=1</f>
        <v>1</v>
      </c>
      <c r="Y191" s="26" t="b">
        <f t="array" aca="1" ref="Y191" ca="1">IF(UPPER(Data!C191)="START",SUM((OFFSET(Data!C191,MAX(ROW(Data!$C$5)-ROW(Data!C191),-200),0,400,1)="START")*(OFFSET(Data!A191,MAX(ROW(Data!$B$5)-ROW(Data!B191),-200),0,400,1)=Data!A191))=1,TRUE)</f>
        <v>1</v>
      </c>
      <c r="Z191" s="26" t="b">
        <f t="array" aca="1" ref="Z191" ca="1">IF(UPPER(Data!C191)="END",SUM((OFFSET(Data!C191,MAX(ROW(Data!$C$5)-ROW(Data!C191),-200),0,400,1)="END")*(OFFSET(Data!A191,MAX(ROW(Data!$B$5)-ROW(Data!B191),-200),0,400,1)=Data!A191))=1,TRUE)</f>
        <v>1</v>
      </c>
      <c r="AA191" s="26" t="b">
        <f>IF(Checks!C191,ISERROR(FIND("&amp;",Data!D191)),TRUE)</f>
        <v>1</v>
      </c>
      <c r="AB191" s="26" t="b">
        <f>IF(Checks!$C191,IF(AND(UPPER(Data!$C191)&lt;&gt;"START",UPPER(Data!$C191)&lt;&gt;"DATA OBJECT",Data!E191&lt;&gt;""),NOT(ISERROR(MATCH(Data!$A191&amp;"||"&amp;Data!E191,Key,0))),TRUE),TRUE)</f>
        <v>1</v>
      </c>
      <c r="AC191" s="27" t="b">
        <f>IF(Checks!C191,IF(UPPER(Data!C191)="END",Data!E191&lt;&gt;"",TRUE),TRUE)</f>
        <v>1</v>
      </c>
    </row>
    <row r="192" spans="1:29" x14ac:dyDescent="0.25">
      <c r="A192" s="1" t="str">
        <f>Data!A192&amp;"||"&amp;Data!B192</f>
        <v>Miscellaneous/subflow/irmifrs9_adjustment_alloc.bpmn||020_00_02</v>
      </c>
      <c r="B192" s="19"/>
      <c r="C192" s="24" t="b">
        <f>AND(UPPER(Data!A192)&lt;&gt;"EMPTY",Data!B192&lt;&gt;"")</f>
        <v>1</v>
      </c>
      <c r="D192" s="1"/>
      <c r="E192" s="25" t="b">
        <f t="shared" ca="1" si="4"/>
        <v>1</v>
      </c>
      <c r="F192" s="26" t="b">
        <f ca="1">IF(UPPER(Data!C192)="SUB PROCESS",NOT(ISERROR(MATCH(RIGHT(Data!BY192,LEN(Data!BY192)-5),OFFSET(Data,0,0,ItemsCount,1),0))),TRUE)</f>
        <v>1</v>
      </c>
      <c r="G192" s="26" t="b">
        <f ca="1">IF(MID(UPPER(Data!A192),1,13)="MISCELLANEOUS",NOT(ISERROR(MATCH("path="&amp;Data!A192,OFFSET(Data,0,76,ItemsCount,1),0))),TRUE)</f>
        <v>1</v>
      </c>
      <c r="L192" s="25" t="b">
        <f t="shared" ca="1" si="5"/>
        <v>1</v>
      </c>
      <c r="M192" s="24" t="b">
        <f>IF(Checks!$C192,Data!A192&lt;&gt;"",TRUE)</f>
        <v>1</v>
      </c>
      <c r="N192" s="26" t="b">
        <f>IF(Checks!C192,Data!B192&lt;&gt;"",TRUE)</f>
        <v>1</v>
      </c>
      <c r="O192" s="26" t="b">
        <f>IF(Checks!C192,IF(AND(UPPER(Data!C192)="SERVICE TASK",UPPER(Data!BZ192)="TYPE=SAS"),NodeExists(TRIM(RIGHT(Data!CA192,LEN(Data!CA192)-FIND("=",Data!CA192)))),TRUE),TRUE)</f>
        <v>1</v>
      </c>
      <c r="P192" s="26" t="b">
        <f>IF(Checks!C192,IF(Data!C192="DATA OBJECT",OR(AND(Data!BW192&lt;&gt;"",Data!BX192=""),AND(Data!BW192="",Data!BX192&lt;&gt;"")),TRUE),TRUE)</f>
        <v>1</v>
      </c>
      <c r="Q192" s="26" t="b">
        <f>IF(Checks!C192,UPPER(RIGHT(Data!A192,5))=".BPMN",TRUE)</f>
        <v>1</v>
      </c>
      <c r="R192" s="26" t="b">
        <f>IF(Checks!C192,IF(UPPER(Data!C192)="SUB PROCESS",UPPER(RIGHT(Data!BY192,5))=".BPMN",TRUE),TRUE)</f>
        <v>1</v>
      </c>
      <c r="S192" s="26" t="b">
        <f>IF(Checks!C192,IF(UPPER(Data!C192)="SERVICE TASK",IF(UPPER(Data!BZ192)="TYPE=SAS",UPPER(RIGHT(Data!CA192,4))=".SAS",TRUE),TRUE),TRUE)</f>
        <v>1</v>
      </c>
      <c r="T192" s="26" t="b">
        <f>IF(Checks!C192,IF(Data!B192&lt;&gt;"",Data!D192&lt;&gt;"",TRUE),TRUE)</f>
        <v>1</v>
      </c>
      <c r="U192" s="26" t="b">
        <f ca="1">IF(Checks!C192,IF(UPPER(Data!C192)="DATA OBJECT",NOT(ISERROR(MATCH(Data!A192&amp;"||"&amp;Data!BW192&amp;Data!BX192,Key,0))),TRUE),TRUE)</f>
        <v>1</v>
      </c>
      <c r="V192" s="26" t="b">
        <f>IF(Checks!C192,IF(UPPER(Data!C192)="SUB PROCESS",Data!BY192&lt;&gt;"",TRUE),TRUE)</f>
        <v>1</v>
      </c>
      <c r="W192" s="26" t="b">
        <f>IF(Checks!C192,IF(UPPER(Data!C192)="SERVICE TASK",AND(Data!BZ192&lt;&gt;"",Data!CA192&lt;&gt;""),TRUE),TRUE)</f>
        <v>1</v>
      </c>
      <c r="X192" s="26" t="b">
        <f t="array" aca="1" ref="X192" ca="1">SUM((OFFSET(Data!B192,MAX(ROW(Data!$B$5)-ROW(Data!B192),-200),0,400,1)=Data!B192)*(OFFSET(Data!A192,MAX(ROW(Data!$B$5)-ROW(Data!B192),-200),0,400,1)=Data!A192))=1</f>
        <v>1</v>
      </c>
      <c r="Y192" s="26" t="b">
        <f t="array" aca="1" ref="Y192" ca="1">IF(UPPER(Data!C192)="START",SUM((OFFSET(Data!C192,MAX(ROW(Data!$C$5)-ROW(Data!C192),-200),0,400,1)="START")*(OFFSET(Data!A192,MAX(ROW(Data!$B$5)-ROW(Data!B192),-200),0,400,1)=Data!A192))=1,TRUE)</f>
        <v>1</v>
      </c>
      <c r="Z192" s="26" t="b">
        <f t="array" aca="1" ref="Z192" ca="1">IF(UPPER(Data!C192)="END",SUM((OFFSET(Data!C192,MAX(ROW(Data!$C$5)-ROW(Data!C192),-200),0,400,1)="END")*(OFFSET(Data!A192,MAX(ROW(Data!$B$5)-ROW(Data!B192),-200),0,400,1)=Data!A192))=1,TRUE)</f>
        <v>1</v>
      </c>
      <c r="AA192" s="26" t="b">
        <f>IF(Checks!C192,ISERROR(FIND("&amp;",Data!D192)),TRUE)</f>
        <v>1</v>
      </c>
      <c r="AB192" s="26" t="b">
        <f>IF(Checks!$C192,IF(AND(UPPER(Data!$C192)&lt;&gt;"START",UPPER(Data!$C192)&lt;&gt;"DATA OBJECT",Data!E192&lt;&gt;""),NOT(ISERROR(MATCH(Data!$A192&amp;"||"&amp;Data!E192,Key,0))),TRUE),TRUE)</f>
        <v>1</v>
      </c>
      <c r="AC192" s="27" t="b">
        <f>IF(Checks!C192,IF(UPPER(Data!C192)="END",Data!E192&lt;&gt;"",TRUE),TRUE)</f>
        <v>1</v>
      </c>
    </row>
    <row r="193" spans="1:29" x14ac:dyDescent="0.25">
      <c r="A193" s="1" t="str">
        <f>Data!A193&amp;"||"&amp;Data!B193</f>
        <v>Miscellaneous/subflow/irmifrs9_adjustment_alloc.bpmn||020_01_00</v>
      </c>
      <c r="B193" s="19"/>
      <c r="C193" s="24" t="b">
        <f>AND(UPPER(Data!A193)&lt;&gt;"EMPTY",Data!B193&lt;&gt;"")</f>
        <v>1</v>
      </c>
      <c r="D193" s="1"/>
      <c r="E193" s="25" t="b">
        <f t="shared" ca="1" si="4"/>
        <v>1</v>
      </c>
      <c r="F193" s="26" t="b">
        <f ca="1">IF(UPPER(Data!C193)="SUB PROCESS",NOT(ISERROR(MATCH(RIGHT(Data!BY193,LEN(Data!BY193)-5),OFFSET(Data,0,0,ItemsCount,1),0))),TRUE)</f>
        <v>1</v>
      </c>
      <c r="G193" s="26" t="b">
        <f ca="1">IF(MID(UPPER(Data!A193),1,13)="MISCELLANEOUS",NOT(ISERROR(MATCH("path="&amp;Data!A193,OFFSET(Data,0,76,ItemsCount,1),0))),TRUE)</f>
        <v>1</v>
      </c>
      <c r="L193" s="25" t="b">
        <f t="shared" ca="1" si="5"/>
        <v>1</v>
      </c>
      <c r="M193" s="24" t="b">
        <f>IF(Checks!$C193,Data!A193&lt;&gt;"",TRUE)</f>
        <v>1</v>
      </c>
      <c r="N193" s="26" t="b">
        <f>IF(Checks!C193,Data!B193&lt;&gt;"",TRUE)</f>
        <v>1</v>
      </c>
      <c r="O193" s="26" t="b">
        <f>IF(Checks!C193,IF(AND(UPPER(Data!C193)="SERVICE TASK",UPPER(Data!BZ193)="TYPE=SAS"),NodeExists(TRIM(RIGHT(Data!CA193,LEN(Data!CA193)-FIND("=",Data!CA193)))),TRUE),TRUE)</f>
        <v>1</v>
      </c>
      <c r="P193" s="26" t="b">
        <f>IF(Checks!C193,IF(Data!C193="DATA OBJECT",OR(AND(Data!BW193&lt;&gt;"",Data!BX193=""),AND(Data!BW193="",Data!BX193&lt;&gt;"")),TRUE),TRUE)</f>
        <v>1</v>
      </c>
      <c r="Q193" s="26" t="b">
        <f>IF(Checks!C193,UPPER(RIGHT(Data!A193,5))=".BPMN",TRUE)</f>
        <v>1</v>
      </c>
      <c r="R193" s="26" t="b">
        <f>IF(Checks!C193,IF(UPPER(Data!C193)="SUB PROCESS",UPPER(RIGHT(Data!BY193,5))=".BPMN",TRUE),TRUE)</f>
        <v>1</v>
      </c>
      <c r="S193" s="26" t="b">
        <f>IF(Checks!C193,IF(UPPER(Data!C193)="SERVICE TASK",IF(UPPER(Data!BZ193)="TYPE=SAS",UPPER(RIGHT(Data!CA193,4))=".SAS",TRUE),TRUE),TRUE)</f>
        <v>1</v>
      </c>
      <c r="T193" s="26" t="b">
        <f>IF(Checks!C193,IF(Data!B193&lt;&gt;"",Data!D193&lt;&gt;"",TRUE),TRUE)</f>
        <v>1</v>
      </c>
      <c r="U193" s="26" t="b">
        <f ca="1">IF(Checks!C193,IF(UPPER(Data!C193)="DATA OBJECT",NOT(ISERROR(MATCH(Data!A193&amp;"||"&amp;Data!BW193&amp;Data!BX193,Key,0))),TRUE),TRUE)</f>
        <v>1</v>
      </c>
      <c r="V193" s="26" t="b">
        <f>IF(Checks!C193,IF(UPPER(Data!C193)="SUB PROCESS",Data!BY193&lt;&gt;"",TRUE),TRUE)</f>
        <v>1</v>
      </c>
      <c r="W193" s="26" t="b">
        <f>IF(Checks!C193,IF(UPPER(Data!C193)="SERVICE TASK",AND(Data!BZ193&lt;&gt;"",Data!CA193&lt;&gt;""),TRUE),TRUE)</f>
        <v>1</v>
      </c>
      <c r="X193" s="26" t="b">
        <f t="array" aca="1" ref="X193" ca="1">SUM((OFFSET(Data!B193,MAX(ROW(Data!$B$5)-ROW(Data!B193),-200),0,400,1)=Data!B193)*(OFFSET(Data!A193,MAX(ROW(Data!$B$5)-ROW(Data!B193),-200),0,400,1)=Data!A193))=1</f>
        <v>1</v>
      </c>
      <c r="Y193" s="26" t="b">
        <f t="array" aca="1" ref="Y193" ca="1">IF(UPPER(Data!C193)="START",SUM((OFFSET(Data!C193,MAX(ROW(Data!$C$5)-ROW(Data!C193),-200),0,400,1)="START")*(OFFSET(Data!A193,MAX(ROW(Data!$B$5)-ROW(Data!B193),-200),0,400,1)=Data!A193))=1,TRUE)</f>
        <v>1</v>
      </c>
      <c r="Z193" s="26" t="b">
        <f t="array" aca="1" ref="Z193" ca="1">IF(UPPER(Data!C193)="END",SUM((OFFSET(Data!C193,MAX(ROW(Data!$C$5)-ROW(Data!C193),-200),0,400,1)="END")*(OFFSET(Data!A193,MAX(ROW(Data!$B$5)-ROW(Data!B193),-200),0,400,1)=Data!A193))=1,TRUE)</f>
        <v>1</v>
      </c>
      <c r="AA193" s="26" t="b">
        <f>IF(Checks!C193,ISERROR(FIND("&amp;",Data!D193)),TRUE)</f>
        <v>1</v>
      </c>
      <c r="AB193" s="26" t="b">
        <f>IF(Checks!$C193,IF(AND(UPPER(Data!$C193)&lt;&gt;"START",UPPER(Data!$C193)&lt;&gt;"DATA OBJECT",Data!E193&lt;&gt;""),NOT(ISERROR(MATCH(Data!$A193&amp;"||"&amp;Data!E193,Key,0))),TRUE),TRUE)</f>
        <v>1</v>
      </c>
      <c r="AC193" s="27" t="b">
        <f>IF(Checks!C193,IF(UPPER(Data!C193)="END",Data!E193&lt;&gt;"",TRUE),TRUE)</f>
        <v>1</v>
      </c>
    </row>
    <row r="194" spans="1:29" x14ac:dyDescent="0.25">
      <c r="A194" s="1" t="str">
        <f>Data!A194&amp;"||"&amp;Data!B194</f>
        <v>Miscellaneous/subflow/irmifrs9_adjustment_alloc.bpmn||030_00_00</v>
      </c>
      <c r="B194" s="19"/>
      <c r="C194" s="24" t="b">
        <f>AND(UPPER(Data!A194)&lt;&gt;"EMPTY",Data!B194&lt;&gt;"")</f>
        <v>1</v>
      </c>
      <c r="D194" s="1"/>
      <c r="E194" s="25" t="b">
        <f t="shared" ca="1" si="4"/>
        <v>1</v>
      </c>
      <c r="F194" s="26" t="b">
        <f ca="1">IF(UPPER(Data!C194)="SUB PROCESS",NOT(ISERROR(MATCH(RIGHT(Data!BY194,LEN(Data!BY194)-5),OFFSET(Data,0,0,ItemsCount,1),0))),TRUE)</f>
        <v>1</v>
      </c>
      <c r="G194" s="26" t="b">
        <f ca="1">IF(MID(UPPER(Data!A194),1,13)="MISCELLANEOUS",NOT(ISERROR(MATCH("path="&amp;Data!A194,OFFSET(Data,0,76,ItemsCount,1),0))),TRUE)</f>
        <v>1</v>
      </c>
      <c r="L194" s="25" t="b">
        <f t="shared" ca="1" si="5"/>
        <v>1</v>
      </c>
      <c r="M194" s="24" t="b">
        <f>IF(Checks!$C194,Data!A194&lt;&gt;"",TRUE)</f>
        <v>1</v>
      </c>
      <c r="N194" s="26" t="b">
        <f>IF(Checks!C194,Data!B194&lt;&gt;"",TRUE)</f>
        <v>1</v>
      </c>
      <c r="O194" s="26" t="b">
        <f>IF(Checks!C194,IF(AND(UPPER(Data!C194)="SERVICE TASK",UPPER(Data!BZ194)="TYPE=SAS"),NodeExists(TRIM(RIGHT(Data!CA194,LEN(Data!CA194)-FIND("=",Data!CA194)))),TRUE),TRUE)</f>
        <v>1</v>
      </c>
      <c r="P194" s="26" t="b">
        <f>IF(Checks!C194,IF(Data!C194="DATA OBJECT",OR(AND(Data!BW194&lt;&gt;"",Data!BX194=""),AND(Data!BW194="",Data!BX194&lt;&gt;"")),TRUE),TRUE)</f>
        <v>1</v>
      </c>
      <c r="Q194" s="26" t="b">
        <f>IF(Checks!C194,UPPER(RIGHT(Data!A194,5))=".BPMN",TRUE)</f>
        <v>1</v>
      </c>
      <c r="R194" s="26" t="b">
        <f>IF(Checks!C194,IF(UPPER(Data!C194)="SUB PROCESS",UPPER(RIGHT(Data!BY194,5))=".BPMN",TRUE),TRUE)</f>
        <v>1</v>
      </c>
      <c r="S194" s="26" t="b">
        <f>IF(Checks!C194,IF(UPPER(Data!C194)="SERVICE TASK",IF(UPPER(Data!BZ194)="TYPE=SAS",UPPER(RIGHT(Data!CA194,4))=".SAS",TRUE),TRUE),TRUE)</f>
        <v>1</v>
      </c>
      <c r="T194" s="26" t="b">
        <f>IF(Checks!C194,IF(Data!B194&lt;&gt;"",Data!D194&lt;&gt;"",TRUE),TRUE)</f>
        <v>1</v>
      </c>
      <c r="U194" s="26" t="b">
        <f>IF(Checks!C194,IF(UPPER(Data!C194)="DATA OBJECT",NOT(ISERROR(MATCH(Data!A194&amp;"||"&amp;Data!BW194&amp;Data!BX194,Key,0))),TRUE),TRUE)</f>
        <v>1</v>
      </c>
      <c r="V194" s="26" t="b">
        <f>IF(Checks!C194,IF(UPPER(Data!C194)="SUB PROCESS",Data!BY194&lt;&gt;"",TRUE),TRUE)</f>
        <v>1</v>
      </c>
      <c r="W194" s="26" t="b">
        <f>IF(Checks!C194,IF(UPPER(Data!C194)="SERVICE TASK",AND(Data!BZ194&lt;&gt;"",Data!CA194&lt;&gt;""),TRUE),TRUE)</f>
        <v>1</v>
      </c>
      <c r="X194" s="26" t="b">
        <f t="array" aca="1" ref="X194" ca="1">SUM((OFFSET(Data!B194,MAX(ROW(Data!$B$5)-ROW(Data!B194),-200),0,400,1)=Data!B194)*(OFFSET(Data!A194,MAX(ROW(Data!$B$5)-ROW(Data!B194),-200),0,400,1)=Data!A194))=1</f>
        <v>1</v>
      </c>
      <c r="Y194" s="26" t="b">
        <f t="array" aca="1" ref="Y194" ca="1">IF(UPPER(Data!C194)="START",SUM((OFFSET(Data!C194,MAX(ROW(Data!$C$5)-ROW(Data!C194),-200),0,400,1)="START")*(OFFSET(Data!A194,MAX(ROW(Data!$B$5)-ROW(Data!B194),-200),0,400,1)=Data!A194))=1,TRUE)</f>
        <v>1</v>
      </c>
      <c r="Z194" s="26" t="b">
        <f t="array" aca="1" ref="Z194" ca="1">IF(UPPER(Data!C194)="END",SUM((OFFSET(Data!C194,MAX(ROW(Data!$C$5)-ROW(Data!C194),-200),0,400,1)="END")*(OFFSET(Data!A194,MAX(ROW(Data!$B$5)-ROW(Data!B194),-200),0,400,1)=Data!A194))=1,TRUE)</f>
        <v>1</v>
      </c>
      <c r="AA194" s="26" t="b">
        <f>IF(Checks!C194,ISERROR(FIND("&amp;",Data!D194)),TRUE)</f>
        <v>1</v>
      </c>
      <c r="AB194" s="26" t="b">
        <f ca="1">IF(Checks!$C194,IF(AND(UPPER(Data!$C194)&lt;&gt;"START",UPPER(Data!$C194)&lt;&gt;"DATA OBJECT",Data!E194&lt;&gt;""),NOT(ISERROR(MATCH(Data!$A194&amp;"||"&amp;Data!E194,Key,0))),TRUE),TRUE)</f>
        <v>1</v>
      </c>
      <c r="AC194" s="27" t="b">
        <f>IF(Checks!C194,IF(UPPER(Data!C194)="END",Data!E194&lt;&gt;"",TRUE),TRUE)</f>
        <v>1</v>
      </c>
    </row>
    <row r="195" spans="1:29" x14ac:dyDescent="0.25">
      <c r="A195" s="1" t="str">
        <f>Data!A195&amp;"||"&amp;Data!B195</f>
        <v>Miscellaneous/subflow/irmifrs9_adjustment_alloc.bpmn||030_00_01</v>
      </c>
      <c r="B195" s="19"/>
      <c r="C195" s="24" t="b">
        <f>AND(UPPER(Data!A195)&lt;&gt;"EMPTY",Data!B195&lt;&gt;"")</f>
        <v>1</v>
      </c>
      <c r="D195" s="1"/>
      <c r="E195" s="25" t="b">
        <f t="shared" ca="1" si="4"/>
        <v>1</v>
      </c>
      <c r="F195" s="26" t="b">
        <f ca="1">IF(UPPER(Data!C195)="SUB PROCESS",NOT(ISERROR(MATCH(RIGHT(Data!BY195,LEN(Data!BY195)-5),OFFSET(Data,0,0,ItemsCount,1),0))),TRUE)</f>
        <v>1</v>
      </c>
      <c r="G195" s="26" t="b">
        <f ca="1">IF(MID(UPPER(Data!A195),1,13)="MISCELLANEOUS",NOT(ISERROR(MATCH("path="&amp;Data!A195,OFFSET(Data,0,76,ItemsCount,1),0))),TRUE)</f>
        <v>1</v>
      </c>
      <c r="L195" s="25" t="b">
        <f t="shared" ca="1" si="5"/>
        <v>1</v>
      </c>
      <c r="M195" s="24" t="b">
        <f>IF(Checks!$C195,Data!A195&lt;&gt;"",TRUE)</f>
        <v>1</v>
      </c>
      <c r="N195" s="26" t="b">
        <f>IF(Checks!C195,Data!B195&lt;&gt;"",TRUE)</f>
        <v>1</v>
      </c>
      <c r="O195" s="26" t="b">
        <f>IF(Checks!C195,IF(AND(UPPER(Data!C195)="SERVICE TASK",UPPER(Data!BZ195)="TYPE=SAS"),NodeExists(TRIM(RIGHT(Data!CA195,LEN(Data!CA195)-FIND("=",Data!CA195)))),TRUE),TRUE)</f>
        <v>1</v>
      </c>
      <c r="P195" s="26" t="b">
        <f>IF(Checks!C195,IF(Data!C195="DATA OBJECT",OR(AND(Data!BW195&lt;&gt;"",Data!BX195=""),AND(Data!BW195="",Data!BX195&lt;&gt;"")),TRUE),TRUE)</f>
        <v>1</v>
      </c>
      <c r="Q195" s="26" t="b">
        <f>IF(Checks!C195,UPPER(RIGHT(Data!A195,5))=".BPMN",TRUE)</f>
        <v>1</v>
      </c>
      <c r="R195" s="26" t="b">
        <f>IF(Checks!C195,IF(UPPER(Data!C195)="SUB PROCESS",UPPER(RIGHT(Data!BY195,5))=".BPMN",TRUE),TRUE)</f>
        <v>1</v>
      </c>
      <c r="S195" s="26" t="b">
        <f>IF(Checks!C195,IF(UPPER(Data!C195)="SERVICE TASK",IF(UPPER(Data!BZ195)="TYPE=SAS",UPPER(RIGHT(Data!CA195,4))=".SAS",TRUE),TRUE),TRUE)</f>
        <v>1</v>
      </c>
      <c r="T195" s="26" t="b">
        <f>IF(Checks!C195,IF(Data!B195&lt;&gt;"",Data!D195&lt;&gt;"",TRUE),TRUE)</f>
        <v>1</v>
      </c>
      <c r="U195" s="26" t="b">
        <f ca="1">IF(Checks!C195,IF(UPPER(Data!C195)="DATA OBJECT",NOT(ISERROR(MATCH(Data!A195&amp;"||"&amp;Data!BW195&amp;Data!BX195,Key,0))),TRUE),TRUE)</f>
        <v>1</v>
      </c>
      <c r="V195" s="26" t="b">
        <f>IF(Checks!C195,IF(UPPER(Data!C195)="SUB PROCESS",Data!BY195&lt;&gt;"",TRUE),TRUE)</f>
        <v>1</v>
      </c>
      <c r="W195" s="26" t="b">
        <f>IF(Checks!C195,IF(UPPER(Data!C195)="SERVICE TASK",AND(Data!BZ195&lt;&gt;"",Data!CA195&lt;&gt;""),TRUE),TRUE)</f>
        <v>1</v>
      </c>
      <c r="X195" s="26" t="b">
        <f t="array" aca="1" ref="X195" ca="1">SUM((OFFSET(Data!B195,MAX(ROW(Data!$B$5)-ROW(Data!B195),-200),0,400,1)=Data!B195)*(OFFSET(Data!A195,MAX(ROW(Data!$B$5)-ROW(Data!B195),-200),0,400,1)=Data!A195))=1</f>
        <v>1</v>
      </c>
      <c r="Y195" s="26" t="b">
        <f t="array" aca="1" ref="Y195" ca="1">IF(UPPER(Data!C195)="START",SUM((OFFSET(Data!C195,MAX(ROW(Data!$C$5)-ROW(Data!C195),-200),0,400,1)="START")*(OFFSET(Data!A195,MAX(ROW(Data!$B$5)-ROW(Data!B195),-200),0,400,1)=Data!A195))=1,TRUE)</f>
        <v>1</v>
      </c>
      <c r="Z195" s="26" t="b">
        <f t="array" aca="1" ref="Z195" ca="1">IF(UPPER(Data!C195)="END",SUM((OFFSET(Data!C195,MAX(ROW(Data!$C$5)-ROW(Data!C195),-200),0,400,1)="END")*(OFFSET(Data!A195,MAX(ROW(Data!$B$5)-ROW(Data!B195),-200),0,400,1)=Data!A195))=1,TRUE)</f>
        <v>1</v>
      </c>
      <c r="AA195" s="26" t="b">
        <f>IF(Checks!C195,ISERROR(FIND("&amp;",Data!D195)),TRUE)</f>
        <v>1</v>
      </c>
      <c r="AB195" s="26" t="b">
        <f>IF(Checks!$C195,IF(AND(UPPER(Data!$C195)&lt;&gt;"START",UPPER(Data!$C195)&lt;&gt;"DATA OBJECT",Data!E195&lt;&gt;""),NOT(ISERROR(MATCH(Data!$A195&amp;"||"&amp;Data!E195,Key,0))),TRUE),TRUE)</f>
        <v>1</v>
      </c>
      <c r="AC195" s="27" t="b">
        <f>IF(Checks!C195,IF(UPPER(Data!C195)="END",Data!E195&lt;&gt;"",TRUE),TRUE)</f>
        <v>1</v>
      </c>
    </row>
    <row r="196" spans="1:29" x14ac:dyDescent="0.25">
      <c r="A196" s="1" t="str">
        <f>Data!A196&amp;"||"&amp;Data!B196</f>
        <v>Miscellaneous/subflow/irmifrs9_adjustment_alloc.bpmn||030_00_02</v>
      </c>
      <c r="B196" s="19"/>
      <c r="C196" s="24" t="b">
        <f>AND(UPPER(Data!A196)&lt;&gt;"EMPTY",Data!B196&lt;&gt;"")</f>
        <v>1</v>
      </c>
      <c r="D196" s="1"/>
      <c r="E196" s="25" t="b">
        <f t="shared" ca="1" si="4"/>
        <v>1</v>
      </c>
      <c r="F196" s="26" t="b">
        <f ca="1">IF(UPPER(Data!C196)="SUB PROCESS",NOT(ISERROR(MATCH(RIGHT(Data!BY196,LEN(Data!BY196)-5),OFFSET(Data,0,0,ItemsCount,1),0))),TRUE)</f>
        <v>1</v>
      </c>
      <c r="G196" s="26" t="b">
        <f ca="1">IF(MID(UPPER(Data!A196),1,13)="MISCELLANEOUS",NOT(ISERROR(MATCH("path="&amp;Data!A196,OFFSET(Data,0,76,ItemsCount,1),0))),TRUE)</f>
        <v>1</v>
      </c>
      <c r="L196" s="25" t="b">
        <f t="shared" ca="1" si="5"/>
        <v>1</v>
      </c>
      <c r="M196" s="24" t="b">
        <f>IF(Checks!$C196,Data!A196&lt;&gt;"",TRUE)</f>
        <v>1</v>
      </c>
      <c r="N196" s="26" t="b">
        <f>IF(Checks!C196,Data!B196&lt;&gt;"",TRUE)</f>
        <v>1</v>
      </c>
      <c r="O196" s="26" t="b">
        <f>IF(Checks!C196,IF(AND(UPPER(Data!C196)="SERVICE TASK",UPPER(Data!BZ196)="TYPE=SAS"),NodeExists(TRIM(RIGHT(Data!CA196,LEN(Data!CA196)-FIND("=",Data!CA196)))),TRUE),TRUE)</f>
        <v>1</v>
      </c>
      <c r="P196" s="26" t="b">
        <f>IF(Checks!C196,IF(Data!C196="DATA OBJECT",OR(AND(Data!BW196&lt;&gt;"",Data!BX196=""),AND(Data!BW196="",Data!BX196&lt;&gt;"")),TRUE),TRUE)</f>
        <v>1</v>
      </c>
      <c r="Q196" s="26" t="b">
        <f>IF(Checks!C196,UPPER(RIGHT(Data!A196,5))=".BPMN",TRUE)</f>
        <v>1</v>
      </c>
      <c r="R196" s="26" t="b">
        <f>IF(Checks!C196,IF(UPPER(Data!C196)="SUB PROCESS",UPPER(RIGHT(Data!BY196,5))=".BPMN",TRUE),TRUE)</f>
        <v>1</v>
      </c>
      <c r="S196" s="26" t="b">
        <f>IF(Checks!C196,IF(UPPER(Data!C196)="SERVICE TASK",IF(UPPER(Data!BZ196)="TYPE=SAS",UPPER(RIGHT(Data!CA196,4))=".SAS",TRUE),TRUE),TRUE)</f>
        <v>1</v>
      </c>
      <c r="T196" s="26" t="b">
        <f>IF(Checks!C196,IF(Data!B196&lt;&gt;"",Data!D196&lt;&gt;"",TRUE),TRUE)</f>
        <v>1</v>
      </c>
      <c r="U196" s="26" t="b">
        <f ca="1">IF(Checks!C196,IF(UPPER(Data!C196)="DATA OBJECT",NOT(ISERROR(MATCH(Data!A196&amp;"||"&amp;Data!BW196&amp;Data!BX196,Key,0))),TRUE),TRUE)</f>
        <v>1</v>
      </c>
      <c r="V196" s="26" t="b">
        <f>IF(Checks!C196,IF(UPPER(Data!C196)="SUB PROCESS",Data!BY196&lt;&gt;"",TRUE),TRUE)</f>
        <v>1</v>
      </c>
      <c r="W196" s="26" t="b">
        <f>IF(Checks!C196,IF(UPPER(Data!C196)="SERVICE TASK",AND(Data!BZ196&lt;&gt;"",Data!CA196&lt;&gt;""),TRUE),TRUE)</f>
        <v>1</v>
      </c>
      <c r="X196" s="26" t="b">
        <f t="array" aca="1" ref="X196" ca="1">SUM((OFFSET(Data!B196,MAX(ROW(Data!$B$5)-ROW(Data!B196),-200),0,400,1)=Data!B196)*(OFFSET(Data!A196,MAX(ROW(Data!$B$5)-ROW(Data!B196),-200),0,400,1)=Data!A196))=1</f>
        <v>1</v>
      </c>
      <c r="Y196" s="26" t="b">
        <f t="array" aca="1" ref="Y196" ca="1">IF(UPPER(Data!C196)="START",SUM((OFFSET(Data!C196,MAX(ROW(Data!$C$5)-ROW(Data!C196),-200),0,400,1)="START")*(OFFSET(Data!A196,MAX(ROW(Data!$B$5)-ROW(Data!B196),-200),0,400,1)=Data!A196))=1,TRUE)</f>
        <v>1</v>
      </c>
      <c r="Z196" s="26" t="b">
        <f t="array" aca="1" ref="Z196" ca="1">IF(UPPER(Data!C196)="END",SUM((OFFSET(Data!C196,MAX(ROW(Data!$C$5)-ROW(Data!C196),-200),0,400,1)="END")*(OFFSET(Data!A196,MAX(ROW(Data!$B$5)-ROW(Data!B196),-200),0,400,1)=Data!A196))=1,TRUE)</f>
        <v>1</v>
      </c>
      <c r="AA196" s="26" t="b">
        <f>IF(Checks!C196,ISERROR(FIND("&amp;",Data!D196)),TRUE)</f>
        <v>1</v>
      </c>
      <c r="AB196" s="26" t="b">
        <f>IF(Checks!$C196,IF(AND(UPPER(Data!$C196)&lt;&gt;"START",UPPER(Data!$C196)&lt;&gt;"DATA OBJECT",Data!E196&lt;&gt;""),NOT(ISERROR(MATCH(Data!$A196&amp;"||"&amp;Data!E196,Key,0))),TRUE),TRUE)</f>
        <v>1</v>
      </c>
      <c r="AC196" s="27" t="b">
        <f>IF(Checks!C196,IF(UPPER(Data!C196)="END",Data!E196&lt;&gt;"",TRUE),TRUE)</f>
        <v>1</v>
      </c>
    </row>
    <row r="197" spans="1:29" x14ac:dyDescent="0.25">
      <c r="A197" s="1" t="str">
        <f>Data!A197&amp;"||"&amp;Data!B197</f>
        <v>Miscellaneous/subflow/irmifrs9_adjustment_alloc.bpmn||030_00_03</v>
      </c>
      <c r="B197" s="19"/>
      <c r="C197" s="24" t="b">
        <f>AND(UPPER(Data!A197)&lt;&gt;"EMPTY",Data!B197&lt;&gt;"")</f>
        <v>1</v>
      </c>
      <c r="D197" s="1"/>
      <c r="E197" s="25" t="b">
        <f t="shared" ca="1" si="4"/>
        <v>1</v>
      </c>
      <c r="F197" s="26" t="b">
        <f ca="1">IF(UPPER(Data!C197)="SUB PROCESS",NOT(ISERROR(MATCH(RIGHT(Data!BY197,LEN(Data!BY197)-5),OFFSET(Data,0,0,ItemsCount,1),0))),TRUE)</f>
        <v>1</v>
      </c>
      <c r="G197" s="26" t="b">
        <f ca="1">IF(MID(UPPER(Data!A197),1,13)="MISCELLANEOUS",NOT(ISERROR(MATCH("path="&amp;Data!A197,OFFSET(Data,0,76,ItemsCount,1),0))),TRUE)</f>
        <v>1</v>
      </c>
      <c r="L197" s="25" t="b">
        <f t="shared" ca="1" si="5"/>
        <v>1</v>
      </c>
      <c r="M197" s="24" t="b">
        <f>IF(Checks!$C197,Data!A197&lt;&gt;"",TRUE)</f>
        <v>1</v>
      </c>
      <c r="N197" s="26" t="b">
        <f>IF(Checks!C197,Data!B197&lt;&gt;"",TRUE)</f>
        <v>1</v>
      </c>
      <c r="O197" s="26" t="b">
        <f>IF(Checks!C197,IF(AND(UPPER(Data!C197)="SERVICE TASK",UPPER(Data!BZ197)="TYPE=SAS"),NodeExists(TRIM(RIGHT(Data!CA197,LEN(Data!CA197)-FIND("=",Data!CA197)))),TRUE),TRUE)</f>
        <v>1</v>
      </c>
      <c r="P197" s="26" t="b">
        <f>IF(Checks!C197,IF(Data!C197="DATA OBJECT",OR(AND(Data!BW197&lt;&gt;"",Data!BX197=""),AND(Data!BW197="",Data!BX197&lt;&gt;"")),TRUE),TRUE)</f>
        <v>1</v>
      </c>
      <c r="Q197" s="26" t="b">
        <f>IF(Checks!C197,UPPER(RIGHT(Data!A197,5))=".BPMN",TRUE)</f>
        <v>1</v>
      </c>
      <c r="R197" s="26" t="b">
        <f>IF(Checks!C197,IF(UPPER(Data!C197)="SUB PROCESS",UPPER(RIGHT(Data!BY197,5))=".BPMN",TRUE),TRUE)</f>
        <v>1</v>
      </c>
      <c r="S197" s="26" t="b">
        <f>IF(Checks!C197,IF(UPPER(Data!C197)="SERVICE TASK",IF(UPPER(Data!BZ197)="TYPE=SAS",UPPER(RIGHT(Data!CA197,4))=".SAS",TRUE),TRUE),TRUE)</f>
        <v>1</v>
      </c>
      <c r="T197" s="26" t="b">
        <f>IF(Checks!C197,IF(Data!B197&lt;&gt;"",Data!D197&lt;&gt;"",TRUE),TRUE)</f>
        <v>1</v>
      </c>
      <c r="U197" s="26" t="b">
        <f ca="1">IF(Checks!C197,IF(UPPER(Data!C197)="DATA OBJECT",NOT(ISERROR(MATCH(Data!A197&amp;"||"&amp;Data!BW197&amp;Data!BX197,Key,0))),TRUE),TRUE)</f>
        <v>1</v>
      </c>
      <c r="V197" s="26" t="b">
        <f>IF(Checks!C197,IF(UPPER(Data!C197)="SUB PROCESS",Data!BY197&lt;&gt;"",TRUE),TRUE)</f>
        <v>1</v>
      </c>
      <c r="W197" s="26" t="b">
        <f>IF(Checks!C197,IF(UPPER(Data!C197)="SERVICE TASK",AND(Data!BZ197&lt;&gt;"",Data!CA197&lt;&gt;""),TRUE),TRUE)</f>
        <v>1</v>
      </c>
      <c r="X197" s="26" t="b">
        <f t="array" aca="1" ref="X197" ca="1">SUM((OFFSET(Data!B197,MAX(ROW(Data!$B$5)-ROW(Data!B197),-200),0,400,1)=Data!B197)*(OFFSET(Data!A197,MAX(ROW(Data!$B$5)-ROW(Data!B197),-200),0,400,1)=Data!A197))=1</f>
        <v>1</v>
      </c>
      <c r="Y197" s="26" t="b">
        <f t="array" aca="1" ref="Y197" ca="1">IF(UPPER(Data!C197)="START",SUM((OFFSET(Data!C197,MAX(ROW(Data!$C$5)-ROW(Data!C197),-200),0,400,1)="START")*(OFFSET(Data!A197,MAX(ROW(Data!$B$5)-ROW(Data!B197),-200),0,400,1)=Data!A197))=1,TRUE)</f>
        <v>1</v>
      </c>
      <c r="Z197" s="26" t="b">
        <f t="array" aca="1" ref="Z197" ca="1">IF(UPPER(Data!C197)="END",SUM((OFFSET(Data!C197,MAX(ROW(Data!$C$5)-ROW(Data!C197),-200),0,400,1)="END")*(OFFSET(Data!A197,MAX(ROW(Data!$B$5)-ROW(Data!B197),-200),0,400,1)=Data!A197))=1,TRUE)</f>
        <v>1</v>
      </c>
      <c r="AA197" s="26" t="b">
        <f>IF(Checks!C197,ISERROR(FIND("&amp;",Data!D197)),TRUE)</f>
        <v>1</v>
      </c>
      <c r="AB197" s="26" t="b">
        <f>IF(Checks!$C197,IF(AND(UPPER(Data!$C197)&lt;&gt;"START",UPPER(Data!$C197)&lt;&gt;"DATA OBJECT",Data!E197&lt;&gt;""),NOT(ISERROR(MATCH(Data!$A197&amp;"||"&amp;Data!E197,Key,0))),TRUE),TRUE)</f>
        <v>1</v>
      </c>
      <c r="AC197" s="27" t="b">
        <f>IF(Checks!C197,IF(UPPER(Data!C197)="END",Data!E197&lt;&gt;"",TRUE),TRUE)</f>
        <v>1</v>
      </c>
    </row>
    <row r="198" spans="1:29" x14ac:dyDescent="0.25">
      <c r="A198" s="1" t="str">
        <f>Data!A198&amp;"||"&amp;Data!B198</f>
        <v>Miscellaneous/subflow/irmifrs9_adjustment_alloc.bpmn||030_00_04</v>
      </c>
      <c r="B198" s="19"/>
      <c r="C198" s="24" t="b">
        <f>AND(UPPER(Data!A198)&lt;&gt;"EMPTY",Data!B198&lt;&gt;"")</f>
        <v>1</v>
      </c>
      <c r="D198" s="1"/>
      <c r="E198" s="25" t="b">
        <f t="shared" ref="E198:E261" ca="1" si="6">IF(C198,AND(F198:G198),TRUE)</f>
        <v>1</v>
      </c>
      <c r="F198" s="26" t="b">
        <f ca="1">IF(UPPER(Data!C198)="SUB PROCESS",NOT(ISERROR(MATCH(RIGHT(Data!BY198,LEN(Data!BY198)-5),OFFSET(Data,0,0,ItemsCount,1),0))),TRUE)</f>
        <v>1</v>
      </c>
      <c r="G198" s="26" t="b">
        <f ca="1">IF(MID(UPPER(Data!A198),1,13)="MISCELLANEOUS",NOT(ISERROR(MATCH("path="&amp;Data!A198,OFFSET(Data,0,76,ItemsCount,1),0))),TRUE)</f>
        <v>1</v>
      </c>
      <c r="L198" s="25" t="b">
        <f t="shared" ref="L198:L261" ca="1" si="7">IF(C198,AND(M198:AC198),TRUE)</f>
        <v>1</v>
      </c>
      <c r="M198" s="24" t="b">
        <f>IF(Checks!$C198,Data!A198&lt;&gt;"",TRUE)</f>
        <v>1</v>
      </c>
      <c r="N198" s="26" t="b">
        <f>IF(Checks!C198,Data!B198&lt;&gt;"",TRUE)</f>
        <v>1</v>
      </c>
      <c r="O198" s="26" t="b">
        <f>IF(Checks!C198,IF(AND(UPPER(Data!C198)="SERVICE TASK",UPPER(Data!BZ198)="TYPE=SAS"),NodeExists(TRIM(RIGHT(Data!CA198,LEN(Data!CA198)-FIND("=",Data!CA198)))),TRUE),TRUE)</f>
        <v>1</v>
      </c>
      <c r="P198" s="26" t="b">
        <f>IF(Checks!C198,IF(Data!C198="DATA OBJECT",OR(AND(Data!BW198&lt;&gt;"",Data!BX198=""),AND(Data!BW198="",Data!BX198&lt;&gt;"")),TRUE),TRUE)</f>
        <v>1</v>
      </c>
      <c r="Q198" s="26" t="b">
        <f>IF(Checks!C198,UPPER(RIGHT(Data!A198,5))=".BPMN",TRUE)</f>
        <v>1</v>
      </c>
      <c r="R198" s="26" t="b">
        <f>IF(Checks!C198,IF(UPPER(Data!C198)="SUB PROCESS",UPPER(RIGHT(Data!BY198,5))=".BPMN",TRUE),TRUE)</f>
        <v>1</v>
      </c>
      <c r="S198" s="26" t="b">
        <f>IF(Checks!C198,IF(UPPER(Data!C198)="SERVICE TASK",IF(UPPER(Data!BZ198)="TYPE=SAS",UPPER(RIGHT(Data!CA198,4))=".SAS",TRUE),TRUE),TRUE)</f>
        <v>1</v>
      </c>
      <c r="T198" s="26" t="b">
        <f>IF(Checks!C198,IF(Data!B198&lt;&gt;"",Data!D198&lt;&gt;"",TRUE),TRUE)</f>
        <v>1</v>
      </c>
      <c r="U198" s="26" t="b">
        <f ca="1">IF(Checks!C198,IF(UPPER(Data!C198)="DATA OBJECT",NOT(ISERROR(MATCH(Data!A198&amp;"||"&amp;Data!BW198&amp;Data!BX198,Key,0))),TRUE),TRUE)</f>
        <v>1</v>
      </c>
      <c r="V198" s="26" t="b">
        <f>IF(Checks!C198,IF(UPPER(Data!C198)="SUB PROCESS",Data!BY198&lt;&gt;"",TRUE),TRUE)</f>
        <v>1</v>
      </c>
      <c r="W198" s="26" t="b">
        <f>IF(Checks!C198,IF(UPPER(Data!C198)="SERVICE TASK",AND(Data!BZ198&lt;&gt;"",Data!CA198&lt;&gt;""),TRUE),TRUE)</f>
        <v>1</v>
      </c>
      <c r="X198" s="26" t="b">
        <f t="array" aca="1" ref="X198" ca="1">SUM((OFFSET(Data!B198,MAX(ROW(Data!$B$5)-ROW(Data!B198),-200),0,400,1)=Data!B198)*(OFFSET(Data!A198,MAX(ROW(Data!$B$5)-ROW(Data!B198),-200),0,400,1)=Data!A198))=1</f>
        <v>1</v>
      </c>
      <c r="Y198" s="26" t="b">
        <f t="array" aca="1" ref="Y198" ca="1">IF(UPPER(Data!C198)="START",SUM((OFFSET(Data!C198,MAX(ROW(Data!$C$5)-ROW(Data!C198),-200),0,400,1)="START")*(OFFSET(Data!A198,MAX(ROW(Data!$B$5)-ROW(Data!B198),-200),0,400,1)=Data!A198))=1,TRUE)</f>
        <v>1</v>
      </c>
      <c r="Z198" s="26" t="b">
        <f t="array" aca="1" ref="Z198" ca="1">IF(UPPER(Data!C198)="END",SUM((OFFSET(Data!C198,MAX(ROW(Data!$C$5)-ROW(Data!C198),-200),0,400,1)="END")*(OFFSET(Data!A198,MAX(ROW(Data!$B$5)-ROW(Data!B198),-200),0,400,1)=Data!A198))=1,TRUE)</f>
        <v>1</v>
      </c>
      <c r="AA198" s="26" t="b">
        <f>IF(Checks!C198,ISERROR(FIND("&amp;",Data!D198)),TRUE)</f>
        <v>1</v>
      </c>
      <c r="AB198" s="26" t="b">
        <f>IF(Checks!$C198,IF(AND(UPPER(Data!$C198)&lt;&gt;"START",UPPER(Data!$C198)&lt;&gt;"DATA OBJECT",Data!E198&lt;&gt;""),NOT(ISERROR(MATCH(Data!$A198&amp;"||"&amp;Data!E198,Key,0))),TRUE),TRUE)</f>
        <v>1</v>
      </c>
      <c r="AC198" s="27" t="b">
        <f>IF(Checks!C198,IF(UPPER(Data!C198)="END",Data!E198&lt;&gt;"",TRUE),TRUE)</f>
        <v>1</v>
      </c>
    </row>
    <row r="199" spans="1:29" x14ac:dyDescent="0.25">
      <c r="A199" s="1" t="str">
        <f>Data!A199&amp;"||"&amp;Data!B199</f>
        <v>Miscellaneous/subflow/irmifrs9_adjustment_alloc.bpmn||030_00_05</v>
      </c>
      <c r="B199" s="19"/>
      <c r="C199" s="24" t="b">
        <f>AND(UPPER(Data!A199)&lt;&gt;"EMPTY",Data!B199&lt;&gt;"")</f>
        <v>1</v>
      </c>
      <c r="D199" s="1"/>
      <c r="E199" s="25" t="b">
        <f t="shared" ca="1" si="6"/>
        <v>1</v>
      </c>
      <c r="F199" s="26" t="b">
        <f ca="1">IF(UPPER(Data!C199)="SUB PROCESS",NOT(ISERROR(MATCH(RIGHT(Data!BY199,LEN(Data!BY199)-5),OFFSET(Data,0,0,ItemsCount,1),0))),TRUE)</f>
        <v>1</v>
      </c>
      <c r="G199" s="26" t="b">
        <f ca="1">IF(MID(UPPER(Data!A199),1,13)="MISCELLANEOUS",NOT(ISERROR(MATCH("path="&amp;Data!A199,OFFSET(Data,0,76,ItemsCount,1),0))),TRUE)</f>
        <v>1</v>
      </c>
      <c r="L199" s="25" t="b">
        <f t="shared" ca="1" si="7"/>
        <v>1</v>
      </c>
      <c r="M199" s="24" t="b">
        <f>IF(Checks!$C199,Data!A199&lt;&gt;"",TRUE)</f>
        <v>1</v>
      </c>
      <c r="N199" s="26" t="b">
        <f>IF(Checks!C199,Data!B199&lt;&gt;"",TRUE)</f>
        <v>1</v>
      </c>
      <c r="O199" s="26" t="b">
        <f>IF(Checks!C199,IF(AND(UPPER(Data!C199)="SERVICE TASK",UPPER(Data!BZ199)="TYPE=SAS"),NodeExists(TRIM(RIGHT(Data!CA199,LEN(Data!CA199)-FIND("=",Data!CA199)))),TRUE),TRUE)</f>
        <v>1</v>
      </c>
      <c r="P199" s="26" t="b">
        <f>IF(Checks!C199,IF(Data!C199="DATA OBJECT",OR(AND(Data!BW199&lt;&gt;"",Data!BX199=""),AND(Data!BW199="",Data!BX199&lt;&gt;"")),TRUE),TRUE)</f>
        <v>1</v>
      </c>
      <c r="Q199" s="26" t="b">
        <f>IF(Checks!C199,UPPER(RIGHT(Data!A199,5))=".BPMN",TRUE)</f>
        <v>1</v>
      </c>
      <c r="R199" s="26" t="b">
        <f>IF(Checks!C199,IF(UPPER(Data!C199)="SUB PROCESS",UPPER(RIGHT(Data!BY199,5))=".BPMN",TRUE),TRUE)</f>
        <v>1</v>
      </c>
      <c r="S199" s="26" t="b">
        <f>IF(Checks!C199,IF(UPPER(Data!C199)="SERVICE TASK",IF(UPPER(Data!BZ199)="TYPE=SAS",UPPER(RIGHT(Data!CA199,4))=".SAS",TRUE),TRUE),TRUE)</f>
        <v>1</v>
      </c>
      <c r="T199" s="26" t="b">
        <f>IF(Checks!C199,IF(Data!B199&lt;&gt;"",Data!D199&lt;&gt;"",TRUE),TRUE)</f>
        <v>1</v>
      </c>
      <c r="U199" s="26" t="b">
        <f ca="1">IF(Checks!C199,IF(UPPER(Data!C199)="DATA OBJECT",NOT(ISERROR(MATCH(Data!A199&amp;"||"&amp;Data!BW199&amp;Data!BX199,Key,0))),TRUE),TRUE)</f>
        <v>1</v>
      </c>
      <c r="V199" s="26" t="b">
        <f>IF(Checks!C199,IF(UPPER(Data!C199)="SUB PROCESS",Data!BY199&lt;&gt;"",TRUE),TRUE)</f>
        <v>1</v>
      </c>
      <c r="W199" s="26" t="b">
        <f>IF(Checks!C199,IF(UPPER(Data!C199)="SERVICE TASK",AND(Data!BZ199&lt;&gt;"",Data!CA199&lt;&gt;""),TRUE),TRUE)</f>
        <v>1</v>
      </c>
      <c r="X199" s="26" t="b">
        <f t="array" aca="1" ref="X199" ca="1">SUM((OFFSET(Data!B199,MAX(ROW(Data!$B$5)-ROW(Data!B199),-200),0,400,1)=Data!B199)*(OFFSET(Data!A199,MAX(ROW(Data!$B$5)-ROW(Data!B199),-200),0,400,1)=Data!A199))=1</f>
        <v>1</v>
      </c>
      <c r="Y199" s="26" t="b">
        <f t="array" aca="1" ref="Y199" ca="1">IF(UPPER(Data!C199)="START",SUM((OFFSET(Data!C199,MAX(ROW(Data!$C$5)-ROW(Data!C199),-200),0,400,1)="START")*(OFFSET(Data!A199,MAX(ROW(Data!$B$5)-ROW(Data!B199),-200),0,400,1)=Data!A199))=1,TRUE)</f>
        <v>1</v>
      </c>
      <c r="Z199" s="26" t="b">
        <f t="array" aca="1" ref="Z199" ca="1">IF(UPPER(Data!C199)="END",SUM((OFFSET(Data!C199,MAX(ROW(Data!$C$5)-ROW(Data!C199),-200),0,400,1)="END")*(OFFSET(Data!A199,MAX(ROW(Data!$B$5)-ROW(Data!B199),-200),0,400,1)=Data!A199))=1,TRUE)</f>
        <v>1</v>
      </c>
      <c r="AA199" s="26" t="b">
        <f>IF(Checks!C199,ISERROR(FIND("&amp;",Data!D199)),TRUE)</f>
        <v>1</v>
      </c>
      <c r="AB199" s="26" t="b">
        <f>IF(Checks!$C199,IF(AND(UPPER(Data!$C199)&lt;&gt;"START",UPPER(Data!$C199)&lt;&gt;"DATA OBJECT",Data!E199&lt;&gt;""),NOT(ISERROR(MATCH(Data!$A199&amp;"||"&amp;Data!E199,Key,0))),TRUE),TRUE)</f>
        <v>1</v>
      </c>
      <c r="AC199" s="27" t="b">
        <f>IF(Checks!C199,IF(UPPER(Data!C199)="END",Data!E199&lt;&gt;"",TRUE),TRUE)</f>
        <v>1</v>
      </c>
    </row>
    <row r="200" spans="1:29" x14ac:dyDescent="0.25">
      <c r="A200" s="1" t="str">
        <f>Data!A200&amp;"||"&amp;Data!B200</f>
        <v>Miscellaneous/subflow/irmifrs9_adjustment_alloc.bpmn||030_00_06</v>
      </c>
      <c r="B200" s="19"/>
      <c r="C200" s="24" t="b">
        <f>AND(UPPER(Data!A200)&lt;&gt;"EMPTY",Data!B200&lt;&gt;"")</f>
        <v>1</v>
      </c>
      <c r="D200" s="1"/>
      <c r="E200" s="25" t="b">
        <f t="shared" ca="1" si="6"/>
        <v>1</v>
      </c>
      <c r="F200" s="26" t="b">
        <f ca="1">IF(UPPER(Data!C200)="SUB PROCESS",NOT(ISERROR(MATCH(RIGHT(Data!BY200,LEN(Data!BY200)-5),OFFSET(Data,0,0,ItemsCount,1),0))),TRUE)</f>
        <v>1</v>
      </c>
      <c r="G200" s="26" t="b">
        <f ca="1">IF(MID(UPPER(Data!A200),1,13)="MISCELLANEOUS",NOT(ISERROR(MATCH("path="&amp;Data!A200,OFFSET(Data,0,76,ItemsCount,1),0))),TRUE)</f>
        <v>1</v>
      </c>
      <c r="L200" s="25" t="b">
        <f t="shared" ca="1" si="7"/>
        <v>1</v>
      </c>
      <c r="M200" s="24" t="b">
        <f>IF(Checks!$C200,Data!A200&lt;&gt;"",TRUE)</f>
        <v>1</v>
      </c>
      <c r="N200" s="26" t="b">
        <f>IF(Checks!C200,Data!B200&lt;&gt;"",TRUE)</f>
        <v>1</v>
      </c>
      <c r="O200" s="26" t="b">
        <f>IF(Checks!C200,IF(AND(UPPER(Data!C200)="SERVICE TASK",UPPER(Data!BZ200)="TYPE=SAS"),NodeExists(TRIM(RIGHT(Data!CA200,LEN(Data!CA200)-FIND("=",Data!CA200)))),TRUE),TRUE)</f>
        <v>1</v>
      </c>
      <c r="P200" s="26" t="b">
        <f>IF(Checks!C200,IF(Data!C200="DATA OBJECT",OR(AND(Data!BW200&lt;&gt;"",Data!BX200=""),AND(Data!BW200="",Data!BX200&lt;&gt;"")),TRUE),TRUE)</f>
        <v>1</v>
      </c>
      <c r="Q200" s="26" t="b">
        <f>IF(Checks!C200,UPPER(RIGHT(Data!A200,5))=".BPMN",TRUE)</f>
        <v>1</v>
      </c>
      <c r="R200" s="26" t="b">
        <f>IF(Checks!C200,IF(UPPER(Data!C200)="SUB PROCESS",UPPER(RIGHT(Data!BY200,5))=".BPMN",TRUE),TRUE)</f>
        <v>1</v>
      </c>
      <c r="S200" s="26" t="b">
        <f>IF(Checks!C200,IF(UPPER(Data!C200)="SERVICE TASK",IF(UPPER(Data!BZ200)="TYPE=SAS",UPPER(RIGHT(Data!CA200,4))=".SAS",TRUE),TRUE),TRUE)</f>
        <v>1</v>
      </c>
      <c r="T200" s="26" t="b">
        <f>IF(Checks!C200,IF(Data!B200&lt;&gt;"",Data!D200&lt;&gt;"",TRUE),TRUE)</f>
        <v>1</v>
      </c>
      <c r="U200" s="26" t="b">
        <f ca="1">IF(Checks!C200,IF(UPPER(Data!C200)="DATA OBJECT",NOT(ISERROR(MATCH(Data!A200&amp;"||"&amp;Data!BW200&amp;Data!BX200,Key,0))),TRUE),TRUE)</f>
        <v>1</v>
      </c>
      <c r="V200" s="26" t="b">
        <f>IF(Checks!C200,IF(UPPER(Data!C200)="SUB PROCESS",Data!BY200&lt;&gt;"",TRUE),TRUE)</f>
        <v>1</v>
      </c>
      <c r="W200" s="26" t="b">
        <f>IF(Checks!C200,IF(UPPER(Data!C200)="SERVICE TASK",AND(Data!BZ200&lt;&gt;"",Data!CA200&lt;&gt;""),TRUE),TRUE)</f>
        <v>1</v>
      </c>
      <c r="X200" s="26" t="b">
        <f t="array" aca="1" ref="X200" ca="1">SUM((OFFSET(Data!B200,MAX(ROW(Data!$B$5)-ROW(Data!B200),-200),0,400,1)=Data!B200)*(OFFSET(Data!A200,MAX(ROW(Data!$B$5)-ROW(Data!B200),-200),0,400,1)=Data!A200))=1</f>
        <v>1</v>
      </c>
      <c r="Y200" s="26" t="b">
        <f t="array" aca="1" ref="Y200" ca="1">IF(UPPER(Data!C200)="START",SUM((OFFSET(Data!C200,MAX(ROW(Data!$C$5)-ROW(Data!C200),-200),0,400,1)="START")*(OFFSET(Data!A200,MAX(ROW(Data!$B$5)-ROW(Data!B200),-200),0,400,1)=Data!A200))=1,TRUE)</f>
        <v>1</v>
      </c>
      <c r="Z200" s="26" t="b">
        <f t="array" aca="1" ref="Z200" ca="1">IF(UPPER(Data!C200)="END",SUM((OFFSET(Data!C200,MAX(ROW(Data!$C$5)-ROW(Data!C200),-200),0,400,1)="END")*(OFFSET(Data!A200,MAX(ROW(Data!$B$5)-ROW(Data!B200),-200),0,400,1)=Data!A200))=1,TRUE)</f>
        <v>1</v>
      </c>
      <c r="AA200" s="26" t="b">
        <f>IF(Checks!C200,ISERROR(FIND("&amp;",Data!D200)),TRUE)</f>
        <v>1</v>
      </c>
      <c r="AB200" s="26" t="b">
        <f>IF(Checks!$C200,IF(AND(UPPER(Data!$C200)&lt;&gt;"START",UPPER(Data!$C200)&lt;&gt;"DATA OBJECT",Data!E200&lt;&gt;""),NOT(ISERROR(MATCH(Data!$A200&amp;"||"&amp;Data!E200,Key,0))),TRUE),TRUE)</f>
        <v>1</v>
      </c>
      <c r="AC200" s="27" t="b">
        <f>IF(Checks!C200,IF(UPPER(Data!C200)="END",Data!E200&lt;&gt;"",TRUE),TRUE)</f>
        <v>1</v>
      </c>
    </row>
    <row r="201" spans="1:29" x14ac:dyDescent="0.25">
      <c r="A201" s="1" t="str">
        <f>Data!A201&amp;"||"&amp;Data!B201</f>
        <v>Miscellaneous/subflow/irmifrs9_adjustment_alloc.bpmn||030_00_07</v>
      </c>
      <c r="B201" s="19"/>
      <c r="C201" s="24" t="b">
        <f>AND(UPPER(Data!A201)&lt;&gt;"EMPTY",Data!B201&lt;&gt;"")</f>
        <v>1</v>
      </c>
      <c r="D201" s="1"/>
      <c r="E201" s="25" t="b">
        <f t="shared" ca="1" si="6"/>
        <v>1</v>
      </c>
      <c r="F201" s="26" t="b">
        <f ca="1">IF(UPPER(Data!C201)="SUB PROCESS",NOT(ISERROR(MATCH(RIGHT(Data!BY201,LEN(Data!BY201)-5),OFFSET(Data,0,0,ItemsCount,1),0))),TRUE)</f>
        <v>1</v>
      </c>
      <c r="G201" s="26" t="b">
        <f ca="1">IF(MID(UPPER(Data!A201),1,13)="MISCELLANEOUS",NOT(ISERROR(MATCH("path="&amp;Data!A201,OFFSET(Data,0,76,ItemsCount,1),0))),TRUE)</f>
        <v>1</v>
      </c>
      <c r="L201" s="25" t="b">
        <f t="shared" ca="1" si="7"/>
        <v>1</v>
      </c>
      <c r="M201" s="24" t="b">
        <f>IF(Checks!$C201,Data!A201&lt;&gt;"",TRUE)</f>
        <v>1</v>
      </c>
      <c r="N201" s="26" t="b">
        <f>IF(Checks!C201,Data!B201&lt;&gt;"",TRUE)</f>
        <v>1</v>
      </c>
      <c r="O201" s="26" t="b">
        <f>IF(Checks!C201,IF(AND(UPPER(Data!C201)="SERVICE TASK",UPPER(Data!BZ201)="TYPE=SAS"),NodeExists(TRIM(RIGHT(Data!CA201,LEN(Data!CA201)-FIND("=",Data!CA201)))),TRUE),TRUE)</f>
        <v>1</v>
      </c>
      <c r="P201" s="26" t="b">
        <f>IF(Checks!C201,IF(Data!C201="DATA OBJECT",OR(AND(Data!BW201&lt;&gt;"",Data!BX201=""),AND(Data!BW201="",Data!BX201&lt;&gt;"")),TRUE),TRUE)</f>
        <v>1</v>
      </c>
      <c r="Q201" s="26" t="b">
        <f>IF(Checks!C201,UPPER(RIGHT(Data!A201,5))=".BPMN",TRUE)</f>
        <v>1</v>
      </c>
      <c r="R201" s="26" t="b">
        <f>IF(Checks!C201,IF(UPPER(Data!C201)="SUB PROCESS",UPPER(RIGHT(Data!BY201,5))=".BPMN",TRUE),TRUE)</f>
        <v>1</v>
      </c>
      <c r="S201" s="26" t="b">
        <f>IF(Checks!C201,IF(UPPER(Data!C201)="SERVICE TASK",IF(UPPER(Data!BZ201)="TYPE=SAS",UPPER(RIGHT(Data!CA201,4))=".SAS",TRUE),TRUE),TRUE)</f>
        <v>1</v>
      </c>
      <c r="T201" s="26" t="b">
        <f>IF(Checks!C201,IF(Data!B201&lt;&gt;"",Data!D201&lt;&gt;"",TRUE),TRUE)</f>
        <v>1</v>
      </c>
      <c r="U201" s="26" t="b">
        <f ca="1">IF(Checks!C201,IF(UPPER(Data!C201)="DATA OBJECT",NOT(ISERROR(MATCH(Data!A201&amp;"||"&amp;Data!BW201&amp;Data!BX201,Key,0))),TRUE),TRUE)</f>
        <v>1</v>
      </c>
      <c r="V201" s="26" t="b">
        <f>IF(Checks!C201,IF(UPPER(Data!C201)="SUB PROCESS",Data!BY201&lt;&gt;"",TRUE),TRUE)</f>
        <v>1</v>
      </c>
      <c r="W201" s="26" t="b">
        <f>IF(Checks!C201,IF(UPPER(Data!C201)="SERVICE TASK",AND(Data!BZ201&lt;&gt;"",Data!CA201&lt;&gt;""),TRUE),TRUE)</f>
        <v>1</v>
      </c>
      <c r="X201" s="26" t="b">
        <f t="array" aca="1" ref="X201" ca="1">SUM((OFFSET(Data!B201,MAX(ROW(Data!$B$5)-ROW(Data!B201),-200),0,400,1)=Data!B201)*(OFFSET(Data!A201,MAX(ROW(Data!$B$5)-ROW(Data!B201),-200),0,400,1)=Data!A201))=1</f>
        <v>1</v>
      </c>
      <c r="Y201" s="26" t="b">
        <f t="array" aca="1" ref="Y201" ca="1">IF(UPPER(Data!C201)="START",SUM((OFFSET(Data!C201,MAX(ROW(Data!$C$5)-ROW(Data!C201),-200),0,400,1)="START")*(OFFSET(Data!A201,MAX(ROW(Data!$B$5)-ROW(Data!B201),-200),0,400,1)=Data!A201))=1,TRUE)</f>
        <v>1</v>
      </c>
      <c r="Z201" s="26" t="b">
        <f t="array" aca="1" ref="Z201" ca="1">IF(UPPER(Data!C201)="END",SUM((OFFSET(Data!C201,MAX(ROW(Data!$C$5)-ROW(Data!C201),-200),0,400,1)="END")*(OFFSET(Data!A201,MAX(ROW(Data!$B$5)-ROW(Data!B201),-200),0,400,1)=Data!A201))=1,TRUE)</f>
        <v>1</v>
      </c>
      <c r="AA201" s="26" t="b">
        <f>IF(Checks!C201,ISERROR(FIND("&amp;",Data!D201)),TRUE)</f>
        <v>1</v>
      </c>
      <c r="AB201" s="26" t="b">
        <f>IF(Checks!$C201,IF(AND(UPPER(Data!$C201)&lt;&gt;"START",UPPER(Data!$C201)&lt;&gt;"DATA OBJECT",Data!E201&lt;&gt;""),NOT(ISERROR(MATCH(Data!$A201&amp;"||"&amp;Data!E201,Key,0))),TRUE),TRUE)</f>
        <v>1</v>
      </c>
      <c r="AC201" s="27" t="b">
        <f>IF(Checks!C201,IF(UPPER(Data!C201)="END",Data!E201&lt;&gt;"",TRUE),TRUE)</f>
        <v>1</v>
      </c>
    </row>
    <row r="202" spans="1:29" x14ac:dyDescent="0.25">
      <c r="A202" s="1" t="str">
        <f>Data!A202&amp;"||"&amp;Data!B202</f>
        <v>Miscellaneous/subflow/irmifrs9_adjustment_alloc.bpmn||030_00_08</v>
      </c>
      <c r="B202" s="19"/>
      <c r="C202" s="24" t="b">
        <f>AND(UPPER(Data!A202)&lt;&gt;"EMPTY",Data!B202&lt;&gt;"")</f>
        <v>1</v>
      </c>
      <c r="D202" s="1"/>
      <c r="E202" s="25" t="b">
        <f t="shared" ca="1" si="6"/>
        <v>1</v>
      </c>
      <c r="F202" s="26" t="b">
        <f ca="1">IF(UPPER(Data!C202)="SUB PROCESS",NOT(ISERROR(MATCH(RIGHT(Data!BY202,LEN(Data!BY202)-5),OFFSET(Data,0,0,ItemsCount,1),0))),TRUE)</f>
        <v>1</v>
      </c>
      <c r="G202" s="26" t="b">
        <f ca="1">IF(MID(UPPER(Data!A202),1,13)="MISCELLANEOUS",NOT(ISERROR(MATCH("path="&amp;Data!A202,OFFSET(Data,0,76,ItemsCount,1),0))),TRUE)</f>
        <v>1</v>
      </c>
      <c r="L202" s="25" t="b">
        <f t="shared" ca="1" si="7"/>
        <v>1</v>
      </c>
      <c r="M202" s="24" t="b">
        <f>IF(Checks!$C202,Data!A202&lt;&gt;"",TRUE)</f>
        <v>1</v>
      </c>
      <c r="N202" s="26" t="b">
        <f>IF(Checks!C202,Data!B202&lt;&gt;"",TRUE)</f>
        <v>1</v>
      </c>
      <c r="O202" s="26" t="b">
        <f>IF(Checks!C202,IF(AND(UPPER(Data!C202)="SERVICE TASK",UPPER(Data!BZ202)="TYPE=SAS"),NodeExists(TRIM(RIGHT(Data!CA202,LEN(Data!CA202)-FIND("=",Data!CA202)))),TRUE),TRUE)</f>
        <v>1</v>
      </c>
      <c r="P202" s="26" t="b">
        <f>IF(Checks!C202,IF(Data!C202="DATA OBJECT",OR(AND(Data!BW202&lt;&gt;"",Data!BX202=""),AND(Data!BW202="",Data!BX202&lt;&gt;"")),TRUE),TRUE)</f>
        <v>1</v>
      </c>
      <c r="Q202" s="26" t="b">
        <f>IF(Checks!C202,UPPER(RIGHT(Data!A202,5))=".BPMN",TRUE)</f>
        <v>1</v>
      </c>
      <c r="R202" s="26" t="b">
        <f>IF(Checks!C202,IF(UPPER(Data!C202)="SUB PROCESS",UPPER(RIGHT(Data!BY202,5))=".BPMN",TRUE),TRUE)</f>
        <v>1</v>
      </c>
      <c r="S202" s="26" t="b">
        <f>IF(Checks!C202,IF(UPPER(Data!C202)="SERVICE TASK",IF(UPPER(Data!BZ202)="TYPE=SAS",UPPER(RIGHT(Data!CA202,4))=".SAS",TRUE),TRUE),TRUE)</f>
        <v>1</v>
      </c>
      <c r="T202" s="26" t="b">
        <f>IF(Checks!C202,IF(Data!B202&lt;&gt;"",Data!D202&lt;&gt;"",TRUE),TRUE)</f>
        <v>1</v>
      </c>
      <c r="U202" s="26" t="b">
        <f ca="1">IF(Checks!C202,IF(UPPER(Data!C202)="DATA OBJECT",NOT(ISERROR(MATCH(Data!A202&amp;"||"&amp;Data!BW202&amp;Data!BX202,Key,0))),TRUE),TRUE)</f>
        <v>1</v>
      </c>
      <c r="V202" s="26" t="b">
        <f>IF(Checks!C202,IF(UPPER(Data!C202)="SUB PROCESS",Data!BY202&lt;&gt;"",TRUE),TRUE)</f>
        <v>1</v>
      </c>
      <c r="W202" s="26" t="b">
        <f>IF(Checks!C202,IF(UPPER(Data!C202)="SERVICE TASK",AND(Data!BZ202&lt;&gt;"",Data!CA202&lt;&gt;""),TRUE),TRUE)</f>
        <v>1</v>
      </c>
      <c r="X202" s="26" t="b">
        <f t="array" aca="1" ref="X202" ca="1">SUM((OFFSET(Data!B202,MAX(ROW(Data!$B$5)-ROW(Data!B202),-200),0,400,1)=Data!B202)*(OFFSET(Data!A202,MAX(ROW(Data!$B$5)-ROW(Data!B202),-200),0,400,1)=Data!A202))=1</f>
        <v>1</v>
      </c>
      <c r="Y202" s="26" t="b">
        <f t="array" aca="1" ref="Y202" ca="1">IF(UPPER(Data!C202)="START",SUM((OFFSET(Data!C202,MAX(ROW(Data!$C$5)-ROW(Data!C202),-200),0,400,1)="START")*(OFFSET(Data!A202,MAX(ROW(Data!$B$5)-ROW(Data!B202),-200),0,400,1)=Data!A202))=1,TRUE)</f>
        <v>1</v>
      </c>
      <c r="Z202" s="26" t="b">
        <f t="array" aca="1" ref="Z202" ca="1">IF(UPPER(Data!C202)="END",SUM((OFFSET(Data!C202,MAX(ROW(Data!$C$5)-ROW(Data!C202),-200),0,400,1)="END")*(OFFSET(Data!A202,MAX(ROW(Data!$B$5)-ROW(Data!B202),-200),0,400,1)=Data!A202))=1,TRUE)</f>
        <v>1</v>
      </c>
      <c r="AA202" s="26" t="b">
        <f>IF(Checks!C202,ISERROR(FIND("&amp;",Data!D202)),TRUE)</f>
        <v>1</v>
      </c>
      <c r="AB202" s="26" t="b">
        <f>IF(Checks!$C202,IF(AND(UPPER(Data!$C202)&lt;&gt;"START",UPPER(Data!$C202)&lt;&gt;"DATA OBJECT",Data!E202&lt;&gt;""),NOT(ISERROR(MATCH(Data!$A202&amp;"||"&amp;Data!E202,Key,0))),TRUE),TRUE)</f>
        <v>1</v>
      </c>
      <c r="AC202" s="27" t="b">
        <f>IF(Checks!C202,IF(UPPER(Data!C202)="END",Data!E202&lt;&gt;"",TRUE),TRUE)</f>
        <v>1</v>
      </c>
    </row>
    <row r="203" spans="1:29" x14ac:dyDescent="0.25">
      <c r="A203" s="1" t="str">
        <f>Data!A203&amp;"||"&amp;Data!B203</f>
        <v>Miscellaneous/subflow/irmifrs9_adjustment_alloc.bpmn||030_00_09</v>
      </c>
      <c r="B203" s="19"/>
      <c r="C203" s="24" t="b">
        <f>AND(UPPER(Data!A203)&lt;&gt;"EMPTY",Data!B203&lt;&gt;"")</f>
        <v>1</v>
      </c>
      <c r="D203" s="1"/>
      <c r="E203" s="25" t="b">
        <f t="shared" ca="1" si="6"/>
        <v>1</v>
      </c>
      <c r="F203" s="26" t="b">
        <f ca="1">IF(UPPER(Data!C203)="SUB PROCESS",NOT(ISERROR(MATCH(RIGHT(Data!BY203,LEN(Data!BY203)-5),OFFSET(Data,0,0,ItemsCount,1),0))),TRUE)</f>
        <v>1</v>
      </c>
      <c r="G203" s="26" t="b">
        <f ca="1">IF(MID(UPPER(Data!A203),1,13)="MISCELLANEOUS",NOT(ISERROR(MATCH("path="&amp;Data!A203,OFFSET(Data,0,76,ItemsCount,1),0))),TRUE)</f>
        <v>1</v>
      </c>
      <c r="L203" s="25" t="b">
        <f t="shared" ca="1" si="7"/>
        <v>1</v>
      </c>
      <c r="M203" s="24" t="b">
        <f>IF(Checks!$C203,Data!A203&lt;&gt;"",TRUE)</f>
        <v>1</v>
      </c>
      <c r="N203" s="26" t="b">
        <f>IF(Checks!C203,Data!B203&lt;&gt;"",TRUE)</f>
        <v>1</v>
      </c>
      <c r="O203" s="26" t="b">
        <f>IF(Checks!C203,IF(AND(UPPER(Data!C203)="SERVICE TASK",UPPER(Data!BZ203)="TYPE=SAS"),NodeExists(TRIM(RIGHT(Data!CA203,LEN(Data!CA203)-FIND("=",Data!CA203)))),TRUE),TRUE)</f>
        <v>1</v>
      </c>
      <c r="P203" s="26" t="b">
        <f>IF(Checks!C203,IF(Data!C203="DATA OBJECT",OR(AND(Data!BW203&lt;&gt;"",Data!BX203=""),AND(Data!BW203="",Data!BX203&lt;&gt;"")),TRUE),TRUE)</f>
        <v>1</v>
      </c>
      <c r="Q203" s="26" t="b">
        <f>IF(Checks!C203,UPPER(RIGHT(Data!A203,5))=".BPMN",TRUE)</f>
        <v>1</v>
      </c>
      <c r="R203" s="26" t="b">
        <f>IF(Checks!C203,IF(UPPER(Data!C203)="SUB PROCESS",UPPER(RIGHT(Data!BY203,5))=".BPMN",TRUE),TRUE)</f>
        <v>1</v>
      </c>
      <c r="S203" s="26" t="b">
        <f>IF(Checks!C203,IF(UPPER(Data!C203)="SERVICE TASK",IF(UPPER(Data!BZ203)="TYPE=SAS",UPPER(RIGHT(Data!CA203,4))=".SAS",TRUE),TRUE),TRUE)</f>
        <v>1</v>
      </c>
      <c r="T203" s="26" t="b">
        <f>IF(Checks!C203,IF(Data!B203&lt;&gt;"",Data!D203&lt;&gt;"",TRUE),TRUE)</f>
        <v>1</v>
      </c>
      <c r="U203" s="26" t="b">
        <f ca="1">IF(Checks!C203,IF(UPPER(Data!C203)="DATA OBJECT",NOT(ISERROR(MATCH(Data!A203&amp;"||"&amp;Data!BW203&amp;Data!BX203,Key,0))),TRUE),TRUE)</f>
        <v>1</v>
      </c>
      <c r="V203" s="26" t="b">
        <f>IF(Checks!C203,IF(UPPER(Data!C203)="SUB PROCESS",Data!BY203&lt;&gt;"",TRUE),TRUE)</f>
        <v>1</v>
      </c>
      <c r="W203" s="26" t="b">
        <f>IF(Checks!C203,IF(UPPER(Data!C203)="SERVICE TASK",AND(Data!BZ203&lt;&gt;"",Data!CA203&lt;&gt;""),TRUE),TRUE)</f>
        <v>1</v>
      </c>
      <c r="X203" s="26" t="b">
        <f t="array" aca="1" ref="X203" ca="1">SUM((OFFSET(Data!B203,MAX(ROW(Data!$B$5)-ROW(Data!B203),-200),0,400,1)=Data!B203)*(OFFSET(Data!A203,MAX(ROW(Data!$B$5)-ROW(Data!B203),-200),0,400,1)=Data!A203))=1</f>
        <v>1</v>
      </c>
      <c r="Y203" s="26" t="b">
        <f t="array" aca="1" ref="Y203" ca="1">IF(UPPER(Data!C203)="START",SUM((OFFSET(Data!C203,MAX(ROW(Data!$C$5)-ROW(Data!C203),-200),0,400,1)="START")*(OFFSET(Data!A203,MAX(ROW(Data!$B$5)-ROW(Data!B203),-200),0,400,1)=Data!A203))=1,TRUE)</f>
        <v>1</v>
      </c>
      <c r="Z203" s="26" t="b">
        <f t="array" aca="1" ref="Z203" ca="1">IF(UPPER(Data!C203)="END",SUM((OFFSET(Data!C203,MAX(ROW(Data!$C$5)-ROW(Data!C203),-200),0,400,1)="END")*(OFFSET(Data!A203,MAX(ROW(Data!$B$5)-ROW(Data!B203),-200),0,400,1)=Data!A203))=1,TRUE)</f>
        <v>1</v>
      </c>
      <c r="AA203" s="26" t="b">
        <f>IF(Checks!C203,ISERROR(FIND("&amp;",Data!D203)),TRUE)</f>
        <v>1</v>
      </c>
      <c r="AB203" s="26" t="b">
        <f>IF(Checks!$C203,IF(AND(UPPER(Data!$C203)&lt;&gt;"START",UPPER(Data!$C203)&lt;&gt;"DATA OBJECT",Data!E203&lt;&gt;""),NOT(ISERROR(MATCH(Data!$A203&amp;"||"&amp;Data!E203,Key,0))),TRUE),TRUE)</f>
        <v>1</v>
      </c>
      <c r="AC203" s="27" t="b">
        <f>IF(Checks!C203,IF(UPPER(Data!C203)="END",Data!E203&lt;&gt;"",TRUE),TRUE)</f>
        <v>1</v>
      </c>
    </row>
    <row r="204" spans="1:29" x14ac:dyDescent="0.25">
      <c r="A204" s="1" t="str">
        <f>Data!A204&amp;"||"&amp;Data!B204</f>
        <v>Miscellaneous/subflow/irmifrs9_adjustment_alloc.bpmn||030_00_10</v>
      </c>
      <c r="B204" s="19"/>
      <c r="C204" s="24" t="b">
        <f>AND(UPPER(Data!A204)&lt;&gt;"EMPTY",Data!B204&lt;&gt;"")</f>
        <v>1</v>
      </c>
      <c r="D204" s="1"/>
      <c r="E204" s="25" t="b">
        <f t="shared" ca="1" si="6"/>
        <v>1</v>
      </c>
      <c r="F204" s="26" t="b">
        <f ca="1">IF(UPPER(Data!C204)="SUB PROCESS",NOT(ISERROR(MATCH(RIGHT(Data!BY204,LEN(Data!BY204)-5),OFFSET(Data,0,0,ItemsCount,1),0))),TRUE)</f>
        <v>1</v>
      </c>
      <c r="G204" s="26" t="b">
        <f ca="1">IF(MID(UPPER(Data!A204),1,13)="MISCELLANEOUS",NOT(ISERROR(MATCH("path="&amp;Data!A204,OFFSET(Data,0,76,ItemsCount,1),0))),TRUE)</f>
        <v>1</v>
      </c>
      <c r="L204" s="25" t="b">
        <f t="shared" ca="1" si="7"/>
        <v>1</v>
      </c>
      <c r="M204" s="24" t="b">
        <f>IF(Checks!$C204,Data!A204&lt;&gt;"",TRUE)</f>
        <v>1</v>
      </c>
      <c r="N204" s="26" t="b">
        <f>IF(Checks!C204,Data!B204&lt;&gt;"",TRUE)</f>
        <v>1</v>
      </c>
      <c r="O204" s="26" t="b">
        <f>IF(Checks!C204,IF(AND(UPPER(Data!C204)="SERVICE TASK",UPPER(Data!BZ204)="TYPE=SAS"),NodeExists(TRIM(RIGHT(Data!CA204,LEN(Data!CA204)-FIND("=",Data!CA204)))),TRUE),TRUE)</f>
        <v>1</v>
      </c>
      <c r="P204" s="26" t="b">
        <f>IF(Checks!C204,IF(Data!C204="DATA OBJECT",OR(AND(Data!BW204&lt;&gt;"",Data!BX204=""),AND(Data!BW204="",Data!BX204&lt;&gt;"")),TRUE),TRUE)</f>
        <v>1</v>
      </c>
      <c r="Q204" s="26" t="b">
        <f>IF(Checks!C204,UPPER(RIGHT(Data!A204,5))=".BPMN",TRUE)</f>
        <v>1</v>
      </c>
      <c r="R204" s="26" t="b">
        <f>IF(Checks!C204,IF(UPPER(Data!C204)="SUB PROCESS",UPPER(RIGHT(Data!BY204,5))=".BPMN",TRUE),TRUE)</f>
        <v>1</v>
      </c>
      <c r="S204" s="26" t="b">
        <f>IF(Checks!C204,IF(UPPER(Data!C204)="SERVICE TASK",IF(UPPER(Data!BZ204)="TYPE=SAS",UPPER(RIGHT(Data!CA204,4))=".SAS",TRUE),TRUE),TRUE)</f>
        <v>1</v>
      </c>
      <c r="T204" s="26" t="b">
        <f>IF(Checks!C204,IF(Data!B204&lt;&gt;"",Data!D204&lt;&gt;"",TRUE),TRUE)</f>
        <v>1</v>
      </c>
      <c r="U204" s="26" t="b">
        <f ca="1">IF(Checks!C204,IF(UPPER(Data!C204)="DATA OBJECT",NOT(ISERROR(MATCH(Data!A204&amp;"||"&amp;Data!BW204&amp;Data!BX204,Key,0))),TRUE),TRUE)</f>
        <v>1</v>
      </c>
      <c r="V204" s="26" t="b">
        <f>IF(Checks!C204,IF(UPPER(Data!C204)="SUB PROCESS",Data!BY204&lt;&gt;"",TRUE),TRUE)</f>
        <v>1</v>
      </c>
      <c r="W204" s="26" t="b">
        <f>IF(Checks!C204,IF(UPPER(Data!C204)="SERVICE TASK",AND(Data!BZ204&lt;&gt;"",Data!CA204&lt;&gt;""),TRUE),TRUE)</f>
        <v>1</v>
      </c>
      <c r="X204" s="26" t="b">
        <f t="array" aca="1" ref="X204" ca="1">SUM((OFFSET(Data!B204,MAX(ROW(Data!$B$5)-ROW(Data!B204),-200),0,400,1)=Data!B204)*(OFFSET(Data!A204,MAX(ROW(Data!$B$5)-ROW(Data!B204),-200),0,400,1)=Data!A204))=1</f>
        <v>1</v>
      </c>
      <c r="Y204" s="26" t="b">
        <f t="array" aca="1" ref="Y204" ca="1">IF(UPPER(Data!C204)="START",SUM((OFFSET(Data!C204,MAX(ROW(Data!$C$5)-ROW(Data!C204),-200),0,400,1)="START")*(OFFSET(Data!A204,MAX(ROW(Data!$B$5)-ROW(Data!B204),-200),0,400,1)=Data!A204))=1,TRUE)</f>
        <v>1</v>
      </c>
      <c r="Z204" s="26" t="b">
        <f t="array" aca="1" ref="Z204" ca="1">IF(UPPER(Data!C204)="END",SUM((OFFSET(Data!C204,MAX(ROW(Data!$C$5)-ROW(Data!C204),-200),0,400,1)="END")*(OFFSET(Data!A204,MAX(ROW(Data!$B$5)-ROW(Data!B204),-200),0,400,1)=Data!A204))=1,TRUE)</f>
        <v>1</v>
      </c>
      <c r="AA204" s="26" t="b">
        <f>IF(Checks!C204,ISERROR(FIND("&amp;",Data!D204)),TRUE)</f>
        <v>1</v>
      </c>
      <c r="AB204" s="26" t="b">
        <f>IF(Checks!$C204,IF(AND(UPPER(Data!$C204)&lt;&gt;"START",UPPER(Data!$C204)&lt;&gt;"DATA OBJECT",Data!E204&lt;&gt;""),NOT(ISERROR(MATCH(Data!$A204&amp;"||"&amp;Data!E204,Key,0))),TRUE),TRUE)</f>
        <v>1</v>
      </c>
      <c r="AC204" s="27" t="b">
        <f>IF(Checks!C204,IF(UPPER(Data!C204)="END",Data!E204&lt;&gt;"",TRUE),TRUE)</f>
        <v>1</v>
      </c>
    </row>
    <row r="205" spans="1:29" x14ac:dyDescent="0.25">
      <c r="A205" s="1" t="str">
        <f>Data!A205&amp;"||"&amp;Data!B205</f>
        <v>Miscellaneous/subflow/irmifrs9_adjustment_alloc.bpmn||030_00_11</v>
      </c>
      <c r="B205" s="19"/>
      <c r="C205" s="24" t="b">
        <f>AND(UPPER(Data!A205)&lt;&gt;"EMPTY",Data!B205&lt;&gt;"")</f>
        <v>1</v>
      </c>
      <c r="D205" s="1"/>
      <c r="E205" s="25" t="b">
        <f t="shared" ca="1" si="6"/>
        <v>1</v>
      </c>
      <c r="F205" s="26" t="b">
        <f ca="1">IF(UPPER(Data!C205)="SUB PROCESS",NOT(ISERROR(MATCH(RIGHT(Data!BY205,LEN(Data!BY205)-5),OFFSET(Data,0,0,ItemsCount,1),0))),TRUE)</f>
        <v>1</v>
      </c>
      <c r="G205" s="26" t="b">
        <f ca="1">IF(MID(UPPER(Data!A205),1,13)="MISCELLANEOUS",NOT(ISERROR(MATCH("path="&amp;Data!A205,OFFSET(Data,0,76,ItemsCount,1),0))),TRUE)</f>
        <v>1</v>
      </c>
      <c r="L205" s="25" t="b">
        <f t="shared" ca="1" si="7"/>
        <v>1</v>
      </c>
      <c r="M205" s="24" t="b">
        <f>IF(Checks!$C205,Data!A205&lt;&gt;"",TRUE)</f>
        <v>1</v>
      </c>
      <c r="N205" s="26" t="b">
        <f>IF(Checks!C205,Data!B205&lt;&gt;"",TRUE)</f>
        <v>1</v>
      </c>
      <c r="O205" s="26" t="b">
        <f>IF(Checks!C205,IF(AND(UPPER(Data!C205)="SERVICE TASK",UPPER(Data!BZ205)="TYPE=SAS"),NodeExists(TRIM(RIGHT(Data!CA205,LEN(Data!CA205)-FIND("=",Data!CA205)))),TRUE),TRUE)</f>
        <v>1</v>
      </c>
      <c r="P205" s="26" t="b">
        <f>IF(Checks!C205,IF(Data!C205="DATA OBJECT",OR(AND(Data!BW205&lt;&gt;"",Data!BX205=""),AND(Data!BW205="",Data!BX205&lt;&gt;"")),TRUE),TRUE)</f>
        <v>1</v>
      </c>
      <c r="Q205" s="26" t="b">
        <f>IF(Checks!C205,UPPER(RIGHT(Data!A205,5))=".BPMN",TRUE)</f>
        <v>1</v>
      </c>
      <c r="R205" s="26" t="b">
        <f>IF(Checks!C205,IF(UPPER(Data!C205)="SUB PROCESS",UPPER(RIGHT(Data!BY205,5))=".BPMN",TRUE),TRUE)</f>
        <v>1</v>
      </c>
      <c r="S205" s="26" t="b">
        <f>IF(Checks!C205,IF(UPPER(Data!C205)="SERVICE TASK",IF(UPPER(Data!BZ205)="TYPE=SAS",UPPER(RIGHT(Data!CA205,4))=".SAS",TRUE),TRUE),TRUE)</f>
        <v>1</v>
      </c>
      <c r="T205" s="26" t="b">
        <f>IF(Checks!C205,IF(Data!B205&lt;&gt;"",Data!D205&lt;&gt;"",TRUE),TRUE)</f>
        <v>1</v>
      </c>
      <c r="U205" s="26" t="b">
        <f ca="1">IF(Checks!C205,IF(UPPER(Data!C205)="DATA OBJECT",NOT(ISERROR(MATCH(Data!A205&amp;"||"&amp;Data!BW205&amp;Data!BX205,Key,0))),TRUE),TRUE)</f>
        <v>1</v>
      </c>
      <c r="V205" s="26" t="b">
        <f>IF(Checks!C205,IF(UPPER(Data!C205)="SUB PROCESS",Data!BY205&lt;&gt;"",TRUE),TRUE)</f>
        <v>1</v>
      </c>
      <c r="W205" s="26" t="b">
        <f>IF(Checks!C205,IF(UPPER(Data!C205)="SERVICE TASK",AND(Data!BZ205&lt;&gt;"",Data!CA205&lt;&gt;""),TRUE),TRUE)</f>
        <v>1</v>
      </c>
      <c r="X205" s="26" t="b">
        <f t="array" aca="1" ref="X205" ca="1">SUM((OFFSET(Data!B205,MAX(ROW(Data!$B$5)-ROW(Data!B205),-200),0,400,1)=Data!B205)*(OFFSET(Data!A205,MAX(ROW(Data!$B$5)-ROW(Data!B205),-200),0,400,1)=Data!A205))=1</f>
        <v>1</v>
      </c>
      <c r="Y205" s="26" t="b">
        <f t="array" aca="1" ref="Y205" ca="1">IF(UPPER(Data!C205)="START",SUM((OFFSET(Data!C205,MAX(ROW(Data!$C$5)-ROW(Data!C205),-200),0,400,1)="START")*(OFFSET(Data!A205,MAX(ROW(Data!$B$5)-ROW(Data!B205),-200),0,400,1)=Data!A205))=1,TRUE)</f>
        <v>1</v>
      </c>
      <c r="Z205" s="26" t="b">
        <f t="array" aca="1" ref="Z205" ca="1">IF(UPPER(Data!C205)="END",SUM((OFFSET(Data!C205,MAX(ROW(Data!$C$5)-ROW(Data!C205),-200),0,400,1)="END")*(OFFSET(Data!A205,MAX(ROW(Data!$B$5)-ROW(Data!B205),-200),0,400,1)=Data!A205))=1,TRUE)</f>
        <v>1</v>
      </c>
      <c r="AA205" s="26" t="b">
        <f>IF(Checks!C205,ISERROR(FIND("&amp;",Data!D205)),TRUE)</f>
        <v>1</v>
      </c>
      <c r="AB205" s="26" t="b">
        <f>IF(Checks!$C205,IF(AND(UPPER(Data!$C205)&lt;&gt;"START",UPPER(Data!$C205)&lt;&gt;"DATA OBJECT",Data!E205&lt;&gt;""),NOT(ISERROR(MATCH(Data!$A205&amp;"||"&amp;Data!E205,Key,0))),TRUE),TRUE)</f>
        <v>1</v>
      </c>
      <c r="AC205" s="27" t="b">
        <f>IF(Checks!C205,IF(UPPER(Data!C205)="END",Data!E205&lt;&gt;"",TRUE),TRUE)</f>
        <v>1</v>
      </c>
    </row>
    <row r="206" spans="1:29" x14ac:dyDescent="0.25">
      <c r="A206" s="1" t="str">
        <f>Data!A206&amp;"||"&amp;Data!B206</f>
        <v>Miscellaneous/subflow/irmifrs9_adjustment_alloc.bpmn||030_00_12</v>
      </c>
      <c r="B206" s="19"/>
      <c r="C206" s="24" t="b">
        <f>AND(UPPER(Data!A206)&lt;&gt;"EMPTY",Data!B206&lt;&gt;"")</f>
        <v>1</v>
      </c>
      <c r="D206" s="1"/>
      <c r="E206" s="25" t="b">
        <f t="shared" ca="1" si="6"/>
        <v>1</v>
      </c>
      <c r="F206" s="26" t="b">
        <f ca="1">IF(UPPER(Data!C206)="SUB PROCESS",NOT(ISERROR(MATCH(RIGHT(Data!BY206,LEN(Data!BY206)-5),OFFSET(Data,0,0,ItemsCount,1),0))),TRUE)</f>
        <v>1</v>
      </c>
      <c r="G206" s="26" t="b">
        <f ca="1">IF(MID(UPPER(Data!A206),1,13)="MISCELLANEOUS",NOT(ISERROR(MATCH("path="&amp;Data!A206,OFFSET(Data,0,76,ItemsCount,1),0))),TRUE)</f>
        <v>1</v>
      </c>
      <c r="L206" s="25" t="b">
        <f t="shared" ca="1" si="7"/>
        <v>1</v>
      </c>
      <c r="M206" s="24" t="b">
        <f>IF(Checks!$C206,Data!A206&lt;&gt;"",TRUE)</f>
        <v>1</v>
      </c>
      <c r="N206" s="26" t="b">
        <f>IF(Checks!C206,Data!B206&lt;&gt;"",TRUE)</f>
        <v>1</v>
      </c>
      <c r="O206" s="26" t="b">
        <f>IF(Checks!C206,IF(AND(UPPER(Data!C206)="SERVICE TASK",UPPER(Data!BZ206)="TYPE=SAS"),NodeExists(TRIM(RIGHT(Data!CA206,LEN(Data!CA206)-FIND("=",Data!CA206)))),TRUE),TRUE)</f>
        <v>1</v>
      </c>
      <c r="P206" s="26" t="b">
        <f>IF(Checks!C206,IF(Data!C206="DATA OBJECT",OR(AND(Data!BW206&lt;&gt;"",Data!BX206=""),AND(Data!BW206="",Data!BX206&lt;&gt;"")),TRUE),TRUE)</f>
        <v>1</v>
      </c>
      <c r="Q206" s="26" t="b">
        <f>IF(Checks!C206,UPPER(RIGHT(Data!A206,5))=".BPMN",TRUE)</f>
        <v>1</v>
      </c>
      <c r="R206" s="26" t="b">
        <f>IF(Checks!C206,IF(UPPER(Data!C206)="SUB PROCESS",UPPER(RIGHT(Data!BY206,5))=".BPMN",TRUE),TRUE)</f>
        <v>1</v>
      </c>
      <c r="S206" s="26" t="b">
        <f>IF(Checks!C206,IF(UPPER(Data!C206)="SERVICE TASK",IF(UPPER(Data!BZ206)="TYPE=SAS",UPPER(RIGHT(Data!CA206,4))=".SAS",TRUE),TRUE),TRUE)</f>
        <v>1</v>
      </c>
      <c r="T206" s="26" t="b">
        <f>IF(Checks!C206,IF(Data!B206&lt;&gt;"",Data!D206&lt;&gt;"",TRUE),TRUE)</f>
        <v>1</v>
      </c>
      <c r="U206" s="26" t="b">
        <f ca="1">IF(Checks!C206,IF(UPPER(Data!C206)="DATA OBJECT",NOT(ISERROR(MATCH(Data!A206&amp;"||"&amp;Data!BW206&amp;Data!BX206,Key,0))),TRUE),TRUE)</f>
        <v>1</v>
      </c>
      <c r="V206" s="26" t="b">
        <f>IF(Checks!C206,IF(UPPER(Data!C206)="SUB PROCESS",Data!BY206&lt;&gt;"",TRUE),TRUE)</f>
        <v>1</v>
      </c>
      <c r="W206" s="26" t="b">
        <f>IF(Checks!C206,IF(UPPER(Data!C206)="SERVICE TASK",AND(Data!BZ206&lt;&gt;"",Data!CA206&lt;&gt;""),TRUE),TRUE)</f>
        <v>1</v>
      </c>
      <c r="X206" s="26" t="b">
        <f t="array" aca="1" ref="X206" ca="1">SUM((OFFSET(Data!B206,MAX(ROW(Data!$B$5)-ROW(Data!B206),-200),0,400,1)=Data!B206)*(OFFSET(Data!A206,MAX(ROW(Data!$B$5)-ROW(Data!B206),-200),0,400,1)=Data!A206))=1</f>
        <v>1</v>
      </c>
      <c r="Y206" s="26" t="b">
        <f t="array" aca="1" ref="Y206" ca="1">IF(UPPER(Data!C206)="START",SUM((OFFSET(Data!C206,MAX(ROW(Data!$C$5)-ROW(Data!C206),-200),0,400,1)="START")*(OFFSET(Data!A206,MAX(ROW(Data!$B$5)-ROW(Data!B206),-200),0,400,1)=Data!A206))=1,TRUE)</f>
        <v>1</v>
      </c>
      <c r="Z206" s="26" t="b">
        <f t="array" aca="1" ref="Z206" ca="1">IF(UPPER(Data!C206)="END",SUM((OFFSET(Data!C206,MAX(ROW(Data!$C$5)-ROW(Data!C206),-200),0,400,1)="END")*(OFFSET(Data!A206,MAX(ROW(Data!$B$5)-ROW(Data!B206),-200),0,400,1)=Data!A206))=1,TRUE)</f>
        <v>1</v>
      </c>
      <c r="AA206" s="26" t="b">
        <f>IF(Checks!C206,ISERROR(FIND("&amp;",Data!D206)),TRUE)</f>
        <v>1</v>
      </c>
      <c r="AB206" s="26" t="b">
        <f>IF(Checks!$C206,IF(AND(UPPER(Data!$C206)&lt;&gt;"START",UPPER(Data!$C206)&lt;&gt;"DATA OBJECT",Data!E206&lt;&gt;""),NOT(ISERROR(MATCH(Data!$A206&amp;"||"&amp;Data!E206,Key,0))),TRUE),TRUE)</f>
        <v>1</v>
      </c>
      <c r="AC206" s="27" t="b">
        <f>IF(Checks!C206,IF(UPPER(Data!C206)="END",Data!E206&lt;&gt;"",TRUE),TRUE)</f>
        <v>1</v>
      </c>
    </row>
    <row r="207" spans="1:29" x14ac:dyDescent="0.25">
      <c r="A207" s="1" t="str">
        <f>Data!A207&amp;"||"&amp;Data!B207</f>
        <v>Miscellaneous/subflow/irmifrs9_adjustment_alloc.bpmn||030_00_13</v>
      </c>
      <c r="B207" s="19"/>
      <c r="C207" s="24" t="b">
        <f>AND(UPPER(Data!A207)&lt;&gt;"EMPTY",Data!B207&lt;&gt;"")</f>
        <v>1</v>
      </c>
      <c r="D207" s="1"/>
      <c r="E207" s="25" t="b">
        <f t="shared" ca="1" si="6"/>
        <v>1</v>
      </c>
      <c r="F207" s="26" t="b">
        <f ca="1">IF(UPPER(Data!C207)="SUB PROCESS",NOT(ISERROR(MATCH(RIGHT(Data!BY207,LEN(Data!BY207)-5),OFFSET(Data,0,0,ItemsCount,1),0))),TRUE)</f>
        <v>1</v>
      </c>
      <c r="G207" s="26" t="b">
        <f ca="1">IF(MID(UPPER(Data!A207),1,13)="MISCELLANEOUS",NOT(ISERROR(MATCH("path="&amp;Data!A207,OFFSET(Data,0,76,ItemsCount,1),0))),TRUE)</f>
        <v>1</v>
      </c>
      <c r="L207" s="25" t="b">
        <f t="shared" ca="1" si="7"/>
        <v>1</v>
      </c>
      <c r="M207" s="24" t="b">
        <f>IF(Checks!$C207,Data!A207&lt;&gt;"",TRUE)</f>
        <v>1</v>
      </c>
      <c r="N207" s="26" t="b">
        <f>IF(Checks!C207,Data!B207&lt;&gt;"",TRUE)</f>
        <v>1</v>
      </c>
      <c r="O207" s="26" t="b">
        <f>IF(Checks!C207,IF(AND(UPPER(Data!C207)="SERVICE TASK",UPPER(Data!BZ207)="TYPE=SAS"),NodeExists(TRIM(RIGHT(Data!CA207,LEN(Data!CA207)-FIND("=",Data!CA207)))),TRUE),TRUE)</f>
        <v>1</v>
      </c>
      <c r="P207" s="26" t="b">
        <f>IF(Checks!C207,IF(Data!C207="DATA OBJECT",OR(AND(Data!BW207&lt;&gt;"",Data!BX207=""),AND(Data!BW207="",Data!BX207&lt;&gt;"")),TRUE),TRUE)</f>
        <v>1</v>
      </c>
      <c r="Q207" s="26" t="b">
        <f>IF(Checks!C207,UPPER(RIGHT(Data!A207,5))=".BPMN",TRUE)</f>
        <v>1</v>
      </c>
      <c r="R207" s="26" t="b">
        <f>IF(Checks!C207,IF(UPPER(Data!C207)="SUB PROCESS",UPPER(RIGHT(Data!BY207,5))=".BPMN",TRUE),TRUE)</f>
        <v>1</v>
      </c>
      <c r="S207" s="26" t="b">
        <f>IF(Checks!C207,IF(UPPER(Data!C207)="SERVICE TASK",IF(UPPER(Data!BZ207)="TYPE=SAS",UPPER(RIGHT(Data!CA207,4))=".SAS",TRUE),TRUE),TRUE)</f>
        <v>1</v>
      </c>
      <c r="T207" s="26" t="b">
        <f>IF(Checks!C207,IF(Data!B207&lt;&gt;"",Data!D207&lt;&gt;"",TRUE),TRUE)</f>
        <v>1</v>
      </c>
      <c r="U207" s="26" t="b">
        <f ca="1">IF(Checks!C207,IF(UPPER(Data!C207)="DATA OBJECT",NOT(ISERROR(MATCH(Data!A207&amp;"||"&amp;Data!BW207&amp;Data!BX207,Key,0))),TRUE),TRUE)</f>
        <v>1</v>
      </c>
      <c r="V207" s="26" t="b">
        <f>IF(Checks!C207,IF(UPPER(Data!C207)="SUB PROCESS",Data!BY207&lt;&gt;"",TRUE),TRUE)</f>
        <v>1</v>
      </c>
      <c r="W207" s="26" t="b">
        <f>IF(Checks!C207,IF(UPPER(Data!C207)="SERVICE TASK",AND(Data!BZ207&lt;&gt;"",Data!CA207&lt;&gt;""),TRUE),TRUE)</f>
        <v>1</v>
      </c>
      <c r="X207" s="26" t="b">
        <f t="array" aca="1" ref="X207" ca="1">SUM((OFFSET(Data!B207,MAX(ROW(Data!$B$5)-ROW(Data!B207),-200),0,400,1)=Data!B207)*(OFFSET(Data!A207,MAX(ROW(Data!$B$5)-ROW(Data!B207),-200),0,400,1)=Data!A207))=1</f>
        <v>1</v>
      </c>
      <c r="Y207" s="26" t="b">
        <f t="array" aca="1" ref="Y207" ca="1">IF(UPPER(Data!C207)="START",SUM((OFFSET(Data!C207,MAX(ROW(Data!$C$5)-ROW(Data!C207),-200),0,400,1)="START")*(OFFSET(Data!A207,MAX(ROW(Data!$B$5)-ROW(Data!B207),-200),0,400,1)=Data!A207))=1,TRUE)</f>
        <v>1</v>
      </c>
      <c r="Z207" s="26" t="b">
        <f t="array" aca="1" ref="Z207" ca="1">IF(UPPER(Data!C207)="END",SUM((OFFSET(Data!C207,MAX(ROW(Data!$C$5)-ROW(Data!C207),-200),0,400,1)="END")*(OFFSET(Data!A207,MAX(ROW(Data!$B$5)-ROW(Data!B207),-200),0,400,1)=Data!A207))=1,TRUE)</f>
        <v>1</v>
      </c>
      <c r="AA207" s="26" t="b">
        <f>IF(Checks!C207,ISERROR(FIND("&amp;",Data!D207)),TRUE)</f>
        <v>1</v>
      </c>
      <c r="AB207" s="26" t="b">
        <f>IF(Checks!$C207,IF(AND(UPPER(Data!$C207)&lt;&gt;"START",UPPER(Data!$C207)&lt;&gt;"DATA OBJECT",Data!E207&lt;&gt;""),NOT(ISERROR(MATCH(Data!$A207&amp;"||"&amp;Data!E207,Key,0))),TRUE),TRUE)</f>
        <v>1</v>
      </c>
      <c r="AC207" s="27" t="b">
        <f>IF(Checks!C207,IF(UPPER(Data!C207)="END",Data!E207&lt;&gt;"",TRUE),TRUE)</f>
        <v>1</v>
      </c>
    </row>
    <row r="208" spans="1:29" x14ac:dyDescent="0.25">
      <c r="A208" s="1" t="str">
        <f>Data!A208&amp;"||"&amp;Data!B208</f>
        <v>Miscellaneous/subflow/irmifrs9_adjustment_alloc.bpmn||030_01_00</v>
      </c>
      <c r="B208" s="19"/>
      <c r="C208" s="24" t="b">
        <f>AND(UPPER(Data!A208)&lt;&gt;"EMPTY",Data!B208&lt;&gt;"")</f>
        <v>1</v>
      </c>
      <c r="D208" s="1"/>
      <c r="E208" s="25" t="b">
        <f t="shared" ca="1" si="6"/>
        <v>1</v>
      </c>
      <c r="F208" s="26" t="b">
        <f ca="1">IF(UPPER(Data!C208)="SUB PROCESS",NOT(ISERROR(MATCH(RIGHT(Data!BY208,LEN(Data!BY208)-5),OFFSET(Data,0,0,ItemsCount,1),0))),TRUE)</f>
        <v>1</v>
      </c>
      <c r="G208" s="26" t="b">
        <f ca="1">IF(MID(UPPER(Data!A208),1,13)="MISCELLANEOUS",NOT(ISERROR(MATCH("path="&amp;Data!A208,OFFSET(Data,0,76,ItemsCount,1),0))),TRUE)</f>
        <v>1</v>
      </c>
      <c r="L208" s="25" t="b">
        <f t="shared" ca="1" si="7"/>
        <v>1</v>
      </c>
      <c r="M208" s="24" t="b">
        <f>IF(Checks!$C208,Data!A208&lt;&gt;"",TRUE)</f>
        <v>1</v>
      </c>
      <c r="N208" s="26" t="b">
        <f>IF(Checks!C208,Data!B208&lt;&gt;"",TRUE)</f>
        <v>1</v>
      </c>
      <c r="O208" s="26" t="b">
        <f>IF(Checks!C208,IF(AND(UPPER(Data!C208)="SERVICE TASK",UPPER(Data!BZ208)="TYPE=SAS"),NodeExists(TRIM(RIGHT(Data!CA208,LEN(Data!CA208)-FIND("=",Data!CA208)))),TRUE),TRUE)</f>
        <v>1</v>
      </c>
      <c r="P208" s="26" t="b">
        <f>IF(Checks!C208,IF(Data!C208="DATA OBJECT",OR(AND(Data!BW208&lt;&gt;"",Data!BX208=""),AND(Data!BW208="",Data!BX208&lt;&gt;"")),TRUE),TRUE)</f>
        <v>1</v>
      </c>
      <c r="Q208" s="26" t="b">
        <f>IF(Checks!C208,UPPER(RIGHT(Data!A208,5))=".BPMN",TRUE)</f>
        <v>1</v>
      </c>
      <c r="R208" s="26" t="b">
        <f>IF(Checks!C208,IF(UPPER(Data!C208)="SUB PROCESS",UPPER(RIGHT(Data!BY208,5))=".BPMN",TRUE),TRUE)</f>
        <v>1</v>
      </c>
      <c r="S208" s="26" t="b">
        <f>IF(Checks!C208,IF(UPPER(Data!C208)="SERVICE TASK",IF(UPPER(Data!BZ208)="TYPE=SAS",UPPER(RIGHT(Data!CA208,4))=".SAS",TRUE),TRUE),TRUE)</f>
        <v>1</v>
      </c>
      <c r="T208" s="26" t="b">
        <f>IF(Checks!C208,IF(Data!B208&lt;&gt;"",Data!D208&lt;&gt;"",TRUE),TRUE)</f>
        <v>1</v>
      </c>
      <c r="U208" s="26" t="b">
        <f ca="1">IF(Checks!C208,IF(UPPER(Data!C208)="DATA OBJECT",NOT(ISERROR(MATCH(Data!A208&amp;"||"&amp;Data!BW208&amp;Data!BX208,Key,0))),TRUE),TRUE)</f>
        <v>1</v>
      </c>
      <c r="V208" s="26" t="b">
        <f>IF(Checks!C208,IF(UPPER(Data!C208)="SUB PROCESS",Data!BY208&lt;&gt;"",TRUE),TRUE)</f>
        <v>1</v>
      </c>
      <c r="W208" s="26" t="b">
        <f>IF(Checks!C208,IF(UPPER(Data!C208)="SERVICE TASK",AND(Data!BZ208&lt;&gt;"",Data!CA208&lt;&gt;""),TRUE),TRUE)</f>
        <v>1</v>
      </c>
      <c r="X208" s="26" t="b">
        <f t="array" aca="1" ref="X208" ca="1">SUM((OFFSET(Data!B208,MAX(ROW(Data!$B$5)-ROW(Data!B208),-200),0,400,1)=Data!B208)*(OFFSET(Data!A208,MAX(ROW(Data!$B$5)-ROW(Data!B208),-200),0,400,1)=Data!A208))=1</f>
        <v>1</v>
      </c>
      <c r="Y208" s="26" t="b">
        <f t="array" aca="1" ref="Y208" ca="1">IF(UPPER(Data!C208)="START",SUM((OFFSET(Data!C208,MAX(ROW(Data!$C$5)-ROW(Data!C208),-200),0,400,1)="START")*(OFFSET(Data!A208,MAX(ROW(Data!$B$5)-ROW(Data!B208),-200),0,400,1)=Data!A208))=1,TRUE)</f>
        <v>1</v>
      </c>
      <c r="Z208" s="26" t="b">
        <f t="array" aca="1" ref="Z208" ca="1">IF(UPPER(Data!C208)="END",SUM((OFFSET(Data!C208,MAX(ROW(Data!$C$5)-ROW(Data!C208),-200),0,400,1)="END")*(OFFSET(Data!A208,MAX(ROW(Data!$B$5)-ROW(Data!B208),-200),0,400,1)=Data!A208))=1,TRUE)</f>
        <v>1</v>
      </c>
      <c r="AA208" s="26" t="b">
        <f>IF(Checks!C208,ISERROR(FIND("&amp;",Data!D208)),TRUE)</f>
        <v>1</v>
      </c>
      <c r="AB208" s="26" t="b">
        <f>IF(Checks!$C208,IF(AND(UPPER(Data!$C208)&lt;&gt;"START",UPPER(Data!$C208)&lt;&gt;"DATA OBJECT",Data!E208&lt;&gt;""),NOT(ISERROR(MATCH(Data!$A208&amp;"||"&amp;Data!E208,Key,0))),TRUE),TRUE)</f>
        <v>1</v>
      </c>
      <c r="AC208" s="27" t="b">
        <f>IF(Checks!C208,IF(UPPER(Data!C208)="END",Data!E208&lt;&gt;"",TRUE),TRUE)</f>
        <v>1</v>
      </c>
    </row>
    <row r="209" spans="1:29" x14ac:dyDescent="0.25">
      <c r="A209" s="1" t="str">
        <f>Data!A209&amp;"||"&amp;Data!B209</f>
        <v>Miscellaneous/subflow/irmifrs9_adjustment_alloc.bpmn||030_02_00</v>
      </c>
      <c r="B209" s="19"/>
      <c r="C209" s="24" t="b">
        <f>AND(UPPER(Data!A209)&lt;&gt;"EMPTY",Data!B209&lt;&gt;"")</f>
        <v>1</v>
      </c>
      <c r="D209" s="1"/>
      <c r="E209" s="25" t="b">
        <f t="shared" ca="1" si="6"/>
        <v>1</v>
      </c>
      <c r="F209" s="26" t="b">
        <f ca="1">IF(UPPER(Data!C209)="SUB PROCESS",NOT(ISERROR(MATCH(RIGHT(Data!BY209,LEN(Data!BY209)-5),OFFSET(Data,0,0,ItemsCount,1),0))),TRUE)</f>
        <v>1</v>
      </c>
      <c r="G209" s="26" t="b">
        <f ca="1">IF(MID(UPPER(Data!A209),1,13)="MISCELLANEOUS",NOT(ISERROR(MATCH("path="&amp;Data!A209,OFFSET(Data,0,76,ItemsCount,1),0))),TRUE)</f>
        <v>1</v>
      </c>
      <c r="L209" s="25" t="b">
        <f t="shared" ca="1" si="7"/>
        <v>1</v>
      </c>
      <c r="M209" s="24" t="b">
        <f>IF(Checks!$C209,Data!A209&lt;&gt;"",TRUE)</f>
        <v>1</v>
      </c>
      <c r="N209" s="26" t="b">
        <f>IF(Checks!C209,Data!B209&lt;&gt;"",TRUE)</f>
        <v>1</v>
      </c>
      <c r="O209" s="26" t="b">
        <f>IF(Checks!C209,IF(AND(UPPER(Data!C209)="SERVICE TASK",UPPER(Data!BZ209)="TYPE=SAS"),NodeExists(TRIM(RIGHT(Data!CA209,LEN(Data!CA209)-FIND("=",Data!CA209)))),TRUE),TRUE)</f>
        <v>1</v>
      </c>
      <c r="P209" s="26" t="b">
        <f>IF(Checks!C209,IF(Data!C209="DATA OBJECT",OR(AND(Data!BW209&lt;&gt;"",Data!BX209=""),AND(Data!BW209="",Data!BX209&lt;&gt;"")),TRUE),TRUE)</f>
        <v>1</v>
      </c>
      <c r="Q209" s="26" t="b">
        <f>IF(Checks!C209,UPPER(RIGHT(Data!A209,5))=".BPMN",TRUE)</f>
        <v>1</v>
      </c>
      <c r="R209" s="26" t="b">
        <f>IF(Checks!C209,IF(UPPER(Data!C209)="SUB PROCESS",UPPER(RIGHT(Data!BY209,5))=".BPMN",TRUE),TRUE)</f>
        <v>1</v>
      </c>
      <c r="S209" s="26" t="b">
        <f>IF(Checks!C209,IF(UPPER(Data!C209)="SERVICE TASK",IF(UPPER(Data!BZ209)="TYPE=SAS",UPPER(RIGHT(Data!CA209,4))=".SAS",TRUE),TRUE),TRUE)</f>
        <v>1</v>
      </c>
      <c r="T209" s="26" t="b">
        <f>IF(Checks!C209,IF(Data!B209&lt;&gt;"",Data!D209&lt;&gt;"",TRUE),TRUE)</f>
        <v>1</v>
      </c>
      <c r="U209" s="26" t="b">
        <f ca="1">IF(Checks!C209,IF(UPPER(Data!C209)="DATA OBJECT",NOT(ISERROR(MATCH(Data!A209&amp;"||"&amp;Data!BW209&amp;Data!BX209,Key,0))),TRUE),TRUE)</f>
        <v>1</v>
      </c>
      <c r="V209" s="26" t="b">
        <f>IF(Checks!C209,IF(UPPER(Data!C209)="SUB PROCESS",Data!BY209&lt;&gt;"",TRUE),TRUE)</f>
        <v>1</v>
      </c>
      <c r="W209" s="26" t="b">
        <f>IF(Checks!C209,IF(UPPER(Data!C209)="SERVICE TASK",AND(Data!BZ209&lt;&gt;"",Data!CA209&lt;&gt;""),TRUE),TRUE)</f>
        <v>1</v>
      </c>
      <c r="X209" s="26" t="b">
        <f t="array" aca="1" ref="X209" ca="1">SUM((OFFSET(Data!B209,MAX(ROW(Data!$B$5)-ROW(Data!B209),-200),0,400,1)=Data!B209)*(OFFSET(Data!A209,MAX(ROW(Data!$B$5)-ROW(Data!B209),-200),0,400,1)=Data!A209))=1</f>
        <v>1</v>
      </c>
      <c r="Y209" s="26" t="b">
        <f t="array" aca="1" ref="Y209" ca="1">IF(UPPER(Data!C209)="START",SUM((OFFSET(Data!C209,MAX(ROW(Data!$C$5)-ROW(Data!C209),-200),0,400,1)="START")*(OFFSET(Data!A209,MAX(ROW(Data!$B$5)-ROW(Data!B209),-200),0,400,1)=Data!A209))=1,TRUE)</f>
        <v>1</v>
      </c>
      <c r="Z209" s="26" t="b">
        <f t="array" aca="1" ref="Z209" ca="1">IF(UPPER(Data!C209)="END",SUM((OFFSET(Data!C209,MAX(ROW(Data!$C$5)-ROW(Data!C209),-200),0,400,1)="END")*(OFFSET(Data!A209,MAX(ROW(Data!$B$5)-ROW(Data!B209),-200),0,400,1)=Data!A209))=1,TRUE)</f>
        <v>1</v>
      </c>
      <c r="AA209" s="26" t="b">
        <f>IF(Checks!C209,ISERROR(FIND("&amp;",Data!D209)),TRUE)</f>
        <v>1</v>
      </c>
      <c r="AB209" s="26" t="b">
        <f>IF(Checks!$C209,IF(AND(UPPER(Data!$C209)&lt;&gt;"START",UPPER(Data!$C209)&lt;&gt;"DATA OBJECT",Data!E209&lt;&gt;""),NOT(ISERROR(MATCH(Data!$A209&amp;"||"&amp;Data!E209,Key,0))),TRUE),TRUE)</f>
        <v>1</v>
      </c>
      <c r="AC209" s="27" t="b">
        <f>IF(Checks!C209,IF(UPPER(Data!C209)="END",Data!E209&lt;&gt;"",TRUE),TRUE)</f>
        <v>1</v>
      </c>
    </row>
    <row r="210" spans="1:29" x14ac:dyDescent="0.25">
      <c r="A210" s="1" t="str">
        <f>Data!A210&amp;"||"&amp;Data!B210</f>
        <v>Miscellaneous/subflow/irmifrs9_adjustment_alloc.bpmn||030_03_00</v>
      </c>
      <c r="B210" s="19"/>
      <c r="C210" s="24" t="b">
        <f>AND(UPPER(Data!A210)&lt;&gt;"EMPTY",Data!B210&lt;&gt;"")</f>
        <v>1</v>
      </c>
      <c r="D210" s="1"/>
      <c r="E210" s="25" t="b">
        <f t="shared" ca="1" si="6"/>
        <v>1</v>
      </c>
      <c r="F210" s="26" t="b">
        <f ca="1">IF(UPPER(Data!C210)="SUB PROCESS",NOT(ISERROR(MATCH(RIGHT(Data!BY210,LEN(Data!BY210)-5),OFFSET(Data,0,0,ItemsCount,1),0))),TRUE)</f>
        <v>1</v>
      </c>
      <c r="G210" s="26" t="b">
        <f ca="1">IF(MID(UPPER(Data!A210),1,13)="MISCELLANEOUS",NOT(ISERROR(MATCH("path="&amp;Data!A210,OFFSET(Data,0,76,ItemsCount,1),0))),TRUE)</f>
        <v>1</v>
      </c>
      <c r="L210" s="25" t="b">
        <f t="shared" ca="1" si="7"/>
        <v>1</v>
      </c>
      <c r="M210" s="24" t="b">
        <f>IF(Checks!$C210,Data!A210&lt;&gt;"",TRUE)</f>
        <v>1</v>
      </c>
      <c r="N210" s="26" t="b">
        <f>IF(Checks!C210,Data!B210&lt;&gt;"",TRUE)</f>
        <v>1</v>
      </c>
      <c r="O210" s="26" t="b">
        <f>IF(Checks!C210,IF(AND(UPPER(Data!C210)="SERVICE TASK",UPPER(Data!BZ210)="TYPE=SAS"),NodeExists(TRIM(RIGHT(Data!CA210,LEN(Data!CA210)-FIND("=",Data!CA210)))),TRUE),TRUE)</f>
        <v>1</v>
      </c>
      <c r="P210" s="26" t="b">
        <f>IF(Checks!C210,IF(Data!C210="DATA OBJECT",OR(AND(Data!BW210&lt;&gt;"",Data!BX210=""),AND(Data!BW210="",Data!BX210&lt;&gt;"")),TRUE),TRUE)</f>
        <v>1</v>
      </c>
      <c r="Q210" s="26" t="b">
        <f>IF(Checks!C210,UPPER(RIGHT(Data!A210,5))=".BPMN",TRUE)</f>
        <v>1</v>
      </c>
      <c r="R210" s="26" t="b">
        <f>IF(Checks!C210,IF(UPPER(Data!C210)="SUB PROCESS",UPPER(RIGHT(Data!BY210,5))=".BPMN",TRUE),TRUE)</f>
        <v>1</v>
      </c>
      <c r="S210" s="26" t="b">
        <f>IF(Checks!C210,IF(UPPER(Data!C210)="SERVICE TASK",IF(UPPER(Data!BZ210)="TYPE=SAS",UPPER(RIGHT(Data!CA210,4))=".SAS",TRUE),TRUE),TRUE)</f>
        <v>1</v>
      </c>
      <c r="T210" s="26" t="b">
        <f>IF(Checks!C210,IF(Data!B210&lt;&gt;"",Data!D210&lt;&gt;"",TRUE),TRUE)</f>
        <v>1</v>
      </c>
      <c r="U210" s="26" t="b">
        <f ca="1">IF(Checks!C210,IF(UPPER(Data!C210)="DATA OBJECT",NOT(ISERROR(MATCH(Data!A210&amp;"||"&amp;Data!BW210&amp;Data!BX210,Key,0))),TRUE),TRUE)</f>
        <v>1</v>
      </c>
      <c r="V210" s="26" t="b">
        <f>IF(Checks!C210,IF(UPPER(Data!C210)="SUB PROCESS",Data!BY210&lt;&gt;"",TRUE),TRUE)</f>
        <v>1</v>
      </c>
      <c r="W210" s="26" t="b">
        <f>IF(Checks!C210,IF(UPPER(Data!C210)="SERVICE TASK",AND(Data!BZ210&lt;&gt;"",Data!CA210&lt;&gt;""),TRUE),TRUE)</f>
        <v>1</v>
      </c>
      <c r="X210" s="26" t="b">
        <f t="array" aca="1" ref="X210" ca="1">SUM((OFFSET(Data!B210,MAX(ROW(Data!$B$5)-ROW(Data!B210),-200),0,400,1)=Data!B210)*(OFFSET(Data!A210,MAX(ROW(Data!$B$5)-ROW(Data!B210),-200),0,400,1)=Data!A210))=1</f>
        <v>1</v>
      </c>
      <c r="Y210" s="26" t="b">
        <f t="array" aca="1" ref="Y210" ca="1">IF(UPPER(Data!C210)="START",SUM((OFFSET(Data!C210,MAX(ROW(Data!$C$5)-ROW(Data!C210),-200),0,400,1)="START")*(OFFSET(Data!A210,MAX(ROW(Data!$B$5)-ROW(Data!B210),-200),0,400,1)=Data!A210))=1,TRUE)</f>
        <v>1</v>
      </c>
      <c r="Z210" s="26" t="b">
        <f t="array" aca="1" ref="Z210" ca="1">IF(UPPER(Data!C210)="END",SUM((OFFSET(Data!C210,MAX(ROW(Data!$C$5)-ROW(Data!C210),-200),0,400,1)="END")*(OFFSET(Data!A210,MAX(ROW(Data!$B$5)-ROW(Data!B210),-200),0,400,1)=Data!A210))=1,TRUE)</f>
        <v>1</v>
      </c>
      <c r="AA210" s="26" t="b">
        <f>IF(Checks!C210,ISERROR(FIND("&amp;",Data!D210)),TRUE)</f>
        <v>1</v>
      </c>
      <c r="AB210" s="26" t="b">
        <f>IF(Checks!$C210,IF(AND(UPPER(Data!$C210)&lt;&gt;"START",UPPER(Data!$C210)&lt;&gt;"DATA OBJECT",Data!E210&lt;&gt;""),NOT(ISERROR(MATCH(Data!$A210&amp;"||"&amp;Data!E210,Key,0))),TRUE),TRUE)</f>
        <v>1</v>
      </c>
      <c r="AC210" s="27" t="b">
        <f>IF(Checks!C210,IF(UPPER(Data!C210)="END",Data!E210&lt;&gt;"",TRUE),TRUE)</f>
        <v>1</v>
      </c>
    </row>
    <row r="211" spans="1:29" x14ac:dyDescent="0.25">
      <c r="A211" s="1" t="str">
        <f>Data!A211&amp;"||"&amp;Data!B211</f>
        <v>Miscellaneous/subflow/irmifrs9_adjustment_alloc.bpmn||030_04_00</v>
      </c>
      <c r="B211" s="19"/>
      <c r="C211" s="24" t="b">
        <f>AND(UPPER(Data!A211)&lt;&gt;"EMPTY",Data!B211&lt;&gt;"")</f>
        <v>1</v>
      </c>
      <c r="D211" s="1"/>
      <c r="E211" s="25" t="b">
        <f t="shared" ca="1" si="6"/>
        <v>1</v>
      </c>
      <c r="F211" s="26" t="b">
        <f ca="1">IF(UPPER(Data!C211)="SUB PROCESS",NOT(ISERROR(MATCH(RIGHT(Data!BY211,LEN(Data!BY211)-5),OFFSET(Data,0,0,ItemsCount,1),0))),TRUE)</f>
        <v>1</v>
      </c>
      <c r="G211" s="26" t="b">
        <f ca="1">IF(MID(UPPER(Data!A211),1,13)="MISCELLANEOUS",NOT(ISERROR(MATCH("path="&amp;Data!A211,OFFSET(Data,0,76,ItemsCount,1),0))),TRUE)</f>
        <v>1</v>
      </c>
      <c r="L211" s="25" t="b">
        <f t="shared" ca="1" si="7"/>
        <v>1</v>
      </c>
      <c r="M211" s="24" t="b">
        <f>IF(Checks!$C211,Data!A211&lt;&gt;"",TRUE)</f>
        <v>1</v>
      </c>
      <c r="N211" s="26" t="b">
        <f>IF(Checks!C211,Data!B211&lt;&gt;"",TRUE)</f>
        <v>1</v>
      </c>
      <c r="O211" s="26" t="b">
        <f>IF(Checks!C211,IF(AND(UPPER(Data!C211)="SERVICE TASK",UPPER(Data!BZ211)="TYPE=SAS"),NodeExists(TRIM(RIGHT(Data!CA211,LEN(Data!CA211)-FIND("=",Data!CA211)))),TRUE),TRUE)</f>
        <v>1</v>
      </c>
      <c r="P211" s="26" t="b">
        <f>IF(Checks!C211,IF(Data!C211="DATA OBJECT",OR(AND(Data!BW211&lt;&gt;"",Data!BX211=""),AND(Data!BW211="",Data!BX211&lt;&gt;"")),TRUE),TRUE)</f>
        <v>1</v>
      </c>
      <c r="Q211" s="26" t="b">
        <f>IF(Checks!C211,UPPER(RIGHT(Data!A211,5))=".BPMN",TRUE)</f>
        <v>1</v>
      </c>
      <c r="R211" s="26" t="b">
        <f>IF(Checks!C211,IF(UPPER(Data!C211)="SUB PROCESS",UPPER(RIGHT(Data!BY211,5))=".BPMN",TRUE),TRUE)</f>
        <v>1</v>
      </c>
      <c r="S211" s="26" t="b">
        <f>IF(Checks!C211,IF(UPPER(Data!C211)="SERVICE TASK",IF(UPPER(Data!BZ211)="TYPE=SAS",UPPER(RIGHT(Data!CA211,4))=".SAS",TRUE),TRUE),TRUE)</f>
        <v>1</v>
      </c>
      <c r="T211" s="26" t="b">
        <f>IF(Checks!C211,IF(Data!B211&lt;&gt;"",Data!D211&lt;&gt;"",TRUE),TRUE)</f>
        <v>1</v>
      </c>
      <c r="U211" s="26" t="b">
        <f ca="1">IF(Checks!C211,IF(UPPER(Data!C211)="DATA OBJECT",NOT(ISERROR(MATCH(Data!A211&amp;"||"&amp;Data!BW211&amp;Data!BX211,Key,0))),TRUE),TRUE)</f>
        <v>1</v>
      </c>
      <c r="V211" s="26" t="b">
        <f>IF(Checks!C211,IF(UPPER(Data!C211)="SUB PROCESS",Data!BY211&lt;&gt;"",TRUE),TRUE)</f>
        <v>1</v>
      </c>
      <c r="W211" s="26" t="b">
        <f>IF(Checks!C211,IF(UPPER(Data!C211)="SERVICE TASK",AND(Data!BZ211&lt;&gt;"",Data!CA211&lt;&gt;""),TRUE),TRUE)</f>
        <v>1</v>
      </c>
      <c r="X211" s="26" t="b">
        <f t="array" aca="1" ref="X211" ca="1">SUM((OFFSET(Data!B211,MAX(ROW(Data!$B$5)-ROW(Data!B211),-200),0,400,1)=Data!B211)*(OFFSET(Data!A211,MAX(ROW(Data!$B$5)-ROW(Data!B211),-200),0,400,1)=Data!A211))=1</f>
        <v>1</v>
      </c>
      <c r="Y211" s="26" t="b">
        <f t="array" aca="1" ref="Y211" ca="1">IF(UPPER(Data!C211)="START",SUM((OFFSET(Data!C211,MAX(ROW(Data!$C$5)-ROW(Data!C211),-200),0,400,1)="START")*(OFFSET(Data!A211,MAX(ROW(Data!$B$5)-ROW(Data!B211),-200),0,400,1)=Data!A211))=1,TRUE)</f>
        <v>1</v>
      </c>
      <c r="Z211" s="26" t="b">
        <f t="array" aca="1" ref="Z211" ca="1">IF(UPPER(Data!C211)="END",SUM((OFFSET(Data!C211,MAX(ROW(Data!$C$5)-ROW(Data!C211),-200),0,400,1)="END")*(OFFSET(Data!A211,MAX(ROW(Data!$B$5)-ROW(Data!B211),-200),0,400,1)=Data!A211))=1,TRUE)</f>
        <v>1</v>
      </c>
      <c r="AA211" s="26" t="b">
        <f>IF(Checks!C211,ISERROR(FIND("&amp;",Data!D211)),TRUE)</f>
        <v>1</v>
      </c>
      <c r="AB211" s="26" t="b">
        <f>IF(Checks!$C211,IF(AND(UPPER(Data!$C211)&lt;&gt;"START",UPPER(Data!$C211)&lt;&gt;"DATA OBJECT",Data!E211&lt;&gt;""),NOT(ISERROR(MATCH(Data!$A211&amp;"||"&amp;Data!E211,Key,0))),TRUE),TRUE)</f>
        <v>1</v>
      </c>
      <c r="AC211" s="27" t="b">
        <f>IF(Checks!C211,IF(UPPER(Data!C211)="END",Data!E211&lt;&gt;"",TRUE),TRUE)</f>
        <v>1</v>
      </c>
    </row>
    <row r="212" spans="1:29" x14ac:dyDescent="0.25">
      <c r="A212" s="1" t="str">
        <f>Data!A212&amp;"||"&amp;Data!B212</f>
        <v>Miscellaneous/subflow/irmifrs9_adjustment_alloc.bpmn||999_00_00</v>
      </c>
      <c r="B212" s="19"/>
      <c r="C212" s="24" t="b">
        <f>AND(UPPER(Data!A212)&lt;&gt;"EMPTY",Data!B212&lt;&gt;"")</f>
        <v>1</v>
      </c>
      <c r="D212" s="1"/>
      <c r="E212" s="25" t="b">
        <f t="shared" ca="1" si="6"/>
        <v>1</v>
      </c>
      <c r="F212" s="26" t="b">
        <f ca="1">IF(UPPER(Data!C212)="SUB PROCESS",NOT(ISERROR(MATCH(RIGHT(Data!BY212,LEN(Data!BY212)-5),OFFSET(Data,0,0,ItemsCount,1),0))),TRUE)</f>
        <v>1</v>
      </c>
      <c r="G212" s="26" t="b">
        <f ca="1">IF(MID(UPPER(Data!A212),1,13)="MISCELLANEOUS",NOT(ISERROR(MATCH("path="&amp;Data!A212,OFFSET(Data,0,76,ItemsCount,1),0))),TRUE)</f>
        <v>1</v>
      </c>
      <c r="L212" s="25" t="b">
        <f t="shared" ca="1" si="7"/>
        <v>1</v>
      </c>
      <c r="M212" s="24" t="b">
        <f>IF(Checks!$C212,Data!A212&lt;&gt;"",TRUE)</f>
        <v>1</v>
      </c>
      <c r="N212" s="26" t="b">
        <f>IF(Checks!C212,Data!B212&lt;&gt;"",TRUE)</f>
        <v>1</v>
      </c>
      <c r="O212" s="26" t="b">
        <f>IF(Checks!C212,IF(AND(UPPER(Data!C212)="SERVICE TASK",UPPER(Data!BZ212)="TYPE=SAS"),NodeExists(TRIM(RIGHT(Data!CA212,LEN(Data!CA212)-FIND("=",Data!CA212)))),TRUE),TRUE)</f>
        <v>1</v>
      </c>
      <c r="P212" s="26" t="b">
        <f>IF(Checks!C212,IF(Data!C212="DATA OBJECT",OR(AND(Data!BW212&lt;&gt;"",Data!BX212=""),AND(Data!BW212="",Data!BX212&lt;&gt;"")),TRUE),TRUE)</f>
        <v>1</v>
      </c>
      <c r="Q212" s="26" t="b">
        <f>IF(Checks!C212,UPPER(RIGHT(Data!A212,5))=".BPMN",TRUE)</f>
        <v>1</v>
      </c>
      <c r="R212" s="26" t="b">
        <f>IF(Checks!C212,IF(UPPER(Data!C212)="SUB PROCESS",UPPER(RIGHT(Data!BY212,5))=".BPMN",TRUE),TRUE)</f>
        <v>1</v>
      </c>
      <c r="S212" s="26" t="b">
        <f>IF(Checks!C212,IF(UPPER(Data!C212)="SERVICE TASK",IF(UPPER(Data!BZ212)="TYPE=SAS",UPPER(RIGHT(Data!CA212,4))=".SAS",TRUE),TRUE),TRUE)</f>
        <v>1</v>
      </c>
      <c r="T212" s="26" t="b">
        <f>IF(Checks!C212,IF(Data!B212&lt;&gt;"",Data!D212&lt;&gt;"",TRUE),TRUE)</f>
        <v>1</v>
      </c>
      <c r="U212" s="26" t="b">
        <f>IF(Checks!C212,IF(UPPER(Data!C212)="DATA OBJECT",NOT(ISERROR(MATCH(Data!A212&amp;"||"&amp;Data!BW212&amp;Data!BX212,Key,0))),TRUE),TRUE)</f>
        <v>1</v>
      </c>
      <c r="V212" s="26" t="b">
        <f>IF(Checks!C212,IF(UPPER(Data!C212)="SUB PROCESS",Data!BY212&lt;&gt;"",TRUE),TRUE)</f>
        <v>1</v>
      </c>
      <c r="W212" s="26" t="b">
        <f>IF(Checks!C212,IF(UPPER(Data!C212)="SERVICE TASK",AND(Data!BZ212&lt;&gt;"",Data!CA212&lt;&gt;""),TRUE),TRUE)</f>
        <v>1</v>
      </c>
      <c r="X212" s="26" t="b">
        <f t="array" aca="1" ref="X212" ca="1">SUM((OFFSET(Data!B212,MAX(ROW(Data!$B$5)-ROW(Data!B212),-200),0,400,1)=Data!B212)*(OFFSET(Data!A212,MAX(ROW(Data!$B$5)-ROW(Data!B212),-200),0,400,1)=Data!A212))=1</f>
        <v>1</v>
      </c>
      <c r="Y212" s="26" t="b">
        <f t="array" aca="1" ref="Y212" ca="1">IF(UPPER(Data!C212)="START",SUM((OFFSET(Data!C212,MAX(ROW(Data!$C$5)-ROW(Data!C212),-200),0,400,1)="START")*(OFFSET(Data!A212,MAX(ROW(Data!$B$5)-ROW(Data!B212),-200),0,400,1)=Data!A212))=1,TRUE)</f>
        <v>1</v>
      </c>
      <c r="Z212" s="26" t="b">
        <f t="array" aca="1" ref="Z212" ca="1">IF(UPPER(Data!C212)="END",SUM((OFFSET(Data!C212,MAX(ROW(Data!$C$5)-ROW(Data!C212),-200),0,400,1)="END")*(OFFSET(Data!A212,MAX(ROW(Data!$B$5)-ROW(Data!B212),-200),0,400,1)=Data!A212))=1,TRUE)</f>
        <v>1</v>
      </c>
      <c r="AA212" s="26" t="b">
        <f>IF(Checks!C212,ISERROR(FIND("&amp;",Data!D212)),TRUE)</f>
        <v>1</v>
      </c>
      <c r="AB212" s="26" t="b">
        <f ca="1">IF(Checks!$C212,IF(AND(UPPER(Data!$C212)&lt;&gt;"START",UPPER(Data!$C212)&lt;&gt;"DATA OBJECT",Data!E212&lt;&gt;""),NOT(ISERROR(MATCH(Data!$A212&amp;"||"&amp;Data!E212,Key,0))),TRUE),TRUE)</f>
        <v>1</v>
      </c>
      <c r="AC212" s="27" t="b">
        <f>IF(Checks!C212,IF(UPPER(Data!C212)="END",Data!E212&lt;&gt;"",TRUE),TRUE)</f>
        <v>1</v>
      </c>
    </row>
    <row r="213" spans="1:29" x14ac:dyDescent="0.25">
      <c r="A213" s="1" t="str">
        <f>Data!A213&amp;"||"&amp;Data!B213</f>
        <v>Analytics/irmifrs9_adjustment_allocation.bpmn||000_00_00</v>
      </c>
      <c r="B213" s="19"/>
      <c r="C213" s="24" t="b">
        <f>AND(UPPER(Data!A213)&lt;&gt;"EMPTY",Data!B213&lt;&gt;"")</f>
        <v>1</v>
      </c>
      <c r="D213" s="1"/>
      <c r="E213" s="25" t="b">
        <f t="shared" ca="1" si="6"/>
        <v>1</v>
      </c>
      <c r="F213" s="26" t="b">
        <f ca="1">IF(UPPER(Data!C213)="SUB PROCESS",NOT(ISERROR(MATCH(RIGHT(Data!BY213,LEN(Data!BY213)-5),OFFSET(Data,0,0,ItemsCount,1),0))),TRUE)</f>
        <v>1</v>
      </c>
      <c r="G213" s="26" t="b">
        <f ca="1">IF(MID(UPPER(Data!A213),1,13)="MISCELLANEOUS",NOT(ISERROR(MATCH("path="&amp;Data!A213,OFFSET(Data,0,76,ItemsCount,1),0))),TRUE)</f>
        <v>1</v>
      </c>
      <c r="L213" s="25" t="b">
        <f t="shared" ca="1" si="7"/>
        <v>1</v>
      </c>
      <c r="M213" s="24" t="b">
        <f>IF(Checks!$C213,Data!A213&lt;&gt;"",TRUE)</f>
        <v>1</v>
      </c>
      <c r="N213" s="26" t="b">
        <f>IF(Checks!C213,Data!B213&lt;&gt;"",TRUE)</f>
        <v>1</v>
      </c>
      <c r="O213" s="26" t="b">
        <f>IF(Checks!C213,IF(AND(UPPER(Data!C213)="SERVICE TASK",UPPER(Data!BZ213)="TYPE=SAS"),NodeExists(TRIM(RIGHT(Data!CA213,LEN(Data!CA213)-FIND("=",Data!CA213)))),TRUE),TRUE)</f>
        <v>1</v>
      </c>
      <c r="P213" s="26" t="b">
        <f>IF(Checks!C213,IF(Data!C213="DATA OBJECT",OR(AND(Data!BW213&lt;&gt;"",Data!BX213=""),AND(Data!BW213="",Data!BX213&lt;&gt;"")),TRUE),TRUE)</f>
        <v>1</v>
      </c>
      <c r="Q213" s="26" t="b">
        <f>IF(Checks!C213,UPPER(RIGHT(Data!A213,5))=".BPMN",TRUE)</f>
        <v>1</v>
      </c>
      <c r="R213" s="26" t="b">
        <f>IF(Checks!C213,IF(UPPER(Data!C213)="SUB PROCESS",UPPER(RIGHT(Data!BY213,5))=".BPMN",TRUE),TRUE)</f>
        <v>1</v>
      </c>
      <c r="S213" s="26" t="b">
        <f>IF(Checks!C213,IF(UPPER(Data!C213)="SERVICE TASK",IF(UPPER(Data!BZ213)="TYPE=SAS",UPPER(RIGHT(Data!CA213,4))=".SAS",TRUE),TRUE),TRUE)</f>
        <v>1</v>
      </c>
      <c r="T213" s="26" t="b">
        <f>IF(Checks!C213,IF(Data!B213&lt;&gt;"",Data!D213&lt;&gt;"",TRUE),TRUE)</f>
        <v>1</v>
      </c>
      <c r="U213" s="26" t="b">
        <f>IF(Checks!C213,IF(UPPER(Data!C213)="DATA OBJECT",NOT(ISERROR(MATCH(Data!A213&amp;"||"&amp;Data!BW213&amp;Data!BX213,Key,0))),TRUE),TRUE)</f>
        <v>1</v>
      </c>
      <c r="V213" s="26" t="b">
        <f>IF(Checks!C213,IF(UPPER(Data!C213)="SUB PROCESS",Data!BY213&lt;&gt;"",TRUE),TRUE)</f>
        <v>1</v>
      </c>
      <c r="W213" s="26" t="b">
        <f>IF(Checks!C213,IF(UPPER(Data!C213)="SERVICE TASK",AND(Data!BZ213&lt;&gt;"",Data!CA213&lt;&gt;""),TRUE),TRUE)</f>
        <v>1</v>
      </c>
      <c r="X213" s="26" t="b">
        <f t="array" aca="1" ref="X213" ca="1">SUM((OFFSET(Data!B213,MAX(ROW(Data!$B$5)-ROW(Data!B213),-200),0,400,1)=Data!B213)*(OFFSET(Data!A213,MAX(ROW(Data!$B$5)-ROW(Data!B213),-200),0,400,1)=Data!A213))=1</f>
        <v>1</v>
      </c>
      <c r="Y213" s="26" t="b">
        <f t="array" aca="1" ref="Y213" ca="1">IF(UPPER(Data!C213)="START",SUM((OFFSET(Data!C213,MAX(ROW(Data!$C$5)-ROW(Data!C213),-200),0,400,1)="START")*(OFFSET(Data!A213,MAX(ROW(Data!$B$5)-ROW(Data!B213),-200),0,400,1)=Data!A213))=1,TRUE)</f>
        <v>1</v>
      </c>
      <c r="Z213" s="26" t="b">
        <f t="array" aca="1" ref="Z213" ca="1">IF(UPPER(Data!C213)="END",SUM((OFFSET(Data!C213,MAX(ROW(Data!$C$5)-ROW(Data!C213),-200),0,400,1)="END")*(OFFSET(Data!A213,MAX(ROW(Data!$B$5)-ROW(Data!B213),-200),0,400,1)=Data!A213))=1,TRUE)</f>
        <v>1</v>
      </c>
      <c r="AA213" s="26" t="b">
        <f>IF(Checks!C213,ISERROR(FIND("&amp;",Data!D213)),TRUE)</f>
        <v>1</v>
      </c>
      <c r="AB213" s="26" t="b">
        <f>IF(Checks!$C213,IF(AND(UPPER(Data!$C213)&lt;&gt;"START",UPPER(Data!$C213)&lt;&gt;"DATA OBJECT",Data!E213&lt;&gt;""),NOT(ISERROR(MATCH(Data!$A213&amp;"||"&amp;Data!E213,Key,0))),TRUE),TRUE)</f>
        <v>1</v>
      </c>
      <c r="AC213" s="27" t="b">
        <f>IF(Checks!C213,IF(UPPER(Data!C213)="END",Data!E213&lt;&gt;"",TRUE),TRUE)</f>
        <v>1</v>
      </c>
    </row>
    <row r="214" spans="1:29" x14ac:dyDescent="0.25">
      <c r="A214" s="1" t="str">
        <f>Data!A214&amp;"||"&amp;Data!B214</f>
        <v>Analytics/irmifrs9_adjustment_allocation.bpmn||010_00_00</v>
      </c>
      <c r="B214" s="19"/>
      <c r="C214" s="24" t="b">
        <f>AND(UPPER(Data!A214)&lt;&gt;"EMPTY",Data!B214&lt;&gt;"")</f>
        <v>1</v>
      </c>
      <c r="D214" s="1"/>
      <c r="E214" s="25" t="b">
        <f t="shared" ca="1" si="6"/>
        <v>1</v>
      </c>
      <c r="F214" s="26" t="b">
        <f ca="1">IF(UPPER(Data!C214)="SUB PROCESS",NOT(ISERROR(MATCH(RIGHT(Data!BY214,LEN(Data!BY214)-5),OFFSET(Data,0,0,ItemsCount,1),0))),TRUE)</f>
        <v>1</v>
      </c>
      <c r="G214" s="26" t="b">
        <f ca="1">IF(MID(UPPER(Data!A214),1,13)="MISCELLANEOUS",NOT(ISERROR(MATCH("path="&amp;Data!A214,OFFSET(Data,0,76,ItemsCount,1),0))),TRUE)</f>
        <v>1</v>
      </c>
      <c r="L214" s="25" t="b">
        <f t="shared" ca="1" si="7"/>
        <v>1</v>
      </c>
      <c r="M214" s="24" t="b">
        <f>IF(Checks!$C214,Data!A214&lt;&gt;"",TRUE)</f>
        <v>1</v>
      </c>
      <c r="N214" s="26" t="b">
        <f>IF(Checks!C214,Data!B214&lt;&gt;"",TRUE)</f>
        <v>1</v>
      </c>
      <c r="O214" s="26" t="b">
        <f>IF(Checks!C214,IF(AND(UPPER(Data!C214)="SERVICE TASK",UPPER(Data!BZ214)="TYPE=SAS"),NodeExists(TRIM(RIGHT(Data!CA214,LEN(Data!CA214)-FIND("=",Data!CA214)))),TRUE),TRUE)</f>
        <v>1</v>
      </c>
      <c r="P214" s="26" t="b">
        <f>IF(Checks!C214,IF(Data!C214="DATA OBJECT",OR(AND(Data!BW214&lt;&gt;"",Data!BX214=""),AND(Data!BW214="",Data!BX214&lt;&gt;"")),TRUE),TRUE)</f>
        <v>1</v>
      </c>
      <c r="Q214" s="26" t="b">
        <f>IF(Checks!C214,UPPER(RIGHT(Data!A214,5))=".BPMN",TRUE)</f>
        <v>1</v>
      </c>
      <c r="R214" s="26" t="b">
        <f>IF(Checks!C214,IF(UPPER(Data!C214)="SUB PROCESS",UPPER(RIGHT(Data!BY214,5))=".BPMN",TRUE),TRUE)</f>
        <v>1</v>
      </c>
      <c r="S214" s="26" t="b">
        <f>IF(Checks!C214,IF(UPPER(Data!C214)="SERVICE TASK",IF(UPPER(Data!BZ214)="TYPE=SAS",UPPER(RIGHT(Data!CA214,4))=".SAS",TRUE),TRUE),TRUE)</f>
        <v>1</v>
      </c>
      <c r="T214" s="26" t="b">
        <f>IF(Checks!C214,IF(Data!B214&lt;&gt;"",Data!D214&lt;&gt;"",TRUE),TRUE)</f>
        <v>1</v>
      </c>
      <c r="U214" s="26" t="b">
        <f>IF(Checks!C214,IF(UPPER(Data!C214)="DATA OBJECT",NOT(ISERROR(MATCH(Data!A214&amp;"||"&amp;Data!BW214&amp;Data!BX214,Key,0))),TRUE),TRUE)</f>
        <v>1</v>
      </c>
      <c r="V214" s="26" t="b">
        <f>IF(Checks!C214,IF(UPPER(Data!C214)="SUB PROCESS",Data!BY214&lt;&gt;"",TRUE),TRUE)</f>
        <v>1</v>
      </c>
      <c r="W214" s="26" t="b">
        <f>IF(Checks!C214,IF(UPPER(Data!C214)="SERVICE TASK",AND(Data!BZ214&lt;&gt;"",Data!CA214&lt;&gt;""),TRUE),TRUE)</f>
        <v>1</v>
      </c>
      <c r="X214" s="26" t="b">
        <f t="array" aca="1" ref="X214" ca="1">SUM((OFFSET(Data!B214,MAX(ROW(Data!$B$5)-ROW(Data!B214),-200),0,400,1)=Data!B214)*(OFFSET(Data!A214,MAX(ROW(Data!$B$5)-ROW(Data!B214),-200),0,400,1)=Data!A214))=1</f>
        <v>1</v>
      </c>
      <c r="Y214" s="26" t="b">
        <f t="array" aca="1" ref="Y214" ca="1">IF(UPPER(Data!C214)="START",SUM((OFFSET(Data!C214,MAX(ROW(Data!$C$5)-ROW(Data!C214),-200),0,400,1)="START")*(OFFSET(Data!A214,MAX(ROW(Data!$B$5)-ROW(Data!B214),-200),0,400,1)=Data!A214))=1,TRUE)</f>
        <v>1</v>
      </c>
      <c r="Z214" s="26" t="b">
        <f t="array" aca="1" ref="Z214" ca="1">IF(UPPER(Data!C214)="END",SUM((OFFSET(Data!C214,MAX(ROW(Data!$C$5)-ROW(Data!C214),-200),0,400,1)="END")*(OFFSET(Data!A214,MAX(ROW(Data!$B$5)-ROW(Data!B214),-200),0,400,1)=Data!A214))=1,TRUE)</f>
        <v>1</v>
      </c>
      <c r="AA214" s="26" t="b">
        <f>IF(Checks!C214,ISERROR(FIND("&amp;",Data!D214)),TRUE)</f>
        <v>1</v>
      </c>
      <c r="AB214" s="26" t="b">
        <f ca="1">IF(Checks!$C214,IF(AND(UPPER(Data!$C214)&lt;&gt;"START",UPPER(Data!$C214)&lt;&gt;"DATA OBJECT",Data!E214&lt;&gt;""),NOT(ISERROR(MATCH(Data!$A214&amp;"||"&amp;Data!E214,Key,0))),TRUE),TRUE)</f>
        <v>1</v>
      </c>
      <c r="AC214" s="27" t="b">
        <f>IF(Checks!C214,IF(UPPER(Data!C214)="END",Data!E214&lt;&gt;"",TRUE),TRUE)</f>
        <v>1</v>
      </c>
    </row>
    <row r="215" spans="1:29" x14ac:dyDescent="0.25">
      <c r="A215" s="1" t="str">
        <f>Data!A215&amp;"||"&amp;Data!B215</f>
        <v>Analytics/irmifrs9_adjustment_allocation.bpmn||020_00_00</v>
      </c>
      <c r="B215" s="19"/>
      <c r="C215" s="24" t="b">
        <f>AND(UPPER(Data!A215)&lt;&gt;"EMPTY",Data!B215&lt;&gt;"")</f>
        <v>1</v>
      </c>
      <c r="D215" s="1"/>
      <c r="E215" s="25" t="b">
        <f t="shared" ca="1" si="6"/>
        <v>1</v>
      </c>
      <c r="F215" s="26" t="b">
        <f ca="1">IF(UPPER(Data!C215)="SUB PROCESS",NOT(ISERROR(MATCH(RIGHT(Data!BY215,LEN(Data!BY215)-5),OFFSET(Data,0,0,ItemsCount,1),0))),TRUE)</f>
        <v>1</v>
      </c>
      <c r="G215" s="26" t="b">
        <f ca="1">IF(MID(UPPER(Data!A215),1,13)="MISCELLANEOUS",NOT(ISERROR(MATCH("path="&amp;Data!A215,OFFSET(Data,0,76,ItemsCount,1),0))),TRUE)</f>
        <v>1</v>
      </c>
      <c r="L215" s="25" t="b">
        <f t="shared" ca="1" si="7"/>
        <v>1</v>
      </c>
      <c r="M215" s="24" t="b">
        <f>IF(Checks!$C215,Data!A215&lt;&gt;"",TRUE)</f>
        <v>1</v>
      </c>
      <c r="N215" s="26" t="b">
        <f>IF(Checks!C215,Data!B215&lt;&gt;"",TRUE)</f>
        <v>1</v>
      </c>
      <c r="O215" s="26" t="b">
        <f>IF(Checks!C215,IF(AND(UPPER(Data!C215)="SERVICE TASK",UPPER(Data!BZ215)="TYPE=SAS"),NodeExists(TRIM(RIGHT(Data!CA215,LEN(Data!CA215)-FIND("=",Data!CA215)))),TRUE),TRUE)</f>
        <v>1</v>
      </c>
      <c r="P215" s="26" t="b">
        <f>IF(Checks!C215,IF(Data!C215="DATA OBJECT",OR(AND(Data!BW215&lt;&gt;"",Data!BX215=""),AND(Data!BW215="",Data!BX215&lt;&gt;"")),TRUE),TRUE)</f>
        <v>1</v>
      </c>
      <c r="Q215" s="26" t="b">
        <f>IF(Checks!C215,UPPER(RIGHT(Data!A215,5))=".BPMN",TRUE)</f>
        <v>1</v>
      </c>
      <c r="R215" s="26" t="b">
        <f>IF(Checks!C215,IF(UPPER(Data!C215)="SUB PROCESS",UPPER(RIGHT(Data!BY215,5))=".BPMN",TRUE),TRUE)</f>
        <v>1</v>
      </c>
      <c r="S215" s="26" t="b">
        <f>IF(Checks!C215,IF(UPPER(Data!C215)="SERVICE TASK",IF(UPPER(Data!BZ215)="TYPE=SAS",UPPER(RIGHT(Data!CA215,4))=".SAS",TRUE),TRUE),TRUE)</f>
        <v>1</v>
      </c>
      <c r="T215" s="26" t="b">
        <f>IF(Checks!C215,IF(Data!B215&lt;&gt;"",Data!D215&lt;&gt;"",TRUE),TRUE)</f>
        <v>1</v>
      </c>
      <c r="U215" s="26" t="b">
        <f>IF(Checks!C215,IF(UPPER(Data!C215)="DATA OBJECT",NOT(ISERROR(MATCH(Data!A215&amp;"||"&amp;Data!BW215&amp;Data!BX215,Key,0))),TRUE),TRUE)</f>
        <v>1</v>
      </c>
      <c r="V215" s="26" t="b">
        <f>IF(Checks!C215,IF(UPPER(Data!C215)="SUB PROCESS",Data!BY215&lt;&gt;"",TRUE),TRUE)</f>
        <v>1</v>
      </c>
      <c r="W215" s="26" t="b">
        <f>IF(Checks!C215,IF(UPPER(Data!C215)="SERVICE TASK",AND(Data!BZ215&lt;&gt;"",Data!CA215&lt;&gt;""),TRUE),TRUE)</f>
        <v>1</v>
      </c>
      <c r="X215" s="26" t="b">
        <f t="array" aca="1" ref="X215" ca="1">SUM((OFFSET(Data!B215,MAX(ROW(Data!$B$5)-ROW(Data!B215),-200),0,400,1)=Data!B215)*(OFFSET(Data!A215,MAX(ROW(Data!$B$5)-ROW(Data!B215),-200),0,400,1)=Data!A215))=1</f>
        <v>1</v>
      </c>
      <c r="Y215" s="26" t="b">
        <f t="array" aca="1" ref="Y215" ca="1">IF(UPPER(Data!C215)="START",SUM((OFFSET(Data!C215,MAX(ROW(Data!$C$5)-ROW(Data!C215),-200),0,400,1)="START")*(OFFSET(Data!A215,MAX(ROW(Data!$B$5)-ROW(Data!B215),-200),0,400,1)=Data!A215))=1,TRUE)</f>
        <v>1</v>
      </c>
      <c r="Z215" s="26" t="b">
        <f t="array" aca="1" ref="Z215" ca="1">IF(UPPER(Data!C215)="END",SUM((OFFSET(Data!C215,MAX(ROW(Data!$C$5)-ROW(Data!C215),-200),0,400,1)="END")*(OFFSET(Data!A215,MAX(ROW(Data!$B$5)-ROW(Data!B215),-200),0,400,1)=Data!A215))=1,TRUE)</f>
        <v>1</v>
      </c>
      <c r="AA215" s="26" t="b">
        <f>IF(Checks!C215,ISERROR(FIND("&amp;",Data!D215)),TRUE)</f>
        <v>1</v>
      </c>
      <c r="AB215" s="26" t="b">
        <f ca="1">IF(Checks!$C215,IF(AND(UPPER(Data!$C215)&lt;&gt;"START",UPPER(Data!$C215)&lt;&gt;"DATA OBJECT",Data!E215&lt;&gt;""),NOT(ISERROR(MATCH(Data!$A215&amp;"||"&amp;Data!E215,Key,0))),TRUE),TRUE)</f>
        <v>1</v>
      </c>
      <c r="AC215" s="27" t="b">
        <f>IF(Checks!C215,IF(UPPER(Data!C215)="END",Data!E215&lt;&gt;"",TRUE),TRUE)</f>
        <v>1</v>
      </c>
    </row>
    <row r="216" spans="1:29" x14ac:dyDescent="0.25">
      <c r="A216" s="1" t="str">
        <f>Data!A216&amp;"||"&amp;Data!B216</f>
        <v>Analytics/irmifrs9_adjustment_allocation.bpmn||090_00_00</v>
      </c>
      <c r="B216" s="19"/>
      <c r="C216" s="24" t="b">
        <f>AND(UPPER(Data!A216)&lt;&gt;"EMPTY",Data!B216&lt;&gt;"")</f>
        <v>1</v>
      </c>
      <c r="D216" s="1"/>
      <c r="E216" s="25" t="b">
        <f t="shared" ca="1" si="6"/>
        <v>1</v>
      </c>
      <c r="F216" s="26" t="b">
        <f ca="1">IF(UPPER(Data!C216)="SUB PROCESS",NOT(ISERROR(MATCH(RIGHT(Data!BY216,LEN(Data!BY216)-5),OFFSET(Data,0,0,ItemsCount,1),0))),TRUE)</f>
        <v>1</v>
      </c>
      <c r="G216" s="26" t="b">
        <f ca="1">IF(MID(UPPER(Data!A216),1,13)="MISCELLANEOUS",NOT(ISERROR(MATCH("path="&amp;Data!A216,OFFSET(Data,0,76,ItemsCount,1),0))),TRUE)</f>
        <v>1</v>
      </c>
      <c r="L216" s="25" t="b">
        <f t="shared" ca="1" si="7"/>
        <v>1</v>
      </c>
      <c r="M216" s="24" t="b">
        <f>IF(Checks!$C216,Data!A216&lt;&gt;"",TRUE)</f>
        <v>1</v>
      </c>
      <c r="N216" s="26" t="b">
        <f>IF(Checks!C216,Data!B216&lt;&gt;"",TRUE)</f>
        <v>1</v>
      </c>
      <c r="O216" s="26" t="b">
        <f>IF(Checks!C216,IF(AND(UPPER(Data!C216)="SERVICE TASK",UPPER(Data!BZ216)="TYPE=SAS"),NodeExists(TRIM(RIGHT(Data!CA216,LEN(Data!CA216)-FIND("=",Data!CA216)))),TRUE),TRUE)</f>
        <v>1</v>
      </c>
      <c r="P216" s="26" t="b">
        <f>IF(Checks!C216,IF(Data!C216="DATA OBJECT",OR(AND(Data!BW216&lt;&gt;"",Data!BX216=""),AND(Data!BW216="",Data!BX216&lt;&gt;"")),TRUE),TRUE)</f>
        <v>1</v>
      </c>
      <c r="Q216" s="26" t="b">
        <f>IF(Checks!C216,UPPER(RIGHT(Data!A216,5))=".BPMN",TRUE)</f>
        <v>1</v>
      </c>
      <c r="R216" s="26" t="b">
        <f>IF(Checks!C216,IF(UPPER(Data!C216)="SUB PROCESS",UPPER(RIGHT(Data!BY216,5))=".BPMN",TRUE),TRUE)</f>
        <v>1</v>
      </c>
      <c r="S216" s="26" t="b">
        <f>IF(Checks!C216,IF(UPPER(Data!C216)="SERVICE TASK",IF(UPPER(Data!BZ216)="TYPE=SAS",UPPER(RIGHT(Data!CA216,4))=".SAS",TRUE),TRUE),TRUE)</f>
        <v>1</v>
      </c>
      <c r="T216" s="26" t="b">
        <f>IF(Checks!C216,IF(Data!B216&lt;&gt;"",Data!D216&lt;&gt;"",TRUE),TRUE)</f>
        <v>1</v>
      </c>
      <c r="U216" s="26" t="b">
        <f>IF(Checks!C216,IF(UPPER(Data!C216)="DATA OBJECT",NOT(ISERROR(MATCH(Data!A216&amp;"||"&amp;Data!BW216&amp;Data!BX216,Key,0))),TRUE),TRUE)</f>
        <v>1</v>
      </c>
      <c r="V216" s="26" t="b">
        <f>IF(Checks!C216,IF(UPPER(Data!C216)="SUB PROCESS",Data!BY216&lt;&gt;"",TRUE),TRUE)</f>
        <v>1</v>
      </c>
      <c r="W216" s="26" t="b">
        <f>IF(Checks!C216,IF(UPPER(Data!C216)="SERVICE TASK",AND(Data!BZ216&lt;&gt;"",Data!CA216&lt;&gt;""),TRUE),TRUE)</f>
        <v>1</v>
      </c>
      <c r="X216" s="26" t="b">
        <f t="array" aca="1" ref="X216" ca="1">SUM((OFFSET(Data!B216,MAX(ROW(Data!$B$5)-ROW(Data!B216),-200),0,400,1)=Data!B216)*(OFFSET(Data!A216,MAX(ROW(Data!$B$5)-ROW(Data!B216),-200),0,400,1)=Data!A216))=1</f>
        <v>1</v>
      </c>
      <c r="Y216" s="26" t="b">
        <f t="array" aca="1" ref="Y216" ca="1">IF(UPPER(Data!C216)="START",SUM((OFFSET(Data!C216,MAX(ROW(Data!$C$5)-ROW(Data!C216),-200),0,400,1)="START")*(OFFSET(Data!A216,MAX(ROW(Data!$B$5)-ROW(Data!B216),-200),0,400,1)=Data!A216))=1,TRUE)</f>
        <v>1</v>
      </c>
      <c r="Z216" s="26" t="b">
        <f t="array" aca="1" ref="Z216" ca="1">IF(UPPER(Data!C216)="END",SUM((OFFSET(Data!C216,MAX(ROW(Data!$C$5)-ROW(Data!C216),-200),0,400,1)="END")*(OFFSET(Data!A216,MAX(ROW(Data!$B$5)-ROW(Data!B216),-200),0,400,1)=Data!A216))=1,TRUE)</f>
        <v>1</v>
      </c>
      <c r="AA216" s="26" t="b">
        <f>IF(Checks!C216,ISERROR(FIND("&amp;",Data!D216)),TRUE)</f>
        <v>1</v>
      </c>
      <c r="AB216" s="26" t="b">
        <f ca="1">IF(Checks!$C216,IF(AND(UPPER(Data!$C216)&lt;&gt;"START",UPPER(Data!$C216)&lt;&gt;"DATA OBJECT",Data!E216&lt;&gt;""),NOT(ISERROR(MATCH(Data!$A216&amp;"||"&amp;Data!E216,Key,0))),TRUE),TRUE)</f>
        <v>1</v>
      </c>
      <c r="AC216" s="27" t="b">
        <f>IF(Checks!C216,IF(UPPER(Data!C216)="END",Data!E216&lt;&gt;"",TRUE),TRUE)</f>
        <v>1</v>
      </c>
    </row>
    <row r="217" spans="1:29" x14ac:dyDescent="0.25">
      <c r="A217" s="1" t="str">
        <f>Data!A217&amp;"||"&amp;Data!B217</f>
        <v>Analytics/irmifrs9_adjustment_allocation.bpmn||999_00_00</v>
      </c>
      <c r="B217" s="19"/>
      <c r="C217" s="24" t="b">
        <f>AND(UPPER(Data!A217)&lt;&gt;"EMPTY",Data!B217&lt;&gt;"")</f>
        <v>1</v>
      </c>
      <c r="D217" s="1"/>
      <c r="E217" s="25" t="b">
        <f t="shared" ca="1" si="6"/>
        <v>1</v>
      </c>
      <c r="F217" s="26" t="b">
        <f ca="1">IF(UPPER(Data!C217)="SUB PROCESS",NOT(ISERROR(MATCH(RIGHT(Data!BY217,LEN(Data!BY217)-5),OFFSET(Data,0,0,ItemsCount,1),0))),TRUE)</f>
        <v>1</v>
      </c>
      <c r="G217" s="26" t="b">
        <f ca="1">IF(MID(UPPER(Data!A217),1,13)="MISCELLANEOUS",NOT(ISERROR(MATCH("path="&amp;Data!A217,OFFSET(Data,0,76,ItemsCount,1),0))),TRUE)</f>
        <v>1</v>
      </c>
      <c r="L217" s="25" t="b">
        <f t="shared" ca="1" si="7"/>
        <v>1</v>
      </c>
      <c r="M217" s="24" t="b">
        <f>IF(Checks!$C217,Data!A217&lt;&gt;"",TRUE)</f>
        <v>1</v>
      </c>
      <c r="N217" s="26" t="b">
        <f>IF(Checks!C217,Data!B217&lt;&gt;"",TRUE)</f>
        <v>1</v>
      </c>
      <c r="O217" s="26" t="b">
        <f>IF(Checks!C217,IF(AND(UPPER(Data!C217)="SERVICE TASK",UPPER(Data!BZ217)="TYPE=SAS"),NodeExists(TRIM(RIGHT(Data!CA217,LEN(Data!CA217)-FIND("=",Data!CA217)))),TRUE),TRUE)</f>
        <v>1</v>
      </c>
      <c r="P217" s="26" t="b">
        <f>IF(Checks!C217,IF(Data!C217="DATA OBJECT",OR(AND(Data!BW217&lt;&gt;"",Data!BX217=""),AND(Data!BW217="",Data!BX217&lt;&gt;"")),TRUE),TRUE)</f>
        <v>1</v>
      </c>
      <c r="Q217" s="26" t="b">
        <f>IF(Checks!C217,UPPER(RIGHT(Data!A217,5))=".BPMN",TRUE)</f>
        <v>1</v>
      </c>
      <c r="R217" s="26" t="b">
        <f>IF(Checks!C217,IF(UPPER(Data!C217)="SUB PROCESS",UPPER(RIGHT(Data!BY217,5))=".BPMN",TRUE),TRUE)</f>
        <v>1</v>
      </c>
      <c r="S217" s="26" t="b">
        <f>IF(Checks!C217,IF(UPPER(Data!C217)="SERVICE TASK",IF(UPPER(Data!BZ217)="TYPE=SAS",UPPER(RIGHT(Data!CA217,4))=".SAS",TRUE),TRUE),TRUE)</f>
        <v>1</v>
      </c>
      <c r="T217" s="26" t="b">
        <f>IF(Checks!C217,IF(Data!B217&lt;&gt;"",Data!D217&lt;&gt;"",TRUE),TRUE)</f>
        <v>1</v>
      </c>
      <c r="U217" s="26" t="b">
        <f>IF(Checks!C217,IF(UPPER(Data!C217)="DATA OBJECT",NOT(ISERROR(MATCH(Data!A217&amp;"||"&amp;Data!BW217&amp;Data!BX217,Key,0))),TRUE),TRUE)</f>
        <v>1</v>
      </c>
      <c r="V217" s="26" t="b">
        <f>IF(Checks!C217,IF(UPPER(Data!C217)="SUB PROCESS",Data!BY217&lt;&gt;"",TRUE),TRUE)</f>
        <v>1</v>
      </c>
      <c r="W217" s="26" t="b">
        <f>IF(Checks!C217,IF(UPPER(Data!C217)="SERVICE TASK",AND(Data!BZ217&lt;&gt;"",Data!CA217&lt;&gt;""),TRUE),TRUE)</f>
        <v>1</v>
      </c>
      <c r="X217" s="26" t="b">
        <f t="array" aca="1" ref="X217" ca="1">SUM((OFFSET(Data!B217,MAX(ROW(Data!$B$5)-ROW(Data!B217),-200),0,400,1)=Data!B217)*(OFFSET(Data!A217,MAX(ROW(Data!$B$5)-ROW(Data!B217),-200),0,400,1)=Data!A217))=1</f>
        <v>1</v>
      </c>
      <c r="Y217" s="26" t="b">
        <f t="array" aca="1" ref="Y217" ca="1">IF(UPPER(Data!C217)="START",SUM((OFFSET(Data!C217,MAX(ROW(Data!$C$5)-ROW(Data!C217),-200),0,400,1)="START")*(OFFSET(Data!A217,MAX(ROW(Data!$B$5)-ROW(Data!B217),-200),0,400,1)=Data!A217))=1,TRUE)</f>
        <v>1</v>
      </c>
      <c r="Z217" s="26" t="b">
        <f t="array" aca="1" ref="Z217" ca="1">IF(UPPER(Data!C217)="END",SUM((OFFSET(Data!C217,MAX(ROW(Data!$C$5)-ROW(Data!C217),-200),0,400,1)="END")*(OFFSET(Data!A217,MAX(ROW(Data!$B$5)-ROW(Data!B217),-200),0,400,1)=Data!A217))=1,TRUE)</f>
        <v>1</v>
      </c>
      <c r="AA217" s="26" t="b">
        <f>IF(Checks!C217,ISERROR(FIND("&amp;",Data!D217)),TRUE)</f>
        <v>1</v>
      </c>
      <c r="AB217" s="26" t="b">
        <f ca="1">IF(Checks!$C217,IF(AND(UPPER(Data!$C217)&lt;&gt;"START",UPPER(Data!$C217)&lt;&gt;"DATA OBJECT",Data!E217&lt;&gt;""),NOT(ISERROR(MATCH(Data!$A217&amp;"||"&amp;Data!E217,Key,0))),TRUE),TRUE)</f>
        <v>1</v>
      </c>
      <c r="AC217" s="27" t="b">
        <f>IF(Checks!C217,IF(UPPER(Data!C217)="END",Data!E217&lt;&gt;"",TRUE),TRUE)</f>
        <v>1</v>
      </c>
    </row>
    <row r="218" spans="1:29" x14ac:dyDescent="0.25">
      <c r="A218" s="1" t="str">
        <f>Data!A218&amp;"||"&amp;Data!B218</f>
        <v>Miscellaneous/subflow/irmifrs9_enrichment_stage1.bpmn||000_00_00</v>
      </c>
      <c r="B218" s="19"/>
      <c r="C218" s="24" t="b">
        <f>AND(UPPER(Data!A218)&lt;&gt;"EMPTY",Data!B218&lt;&gt;"")</f>
        <v>1</v>
      </c>
      <c r="D218" s="1"/>
      <c r="E218" s="25" t="b">
        <f t="shared" ca="1" si="6"/>
        <v>1</v>
      </c>
      <c r="F218" s="26" t="b">
        <f ca="1">IF(UPPER(Data!C218)="SUB PROCESS",NOT(ISERROR(MATCH(RIGHT(Data!BY218,LEN(Data!BY218)-5),OFFSET(Data,0,0,ItemsCount,1),0))),TRUE)</f>
        <v>1</v>
      </c>
      <c r="G218" s="26" t="b">
        <f ca="1">IF(MID(UPPER(Data!A218),1,13)="MISCELLANEOUS",NOT(ISERROR(MATCH("path="&amp;Data!A218,OFFSET(Data,0,76,ItemsCount,1),0))),TRUE)</f>
        <v>1</v>
      </c>
      <c r="L218" s="25" t="b">
        <f t="shared" ca="1" si="7"/>
        <v>1</v>
      </c>
      <c r="M218" s="24" t="b">
        <f>IF(Checks!$C218,Data!A218&lt;&gt;"",TRUE)</f>
        <v>1</v>
      </c>
      <c r="N218" s="26" t="b">
        <f>IF(Checks!C218,Data!B218&lt;&gt;"",TRUE)</f>
        <v>1</v>
      </c>
      <c r="O218" s="26" t="b">
        <f>IF(Checks!C218,IF(AND(UPPER(Data!C218)="SERVICE TASK",UPPER(Data!BZ218)="TYPE=SAS"),NodeExists(TRIM(RIGHT(Data!CA218,LEN(Data!CA218)-FIND("=",Data!CA218)))),TRUE),TRUE)</f>
        <v>1</v>
      </c>
      <c r="P218" s="26" t="b">
        <f>IF(Checks!C218,IF(Data!C218="DATA OBJECT",OR(AND(Data!BW218&lt;&gt;"",Data!BX218=""),AND(Data!BW218="",Data!BX218&lt;&gt;"")),TRUE),TRUE)</f>
        <v>1</v>
      </c>
      <c r="Q218" s="26" t="b">
        <f>IF(Checks!C218,UPPER(RIGHT(Data!A218,5))=".BPMN",TRUE)</f>
        <v>1</v>
      </c>
      <c r="R218" s="26" t="b">
        <f>IF(Checks!C218,IF(UPPER(Data!C218)="SUB PROCESS",UPPER(RIGHT(Data!BY218,5))=".BPMN",TRUE),TRUE)</f>
        <v>1</v>
      </c>
      <c r="S218" s="26" t="b">
        <f>IF(Checks!C218,IF(UPPER(Data!C218)="SERVICE TASK",IF(UPPER(Data!BZ218)="TYPE=SAS",UPPER(RIGHT(Data!CA218,4))=".SAS",TRUE),TRUE),TRUE)</f>
        <v>1</v>
      </c>
      <c r="T218" s="26" t="b">
        <f>IF(Checks!C218,IF(Data!B218&lt;&gt;"",Data!D218&lt;&gt;"",TRUE),TRUE)</f>
        <v>1</v>
      </c>
      <c r="U218" s="26" t="b">
        <f>IF(Checks!C218,IF(UPPER(Data!C218)="DATA OBJECT",NOT(ISERROR(MATCH(Data!A218&amp;"||"&amp;Data!BW218&amp;Data!BX218,Key,0))),TRUE),TRUE)</f>
        <v>1</v>
      </c>
      <c r="V218" s="26" t="b">
        <f>IF(Checks!C218,IF(UPPER(Data!C218)="SUB PROCESS",Data!BY218&lt;&gt;"",TRUE),TRUE)</f>
        <v>1</v>
      </c>
      <c r="W218" s="26" t="b">
        <f>IF(Checks!C218,IF(UPPER(Data!C218)="SERVICE TASK",AND(Data!BZ218&lt;&gt;"",Data!CA218&lt;&gt;""),TRUE),TRUE)</f>
        <v>1</v>
      </c>
      <c r="X218" s="26" t="b">
        <f t="array" aca="1" ref="X218" ca="1">SUM((OFFSET(Data!B218,MAX(ROW(Data!$B$5)-ROW(Data!B218),-200),0,400,1)=Data!B218)*(OFFSET(Data!A218,MAX(ROW(Data!$B$5)-ROW(Data!B218),-200),0,400,1)=Data!A218))=1</f>
        <v>1</v>
      </c>
      <c r="Y218" s="26" t="b">
        <f t="array" aca="1" ref="Y218" ca="1">IF(UPPER(Data!C218)="START",SUM((OFFSET(Data!C218,MAX(ROW(Data!$C$5)-ROW(Data!C218),-200),0,400,1)="START")*(OFFSET(Data!A218,MAX(ROW(Data!$B$5)-ROW(Data!B218),-200),0,400,1)=Data!A218))=1,TRUE)</f>
        <v>1</v>
      </c>
      <c r="Z218" s="26" t="b">
        <f t="array" aca="1" ref="Z218" ca="1">IF(UPPER(Data!C218)="END",SUM((OFFSET(Data!C218,MAX(ROW(Data!$C$5)-ROW(Data!C218),-200),0,400,1)="END")*(OFFSET(Data!A218,MAX(ROW(Data!$B$5)-ROW(Data!B218),-200),0,400,1)=Data!A218))=1,TRUE)</f>
        <v>1</v>
      </c>
      <c r="AA218" s="26" t="b">
        <f>IF(Checks!C218,ISERROR(FIND("&amp;",Data!D218)),TRUE)</f>
        <v>1</v>
      </c>
      <c r="AB218" s="26" t="b">
        <f>IF(Checks!$C218,IF(AND(UPPER(Data!$C218)&lt;&gt;"START",UPPER(Data!$C218)&lt;&gt;"DATA OBJECT",Data!E218&lt;&gt;""),NOT(ISERROR(MATCH(Data!$A218&amp;"||"&amp;Data!E218,Key,0))),TRUE),TRUE)</f>
        <v>1</v>
      </c>
      <c r="AC218" s="27" t="b">
        <f>IF(Checks!C218,IF(UPPER(Data!C218)="END",Data!E218&lt;&gt;"",TRUE),TRUE)</f>
        <v>1</v>
      </c>
    </row>
    <row r="219" spans="1:29" x14ac:dyDescent="0.25">
      <c r="A219" s="1" t="str">
        <f>Data!A219&amp;"||"&amp;Data!B219</f>
        <v>Miscellaneous/subflow/irmifrs9_enrichment_stage1.bpmn||010_00_00</v>
      </c>
      <c r="B219" s="19"/>
      <c r="C219" s="24" t="b">
        <f>AND(UPPER(Data!A219)&lt;&gt;"EMPTY",Data!B219&lt;&gt;"")</f>
        <v>1</v>
      </c>
      <c r="D219" s="1"/>
      <c r="E219" s="25" t="b">
        <f t="shared" ca="1" si="6"/>
        <v>1</v>
      </c>
      <c r="F219" s="26" t="b">
        <f ca="1">IF(UPPER(Data!C219)="SUB PROCESS",NOT(ISERROR(MATCH(RIGHT(Data!BY219,LEN(Data!BY219)-5),OFFSET(Data,0,0,ItemsCount,1),0))),TRUE)</f>
        <v>1</v>
      </c>
      <c r="G219" s="26" t="b">
        <f ca="1">IF(MID(UPPER(Data!A219),1,13)="MISCELLANEOUS",NOT(ISERROR(MATCH("path="&amp;Data!A219,OFFSET(Data,0,76,ItemsCount,1),0))),TRUE)</f>
        <v>1</v>
      </c>
      <c r="L219" s="25" t="b">
        <f t="shared" ca="1" si="7"/>
        <v>1</v>
      </c>
      <c r="M219" s="24" t="b">
        <f>IF(Checks!$C219,Data!A219&lt;&gt;"",TRUE)</f>
        <v>1</v>
      </c>
      <c r="N219" s="26" t="b">
        <f>IF(Checks!C219,Data!B219&lt;&gt;"",TRUE)</f>
        <v>1</v>
      </c>
      <c r="O219" s="26" t="b">
        <f>IF(Checks!C219,IF(AND(UPPER(Data!C219)="SERVICE TASK",UPPER(Data!BZ219)="TYPE=SAS"),NodeExists(TRIM(RIGHT(Data!CA219,LEN(Data!CA219)-FIND("=",Data!CA219)))),TRUE),TRUE)</f>
        <v>1</v>
      </c>
      <c r="P219" s="26" t="b">
        <f>IF(Checks!C219,IF(Data!C219="DATA OBJECT",OR(AND(Data!BW219&lt;&gt;"",Data!BX219=""),AND(Data!BW219="",Data!BX219&lt;&gt;"")),TRUE),TRUE)</f>
        <v>1</v>
      </c>
      <c r="Q219" s="26" t="b">
        <f>IF(Checks!C219,UPPER(RIGHT(Data!A219,5))=".BPMN",TRUE)</f>
        <v>1</v>
      </c>
      <c r="R219" s="26" t="b">
        <f>IF(Checks!C219,IF(UPPER(Data!C219)="SUB PROCESS",UPPER(RIGHT(Data!BY219,5))=".BPMN",TRUE),TRUE)</f>
        <v>1</v>
      </c>
      <c r="S219" s="26" t="b">
        <f>IF(Checks!C219,IF(UPPER(Data!C219)="SERVICE TASK",IF(UPPER(Data!BZ219)="TYPE=SAS",UPPER(RIGHT(Data!CA219,4))=".SAS",TRUE),TRUE),TRUE)</f>
        <v>1</v>
      </c>
      <c r="T219" s="26" t="b">
        <f>IF(Checks!C219,IF(Data!B219&lt;&gt;"",Data!D219&lt;&gt;"",TRUE),TRUE)</f>
        <v>1</v>
      </c>
      <c r="U219" s="26" t="b">
        <f>IF(Checks!C219,IF(UPPER(Data!C219)="DATA OBJECT",NOT(ISERROR(MATCH(Data!A219&amp;"||"&amp;Data!BW219&amp;Data!BX219,Key,0))),TRUE),TRUE)</f>
        <v>1</v>
      </c>
      <c r="V219" s="26" t="b">
        <f>IF(Checks!C219,IF(UPPER(Data!C219)="SUB PROCESS",Data!BY219&lt;&gt;"",TRUE),TRUE)</f>
        <v>1</v>
      </c>
      <c r="W219" s="26" t="b">
        <f>IF(Checks!C219,IF(UPPER(Data!C219)="SERVICE TASK",AND(Data!BZ219&lt;&gt;"",Data!CA219&lt;&gt;""),TRUE),TRUE)</f>
        <v>1</v>
      </c>
      <c r="X219" s="26" t="b">
        <f t="array" aca="1" ref="X219" ca="1">SUM((OFFSET(Data!B219,MAX(ROW(Data!$B$5)-ROW(Data!B219),-200),0,400,1)=Data!B219)*(OFFSET(Data!A219,MAX(ROW(Data!$B$5)-ROW(Data!B219),-200),0,400,1)=Data!A219))=1</f>
        <v>1</v>
      </c>
      <c r="Y219" s="26" t="b">
        <f t="array" aca="1" ref="Y219" ca="1">IF(UPPER(Data!C219)="START",SUM((OFFSET(Data!C219,MAX(ROW(Data!$C$5)-ROW(Data!C219),-200),0,400,1)="START")*(OFFSET(Data!A219,MAX(ROW(Data!$B$5)-ROW(Data!B219),-200),0,400,1)=Data!A219))=1,TRUE)</f>
        <v>1</v>
      </c>
      <c r="Z219" s="26" t="b">
        <f t="array" aca="1" ref="Z219" ca="1">IF(UPPER(Data!C219)="END",SUM((OFFSET(Data!C219,MAX(ROW(Data!$C$5)-ROW(Data!C219),-200),0,400,1)="END")*(OFFSET(Data!A219,MAX(ROW(Data!$B$5)-ROW(Data!B219),-200),0,400,1)=Data!A219))=1,TRUE)</f>
        <v>1</v>
      </c>
      <c r="AA219" s="26" t="b">
        <f>IF(Checks!C219,ISERROR(FIND("&amp;",Data!D219)),TRUE)</f>
        <v>1</v>
      </c>
      <c r="AB219" s="26" t="b">
        <f ca="1">IF(Checks!$C219,IF(AND(UPPER(Data!$C219)&lt;&gt;"START",UPPER(Data!$C219)&lt;&gt;"DATA OBJECT",Data!E219&lt;&gt;""),NOT(ISERROR(MATCH(Data!$A219&amp;"||"&amp;Data!E219,Key,0))),TRUE),TRUE)</f>
        <v>1</v>
      </c>
      <c r="AC219" s="27" t="b">
        <f>IF(Checks!C219,IF(UPPER(Data!C219)="END",Data!E219&lt;&gt;"",TRUE),TRUE)</f>
        <v>1</v>
      </c>
    </row>
    <row r="220" spans="1:29" x14ac:dyDescent="0.25">
      <c r="A220" s="1" t="str">
        <f>Data!A220&amp;"||"&amp;Data!B220</f>
        <v>Miscellaneous/subflow/irmifrs9_enrichment_stage1.bpmn||010_00_01</v>
      </c>
      <c r="B220" s="19"/>
      <c r="C220" s="24" t="b">
        <f>AND(UPPER(Data!A220)&lt;&gt;"EMPTY",Data!B220&lt;&gt;"")</f>
        <v>1</v>
      </c>
      <c r="D220" s="1"/>
      <c r="E220" s="25" t="b">
        <f t="shared" ca="1" si="6"/>
        <v>1</v>
      </c>
      <c r="F220" s="26" t="b">
        <f ca="1">IF(UPPER(Data!C220)="SUB PROCESS",NOT(ISERROR(MATCH(RIGHT(Data!BY220,LEN(Data!BY220)-5),OFFSET(Data,0,0,ItemsCount,1),0))),TRUE)</f>
        <v>1</v>
      </c>
      <c r="G220" s="26" t="b">
        <f ca="1">IF(MID(UPPER(Data!A220),1,13)="MISCELLANEOUS",NOT(ISERROR(MATCH("path="&amp;Data!A220,OFFSET(Data,0,76,ItemsCount,1),0))),TRUE)</f>
        <v>1</v>
      </c>
      <c r="L220" s="25" t="b">
        <f t="shared" ca="1" si="7"/>
        <v>1</v>
      </c>
      <c r="M220" s="24" t="b">
        <f>IF(Checks!$C220,Data!A220&lt;&gt;"",TRUE)</f>
        <v>1</v>
      </c>
      <c r="N220" s="26" t="b">
        <f>IF(Checks!C220,Data!B220&lt;&gt;"",TRUE)</f>
        <v>1</v>
      </c>
      <c r="O220" s="26" t="b">
        <f>IF(Checks!C220,IF(AND(UPPER(Data!C220)="SERVICE TASK",UPPER(Data!BZ220)="TYPE=SAS"),NodeExists(TRIM(RIGHT(Data!CA220,LEN(Data!CA220)-FIND("=",Data!CA220)))),TRUE),TRUE)</f>
        <v>1</v>
      </c>
      <c r="P220" s="26" t="b">
        <f>IF(Checks!C220,IF(Data!C220="DATA OBJECT",OR(AND(Data!BW220&lt;&gt;"",Data!BX220=""),AND(Data!BW220="",Data!BX220&lt;&gt;"")),TRUE),TRUE)</f>
        <v>1</v>
      </c>
      <c r="Q220" s="26" t="b">
        <f>IF(Checks!C220,UPPER(RIGHT(Data!A220,5))=".BPMN",TRUE)</f>
        <v>1</v>
      </c>
      <c r="R220" s="26" t="b">
        <f>IF(Checks!C220,IF(UPPER(Data!C220)="SUB PROCESS",UPPER(RIGHT(Data!BY220,5))=".BPMN",TRUE),TRUE)</f>
        <v>1</v>
      </c>
      <c r="S220" s="26" t="b">
        <f>IF(Checks!C220,IF(UPPER(Data!C220)="SERVICE TASK",IF(UPPER(Data!BZ220)="TYPE=SAS",UPPER(RIGHT(Data!CA220,4))=".SAS",TRUE),TRUE),TRUE)</f>
        <v>1</v>
      </c>
      <c r="T220" s="26" t="b">
        <f>IF(Checks!C220,IF(Data!B220&lt;&gt;"",Data!D220&lt;&gt;"",TRUE),TRUE)</f>
        <v>1</v>
      </c>
      <c r="U220" s="26" t="b">
        <f ca="1">IF(Checks!C220,IF(UPPER(Data!C220)="DATA OBJECT",NOT(ISERROR(MATCH(Data!A220&amp;"||"&amp;Data!BW220&amp;Data!BX220,Key,0))),TRUE),TRUE)</f>
        <v>1</v>
      </c>
      <c r="V220" s="26" t="b">
        <f>IF(Checks!C220,IF(UPPER(Data!C220)="SUB PROCESS",Data!BY220&lt;&gt;"",TRUE),TRUE)</f>
        <v>1</v>
      </c>
      <c r="W220" s="26" t="b">
        <f>IF(Checks!C220,IF(UPPER(Data!C220)="SERVICE TASK",AND(Data!BZ220&lt;&gt;"",Data!CA220&lt;&gt;""),TRUE),TRUE)</f>
        <v>1</v>
      </c>
      <c r="X220" s="26" t="b">
        <f t="array" aca="1" ref="X220" ca="1">SUM((OFFSET(Data!B220,MAX(ROW(Data!$B$5)-ROW(Data!B220),-200),0,400,1)=Data!B220)*(OFFSET(Data!A220,MAX(ROW(Data!$B$5)-ROW(Data!B220),-200),0,400,1)=Data!A220))=1</f>
        <v>1</v>
      </c>
      <c r="Y220" s="26" t="b">
        <f t="array" aca="1" ref="Y220" ca="1">IF(UPPER(Data!C220)="START",SUM((OFFSET(Data!C220,MAX(ROW(Data!$C$5)-ROW(Data!C220),-200),0,400,1)="START")*(OFFSET(Data!A220,MAX(ROW(Data!$B$5)-ROW(Data!B220),-200),0,400,1)=Data!A220))=1,TRUE)</f>
        <v>1</v>
      </c>
      <c r="Z220" s="26" t="b">
        <f t="array" aca="1" ref="Z220" ca="1">IF(UPPER(Data!C220)="END",SUM((OFFSET(Data!C220,MAX(ROW(Data!$C$5)-ROW(Data!C220),-200),0,400,1)="END")*(OFFSET(Data!A220,MAX(ROW(Data!$B$5)-ROW(Data!B220),-200),0,400,1)=Data!A220))=1,TRUE)</f>
        <v>1</v>
      </c>
      <c r="AA220" s="26" t="b">
        <f>IF(Checks!C220,ISERROR(FIND("&amp;",Data!D220)),TRUE)</f>
        <v>1</v>
      </c>
      <c r="AB220" s="26" t="b">
        <f>IF(Checks!$C220,IF(AND(UPPER(Data!$C220)&lt;&gt;"START",UPPER(Data!$C220)&lt;&gt;"DATA OBJECT",Data!E220&lt;&gt;""),NOT(ISERROR(MATCH(Data!$A220&amp;"||"&amp;Data!E220,Key,0))),TRUE),TRUE)</f>
        <v>1</v>
      </c>
      <c r="AC220" s="27" t="b">
        <f>IF(Checks!C220,IF(UPPER(Data!C220)="END",Data!E220&lt;&gt;"",TRUE),TRUE)</f>
        <v>1</v>
      </c>
    </row>
    <row r="221" spans="1:29" x14ac:dyDescent="0.25">
      <c r="A221" s="1" t="str">
        <f>Data!A221&amp;"||"&amp;Data!B221</f>
        <v>Miscellaneous/subflow/irmifrs9_enrichment_stage1.bpmn||010_00_02</v>
      </c>
      <c r="B221" s="19"/>
      <c r="C221" s="24" t="b">
        <f>AND(UPPER(Data!A221)&lt;&gt;"EMPTY",Data!B221&lt;&gt;"")</f>
        <v>1</v>
      </c>
      <c r="D221" s="1"/>
      <c r="E221" s="25" t="b">
        <f t="shared" ca="1" si="6"/>
        <v>1</v>
      </c>
      <c r="F221" s="26" t="b">
        <f ca="1">IF(UPPER(Data!C221)="SUB PROCESS",NOT(ISERROR(MATCH(RIGHT(Data!BY221,LEN(Data!BY221)-5),OFFSET(Data,0,0,ItemsCount,1),0))),TRUE)</f>
        <v>1</v>
      </c>
      <c r="G221" s="26" t="b">
        <f ca="1">IF(MID(UPPER(Data!A221),1,13)="MISCELLANEOUS",NOT(ISERROR(MATCH("path="&amp;Data!A221,OFFSET(Data,0,76,ItemsCount,1),0))),TRUE)</f>
        <v>1</v>
      </c>
      <c r="L221" s="25" t="b">
        <f t="shared" ca="1" si="7"/>
        <v>1</v>
      </c>
      <c r="M221" s="24" t="b">
        <f>IF(Checks!$C221,Data!A221&lt;&gt;"",TRUE)</f>
        <v>1</v>
      </c>
      <c r="N221" s="26" t="b">
        <f>IF(Checks!C221,Data!B221&lt;&gt;"",TRUE)</f>
        <v>1</v>
      </c>
      <c r="O221" s="26" t="b">
        <f>IF(Checks!C221,IF(AND(UPPER(Data!C221)="SERVICE TASK",UPPER(Data!BZ221)="TYPE=SAS"),NodeExists(TRIM(RIGHT(Data!CA221,LEN(Data!CA221)-FIND("=",Data!CA221)))),TRUE),TRUE)</f>
        <v>1</v>
      </c>
      <c r="P221" s="26" t="b">
        <f>IF(Checks!C221,IF(Data!C221="DATA OBJECT",OR(AND(Data!BW221&lt;&gt;"",Data!BX221=""),AND(Data!BW221="",Data!BX221&lt;&gt;"")),TRUE),TRUE)</f>
        <v>1</v>
      </c>
      <c r="Q221" s="26" t="b">
        <f>IF(Checks!C221,UPPER(RIGHT(Data!A221,5))=".BPMN",TRUE)</f>
        <v>1</v>
      </c>
      <c r="R221" s="26" t="b">
        <f>IF(Checks!C221,IF(UPPER(Data!C221)="SUB PROCESS",UPPER(RIGHT(Data!BY221,5))=".BPMN",TRUE),TRUE)</f>
        <v>1</v>
      </c>
      <c r="S221" s="26" t="b">
        <f>IF(Checks!C221,IF(UPPER(Data!C221)="SERVICE TASK",IF(UPPER(Data!BZ221)="TYPE=SAS",UPPER(RIGHT(Data!CA221,4))=".SAS",TRUE),TRUE),TRUE)</f>
        <v>1</v>
      </c>
      <c r="T221" s="26" t="b">
        <f>IF(Checks!C221,IF(Data!B221&lt;&gt;"",Data!D221&lt;&gt;"",TRUE),TRUE)</f>
        <v>1</v>
      </c>
      <c r="U221" s="26" t="b">
        <f ca="1">IF(Checks!C221,IF(UPPER(Data!C221)="DATA OBJECT",NOT(ISERROR(MATCH(Data!A221&amp;"||"&amp;Data!BW221&amp;Data!BX221,Key,0))),TRUE),TRUE)</f>
        <v>1</v>
      </c>
      <c r="V221" s="26" t="b">
        <f>IF(Checks!C221,IF(UPPER(Data!C221)="SUB PROCESS",Data!BY221&lt;&gt;"",TRUE),TRUE)</f>
        <v>1</v>
      </c>
      <c r="W221" s="26" t="b">
        <f>IF(Checks!C221,IF(UPPER(Data!C221)="SERVICE TASK",AND(Data!BZ221&lt;&gt;"",Data!CA221&lt;&gt;""),TRUE),TRUE)</f>
        <v>1</v>
      </c>
      <c r="X221" s="26" t="b">
        <f t="array" aca="1" ref="X221" ca="1">SUM((OFFSET(Data!B221,MAX(ROW(Data!$B$5)-ROW(Data!B221),-200),0,400,1)=Data!B221)*(OFFSET(Data!A221,MAX(ROW(Data!$B$5)-ROW(Data!B221),-200),0,400,1)=Data!A221))=1</f>
        <v>1</v>
      </c>
      <c r="Y221" s="26" t="b">
        <f t="array" aca="1" ref="Y221" ca="1">IF(UPPER(Data!C221)="START",SUM((OFFSET(Data!C221,MAX(ROW(Data!$C$5)-ROW(Data!C221),-200),0,400,1)="START")*(OFFSET(Data!A221,MAX(ROW(Data!$B$5)-ROW(Data!B221),-200),0,400,1)=Data!A221))=1,TRUE)</f>
        <v>1</v>
      </c>
      <c r="Z221" s="26" t="b">
        <f t="array" aca="1" ref="Z221" ca="1">IF(UPPER(Data!C221)="END",SUM((OFFSET(Data!C221,MAX(ROW(Data!$C$5)-ROW(Data!C221),-200),0,400,1)="END")*(OFFSET(Data!A221,MAX(ROW(Data!$B$5)-ROW(Data!B221),-200),0,400,1)=Data!A221))=1,TRUE)</f>
        <v>1</v>
      </c>
      <c r="AA221" s="26" t="b">
        <f>IF(Checks!C221,ISERROR(FIND("&amp;",Data!D221)),TRUE)</f>
        <v>1</v>
      </c>
      <c r="AB221" s="26" t="b">
        <f>IF(Checks!$C221,IF(AND(UPPER(Data!$C221)&lt;&gt;"START",UPPER(Data!$C221)&lt;&gt;"DATA OBJECT",Data!E221&lt;&gt;""),NOT(ISERROR(MATCH(Data!$A221&amp;"||"&amp;Data!E221,Key,0))),TRUE),TRUE)</f>
        <v>1</v>
      </c>
      <c r="AC221" s="27" t="b">
        <f>IF(Checks!C221,IF(UPPER(Data!C221)="END",Data!E221&lt;&gt;"",TRUE),TRUE)</f>
        <v>1</v>
      </c>
    </row>
    <row r="222" spans="1:29" x14ac:dyDescent="0.25">
      <c r="A222" s="1" t="str">
        <f>Data!A222&amp;"||"&amp;Data!B222</f>
        <v>Miscellaneous/subflow/irmifrs9_enrichment_stage1.bpmn||010_01_00</v>
      </c>
      <c r="B222" s="19"/>
      <c r="C222" s="24" t="b">
        <f>AND(UPPER(Data!A222)&lt;&gt;"EMPTY",Data!B222&lt;&gt;"")</f>
        <v>1</v>
      </c>
      <c r="D222" s="1"/>
      <c r="E222" s="25" t="b">
        <f t="shared" ca="1" si="6"/>
        <v>1</v>
      </c>
      <c r="F222" s="26" t="b">
        <f ca="1">IF(UPPER(Data!C222)="SUB PROCESS",NOT(ISERROR(MATCH(RIGHT(Data!BY222,LEN(Data!BY222)-5),OFFSET(Data,0,0,ItemsCount,1),0))),TRUE)</f>
        <v>1</v>
      </c>
      <c r="G222" s="26" t="b">
        <f ca="1">IF(MID(UPPER(Data!A222),1,13)="MISCELLANEOUS",NOT(ISERROR(MATCH("path="&amp;Data!A222,OFFSET(Data,0,76,ItemsCount,1),0))),TRUE)</f>
        <v>1</v>
      </c>
      <c r="L222" s="25" t="b">
        <f t="shared" ca="1" si="7"/>
        <v>1</v>
      </c>
      <c r="M222" s="24" t="b">
        <f>IF(Checks!$C222,Data!A222&lt;&gt;"",TRUE)</f>
        <v>1</v>
      </c>
      <c r="N222" s="26" t="b">
        <f>IF(Checks!C222,Data!B222&lt;&gt;"",TRUE)</f>
        <v>1</v>
      </c>
      <c r="O222" s="26" t="b">
        <f>IF(Checks!C222,IF(AND(UPPER(Data!C222)="SERVICE TASK",UPPER(Data!BZ222)="TYPE=SAS"),NodeExists(TRIM(RIGHT(Data!CA222,LEN(Data!CA222)-FIND("=",Data!CA222)))),TRUE),TRUE)</f>
        <v>1</v>
      </c>
      <c r="P222" s="26" t="b">
        <f>IF(Checks!C222,IF(Data!C222="DATA OBJECT",OR(AND(Data!BW222&lt;&gt;"",Data!BX222=""),AND(Data!BW222="",Data!BX222&lt;&gt;"")),TRUE),TRUE)</f>
        <v>1</v>
      </c>
      <c r="Q222" s="26" t="b">
        <f>IF(Checks!C222,UPPER(RIGHT(Data!A222,5))=".BPMN",TRUE)</f>
        <v>1</v>
      </c>
      <c r="R222" s="26" t="b">
        <f>IF(Checks!C222,IF(UPPER(Data!C222)="SUB PROCESS",UPPER(RIGHT(Data!BY222,5))=".BPMN",TRUE),TRUE)</f>
        <v>1</v>
      </c>
      <c r="S222" s="26" t="b">
        <f>IF(Checks!C222,IF(UPPER(Data!C222)="SERVICE TASK",IF(UPPER(Data!BZ222)="TYPE=SAS",UPPER(RIGHT(Data!CA222,4))=".SAS",TRUE),TRUE),TRUE)</f>
        <v>1</v>
      </c>
      <c r="T222" s="26" t="b">
        <f>IF(Checks!C222,IF(Data!B222&lt;&gt;"",Data!D222&lt;&gt;"",TRUE),TRUE)</f>
        <v>1</v>
      </c>
      <c r="U222" s="26" t="b">
        <f ca="1">IF(Checks!C222,IF(UPPER(Data!C222)="DATA OBJECT",NOT(ISERROR(MATCH(Data!A222&amp;"||"&amp;Data!BW222&amp;Data!BX222,Key,0))),TRUE),TRUE)</f>
        <v>1</v>
      </c>
      <c r="V222" s="26" t="b">
        <f>IF(Checks!C222,IF(UPPER(Data!C222)="SUB PROCESS",Data!BY222&lt;&gt;"",TRUE),TRUE)</f>
        <v>1</v>
      </c>
      <c r="W222" s="26" t="b">
        <f>IF(Checks!C222,IF(UPPER(Data!C222)="SERVICE TASK",AND(Data!BZ222&lt;&gt;"",Data!CA222&lt;&gt;""),TRUE),TRUE)</f>
        <v>1</v>
      </c>
      <c r="X222" s="26" t="b">
        <f t="array" aca="1" ref="X222" ca="1">SUM((OFFSET(Data!B222,MAX(ROW(Data!$B$5)-ROW(Data!B222),-200),0,400,1)=Data!B222)*(OFFSET(Data!A222,MAX(ROW(Data!$B$5)-ROW(Data!B222),-200),0,400,1)=Data!A222))=1</f>
        <v>1</v>
      </c>
      <c r="Y222" s="26" t="b">
        <f t="array" aca="1" ref="Y222" ca="1">IF(UPPER(Data!C222)="START",SUM((OFFSET(Data!C222,MAX(ROW(Data!$C$5)-ROW(Data!C222),-200),0,400,1)="START")*(OFFSET(Data!A222,MAX(ROW(Data!$B$5)-ROW(Data!B222),-200),0,400,1)=Data!A222))=1,TRUE)</f>
        <v>1</v>
      </c>
      <c r="Z222" s="26" t="b">
        <f t="array" aca="1" ref="Z222" ca="1">IF(UPPER(Data!C222)="END",SUM((OFFSET(Data!C222,MAX(ROW(Data!$C$5)-ROW(Data!C222),-200),0,400,1)="END")*(OFFSET(Data!A222,MAX(ROW(Data!$B$5)-ROW(Data!B222),-200),0,400,1)=Data!A222))=1,TRUE)</f>
        <v>1</v>
      </c>
      <c r="AA222" s="26" t="b">
        <f>IF(Checks!C222,ISERROR(FIND("&amp;",Data!D222)),TRUE)</f>
        <v>1</v>
      </c>
      <c r="AB222" s="26" t="b">
        <f>IF(Checks!$C222,IF(AND(UPPER(Data!$C222)&lt;&gt;"START",UPPER(Data!$C222)&lt;&gt;"DATA OBJECT",Data!E222&lt;&gt;""),NOT(ISERROR(MATCH(Data!$A222&amp;"||"&amp;Data!E222,Key,0))),TRUE),TRUE)</f>
        <v>1</v>
      </c>
      <c r="AC222" s="27" t="b">
        <f>IF(Checks!C222,IF(UPPER(Data!C222)="END",Data!E222&lt;&gt;"",TRUE),TRUE)</f>
        <v>1</v>
      </c>
    </row>
    <row r="223" spans="1:29" x14ac:dyDescent="0.25">
      <c r="A223" s="1" t="str">
        <f>Data!A223&amp;"||"&amp;Data!B223</f>
        <v>Miscellaneous/subflow/irmifrs9_enrichment_stage1.bpmn||020_00_00</v>
      </c>
      <c r="B223" s="19"/>
      <c r="C223" s="24" t="b">
        <f>AND(UPPER(Data!A223)&lt;&gt;"EMPTY",Data!B223&lt;&gt;"")</f>
        <v>1</v>
      </c>
      <c r="D223" s="1"/>
      <c r="E223" s="25" t="b">
        <f t="shared" ca="1" si="6"/>
        <v>1</v>
      </c>
      <c r="F223" s="26" t="b">
        <f ca="1">IF(UPPER(Data!C223)="SUB PROCESS",NOT(ISERROR(MATCH(RIGHT(Data!BY223,LEN(Data!BY223)-5),OFFSET(Data,0,0,ItemsCount,1),0))),TRUE)</f>
        <v>1</v>
      </c>
      <c r="G223" s="26" t="b">
        <f ca="1">IF(MID(UPPER(Data!A223),1,13)="MISCELLANEOUS",NOT(ISERROR(MATCH("path="&amp;Data!A223,OFFSET(Data,0,76,ItemsCount,1),0))),TRUE)</f>
        <v>1</v>
      </c>
      <c r="L223" s="25" t="b">
        <f t="shared" ca="1" si="7"/>
        <v>1</v>
      </c>
      <c r="M223" s="24" t="b">
        <f>IF(Checks!$C223,Data!A223&lt;&gt;"",TRUE)</f>
        <v>1</v>
      </c>
      <c r="N223" s="26" t="b">
        <f>IF(Checks!C223,Data!B223&lt;&gt;"",TRUE)</f>
        <v>1</v>
      </c>
      <c r="O223" s="26" t="b">
        <f>IF(Checks!C223,IF(AND(UPPER(Data!C223)="SERVICE TASK",UPPER(Data!BZ223)="TYPE=SAS"),NodeExists(TRIM(RIGHT(Data!CA223,LEN(Data!CA223)-FIND("=",Data!CA223)))),TRUE),TRUE)</f>
        <v>1</v>
      </c>
      <c r="P223" s="26" t="b">
        <f>IF(Checks!C223,IF(Data!C223="DATA OBJECT",OR(AND(Data!BW223&lt;&gt;"",Data!BX223=""),AND(Data!BW223="",Data!BX223&lt;&gt;"")),TRUE),TRUE)</f>
        <v>1</v>
      </c>
      <c r="Q223" s="26" t="b">
        <f>IF(Checks!C223,UPPER(RIGHT(Data!A223,5))=".BPMN",TRUE)</f>
        <v>1</v>
      </c>
      <c r="R223" s="26" t="b">
        <f>IF(Checks!C223,IF(UPPER(Data!C223)="SUB PROCESS",UPPER(RIGHT(Data!BY223,5))=".BPMN",TRUE),TRUE)</f>
        <v>1</v>
      </c>
      <c r="S223" s="26" t="b">
        <f>IF(Checks!C223,IF(UPPER(Data!C223)="SERVICE TASK",IF(UPPER(Data!BZ223)="TYPE=SAS",UPPER(RIGHT(Data!CA223,4))=".SAS",TRUE),TRUE),TRUE)</f>
        <v>1</v>
      </c>
      <c r="T223" s="26" t="b">
        <f>IF(Checks!C223,IF(Data!B223&lt;&gt;"",Data!D223&lt;&gt;"",TRUE),TRUE)</f>
        <v>1</v>
      </c>
      <c r="U223" s="26" t="b">
        <f>IF(Checks!C223,IF(UPPER(Data!C223)="DATA OBJECT",NOT(ISERROR(MATCH(Data!A223&amp;"||"&amp;Data!BW223&amp;Data!BX223,Key,0))),TRUE),TRUE)</f>
        <v>1</v>
      </c>
      <c r="V223" s="26" t="b">
        <f>IF(Checks!C223,IF(UPPER(Data!C223)="SUB PROCESS",Data!BY223&lt;&gt;"",TRUE),TRUE)</f>
        <v>1</v>
      </c>
      <c r="W223" s="26" t="b">
        <f>IF(Checks!C223,IF(UPPER(Data!C223)="SERVICE TASK",AND(Data!BZ223&lt;&gt;"",Data!CA223&lt;&gt;""),TRUE),TRUE)</f>
        <v>1</v>
      </c>
      <c r="X223" s="26" t="b">
        <f t="array" aca="1" ref="X223" ca="1">SUM((OFFSET(Data!B223,MAX(ROW(Data!$B$5)-ROW(Data!B223),-200),0,400,1)=Data!B223)*(OFFSET(Data!A223,MAX(ROW(Data!$B$5)-ROW(Data!B223),-200),0,400,1)=Data!A223))=1</f>
        <v>1</v>
      </c>
      <c r="Y223" s="26" t="b">
        <f t="array" aca="1" ref="Y223" ca="1">IF(UPPER(Data!C223)="START",SUM((OFFSET(Data!C223,MAX(ROW(Data!$C$5)-ROW(Data!C223),-200),0,400,1)="START")*(OFFSET(Data!A223,MAX(ROW(Data!$B$5)-ROW(Data!B223),-200),0,400,1)=Data!A223))=1,TRUE)</f>
        <v>1</v>
      </c>
      <c r="Z223" s="26" t="b">
        <f t="array" aca="1" ref="Z223" ca="1">IF(UPPER(Data!C223)="END",SUM((OFFSET(Data!C223,MAX(ROW(Data!$C$5)-ROW(Data!C223),-200),0,400,1)="END")*(OFFSET(Data!A223,MAX(ROW(Data!$B$5)-ROW(Data!B223),-200),0,400,1)=Data!A223))=1,TRUE)</f>
        <v>1</v>
      </c>
      <c r="AA223" s="26" t="b">
        <f>IF(Checks!C223,ISERROR(FIND("&amp;",Data!D223)),TRUE)</f>
        <v>1</v>
      </c>
      <c r="AB223" s="26" t="b">
        <f ca="1">IF(Checks!$C223,IF(AND(UPPER(Data!$C223)&lt;&gt;"START",UPPER(Data!$C223)&lt;&gt;"DATA OBJECT",Data!E223&lt;&gt;""),NOT(ISERROR(MATCH(Data!$A223&amp;"||"&amp;Data!E223,Key,0))),TRUE),TRUE)</f>
        <v>1</v>
      </c>
      <c r="AC223" s="27" t="b">
        <f>IF(Checks!C223,IF(UPPER(Data!C223)="END",Data!E223&lt;&gt;"",TRUE),TRUE)</f>
        <v>1</v>
      </c>
    </row>
    <row r="224" spans="1:29" x14ac:dyDescent="0.25">
      <c r="A224" s="1" t="str">
        <f>Data!A224&amp;"||"&amp;Data!B224</f>
        <v>Miscellaneous/subflow/irmifrs9_enrichment_stage1.bpmn||020_00_01</v>
      </c>
      <c r="B224" s="19"/>
      <c r="C224" s="24" t="b">
        <f>AND(UPPER(Data!A224)&lt;&gt;"EMPTY",Data!B224&lt;&gt;"")</f>
        <v>1</v>
      </c>
      <c r="D224" s="1"/>
      <c r="E224" s="25" t="b">
        <f t="shared" ca="1" si="6"/>
        <v>1</v>
      </c>
      <c r="F224" s="26" t="b">
        <f ca="1">IF(UPPER(Data!C224)="SUB PROCESS",NOT(ISERROR(MATCH(RIGHT(Data!BY224,LEN(Data!BY224)-5),OFFSET(Data,0,0,ItemsCount,1),0))),TRUE)</f>
        <v>1</v>
      </c>
      <c r="G224" s="26" t="b">
        <f ca="1">IF(MID(UPPER(Data!A224),1,13)="MISCELLANEOUS",NOT(ISERROR(MATCH("path="&amp;Data!A224,OFFSET(Data,0,76,ItemsCount,1),0))),TRUE)</f>
        <v>1</v>
      </c>
      <c r="L224" s="25" t="b">
        <f t="shared" ca="1" si="7"/>
        <v>1</v>
      </c>
      <c r="M224" s="24" t="b">
        <f>IF(Checks!$C224,Data!A224&lt;&gt;"",TRUE)</f>
        <v>1</v>
      </c>
      <c r="N224" s="26" t="b">
        <f>IF(Checks!C224,Data!B224&lt;&gt;"",TRUE)</f>
        <v>1</v>
      </c>
      <c r="O224" s="26" t="b">
        <f>IF(Checks!C224,IF(AND(UPPER(Data!C224)="SERVICE TASK",UPPER(Data!BZ224)="TYPE=SAS"),NodeExists(TRIM(RIGHT(Data!CA224,LEN(Data!CA224)-FIND("=",Data!CA224)))),TRUE),TRUE)</f>
        <v>1</v>
      </c>
      <c r="P224" s="26" t="b">
        <f>IF(Checks!C224,IF(Data!C224="DATA OBJECT",OR(AND(Data!BW224&lt;&gt;"",Data!BX224=""),AND(Data!BW224="",Data!BX224&lt;&gt;"")),TRUE),TRUE)</f>
        <v>1</v>
      </c>
      <c r="Q224" s="26" t="b">
        <f>IF(Checks!C224,UPPER(RIGHT(Data!A224,5))=".BPMN",TRUE)</f>
        <v>1</v>
      </c>
      <c r="R224" s="26" t="b">
        <f>IF(Checks!C224,IF(UPPER(Data!C224)="SUB PROCESS",UPPER(RIGHT(Data!BY224,5))=".BPMN",TRUE),TRUE)</f>
        <v>1</v>
      </c>
      <c r="S224" s="26" t="b">
        <f>IF(Checks!C224,IF(UPPER(Data!C224)="SERVICE TASK",IF(UPPER(Data!BZ224)="TYPE=SAS",UPPER(RIGHT(Data!CA224,4))=".SAS",TRUE),TRUE),TRUE)</f>
        <v>1</v>
      </c>
      <c r="T224" s="26" t="b">
        <f>IF(Checks!C224,IF(Data!B224&lt;&gt;"",Data!D224&lt;&gt;"",TRUE),TRUE)</f>
        <v>1</v>
      </c>
      <c r="U224" s="26" t="b">
        <f ca="1">IF(Checks!C224,IF(UPPER(Data!C224)="DATA OBJECT",NOT(ISERROR(MATCH(Data!A224&amp;"||"&amp;Data!BW224&amp;Data!BX224,Key,0))),TRUE),TRUE)</f>
        <v>1</v>
      </c>
      <c r="V224" s="26" t="b">
        <f>IF(Checks!C224,IF(UPPER(Data!C224)="SUB PROCESS",Data!BY224&lt;&gt;"",TRUE),TRUE)</f>
        <v>1</v>
      </c>
      <c r="W224" s="26" t="b">
        <f>IF(Checks!C224,IF(UPPER(Data!C224)="SERVICE TASK",AND(Data!BZ224&lt;&gt;"",Data!CA224&lt;&gt;""),TRUE),TRUE)</f>
        <v>1</v>
      </c>
      <c r="X224" s="26" t="b">
        <f t="array" aca="1" ref="X224" ca="1">SUM((OFFSET(Data!B224,MAX(ROW(Data!$B$5)-ROW(Data!B224),-200),0,400,1)=Data!B224)*(OFFSET(Data!A224,MAX(ROW(Data!$B$5)-ROW(Data!B224),-200),0,400,1)=Data!A224))=1</f>
        <v>1</v>
      </c>
      <c r="Y224" s="26" t="b">
        <f t="array" aca="1" ref="Y224" ca="1">IF(UPPER(Data!C224)="START",SUM((OFFSET(Data!C224,MAX(ROW(Data!$C$5)-ROW(Data!C224),-200),0,400,1)="START")*(OFFSET(Data!A224,MAX(ROW(Data!$B$5)-ROW(Data!B224),-200),0,400,1)=Data!A224))=1,TRUE)</f>
        <v>1</v>
      </c>
      <c r="Z224" s="26" t="b">
        <f t="array" aca="1" ref="Z224" ca="1">IF(UPPER(Data!C224)="END",SUM((OFFSET(Data!C224,MAX(ROW(Data!$C$5)-ROW(Data!C224),-200),0,400,1)="END")*(OFFSET(Data!A224,MAX(ROW(Data!$B$5)-ROW(Data!B224),-200),0,400,1)=Data!A224))=1,TRUE)</f>
        <v>1</v>
      </c>
      <c r="AA224" s="26" t="b">
        <f>IF(Checks!C224,ISERROR(FIND("&amp;",Data!D224)),TRUE)</f>
        <v>1</v>
      </c>
      <c r="AB224" s="26" t="b">
        <f>IF(Checks!$C224,IF(AND(UPPER(Data!$C224)&lt;&gt;"START",UPPER(Data!$C224)&lt;&gt;"DATA OBJECT",Data!E224&lt;&gt;""),NOT(ISERROR(MATCH(Data!$A224&amp;"||"&amp;Data!E224,Key,0))),TRUE),TRUE)</f>
        <v>1</v>
      </c>
      <c r="AC224" s="27" t="b">
        <f>IF(Checks!C224,IF(UPPER(Data!C224)="END",Data!E224&lt;&gt;"",TRUE),TRUE)</f>
        <v>1</v>
      </c>
    </row>
    <row r="225" spans="1:29" x14ac:dyDescent="0.25">
      <c r="A225" s="1" t="str">
        <f>Data!A225&amp;"||"&amp;Data!B225</f>
        <v>Miscellaneous/subflow/irmifrs9_enrichment_stage1.bpmn||020_00_02</v>
      </c>
      <c r="B225" s="19"/>
      <c r="C225" s="24" t="b">
        <f>AND(UPPER(Data!A225)&lt;&gt;"EMPTY",Data!B225&lt;&gt;"")</f>
        <v>1</v>
      </c>
      <c r="D225" s="1"/>
      <c r="E225" s="25" t="b">
        <f t="shared" ca="1" si="6"/>
        <v>1</v>
      </c>
      <c r="F225" s="26" t="b">
        <f ca="1">IF(UPPER(Data!C225)="SUB PROCESS",NOT(ISERROR(MATCH(RIGHT(Data!BY225,LEN(Data!BY225)-5),OFFSET(Data,0,0,ItemsCount,1),0))),TRUE)</f>
        <v>1</v>
      </c>
      <c r="G225" s="26" t="b">
        <f ca="1">IF(MID(UPPER(Data!A225),1,13)="MISCELLANEOUS",NOT(ISERROR(MATCH("path="&amp;Data!A225,OFFSET(Data,0,76,ItemsCount,1),0))),TRUE)</f>
        <v>1</v>
      </c>
      <c r="L225" s="25" t="b">
        <f t="shared" ca="1" si="7"/>
        <v>1</v>
      </c>
      <c r="M225" s="24" t="b">
        <f>IF(Checks!$C225,Data!A225&lt;&gt;"",TRUE)</f>
        <v>1</v>
      </c>
      <c r="N225" s="26" t="b">
        <f>IF(Checks!C225,Data!B225&lt;&gt;"",TRUE)</f>
        <v>1</v>
      </c>
      <c r="O225" s="26" t="b">
        <f>IF(Checks!C225,IF(AND(UPPER(Data!C225)="SERVICE TASK",UPPER(Data!BZ225)="TYPE=SAS"),NodeExists(TRIM(RIGHT(Data!CA225,LEN(Data!CA225)-FIND("=",Data!CA225)))),TRUE),TRUE)</f>
        <v>1</v>
      </c>
      <c r="P225" s="26" t="b">
        <f>IF(Checks!C225,IF(Data!C225="DATA OBJECT",OR(AND(Data!BW225&lt;&gt;"",Data!BX225=""),AND(Data!BW225="",Data!BX225&lt;&gt;"")),TRUE),TRUE)</f>
        <v>1</v>
      </c>
      <c r="Q225" s="26" t="b">
        <f>IF(Checks!C225,UPPER(RIGHT(Data!A225,5))=".BPMN",TRUE)</f>
        <v>1</v>
      </c>
      <c r="R225" s="26" t="b">
        <f>IF(Checks!C225,IF(UPPER(Data!C225)="SUB PROCESS",UPPER(RIGHT(Data!BY225,5))=".BPMN",TRUE),TRUE)</f>
        <v>1</v>
      </c>
      <c r="S225" s="26" t="b">
        <f>IF(Checks!C225,IF(UPPER(Data!C225)="SERVICE TASK",IF(UPPER(Data!BZ225)="TYPE=SAS",UPPER(RIGHT(Data!CA225,4))=".SAS",TRUE),TRUE),TRUE)</f>
        <v>1</v>
      </c>
      <c r="T225" s="26" t="b">
        <f>IF(Checks!C225,IF(Data!B225&lt;&gt;"",Data!D225&lt;&gt;"",TRUE),TRUE)</f>
        <v>1</v>
      </c>
      <c r="U225" s="26" t="b">
        <f ca="1">IF(Checks!C225,IF(UPPER(Data!C225)="DATA OBJECT",NOT(ISERROR(MATCH(Data!A225&amp;"||"&amp;Data!BW225&amp;Data!BX225,Key,0))),TRUE),TRUE)</f>
        <v>1</v>
      </c>
      <c r="V225" s="26" t="b">
        <f>IF(Checks!C225,IF(UPPER(Data!C225)="SUB PROCESS",Data!BY225&lt;&gt;"",TRUE),TRUE)</f>
        <v>1</v>
      </c>
      <c r="W225" s="26" t="b">
        <f>IF(Checks!C225,IF(UPPER(Data!C225)="SERVICE TASK",AND(Data!BZ225&lt;&gt;"",Data!CA225&lt;&gt;""),TRUE),TRUE)</f>
        <v>1</v>
      </c>
      <c r="X225" s="26" t="b">
        <f t="array" aca="1" ref="X225" ca="1">SUM((OFFSET(Data!B225,MAX(ROW(Data!$B$5)-ROW(Data!B225),-200),0,400,1)=Data!B225)*(OFFSET(Data!A225,MAX(ROW(Data!$B$5)-ROW(Data!B225),-200),0,400,1)=Data!A225))=1</f>
        <v>1</v>
      </c>
      <c r="Y225" s="26" t="b">
        <f t="array" aca="1" ref="Y225" ca="1">IF(UPPER(Data!C225)="START",SUM((OFFSET(Data!C225,MAX(ROW(Data!$C$5)-ROW(Data!C225),-200),0,400,1)="START")*(OFFSET(Data!A225,MAX(ROW(Data!$B$5)-ROW(Data!B225),-200),0,400,1)=Data!A225))=1,TRUE)</f>
        <v>1</v>
      </c>
      <c r="Z225" s="26" t="b">
        <f t="array" aca="1" ref="Z225" ca="1">IF(UPPER(Data!C225)="END",SUM((OFFSET(Data!C225,MAX(ROW(Data!$C$5)-ROW(Data!C225),-200),0,400,1)="END")*(OFFSET(Data!A225,MAX(ROW(Data!$B$5)-ROW(Data!B225),-200),0,400,1)=Data!A225))=1,TRUE)</f>
        <v>1</v>
      </c>
      <c r="AA225" s="26" t="b">
        <f>IF(Checks!C225,ISERROR(FIND("&amp;",Data!D225)),TRUE)</f>
        <v>1</v>
      </c>
      <c r="AB225" s="26" t="b">
        <f>IF(Checks!$C225,IF(AND(UPPER(Data!$C225)&lt;&gt;"START",UPPER(Data!$C225)&lt;&gt;"DATA OBJECT",Data!E225&lt;&gt;""),NOT(ISERROR(MATCH(Data!$A225&amp;"||"&amp;Data!E225,Key,0))),TRUE),TRUE)</f>
        <v>1</v>
      </c>
      <c r="AC225" s="27" t="b">
        <f>IF(Checks!C225,IF(UPPER(Data!C225)="END",Data!E225&lt;&gt;"",TRUE),TRUE)</f>
        <v>1</v>
      </c>
    </row>
    <row r="226" spans="1:29" x14ac:dyDescent="0.25">
      <c r="A226" s="1" t="str">
        <f>Data!A226&amp;"||"&amp;Data!B226</f>
        <v>Miscellaneous/subflow/irmifrs9_enrichment_stage1.bpmn||020_00_03</v>
      </c>
      <c r="B226" s="19"/>
      <c r="C226" s="24" t="b">
        <f>AND(UPPER(Data!A226)&lt;&gt;"EMPTY",Data!B226&lt;&gt;"")</f>
        <v>1</v>
      </c>
      <c r="D226" s="1"/>
      <c r="E226" s="25" t="b">
        <f t="shared" ca="1" si="6"/>
        <v>1</v>
      </c>
      <c r="F226" s="26" t="b">
        <f ca="1">IF(UPPER(Data!C226)="SUB PROCESS",NOT(ISERROR(MATCH(RIGHT(Data!BY226,LEN(Data!BY226)-5),OFFSET(Data,0,0,ItemsCount,1),0))),TRUE)</f>
        <v>1</v>
      </c>
      <c r="G226" s="26" t="b">
        <f ca="1">IF(MID(UPPER(Data!A226),1,13)="MISCELLANEOUS",NOT(ISERROR(MATCH("path="&amp;Data!A226,OFFSET(Data,0,76,ItemsCount,1),0))),TRUE)</f>
        <v>1</v>
      </c>
      <c r="L226" s="25" t="b">
        <f t="shared" ca="1" si="7"/>
        <v>1</v>
      </c>
      <c r="M226" s="24" t="b">
        <f>IF(Checks!$C226,Data!A226&lt;&gt;"",TRUE)</f>
        <v>1</v>
      </c>
      <c r="N226" s="26" t="b">
        <f>IF(Checks!C226,Data!B226&lt;&gt;"",TRUE)</f>
        <v>1</v>
      </c>
      <c r="O226" s="26" t="b">
        <f>IF(Checks!C226,IF(AND(UPPER(Data!C226)="SERVICE TASK",UPPER(Data!BZ226)="TYPE=SAS"),NodeExists(TRIM(RIGHT(Data!CA226,LEN(Data!CA226)-FIND("=",Data!CA226)))),TRUE),TRUE)</f>
        <v>1</v>
      </c>
      <c r="P226" s="26" t="b">
        <f>IF(Checks!C226,IF(Data!C226="DATA OBJECT",OR(AND(Data!BW226&lt;&gt;"",Data!BX226=""),AND(Data!BW226="",Data!BX226&lt;&gt;"")),TRUE),TRUE)</f>
        <v>1</v>
      </c>
      <c r="Q226" s="26" t="b">
        <f>IF(Checks!C226,UPPER(RIGHT(Data!A226,5))=".BPMN",TRUE)</f>
        <v>1</v>
      </c>
      <c r="R226" s="26" t="b">
        <f>IF(Checks!C226,IF(UPPER(Data!C226)="SUB PROCESS",UPPER(RIGHT(Data!BY226,5))=".BPMN",TRUE),TRUE)</f>
        <v>1</v>
      </c>
      <c r="S226" s="26" t="b">
        <f>IF(Checks!C226,IF(UPPER(Data!C226)="SERVICE TASK",IF(UPPER(Data!BZ226)="TYPE=SAS",UPPER(RIGHT(Data!CA226,4))=".SAS",TRUE),TRUE),TRUE)</f>
        <v>1</v>
      </c>
      <c r="T226" s="26" t="b">
        <f>IF(Checks!C226,IF(Data!B226&lt;&gt;"",Data!D226&lt;&gt;"",TRUE),TRUE)</f>
        <v>1</v>
      </c>
      <c r="U226" s="26" t="b">
        <f ca="1">IF(Checks!C226,IF(UPPER(Data!C226)="DATA OBJECT",NOT(ISERROR(MATCH(Data!A226&amp;"||"&amp;Data!BW226&amp;Data!BX226,Key,0))),TRUE),TRUE)</f>
        <v>1</v>
      </c>
      <c r="V226" s="26" t="b">
        <f>IF(Checks!C226,IF(UPPER(Data!C226)="SUB PROCESS",Data!BY226&lt;&gt;"",TRUE),TRUE)</f>
        <v>1</v>
      </c>
      <c r="W226" s="26" t="b">
        <f>IF(Checks!C226,IF(UPPER(Data!C226)="SERVICE TASK",AND(Data!BZ226&lt;&gt;"",Data!CA226&lt;&gt;""),TRUE),TRUE)</f>
        <v>1</v>
      </c>
      <c r="X226" s="26" t="b">
        <f t="array" aca="1" ref="X226" ca="1">SUM((OFFSET(Data!B226,MAX(ROW(Data!$B$5)-ROW(Data!B226),-200),0,400,1)=Data!B226)*(OFFSET(Data!A226,MAX(ROW(Data!$B$5)-ROW(Data!B226),-200),0,400,1)=Data!A226))=1</f>
        <v>1</v>
      </c>
      <c r="Y226" s="26" t="b">
        <f t="array" aca="1" ref="Y226" ca="1">IF(UPPER(Data!C226)="START",SUM((OFFSET(Data!C226,MAX(ROW(Data!$C$5)-ROW(Data!C226),-200),0,400,1)="START")*(OFFSET(Data!A226,MAX(ROW(Data!$B$5)-ROW(Data!B226),-200),0,400,1)=Data!A226))=1,TRUE)</f>
        <v>1</v>
      </c>
      <c r="Z226" s="26" t="b">
        <f t="array" aca="1" ref="Z226" ca="1">IF(UPPER(Data!C226)="END",SUM((OFFSET(Data!C226,MAX(ROW(Data!$C$5)-ROW(Data!C226),-200),0,400,1)="END")*(OFFSET(Data!A226,MAX(ROW(Data!$B$5)-ROW(Data!B226),-200),0,400,1)=Data!A226))=1,TRUE)</f>
        <v>1</v>
      </c>
      <c r="AA226" s="26" t="b">
        <f>IF(Checks!C226,ISERROR(FIND("&amp;",Data!D226)),TRUE)</f>
        <v>1</v>
      </c>
      <c r="AB226" s="26" t="b">
        <f>IF(Checks!$C226,IF(AND(UPPER(Data!$C226)&lt;&gt;"START",UPPER(Data!$C226)&lt;&gt;"DATA OBJECT",Data!E226&lt;&gt;""),NOT(ISERROR(MATCH(Data!$A226&amp;"||"&amp;Data!E226,Key,0))),TRUE),TRUE)</f>
        <v>1</v>
      </c>
      <c r="AC226" s="27" t="b">
        <f>IF(Checks!C226,IF(UPPER(Data!C226)="END",Data!E226&lt;&gt;"",TRUE),TRUE)</f>
        <v>1</v>
      </c>
    </row>
    <row r="227" spans="1:29" x14ac:dyDescent="0.25">
      <c r="A227" s="1" t="str">
        <f>Data!A227&amp;"||"&amp;Data!B227</f>
        <v>Miscellaneous/subflow/irmifrs9_enrichment_stage1.bpmn||020_00_04</v>
      </c>
      <c r="B227" s="19"/>
      <c r="C227" s="24" t="b">
        <f>AND(UPPER(Data!A227)&lt;&gt;"EMPTY",Data!B227&lt;&gt;"")</f>
        <v>1</v>
      </c>
      <c r="D227" s="1"/>
      <c r="E227" s="25" t="b">
        <f t="shared" ca="1" si="6"/>
        <v>1</v>
      </c>
      <c r="F227" s="26" t="b">
        <f ca="1">IF(UPPER(Data!C227)="SUB PROCESS",NOT(ISERROR(MATCH(RIGHT(Data!BY227,LEN(Data!BY227)-5),OFFSET(Data,0,0,ItemsCount,1),0))),TRUE)</f>
        <v>1</v>
      </c>
      <c r="G227" s="26" t="b">
        <f ca="1">IF(MID(UPPER(Data!A227),1,13)="MISCELLANEOUS",NOT(ISERROR(MATCH("path="&amp;Data!A227,OFFSET(Data,0,76,ItemsCount,1),0))),TRUE)</f>
        <v>1</v>
      </c>
      <c r="L227" s="25" t="b">
        <f t="shared" ca="1" si="7"/>
        <v>1</v>
      </c>
      <c r="M227" s="24" t="b">
        <f>IF(Checks!$C227,Data!A227&lt;&gt;"",TRUE)</f>
        <v>1</v>
      </c>
      <c r="N227" s="26" t="b">
        <f>IF(Checks!C227,Data!B227&lt;&gt;"",TRUE)</f>
        <v>1</v>
      </c>
      <c r="O227" s="26" t="b">
        <f>IF(Checks!C227,IF(AND(UPPER(Data!C227)="SERVICE TASK",UPPER(Data!BZ227)="TYPE=SAS"),NodeExists(TRIM(RIGHT(Data!CA227,LEN(Data!CA227)-FIND("=",Data!CA227)))),TRUE),TRUE)</f>
        <v>1</v>
      </c>
      <c r="P227" s="26" t="b">
        <f>IF(Checks!C227,IF(Data!C227="DATA OBJECT",OR(AND(Data!BW227&lt;&gt;"",Data!BX227=""),AND(Data!BW227="",Data!BX227&lt;&gt;"")),TRUE),TRUE)</f>
        <v>1</v>
      </c>
      <c r="Q227" s="26" t="b">
        <f>IF(Checks!C227,UPPER(RIGHT(Data!A227,5))=".BPMN",TRUE)</f>
        <v>1</v>
      </c>
      <c r="R227" s="26" t="b">
        <f>IF(Checks!C227,IF(UPPER(Data!C227)="SUB PROCESS",UPPER(RIGHT(Data!BY227,5))=".BPMN",TRUE),TRUE)</f>
        <v>1</v>
      </c>
      <c r="S227" s="26" t="b">
        <f>IF(Checks!C227,IF(UPPER(Data!C227)="SERVICE TASK",IF(UPPER(Data!BZ227)="TYPE=SAS",UPPER(RIGHT(Data!CA227,4))=".SAS",TRUE),TRUE),TRUE)</f>
        <v>1</v>
      </c>
      <c r="T227" s="26" t="b">
        <f>IF(Checks!C227,IF(Data!B227&lt;&gt;"",Data!D227&lt;&gt;"",TRUE),TRUE)</f>
        <v>1</v>
      </c>
      <c r="U227" s="26" t="b">
        <f ca="1">IF(Checks!C227,IF(UPPER(Data!C227)="DATA OBJECT",NOT(ISERROR(MATCH(Data!A227&amp;"||"&amp;Data!BW227&amp;Data!BX227,Key,0))),TRUE),TRUE)</f>
        <v>1</v>
      </c>
      <c r="V227" s="26" t="b">
        <f>IF(Checks!C227,IF(UPPER(Data!C227)="SUB PROCESS",Data!BY227&lt;&gt;"",TRUE),TRUE)</f>
        <v>1</v>
      </c>
      <c r="W227" s="26" t="b">
        <f>IF(Checks!C227,IF(UPPER(Data!C227)="SERVICE TASK",AND(Data!BZ227&lt;&gt;"",Data!CA227&lt;&gt;""),TRUE),TRUE)</f>
        <v>1</v>
      </c>
      <c r="X227" s="26" t="b">
        <f t="array" aca="1" ref="X227" ca="1">SUM((OFFSET(Data!B227,MAX(ROW(Data!$B$5)-ROW(Data!B227),-200),0,400,1)=Data!B227)*(OFFSET(Data!A227,MAX(ROW(Data!$B$5)-ROW(Data!B227),-200),0,400,1)=Data!A227))=1</f>
        <v>1</v>
      </c>
      <c r="Y227" s="26" t="b">
        <f t="array" aca="1" ref="Y227" ca="1">IF(UPPER(Data!C227)="START",SUM((OFFSET(Data!C227,MAX(ROW(Data!$C$5)-ROW(Data!C227),-200),0,400,1)="START")*(OFFSET(Data!A227,MAX(ROW(Data!$B$5)-ROW(Data!B227),-200),0,400,1)=Data!A227))=1,TRUE)</f>
        <v>1</v>
      </c>
      <c r="Z227" s="26" t="b">
        <f t="array" aca="1" ref="Z227" ca="1">IF(UPPER(Data!C227)="END",SUM((OFFSET(Data!C227,MAX(ROW(Data!$C$5)-ROW(Data!C227),-200),0,400,1)="END")*(OFFSET(Data!A227,MAX(ROW(Data!$B$5)-ROW(Data!B227),-200),0,400,1)=Data!A227))=1,TRUE)</f>
        <v>1</v>
      </c>
      <c r="AA227" s="26" t="b">
        <f>IF(Checks!C227,ISERROR(FIND("&amp;",Data!D227)),TRUE)</f>
        <v>1</v>
      </c>
      <c r="AB227" s="26" t="b">
        <f>IF(Checks!$C227,IF(AND(UPPER(Data!$C227)&lt;&gt;"START",UPPER(Data!$C227)&lt;&gt;"DATA OBJECT",Data!E227&lt;&gt;""),NOT(ISERROR(MATCH(Data!$A227&amp;"||"&amp;Data!E227,Key,0))),TRUE),TRUE)</f>
        <v>1</v>
      </c>
      <c r="AC227" s="27" t="b">
        <f>IF(Checks!C227,IF(UPPER(Data!C227)="END",Data!E227&lt;&gt;"",TRUE),TRUE)</f>
        <v>1</v>
      </c>
    </row>
    <row r="228" spans="1:29" x14ac:dyDescent="0.25">
      <c r="A228" s="1" t="str">
        <f>Data!A228&amp;"||"&amp;Data!B228</f>
        <v>Miscellaneous/subflow/irmifrs9_enrichment_stage1.bpmn||020_00_05</v>
      </c>
      <c r="B228" s="19"/>
      <c r="C228" s="24" t="b">
        <f>AND(UPPER(Data!A228)&lt;&gt;"EMPTY",Data!B228&lt;&gt;"")</f>
        <v>1</v>
      </c>
      <c r="D228" s="1"/>
      <c r="E228" s="25" t="b">
        <f t="shared" ca="1" si="6"/>
        <v>1</v>
      </c>
      <c r="F228" s="26" t="b">
        <f ca="1">IF(UPPER(Data!C228)="SUB PROCESS",NOT(ISERROR(MATCH(RIGHT(Data!BY228,LEN(Data!BY228)-5),OFFSET(Data,0,0,ItemsCount,1),0))),TRUE)</f>
        <v>1</v>
      </c>
      <c r="G228" s="26" t="b">
        <f ca="1">IF(MID(UPPER(Data!A228),1,13)="MISCELLANEOUS",NOT(ISERROR(MATCH("path="&amp;Data!A228,OFFSET(Data,0,76,ItemsCount,1),0))),TRUE)</f>
        <v>1</v>
      </c>
      <c r="L228" s="25" t="b">
        <f t="shared" ca="1" si="7"/>
        <v>1</v>
      </c>
      <c r="M228" s="24" t="b">
        <f>IF(Checks!$C228,Data!A228&lt;&gt;"",TRUE)</f>
        <v>1</v>
      </c>
      <c r="N228" s="26" t="b">
        <f>IF(Checks!C228,Data!B228&lt;&gt;"",TRUE)</f>
        <v>1</v>
      </c>
      <c r="O228" s="26" t="b">
        <f>IF(Checks!C228,IF(AND(UPPER(Data!C228)="SERVICE TASK",UPPER(Data!BZ228)="TYPE=SAS"),NodeExists(TRIM(RIGHT(Data!CA228,LEN(Data!CA228)-FIND("=",Data!CA228)))),TRUE),TRUE)</f>
        <v>1</v>
      </c>
      <c r="P228" s="26" t="b">
        <f>IF(Checks!C228,IF(Data!C228="DATA OBJECT",OR(AND(Data!BW228&lt;&gt;"",Data!BX228=""),AND(Data!BW228="",Data!BX228&lt;&gt;"")),TRUE),TRUE)</f>
        <v>1</v>
      </c>
      <c r="Q228" s="26" t="b">
        <f>IF(Checks!C228,UPPER(RIGHT(Data!A228,5))=".BPMN",TRUE)</f>
        <v>1</v>
      </c>
      <c r="R228" s="26" t="b">
        <f>IF(Checks!C228,IF(UPPER(Data!C228)="SUB PROCESS",UPPER(RIGHT(Data!BY228,5))=".BPMN",TRUE),TRUE)</f>
        <v>1</v>
      </c>
      <c r="S228" s="26" t="b">
        <f>IF(Checks!C228,IF(UPPER(Data!C228)="SERVICE TASK",IF(UPPER(Data!BZ228)="TYPE=SAS",UPPER(RIGHT(Data!CA228,4))=".SAS",TRUE),TRUE),TRUE)</f>
        <v>1</v>
      </c>
      <c r="T228" s="26" t="b">
        <f>IF(Checks!C228,IF(Data!B228&lt;&gt;"",Data!D228&lt;&gt;"",TRUE),TRUE)</f>
        <v>1</v>
      </c>
      <c r="U228" s="26" t="b">
        <f ca="1">IF(Checks!C228,IF(UPPER(Data!C228)="DATA OBJECT",NOT(ISERROR(MATCH(Data!A228&amp;"||"&amp;Data!BW228&amp;Data!BX228,Key,0))),TRUE),TRUE)</f>
        <v>1</v>
      </c>
      <c r="V228" s="26" t="b">
        <f>IF(Checks!C228,IF(UPPER(Data!C228)="SUB PROCESS",Data!BY228&lt;&gt;"",TRUE),TRUE)</f>
        <v>1</v>
      </c>
      <c r="W228" s="26" t="b">
        <f>IF(Checks!C228,IF(UPPER(Data!C228)="SERVICE TASK",AND(Data!BZ228&lt;&gt;"",Data!CA228&lt;&gt;""),TRUE),TRUE)</f>
        <v>1</v>
      </c>
      <c r="X228" s="26" t="b">
        <f t="array" aca="1" ref="X228" ca="1">SUM((OFFSET(Data!B228,MAX(ROW(Data!$B$5)-ROW(Data!B228),-200),0,400,1)=Data!B228)*(OFFSET(Data!A228,MAX(ROW(Data!$B$5)-ROW(Data!B228),-200),0,400,1)=Data!A228))=1</f>
        <v>1</v>
      </c>
      <c r="Y228" s="26" t="b">
        <f t="array" aca="1" ref="Y228" ca="1">IF(UPPER(Data!C228)="START",SUM((OFFSET(Data!C228,MAX(ROW(Data!$C$5)-ROW(Data!C228),-200),0,400,1)="START")*(OFFSET(Data!A228,MAX(ROW(Data!$B$5)-ROW(Data!B228),-200),0,400,1)=Data!A228))=1,TRUE)</f>
        <v>1</v>
      </c>
      <c r="Z228" s="26" t="b">
        <f t="array" aca="1" ref="Z228" ca="1">IF(UPPER(Data!C228)="END",SUM((OFFSET(Data!C228,MAX(ROW(Data!$C$5)-ROW(Data!C228),-200),0,400,1)="END")*(OFFSET(Data!A228,MAX(ROW(Data!$B$5)-ROW(Data!B228),-200),0,400,1)=Data!A228))=1,TRUE)</f>
        <v>1</v>
      </c>
      <c r="AA228" s="26" t="b">
        <f>IF(Checks!C228,ISERROR(FIND("&amp;",Data!D228)),TRUE)</f>
        <v>1</v>
      </c>
      <c r="AB228" s="26" t="b">
        <f>IF(Checks!$C228,IF(AND(UPPER(Data!$C228)&lt;&gt;"START",UPPER(Data!$C228)&lt;&gt;"DATA OBJECT",Data!E228&lt;&gt;""),NOT(ISERROR(MATCH(Data!$A228&amp;"||"&amp;Data!E228,Key,0))),TRUE),TRUE)</f>
        <v>1</v>
      </c>
      <c r="AC228" s="27" t="b">
        <f>IF(Checks!C228,IF(UPPER(Data!C228)="END",Data!E228&lt;&gt;"",TRUE),TRUE)</f>
        <v>1</v>
      </c>
    </row>
    <row r="229" spans="1:29" x14ac:dyDescent="0.25">
      <c r="A229" s="1" t="str">
        <f>Data!A229&amp;"||"&amp;Data!B229</f>
        <v>Miscellaneous/subflow/irmifrs9_enrichment_stage1.bpmn||020_00_06</v>
      </c>
      <c r="B229" s="19"/>
      <c r="C229" s="24" t="b">
        <f>AND(UPPER(Data!A229)&lt;&gt;"EMPTY",Data!B229&lt;&gt;"")</f>
        <v>1</v>
      </c>
      <c r="D229" s="1"/>
      <c r="E229" s="25" t="b">
        <f t="shared" ca="1" si="6"/>
        <v>1</v>
      </c>
      <c r="F229" s="26" t="b">
        <f ca="1">IF(UPPER(Data!C229)="SUB PROCESS",NOT(ISERROR(MATCH(RIGHT(Data!BY229,LEN(Data!BY229)-5),OFFSET(Data,0,0,ItemsCount,1),0))),TRUE)</f>
        <v>1</v>
      </c>
      <c r="G229" s="26" t="b">
        <f ca="1">IF(MID(UPPER(Data!A229),1,13)="MISCELLANEOUS",NOT(ISERROR(MATCH("path="&amp;Data!A229,OFFSET(Data,0,76,ItemsCount,1),0))),TRUE)</f>
        <v>1</v>
      </c>
      <c r="L229" s="25" t="b">
        <f t="shared" ca="1" si="7"/>
        <v>1</v>
      </c>
      <c r="M229" s="24" t="b">
        <f>IF(Checks!$C229,Data!A229&lt;&gt;"",TRUE)</f>
        <v>1</v>
      </c>
      <c r="N229" s="26" t="b">
        <f>IF(Checks!C229,Data!B229&lt;&gt;"",TRUE)</f>
        <v>1</v>
      </c>
      <c r="O229" s="26" t="b">
        <f>IF(Checks!C229,IF(AND(UPPER(Data!C229)="SERVICE TASK",UPPER(Data!BZ229)="TYPE=SAS"),NodeExists(TRIM(RIGHT(Data!CA229,LEN(Data!CA229)-FIND("=",Data!CA229)))),TRUE),TRUE)</f>
        <v>1</v>
      </c>
      <c r="P229" s="26" t="b">
        <f>IF(Checks!C229,IF(Data!C229="DATA OBJECT",OR(AND(Data!BW229&lt;&gt;"",Data!BX229=""),AND(Data!BW229="",Data!BX229&lt;&gt;"")),TRUE),TRUE)</f>
        <v>1</v>
      </c>
      <c r="Q229" s="26" t="b">
        <f>IF(Checks!C229,UPPER(RIGHT(Data!A229,5))=".BPMN",TRUE)</f>
        <v>1</v>
      </c>
      <c r="R229" s="26" t="b">
        <f>IF(Checks!C229,IF(UPPER(Data!C229)="SUB PROCESS",UPPER(RIGHT(Data!BY229,5))=".BPMN",TRUE),TRUE)</f>
        <v>1</v>
      </c>
      <c r="S229" s="26" t="b">
        <f>IF(Checks!C229,IF(UPPER(Data!C229)="SERVICE TASK",IF(UPPER(Data!BZ229)="TYPE=SAS",UPPER(RIGHT(Data!CA229,4))=".SAS",TRUE),TRUE),TRUE)</f>
        <v>1</v>
      </c>
      <c r="T229" s="26" t="b">
        <f>IF(Checks!C229,IF(Data!B229&lt;&gt;"",Data!D229&lt;&gt;"",TRUE),TRUE)</f>
        <v>1</v>
      </c>
      <c r="U229" s="26" t="b">
        <f ca="1">IF(Checks!C229,IF(UPPER(Data!C229)="DATA OBJECT",NOT(ISERROR(MATCH(Data!A229&amp;"||"&amp;Data!BW229&amp;Data!BX229,Key,0))),TRUE),TRUE)</f>
        <v>1</v>
      </c>
      <c r="V229" s="26" t="b">
        <f>IF(Checks!C229,IF(UPPER(Data!C229)="SUB PROCESS",Data!BY229&lt;&gt;"",TRUE),TRUE)</f>
        <v>1</v>
      </c>
      <c r="W229" s="26" t="b">
        <f>IF(Checks!C229,IF(UPPER(Data!C229)="SERVICE TASK",AND(Data!BZ229&lt;&gt;"",Data!CA229&lt;&gt;""),TRUE),TRUE)</f>
        <v>1</v>
      </c>
      <c r="X229" s="26" t="b">
        <f t="array" aca="1" ref="X229" ca="1">SUM((OFFSET(Data!B229,MAX(ROW(Data!$B$5)-ROW(Data!B229),-200),0,400,1)=Data!B229)*(OFFSET(Data!A229,MAX(ROW(Data!$B$5)-ROW(Data!B229),-200),0,400,1)=Data!A229))=1</f>
        <v>1</v>
      </c>
      <c r="Y229" s="26" t="b">
        <f t="array" aca="1" ref="Y229" ca="1">IF(UPPER(Data!C229)="START",SUM((OFFSET(Data!C229,MAX(ROW(Data!$C$5)-ROW(Data!C229),-200),0,400,1)="START")*(OFFSET(Data!A229,MAX(ROW(Data!$B$5)-ROW(Data!B229),-200),0,400,1)=Data!A229))=1,TRUE)</f>
        <v>1</v>
      </c>
      <c r="Z229" s="26" t="b">
        <f t="array" aca="1" ref="Z229" ca="1">IF(UPPER(Data!C229)="END",SUM((OFFSET(Data!C229,MAX(ROW(Data!$C$5)-ROW(Data!C229),-200),0,400,1)="END")*(OFFSET(Data!A229,MAX(ROW(Data!$B$5)-ROW(Data!B229),-200),0,400,1)=Data!A229))=1,TRUE)</f>
        <v>1</v>
      </c>
      <c r="AA229" s="26" t="b">
        <f>IF(Checks!C229,ISERROR(FIND("&amp;",Data!D229)),TRUE)</f>
        <v>1</v>
      </c>
      <c r="AB229" s="26" t="b">
        <f>IF(Checks!$C229,IF(AND(UPPER(Data!$C229)&lt;&gt;"START",UPPER(Data!$C229)&lt;&gt;"DATA OBJECT",Data!E229&lt;&gt;""),NOT(ISERROR(MATCH(Data!$A229&amp;"||"&amp;Data!E229,Key,0))),TRUE),TRUE)</f>
        <v>1</v>
      </c>
      <c r="AC229" s="27" t="b">
        <f>IF(Checks!C229,IF(UPPER(Data!C229)="END",Data!E229&lt;&gt;"",TRUE),TRUE)</f>
        <v>1</v>
      </c>
    </row>
    <row r="230" spans="1:29" x14ac:dyDescent="0.25">
      <c r="A230" s="1" t="str">
        <f>Data!A230&amp;"||"&amp;Data!B230</f>
        <v>Miscellaneous/subflow/irmifrs9_enrichment_stage1.bpmn||020_00_07</v>
      </c>
      <c r="B230" s="19"/>
      <c r="C230" s="24" t="b">
        <f>AND(UPPER(Data!A230)&lt;&gt;"EMPTY",Data!B230&lt;&gt;"")</f>
        <v>1</v>
      </c>
      <c r="D230" s="1"/>
      <c r="E230" s="25" t="b">
        <f t="shared" ca="1" si="6"/>
        <v>1</v>
      </c>
      <c r="F230" s="26" t="b">
        <f ca="1">IF(UPPER(Data!C230)="SUB PROCESS",NOT(ISERROR(MATCH(RIGHT(Data!BY230,LEN(Data!BY230)-5),OFFSET(Data,0,0,ItemsCount,1),0))),TRUE)</f>
        <v>1</v>
      </c>
      <c r="G230" s="26" t="b">
        <f ca="1">IF(MID(UPPER(Data!A230),1,13)="MISCELLANEOUS",NOT(ISERROR(MATCH("path="&amp;Data!A230,OFFSET(Data,0,76,ItemsCount,1),0))),TRUE)</f>
        <v>1</v>
      </c>
      <c r="L230" s="25" t="b">
        <f t="shared" ca="1" si="7"/>
        <v>1</v>
      </c>
      <c r="M230" s="24" t="b">
        <f>IF(Checks!$C230,Data!A230&lt;&gt;"",TRUE)</f>
        <v>1</v>
      </c>
      <c r="N230" s="26" t="b">
        <f>IF(Checks!C230,Data!B230&lt;&gt;"",TRUE)</f>
        <v>1</v>
      </c>
      <c r="O230" s="26" t="b">
        <f>IF(Checks!C230,IF(AND(UPPER(Data!C230)="SERVICE TASK",UPPER(Data!BZ230)="TYPE=SAS"),NodeExists(TRIM(RIGHT(Data!CA230,LEN(Data!CA230)-FIND("=",Data!CA230)))),TRUE),TRUE)</f>
        <v>1</v>
      </c>
      <c r="P230" s="26" t="b">
        <f>IF(Checks!C230,IF(Data!C230="DATA OBJECT",OR(AND(Data!BW230&lt;&gt;"",Data!BX230=""),AND(Data!BW230="",Data!BX230&lt;&gt;"")),TRUE),TRUE)</f>
        <v>1</v>
      </c>
      <c r="Q230" s="26" t="b">
        <f>IF(Checks!C230,UPPER(RIGHT(Data!A230,5))=".BPMN",TRUE)</f>
        <v>1</v>
      </c>
      <c r="R230" s="26" t="b">
        <f>IF(Checks!C230,IF(UPPER(Data!C230)="SUB PROCESS",UPPER(RIGHT(Data!BY230,5))=".BPMN",TRUE),TRUE)</f>
        <v>1</v>
      </c>
      <c r="S230" s="26" t="b">
        <f>IF(Checks!C230,IF(UPPER(Data!C230)="SERVICE TASK",IF(UPPER(Data!BZ230)="TYPE=SAS",UPPER(RIGHT(Data!CA230,4))=".SAS",TRUE),TRUE),TRUE)</f>
        <v>1</v>
      </c>
      <c r="T230" s="26" t="b">
        <f>IF(Checks!C230,IF(Data!B230&lt;&gt;"",Data!D230&lt;&gt;"",TRUE),TRUE)</f>
        <v>1</v>
      </c>
      <c r="U230" s="26" t="b">
        <f ca="1">IF(Checks!C230,IF(UPPER(Data!C230)="DATA OBJECT",NOT(ISERROR(MATCH(Data!A230&amp;"||"&amp;Data!BW230&amp;Data!BX230,Key,0))),TRUE),TRUE)</f>
        <v>1</v>
      </c>
      <c r="V230" s="26" t="b">
        <f>IF(Checks!C230,IF(UPPER(Data!C230)="SUB PROCESS",Data!BY230&lt;&gt;"",TRUE),TRUE)</f>
        <v>1</v>
      </c>
      <c r="W230" s="26" t="b">
        <f>IF(Checks!C230,IF(UPPER(Data!C230)="SERVICE TASK",AND(Data!BZ230&lt;&gt;"",Data!CA230&lt;&gt;""),TRUE),TRUE)</f>
        <v>1</v>
      </c>
      <c r="X230" s="26" t="b">
        <f t="array" aca="1" ref="X230" ca="1">SUM((OFFSET(Data!B230,MAX(ROW(Data!$B$5)-ROW(Data!B230),-200),0,400,1)=Data!B230)*(OFFSET(Data!A230,MAX(ROW(Data!$B$5)-ROW(Data!B230),-200),0,400,1)=Data!A230))=1</f>
        <v>1</v>
      </c>
      <c r="Y230" s="26" t="b">
        <f t="array" aca="1" ref="Y230" ca="1">IF(UPPER(Data!C230)="START",SUM((OFFSET(Data!C230,MAX(ROW(Data!$C$5)-ROW(Data!C230),-200),0,400,1)="START")*(OFFSET(Data!A230,MAX(ROW(Data!$B$5)-ROW(Data!B230),-200),0,400,1)=Data!A230))=1,TRUE)</f>
        <v>1</v>
      </c>
      <c r="Z230" s="26" t="b">
        <f t="array" aca="1" ref="Z230" ca="1">IF(UPPER(Data!C230)="END",SUM((OFFSET(Data!C230,MAX(ROW(Data!$C$5)-ROW(Data!C230),-200),0,400,1)="END")*(OFFSET(Data!A230,MAX(ROW(Data!$B$5)-ROW(Data!B230),-200),0,400,1)=Data!A230))=1,TRUE)</f>
        <v>1</v>
      </c>
      <c r="AA230" s="26" t="b">
        <f>IF(Checks!C230,ISERROR(FIND("&amp;",Data!D230)),TRUE)</f>
        <v>1</v>
      </c>
      <c r="AB230" s="26" t="b">
        <f>IF(Checks!$C230,IF(AND(UPPER(Data!$C230)&lt;&gt;"START",UPPER(Data!$C230)&lt;&gt;"DATA OBJECT",Data!E230&lt;&gt;""),NOT(ISERROR(MATCH(Data!$A230&amp;"||"&amp;Data!E230,Key,0))),TRUE),TRUE)</f>
        <v>1</v>
      </c>
      <c r="AC230" s="27" t="b">
        <f>IF(Checks!C230,IF(UPPER(Data!C230)="END",Data!E230&lt;&gt;"",TRUE),TRUE)</f>
        <v>1</v>
      </c>
    </row>
    <row r="231" spans="1:29" x14ac:dyDescent="0.25">
      <c r="A231" s="1" t="str">
        <f>Data!A231&amp;"||"&amp;Data!B231</f>
        <v>Miscellaneous/subflow/irmifrs9_enrichment_stage1.bpmn||020_00_08</v>
      </c>
      <c r="B231" s="19"/>
      <c r="C231" s="24" t="b">
        <f>AND(UPPER(Data!A231)&lt;&gt;"EMPTY",Data!B231&lt;&gt;"")</f>
        <v>1</v>
      </c>
      <c r="D231" s="1"/>
      <c r="E231" s="25" t="b">
        <f t="shared" ca="1" si="6"/>
        <v>1</v>
      </c>
      <c r="F231" s="26" t="b">
        <f ca="1">IF(UPPER(Data!C231)="SUB PROCESS",NOT(ISERROR(MATCH(RIGHT(Data!BY231,LEN(Data!BY231)-5),OFFSET(Data,0,0,ItemsCount,1),0))),TRUE)</f>
        <v>1</v>
      </c>
      <c r="G231" s="26" t="b">
        <f ca="1">IF(MID(UPPER(Data!A231),1,13)="MISCELLANEOUS",NOT(ISERROR(MATCH("path="&amp;Data!A231,OFFSET(Data,0,76,ItemsCount,1),0))),TRUE)</f>
        <v>1</v>
      </c>
      <c r="L231" s="25" t="b">
        <f t="shared" ca="1" si="7"/>
        <v>1</v>
      </c>
      <c r="M231" s="24" t="b">
        <f>IF(Checks!$C231,Data!A231&lt;&gt;"",TRUE)</f>
        <v>1</v>
      </c>
      <c r="N231" s="26" t="b">
        <f>IF(Checks!C231,Data!B231&lt;&gt;"",TRUE)</f>
        <v>1</v>
      </c>
      <c r="O231" s="26" t="b">
        <f>IF(Checks!C231,IF(AND(UPPER(Data!C231)="SERVICE TASK",UPPER(Data!BZ231)="TYPE=SAS"),NodeExists(TRIM(RIGHT(Data!CA231,LEN(Data!CA231)-FIND("=",Data!CA231)))),TRUE),TRUE)</f>
        <v>1</v>
      </c>
      <c r="P231" s="26" t="b">
        <f>IF(Checks!C231,IF(Data!C231="DATA OBJECT",OR(AND(Data!BW231&lt;&gt;"",Data!BX231=""),AND(Data!BW231="",Data!BX231&lt;&gt;"")),TRUE),TRUE)</f>
        <v>1</v>
      </c>
      <c r="Q231" s="26" t="b">
        <f>IF(Checks!C231,UPPER(RIGHT(Data!A231,5))=".BPMN",TRUE)</f>
        <v>1</v>
      </c>
      <c r="R231" s="26" t="b">
        <f>IF(Checks!C231,IF(UPPER(Data!C231)="SUB PROCESS",UPPER(RIGHT(Data!BY231,5))=".BPMN",TRUE),TRUE)</f>
        <v>1</v>
      </c>
      <c r="S231" s="26" t="b">
        <f>IF(Checks!C231,IF(UPPER(Data!C231)="SERVICE TASK",IF(UPPER(Data!BZ231)="TYPE=SAS",UPPER(RIGHT(Data!CA231,4))=".SAS",TRUE),TRUE),TRUE)</f>
        <v>1</v>
      </c>
      <c r="T231" s="26" t="b">
        <f>IF(Checks!C231,IF(Data!B231&lt;&gt;"",Data!D231&lt;&gt;"",TRUE),TRUE)</f>
        <v>1</v>
      </c>
      <c r="U231" s="26" t="b">
        <f ca="1">IF(Checks!C231,IF(UPPER(Data!C231)="DATA OBJECT",NOT(ISERROR(MATCH(Data!A231&amp;"||"&amp;Data!BW231&amp;Data!BX231,Key,0))),TRUE),TRUE)</f>
        <v>1</v>
      </c>
      <c r="V231" s="26" t="b">
        <f>IF(Checks!C231,IF(UPPER(Data!C231)="SUB PROCESS",Data!BY231&lt;&gt;"",TRUE),TRUE)</f>
        <v>1</v>
      </c>
      <c r="W231" s="26" t="b">
        <f>IF(Checks!C231,IF(UPPER(Data!C231)="SERVICE TASK",AND(Data!BZ231&lt;&gt;"",Data!CA231&lt;&gt;""),TRUE),TRUE)</f>
        <v>1</v>
      </c>
      <c r="X231" s="26" t="b">
        <f t="array" aca="1" ref="X231" ca="1">SUM((OFFSET(Data!B231,MAX(ROW(Data!$B$5)-ROW(Data!B231),-200),0,400,1)=Data!B231)*(OFFSET(Data!A231,MAX(ROW(Data!$B$5)-ROW(Data!B231),-200),0,400,1)=Data!A231))=1</f>
        <v>1</v>
      </c>
      <c r="Y231" s="26" t="b">
        <f t="array" aca="1" ref="Y231" ca="1">IF(UPPER(Data!C231)="START",SUM((OFFSET(Data!C231,MAX(ROW(Data!$C$5)-ROW(Data!C231),-200),0,400,1)="START")*(OFFSET(Data!A231,MAX(ROW(Data!$B$5)-ROW(Data!B231),-200),0,400,1)=Data!A231))=1,TRUE)</f>
        <v>1</v>
      </c>
      <c r="Z231" s="26" t="b">
        <f t="array" aca="1" ref="Z231" ca="1">IF(UPPER(Data!C231)="END",SUM((OFFSET(Data!C231,MAX(ROW(Data!$C$5)-ROW(Data!C231),-200),0,400,1)="END")*(OFFSET(Data!A231,MAX(ROW(Data!$B$5)-ROW(Data!B231),-200),0,400,1)=Data!A231))=1,TRUE)</f>
        <v>1</v>
      </c>
      <c r="AA231" s="26" t="b">
        <f>IF(Checks!C231,ISERROR(FIND("&amp;",Data!D231)),TRUE)</f>
        <v>1</v>
      </c>
      <c r="AB231" s="26" t="b">
        <f>IF(Checks!$C231,IF(AND(UPPER(Data!$C231)&lt;&gt;"START",UPPER(Data!$C231)&lt;&gt;"DATA OBJECT",Data!E231&lt;&gt;""),NOT(ISERROR(MATCH(Data!$A231&amp;"||"&amp;Data!E231,Key,0))),TRUE),TRUE)</f>
        <v>1</v>
      </c>
      <c r="AC231" s="27" t="b">
        <f>IF(Checks!C231,IF(UPPER(Data!C231)="END",Data!E231&lt;&gt;"",TRUE),TRUE)</f>
        <v>1</v>
      </c>
    </row>
    <row r="232" spans="1:29" x14ac:dyDescent="0.25">
      <c r="A232" s="1" t="str">
        <f>Data!A232&amp;"||"&amp;Data!B232</f>
        <v>Miscellaneous/subflow/irmifrs9_enrichment_stage1.bpmn||020_00_09</v>
      </c>
      <c r="B232" s="19"/>
      <c r="C232" s="24" t="b">
        <f>AND(UPPER(Data!A232)&lt;&gt;"EMPTY",Data!B232&lt;&gt;"")</f>
        <v>1</v>
      </c>
      <c r="D232" s="1"/>
      <c r="E232" s="25" t="b">
        <f t="shared" ca="1" si="6"/>
        <v>1</v>
      </c>
      <c r="F232" s="26" t="b">
        <f ca="1">IF(UPPER(Data!C232)="SUB PROCESS",NOT(ISERROR(MATCH(RIGHT(Data!BY232,LEN(Data!BY232)-5),OFFSET(Data,0,0,ItemsCount,1),0))),TRUE)</f>
        <v>1</v>
      </c>
      <c r="G232" s="26" t="b">
        <f ca="1">IF(MID(UPPER(Data!A232),1,13)="MISCELLANEOUS",NOT(ISERROR(MATCH("path="&amp;Data!A232,OFFSET(Data,0,76,ItemsCount,1),0))),TRUE)</f>
        <v>1</v>
      </c>
      <c r="L232" s="25" t="b">
        <f t="shared" ca="1" si="7"/>
        <v>1</v>
      </c>
      <c r="M232" s="24" t="b">
        <f>IF(Checks!$C232,Data!A232&lt;&gt;"",TRUE)</f>
        <v>1</v>
      </c>
      <c r="N232" s="26" t="b">
        <f>IF(Checks!C232,Data!B232&lt;&gt;"",TRUE)</f>
        <v>1</v>
      </c>
      <c r="O232" s="26" t="b">
        <f>IF(Checks!C232,IF(AND(UPPER(Data!C232)="SERVICE TASK",UPPER(Data!BZ232)="TYPE=SAS"),NodeExists(TRIM(RIGHT(Data!CA232,LEN(Data!CA232)-FIND("=",Data!CA232)))),TRUE),TRUE)</f>
        <v>1</v>
      </c>
      <c r="P232" s="26" t="b">
        <f>IF(Checks!C232,IF(Data!C232="DATA OBJECT",OR(AND(Data!BW232&lt;&gt;"",Data!BX232=""),AND(Data!BW232="",Data!BX232&lt;&gt;"")),TRUE),TRUE)</f>
        <v>1</v>
      </c>
      <c r="Q232" s="26" t="b">
        <f>IF(Checks!C232,UPPER(RIGHT(Data!A232,5))=".BPMN",TRUE)</f>
        <v>1</v>
      </c>
      <c r="R232" s="26" t="b">
        <f>IF(Checks!C232,IF(UPPER(Data!C232)="SUB PROCESS",UPPER(RIGHT(Data!BY232,5))=".BPMN",TRUE),TRUE)</f>
        <v>1</v>
      </c>
      <c r="S232" s="26" t="b">
        <f>IF(Checks!C232,IF(UPPER(Data!C232)="SERVICE TASK",IF(UPPER(Data!BZ232)="TYPE=SAS",UPPER(RIGHT(Data!CA232,4))=".SAS",TRUE),TRUE),TRUE)</f>
        <v>1</v>
      </c>
      <c r="T232" s="26" t="b">
        <f>IF(Checks!C232,IF(Data!B232&lt;&gt;"",Data!D232&lt;&gt;"",TRUE),TRUE)</f>
        <v>1</v>
      </c>
      <c r="U232" s="26" t="b">
        <f ca="1">IF(Checks!C232,IF(UPPER(Data!C232)="DATA OBJECT",NOT(ISERROR(MATCH(Data!A232&amp;"||"&amp;Data!BW232&amp;Data!BX232,Key,0))),TRUE),TRUE)</f>
        <v>1</v>
      </c>
      <c r="V232" s="26" t="b">
        <f>IF(Checks!C232,IF(UPPER(Data!C232)="SUB PROCESS",Data!BY232&lt;&gt;"",TRUE),TRUE)</f>
        <v>1</v>
      </c>
      <c r="W232" s="26" t="b">
        <f>IF(Checks!C232,IF(UPPER(Data!C232)="SERVICE TASK",AND(Data!BZ232&lt;&gt;"",Data!CA232&lt;&gt;""),TRUE),TRUE)</f>
        <v>1</v>
      </c>
      <c r="X232" s="26" t="b">
        <f t="array" aca="1" ref="X232" ca="1">SUM((OFFSET(Data!B232,MAX(ROW(Data!$B$5)-ROW(Data!B232),-200),0,400,1)=Data!B232)*(OFFSET(Data!A232,MAX(ROW(Data!$B$5)-ROW(Data!B232),-200),0,400,1)=Data!A232))=1</f>
        <v>1</v>
      </c>
      <c r="Y232" s="26" t="b">
        <f t="array" aca="1" ref="Y232" ca="1">IF(UPPER(Data!C232)="START",SUM((OFFSET(Data!C232,MAX(ROW(Data!$C$5)-ROW(Data!C232),-200),0,400,1)="START")*(OFFSET(Data!A232,MAX(ROW(Data!$B$5)-ROW(Data!B232),-200),0,400,1)=Data!A232))=1,TRUE)</f>
        <v>1</v>
      </c>
      <c r="Z232" s="26" t="b">
        <f t="array" aca="1" ref="Z232" ca="1">IF(UPPER(Data!C232)="END",SUM((OFFSET(Data!C232,MAX(ROW(Data!$C$5)-ROW(Data!C232),-200),0,400,1)="END")*(OFFSET(Data!A232,MAX(ROW(Data!$B$5)-ROW(Data!B232),-200),0,400,1)=Data!A232))=1,TRUE)</f>
        <v>1</v>
      </c>
      <c r="AA232" s="26" t="b">
        <f>IF(Checks!C232,ISERROR(FIND("&amp;",Data!D232)),TRUE)</f>
        <v>1</v>
      </c>
      <c r="AB232" s="26" t="b">
        <f>IF(Checks!$C232,IF(AND(UPPER(Data!$C232)&lt;&gt;"START",UPPER(Data!$C232)&lt;&gt;"DATA OBJECT",Data!E232&lt;&gt;""),NOT(ISERROR(MATCH(Data!$A232&amp;"||"&amp;Data!E232,Key,0))),TRUE),TRUE)</f>
        <v>1</v>
      </c>
      <c r="AC232" s="27" t="b">
        <f>IF(Checks!C232,IF(UPPER(Data!C232)="END",Data!E232&lt;&gt;"",TRUE),TRUE)</f>
        <v>1</v>
      </c>
    </row>
    <row r="233" spans="1:29" x14ac:dyDescent="0.25">
      <c r="A233" s="1" t="str">
        <f>Data!A233&amp;"||"&amp;Data!B233</f>
        <v>Miscellaneous/subflow/irmifrs9_enrichment_stage1.bpmn||020_00_10</v>
      </c>
      <c r="B233" s="19"/>
      <c r="C233" s="24" t="b">
        <f>AND(UPPER(Data!A233)&lt;&gt;"EMPTY",Data!B233&lt;&gt;"")</f>
        <v>1</v>
      </c>
      <c r="D233" s="1"/>
      <c r="E233" s="25" t="b">
        <f t="shared" ca="1" si="6"/>
        <v>1</v>
      </c>
      <c r="F233" s="26" t="b">
        <f ca="1">IF(UPPER(Data!C233)="SUB PROCESS",NOT(ISERROR(MATCH(RIGHT(Data!BY233,LEN(Data!BY233)-5),OFFSET(Data,0,0,ItemsCount,1),0))),TRUE)</f>
        <v>1</v>
      </c>
      <c r="G233" s="26" t="b">
        <f ca="1">IF(MID(UPPER(Data!A233),1,13)="MISCELLANEOUS",NOT(ISERROR(MATCH("path="&amp;Data!A233,OFFSET(Data,0,76,ItemsCount,1),0))),TRUE)</f>
        <v>1</v>
      </c>
      <c r="L233" s="25" t="b">
        <f t="shared" ca="1" si="7"/>
        <v>1</v>
      </c>
      <c r="M233" s="24" t="b">
        <f>IF(Checks!$C233,Data!A233&lt;&gt;"",TRUE)</f>
        <v>1</v>
      </c>
      <c r="N233" s="26" t="b">
        <f>IF(Checks!C233,Data!B233&lt;&gt;"",TRUE)</f>
        <v>1</v>
      </c>
      <c r="O233" s="26" t="b">
        <f>IF(Checks!C233,IF(AND(UPPER(Data!C233)="SERVICE TASK",UPPER(Data!BZ233)="TYPE=SAS"),NodeExists(TRIM(RIGHT(Data!CA233,LEN(Data!CA233)-FIND("=",Data!CA233)))),TRUE),TRUE)</f>
        <v>1</v>
      </c>
      <c r="P233" s="26" t="b">
        <f>IF(Checks!C233,IF(Data!C233="DATA OBJECT",OR(AND(Data!BW233&lt;&gt;"",Data!BX233=""),AND(Data!BW233="",Data!BX233&lt;&gt;"")),TRUE),TRUE)</f>
        <v>1</v>
      </c>
      <c r="Q233" s="26" t="b">
        <f>IF(Checks!C233,UPPER(RIGHT(Data!A233,5))=".BPMN",TRUE)</f>
        <v>1</v>
      </c>
      <c r="R233" s="26" t="b">
        <f>IF(Checks!C233,IF(UPPER(Data!C233)="SUB PROCESS",UPPER(RIGHT(Data!BY233,5))=".BPMN",TRUE),TRUE)</f>
        <v>1</v>
      </c>
      <c r="S233" s="26" t="b">
        <f>IF(Checks!C233,IF(UPPER(Data!C233)="SERVICE TASK",IF(UPPER(Data!BZ233)="TYPE=SAS",UPPER(RIGHT(Data!CA233,4))=".SAS",TRUE),TRUE),TRUE)</f>
        <v>1</v>
      </c>
      <c r="T233" s="26" t="b">
        <f>IF(Checks!C233,IF(Data!B233&lt;&gt;"",Data!D233&lt;&gt;"",TRUE),TRUE)</f>
        <v>1</v>
      </c>
      <c r="U233" s="26" t="b">
        <f ca="1">IF(Checks!C233,IF(UPPER(Data!C233)="DATA OBJECT",NOT(ISERROR(MATCH(Data!A233&amp;"||"&amp;Data!BW233&amp;Data!BX233,Key,0))),TRUE),TRUE)</f>
        <v>1</v>
      </c>
      <c r="V233" s="26" t="b">
        <f>IF(Checks!C233,IF(UPPER(Data!C233)="SUB PROCESS",Data!BY233&lt;&gt;"",TRUE),TRUE)</f>
        <v>1</v>
      </c>
      <c r="W233" s="26" t="b">
        <f>IF(Checks!C233,IF(UPPER(Data!C233)="SERVICE TASK",AND(Data!BZ233&lt;&gt;"",Data!CA233&lt;&gt;""),TRUE),TRUE)</f>
        <v>1</v>
      </c>
      <c r="X233" s="26" t="b">
        <f t="array" aca="1" ref="X233" ca="1">SUM((OFFSET(Data!B233,MAX(ROW(Data!$B$5)-ROW(Data!B233),-200),0,400,1)=Data!B233)*(OFFSET(Data!A233,MAX(ROW(Data!$B$5)-ROW(Data!B233),-200),0,400,1)=Data!A233))=1</f>
        <v>1</v>
      </c>
      <c r="Y233" s="26" t="b">
        <f t="array" aca="1" ref="Y233" ca="1">IF(UPPER(Data!C233)="START",SUM((OFFSET(Data!C233,MAX(ROW(Data!$C$5)-ROW(Data!C233),-200),0,400,1)="START")*(OFFSET(Data!A233,MAX(ROW(Data!$B$5)-ROW(Data!B233),-200),0,400,1)=Data!A233))=1,TRUE)</f>
        <v>1</v>
      </c>
      <c r="Z233" s="26" t="b">
        <f t="array" aca="1" ref="Z233" ca="1">IF(UPPER(Data!C233)="END",SUM((OFFSET(Data!C233,MAX(ROW(Data!$C$5)-ROW(Data!C233),-200),0,400,1)="END")*(OFFSET(Data!A233,MAX(ROW(Data!$B$5)-ROW(Data!B233),-200),0,400,1)=Data!A233))=1,TRUE)</f>
        <v>1</v>
      </c>
      <c r="AA233" s="26" t="b">
        <f>IF(Checks!C233,ISERROR(FIND("&amp;",Data!D233)),TRUE)</f>
        <v>1</v>
      </c>
      <c r="AB233" s="26" t="b">
        <f>IF(Checks!$C233,IF(AND(UPPER(Data!$C233)&lt;&gt;"START",UPPER(Data!$C233)&lt;&gt;"DATA OBJECT",Data!E233&lt;&gt;""),NOT(ISERROR(MATCH(Data!$A233&amp;"||"&amp;Data!E233,Key,0))),TRUE),TRUE)</f>
        <v>1</v>
      </c>
      <c r="AC233" s="27" t="b">
        <f>IF(Checks!C233,IF(UPPER(Data!C233)="END",Data!E233&lt;&gt;"",TRUE),TRUE)</f>
        <v>1</v>
      </c>
    </row>
    <row r="234" spans="1:29" x14ac:dyDescent="0.25">
      <c r="A234" s="1" t="str">
        <f>Data!A234&amp;"||"&amp;Data!B234</f>
        <v>Miscellaneous/subflow/irmifrs9_enrichment_stage1.bpmn||020_01_00</v>
      </c>
      <c r="B234" s="19"/>
      <c r="C234" s="24" t="b">
        <f>AND(UPPER(Data!A234)&lt;&gt;"EMPTY",Data!B234&lt;&gt;"")</f>
        <v>1</v>
      </c>
      <c r="D234" s="1"/>
      <c r="E234" s="25" t="b">
        <f t="shared" ca="1" si="6"/>
        <v>1</v>
      </c>
      <c r="F234" s="26" t="b">
        <f ca="1">IF(UPPER(Data!C234)="SUB PROCESS",NOT(ISERROR(MATCH(RIGHT(Data!BY234,LEN(Data!BY234)-5),OFFSET(Data,0,0,ItemsCount,1),0))),TRUE)</f>
        <v>1</v>
      </c>
      <c r="G234" s="26" t="b">
        <f ca="1">IF(MID(UPPER(Data!A234),1,13)="MISCELLANEOUS",NOT(ISERROR(MATCH("path="&amp;Data!A234,OFFSET(Data,0,76,ItemsCount,1),0))),TRUE)</f>
        <v>1</v>
      </c>
      <c r="L234" s="25" t="b">
        <f t="shared" ca="1" si="7"/>
        <v>1</v>
      </c>
      <c r="M234" s="24" t="b">
        <f>IF(Checks!$C234,Data!A234&lt;&gt;"",TRUE)</f>
        <v>1</v>
      </c>
      <c r="N234" s="26" t="b">
        <f>IF(Checks!C234,Data!B234&lt;&gt;"",TRUE)</f>
        <v>1</v>
      </c>
      <c r="O234" s="26" t="b">
        <f>IF(Checks!C234,IF(AND(UPPER(Data!C234)="SERVICE TASK",UPPER(Data!BZ234)="TYPE=SAS"),NodeExists(TRIM(RIGHT(Data!CA234,LEN(Data!CA234)-FIND("=",Data!CA234)))),TRUE),TRUE)</f>
        <v>1</v>
      </c>
      <c r="P234" s="26" t="b">
        <f>IF(Checks!C234,IF(Data!C234="DATA OBJECT",OR(AND(Data!BW234&lt;&gt;"",Data!BX234=""),AND(Data!BW234="",Data!BX234&lt;&gt;"")),TRUE),TRUE)</f>
        <v>1</v>
      </c>
      <c r="Q234" s="26" t="b">
        <f>IF(Checks!C234,UPPER(RIGHT(Data!A234,5))=".BPMN",TRUE)</f>
        <v>1</v>
      </c>
      <c r="R234" s="26" t="b">
        <f>IF(Checks!C234,IF(UPPER(Data!C234)="SUB PROCESS",UPPER(RIGHT(Data!BY234,5))=".BPMN",TRUE),TRUE)</f>
        <v>1</v>
      </c>
      <c r="S234" s="26" t="b">
        <f>IF(Checks!C234,IF(UPPER(Data!C234)="SERVICE TASK",IF(UPPER(Data!BZ234)="TYPE=SAS",UPPER(RIGHT(Data!CA234,4))=".SAS",TRUE),TRUE),TRUE)</f>
        <v>1</v>
      </c>
      <c r="T234" s="26" t="b">
        <f>IF(Checks!C234,IF(Data!B234&lt;&gt;"",Data!D234&lt;&gt;"",TRUE),TRUE)</f>
        <v>1</v>
      </c>
      <c r="U234" s="26" t="b">
        <f ca="1">IF(Checks!C234,IF(UPPER(Data!C234)="DATA OBJECT",NOT(ISERROR(MATCH(Data!A234&amp;"||"&amp;Data!BW234&amp;Data!BX234,Key,0))),TRUE),TRUE)</f>
        <v>1</v>
      </c>
      <c r="V234" s="26" t="b">
        <f>IF(Checks!C234,IF(UPPER(Data!C234)="SUB PROCESS",Data!BY234&lt;&gt;"",TRUE),TRUE)</f>
        <v>1</v>
      </c>
      <c r="W234" s="26" t="b">
        <f>IF(Checks!C234,IF(UPPER(Data!C234)="SERVICE TASK",AND(Data!BZ234&lt;&gt;"",Data!CA234&lt;&gt;""),TRUE),TRUE)</f>
        <v>1</v>
      </c>
      <c r="X234" s="26" t="b">
        <f t="array" aca="1" ref="X234" ca="1">SUM((OFFSET(Data!B234,MAX(ROW(Data!$B$5)-ROW(Data!B234),-200),0,400,1)=Data!B234)*(OFFSET(Data!A234,MAX(ROW(Data!$B$5)-ROW(Data!B234),-200),0,400,1)=Data!A234))=1</f>
        <v>1</v>
      </c>
      <c r="Y234" s="26" t="b">
        <f t="array" aca="1" ref="Y234" ca="1">IF(UPPER(Data!C234)="START",SUM((OFFSET(Data!C234,MAX(ROW(Data!$C$5)-ROW(Data!C234),-200),0,400,1)="START")*(OFFSET(Data!A234,MAX(ROW(Data!$B$5)-ROW(Data!B234),-200),0,400,1)=Data!A234))=1,TRUE)</f>
        <v>1</v>
      </c>
      <c r="Z234" s="26" t="b">
        <f t="array" aca="1" ref="Z234" ca="1">IF(UPPER(Data!C234)="END",SUM((OFFSET(Data!C234,MAX(ROW(Data!$C$5)-ROW(Data!C234),-200),0,400,1)="END")*(OFFSET(Data!A234,MAX(ROW(Data!$B$5)-ROW(Data!B234),-200),0,400,1)=Data!A234))=1,TRUE)</f>
        <v>1</v>
      </c>
      <c r="AA234" s="26" t="b">
        <f>IF(Checks!C234,ISERROR(FIND("&amp;",Data!D234)),TRUE)</f>
        <v>1</v>
      </c>
      <c r="AB234" s="26" t="b">
        <f>IF(Checks!$C234,IF(AND(UPPER(Data!$C234)&lt;&gt;"START",UPPER(Data!$C234)&lt;&gt;"DATA OBJECT",Data!E234&lt;&gt;""),NOT(ISERROR(MATCH(Data!$A234&amp;"||"&amp;Data!E234,Key,0))),TRUE),TRUE)</f>
        <v>1</v>
      </c>
      <c r="AC234" s="27" t="b">
        <f>IF(Checks!C234,IF(UPPER(Data!C234)="END",Data!E234&lt;&gt;"",TRUE),TRUE)</f>
        <v>1</v>
      </c>
    </row>
    <row r="235" spans="1:29" x14ac:dyDescent="0.25">
      <c r="A235" s="1" t="str">
        <f>Data!A235&amp;"||"&amp;Data!B235</f>
        <v>Miscellaneous/subflow/irmifrs9_enrichment_stage1.bpmn||030_00_00</v>
      </c>
      <c r="B235" s="19"/>
      <c r="C235" s="24" t="b">
        <f>AND(UPPER(Data!A235)&lt;&gt;"EMPTY",Data!B235&lt;&gt;"")</f>
        <v>1</v>
      </c>
      <c r="D235" s="1"/>
      <c r="E235" s="25" t="b">
        <f t="shared" ca="1" si="6"/>
        <v>1</v>
      </c>
      <c r="F235" s="26" t="b">
        <f ca="1">IF(UPPER(Data!C235)="SUB PROCESS",NOT(ISERROR(MATCH(RIGHT(Data!BY235,LEN(Data!BY235)-5),OFFSET(Data,0,0,ItemsCount,1),0))),TRUE)</f>
        <v>1</v>
      </c>
      <c r="G235" s="26" t="b">
        <f ca="1">IF(MID(UPPER(Data!A235),1,13)="MISCELLANEOUS",NOT(ISERROR(MATCH("path="&amp;Data!A235,OFFSET(Data,0,76,ItemsCount,1),0))),TRUE)</f>
        <v>1</v>
      </c>
      <c r="L235" s="25" t="b">
        <f t="shared" ca="1" si="7"/>
        <v>1</v>
      </c>
      <c r="M235" s="24" t="b">
        <f>IF(Checks!$C235,Data!A235&lt;&gt;"",TRUE)</f>
        <v>1</v>
      </c>
      <c r="N235" s="26" t="b">
        <f>IF(Checks!C235,Data!B235&lt;&gt;"",TRUE)</f>
        <v>1</v>
      </c>
      <c r="O235" s="26" t="b">
        <f>IF(Checks!C235,IF(AND(UPPER(Data!C235)="SERVICE TASK",UPPER(Data!BZ235)="TYPE=SAS"),NodeExists(TRIM(RIGHT(Data!CA235,LEN(Data!CA235)-FIND("=",Data!CA235)))),TRUE),TRUE)</f>
        <v>1</v>
      </c>
      <c r="P235" s="26" t="b">
        <f>IF(Checks!C235,IF(Data!C235="DATA OBJECT",OR(AND(Data!BW235&lt;&gt;"",Data!BX235=""),AND(Data!BW235="",Data!BX235&lt;&gt;"")),TRUE),TRUE)</f>
        <v>1</v>
      </c>
      <c r="Q235" s="26" t="b">
        <f>IF(Checks!C235,UPPER(RIGHT(Data!A235,5))=".BPMN",TRUE)</f>
        <v>1</v>
      </c>
      <c r="R235" s="26" t="b">
        <f>IF(Checks!C235,IF(UPPER(Data!C235)="SUB PROCESS",UPPER(RIGHT(Data!BY235,5))=".BPMN",TRUE),TRUE)</f>
        <v>1</v>
      </c>
      <c r="S235" s="26" t="b">
        <f>IF(Checks!C235,IF(UPPER(Data!C235)="SERVICE TASK",IF(UPPER(Data!BZ235)="TYPE=SAS",UPPER(RIGHT(Data!CA235,4))=".SAS",TRUE),TRUE),TRUE)</f>
        <v>1</v>
      </c>
      <c r="T235" s="26" t="b">
        <f>IF(Checks!C235,IF(Data!B235&lt;&gt;"",Data!D235&lt;&gt;"",TRUE),TRUE)</f>
        <v>1</v>
      </c>
      <c r="U235" s="26" t="b">
        <f>IF(Checks!C235,IF(UPPER(Data!C235)="DATA OBJECT",NOT(ISERROR(MATCH(Data!A235&amp;"||"&amp;Data!BW235&amp;Data!BX235,Key,0))),TRUE),TRUE)</f>
        <v>1</v>
      </c>
      <c r="V235" s="26" t="b">
        <f>IF(Checks!C235,IF(UPPER(Data!C235)="SUB PROCESS",Data!BY235&lt;&gt;"",TRUE),TRUE)</f>
        <v>1</v>
      </c>
      <c r="W235" s="26" t="b">
        <f>IF(Checks!C235,IF(UPPER(Data!C235)="SERVICE TASK",AND(Data!BZ235&lt;&gt;"",Data!CA235&lt;&gt;""),TRUE),TRUE)</f>
        <v>1</v>
      </c>
      <c r="X235" s="26" t="b">
        <f t="array" aca="1" ref="X235" ca="1">SUM((OFFSET(Data!B235,MAX(ROW(Data!$B$5)-ROW(Data!B235),-200),0,400,1)=Data!B235)*(OFFSET(Data!A235,MAX(ROW(Data!$B$5)-ROW(Data!B235),-200),0,400,1)=Data!A235))=1</f>
        <v>1</v>
      </c>
      <c r="Y235" s="26" t="b">
        <f t="array" aca="1" ref="Y235" ca="1">IF(UPPER(Data!C235)="START",SUM((OFFSET(Data!C235,MAX(ROW(Data!$C$5)-ROW(Data!C235),-200),0,400,1)="START")*(OFFSET(Data!A235,MAX(ROW(Data!$B$5)-ROW(Data!B235),-200),0,400,1)=Data!A235))=1,TRUE)</f>
        <v>1</v>
      </c>
      <c r="Z235" s="26" t="b">
        <f t="array" aca="1" ref="Z235" ca="1">IF(UPPER(Data!C235)="END",SUM((OFFSET(Data!C235,MAX(ROW(Data!$C$5)-ROW(Data!C235),-200),0,400,1)="END")*(OFFSET(Data!A235,MAX(ROW(Data!$B$5)-ROW(Data!B235),-200),0,400,1)=Data!A235))=1,TRUE)</f>
        <v>1</v>
      </c>
      <c r="AA235" s="26" t="b">
        <f>IF(Checks!C235,ISERROR(FIND("&amp;",Data!D235)),TRUE)</f>
        <v>1</v>
      </c>
      <c r="AB235" s="26" t="b">
        <f ca="1">IF(Checks!$C235,IF(AND(UPPER(Data!$C235)&lt;&gt;"START",UPPER(Data!$C235)&lt;&gt;"DATA OBJECT",Data!E235&lt;&gt;""),NOT(ISERROR(MATCH(Data!$A235&amp;"||"&amp;Data!E235,Key,0))),TRUE),TRUE)</f>
        <v>1</v>
      </c>
      <c r="AC235" s="27" t="b">
        <f>IF(Checks!C235,IF(UPPER(Data!C235)="END",Data!E235&lt;&gt;"",TRUE),TRUE)</f>
        <v>1</v>
      </c>
    </row>
    <row r="236" spans="1:29" x14ac:dyDescent="0.25">
      <c r="A236" s="1" t="str">
        <f>Data!A236&amp;"||"&amp;Data!B236</f>
        <v>Miscellaneous/subflow/irmifrs9_enrichment_stage1.bpmn||030_00_01</v>
      </c>
      <c r="B236" s="19"/>
      <c r="C236" s="24" t="b">
        <f>AND(UPPER(Data!A236)&lt;&gt;"EMPTY",Data!B236&lt;&gt;"")</f>
        <v>1</v>
      </c>
      <c r="D236" s="1"/>
      <c r="E236" s="25" t="b">
        <f t="shared" ca="1" si="6"/>
        <v>1</v>
      </c>
      <c r="F236" s="26" t="b">
        <f ca="1">IF(UPPER(Data!C236)="SUB PROCESS",NOT(ISERROR(MATCH(RIGHT(Data!BY236,LEN(Data!BY236)-5),OFFSET(Data,0,0,ItemsCount,1),0))),TRUE)</f>
        <v>1</v>
      </c>
      <c r="G236" s="26" t="b">
        <f ca="1">IF(MID(UPPER(Data!A236),1,13)="MISCELLANEOUS",NOT(ISERROR(MATCH("path="&amp;Data!A236,OFFSET(Data,0,76,ItemsCount,1),0))),TRUE)</f>
        <v>1</v>
      </c>
      <c r="L236" s="25" t="b">
        <f t="shared" ca="1" si="7"/>
        <v>1</v>
      </c>
      <c r="M236" s="24" t="b">
        <f>IF(Checks!$C236,Data!A236&lt;&gt;"",TRUE)</f>
        <v>1</v>
      </c>
      <c r="N236" s="26" t="b">
        <f>IF(Checks!C236,Data!B236&lt;&gt;"",TRUE)</f>
        <v>1</v>
      </c>
      <c r="O236" s="26" t="b">
        <f>IF(Checks!C236,IF(AND(UPPER(Data!C236)="SERVICE TASK",UPPER(Data!BZ236)="TYPE=SAS"),NodeExists(TRIM(RIGHT(Data!CA236,LEN(Data!CA236)-FIND("=",Data!CA236)))),TRUE),TRUE)</f>
        <v>1</v>
      </c>
      <c r="P236" s="26" t="b">
        <f>IF(Checks!C236,IF(Data!C236="DATA OBJECT",OR(AND(Data!BW236&lt;&gt;"",Data!BX236=""),AND(Data!BW236="",Data!BX236&lt;&gt;"")),TRUE),TRUE)</f>
        <v>1</v>
      </c>
      <c r="Q236" s="26" t="b">
        <f>IF(Checks!C236,UPPER(RIGHT(Data!A236,5))=".BPMN",TRUE)</f>
        <v>1</v>
      </c>
      <c r="R236" s="26" t="b">
        <f>IF(Checks!C236,IF(UPPER(Data!C236)="SUB PROCESS",UPPER(RIGHT(Data!BY236,5))=".BPMN",TRUE),TRUE)</f>
        <v>1</v>
      </c>
      <c r="S236" s="26" t="b">
        <f>IF(Checks!C236,IF(UPPER(Data!C236)="SERVICE TASK",IF(UPPER(Data!BZ236)="TYPE=SAS",UPPER(RIGHT(Data!CA236,4))=".SAS",TRUE),TRUE),TRUE)</f>
        <v>1</v>
      </c>
      <c r="T236" s="26" t="b">
        <f>IF(Checks!C236,IF(Data!B236&lt;&gt;"",Data!D236&lt;&gt;"",TRUE),TRUE)</f>
        <v>1</v>
      </c>
      <c r="U236" s="26" t="b">
        <f ca="1">IF(Checks!C236,IF(UPPER(Data!C236)="DATA OBJECT",NOT(ISERROR(MATCH(Data!A236&amp;"||"&amp;Data!BW236&amp;Data!BX236,Key,0))),TRUE),TRUE)</f>
        <v>1</v>
      </c>
      <c r="V236" s="26" t="b">
        <f>IF(Checks!C236,IF(UPPER(Data!C236)="SUB PROCESS",Data!BY236&lt;&gt;"",TRUE),TRUE)</f>
        <v>1</v>
      </c>
      <c r="W236" s="26" t="b">
        <f>IF(Checks!C236,IF(UPPER(Data!C236)="SERVICE TASK",AND(Data!BZ236&lt;&gt;"",Data!CA236&lt;&gt;""),TRUE),TRUE)</f>
        <v>1</v>
      </c>
      <c r="X236" s="26" t="b">
        <f t="array" aca="1" ref="X236" ca="1">SUM((OFFSET(Data!B236,MAX(ROW(Data!$B$5)-ROW(Data!B236),-200),0,400,1)=Data!B236)*(OFFSET(Data!A236,MAX(ROW(Data!$B$5)-ROW(Data!B236),-200),0,400,1)=Data!A236))=1</f>
        <v>1</v>
      </c>
      <c r="Y236" s="26" t="b">
        <f t="array" aca="1" ref="Y236" ca="1">IF(UPPER(Data!C236)="START",SUM((OFFSET(Data!C236,MAX(ROW(Data!$C$5)-ROW(Data!C236),-200),0,400,1)="START")*(OFFSET(Data!A236,MAX(ROW(Data!$B$5)-ROW(Data!B236),-200),0,400,1)=Data!A236))=1,TRUE)</f>
        <v>1</v>
      </c>
      <c r="Z236" s="26" t="b">
        <f t="array" aca="1" ref="Z236" ca="1">IF(UPPER(Data!C236)="END",SUM((OFFSET(Data!C236,MAX(ROW(Data!$C$5)-ROW(Data!C236),-200),0,400,1)="END")*(OFFSET(Data!A236,MAX(ROW(Data!$B$5)-ROW(Data!B236),-200),0,400,1)=Data!A236))=1,TRUE)</f>
        <v>1</v>
      </c>
      <c r="AA236" s="26" t="b">
        <f>IF(Checks!C236,ISERROR(FIND("&amp;",Data!D236)),TRUE)</f>
        <v>1</v>
      </c>
      <c r="AB236" s="26" t="b">
        <f>IF(Checks!$C236,IF(AND(UPPER(Data!$C236)&lt;&gt;"START",UPPER(Data!$C236)&lt;&gt;"DATA OBJECT",Data!E236&lt;&gt;""),NOT(ISERROR(MATCH(Data!$A236&amp;"||"&amp;Data!E236,Key,0))),TRUE),TRUE)</f>
        <v>1</v>
      </c>
      <c r="AC236" s="27" t="b">
        <f>IF(Checks!C236,IF(UPPER(Data!C236)="END",Data!E236&lt;&gt;"",TRUE),TRUE)</f>
        <v>1</v>
      </c>
    </row>
    <row r="237" spans="1:29" x14ac:dyDescent="0.25">
      <c r="A237" s="1" t="str">
        <f>Data!A237&amp;"||"&amp;Data!B237</f>
        <v>Miscellaneous/subflow/irmifrs9_enrichment_stage1.bpmn||030_00_02</v>
      </c>
      <c r="B237" s="19"/>
      <c r="C237" s="24" t="b">
        <f>AND(UPPER(Data!A237)&lt;&gt;"EMPTY",Data!B237&lt;&gt;"")</f>
        <v>1</v>
      </c>
      <c r="D237" s="1"/>
      <c r="E237" s="25" t="b">
        <f t="shared" ca="1" si="6"/>
        <v>1</v>
      </c>
      <c r="F237" s="26" t="b">
        <f ca="1">IF(UPPER(Data!C237)="SUB PROCESS",NOT(ISERROR(MATCH(RIGHT(Data!BY237,LEN(Data!BY237)-5),OFFSET(Data,0,0,ItemsCount,1),0))),TRUE)</f>
        <v>1</v>
      </c>
      <c r="G237" s="26" t="b">
        <f ca="1">IF(MID(UPPER(Data!A237),1,13)="MISCELLANEOUS",NOT(ISERROR(MATCH("path="&amp;Data!A237,OFFSET(Data,0,76,ItemsCount,1),0))),TRUE)</f>
        <v>1</v>
      </c>
      <c r="L237" s="25" t="b">
        <f t="shared" ca="1" si="7"/>
        <v>1</v>
      </c>
      <c r="M237" s="24" t="b">
        <f>IF(Checks!$C237,Data!A237&lt;&gt;"",TRUE)</f>
        <v>1</v>
      </c>
      <c r="N237" s="26" t="b">
        <f>IF(Checks!C237,Data!B237&lt;&gt;"",TRUE)</f>
        <v>1</v>
      </c>
      <c r="O237" s="26" t="b">
        <f>IF(Checks!C237,IF(AND(UPPER(Data!C237)="SERVICE TASK",UPPER(Data!BZ237)="TYPE=SAS"),NodeExists(TRIM(RIGHT(Data!CA237,LEN(Data!CA237)-FIND("=",Data!CA237)))),TRUE),TRUE)</f>
        <v>1</v>
      </c>
      <c r="P237" s="26" t="b">
        <f>IF(Checks!C237,IF(Data!C237="DATA OBJECT",OR(AND(Data!BW237&lt;&gt;"",Data!BX237=""),AND(Data!BW237="",Data!BX237&lt;&gt;"")),TRUE),TRUE)</f>
        <v>1</v>
      </c>
      <c r="Q237" s="26" t="b">
        <f>IF(Checks!C237,UPPER(RIGHT(Data!A237,5))=".BPMN",TRUE)</f>
        <v>1</v>
      </c>
      <c r="R237" s="26" t="b">
        <f>IF(Checks!C237,IF(UPPER(Data!C237)="SUB PROCESS",UPPER(RIGHT(Data!BY237,5))=".BPMN",TRUE),TRUE)</f>
        <v>1</v>
      </c>
      <c r="S237" s="26" t="b">
        <f>IF(Checks!C237,IF(UPPER(Data!C237)="SERVICE TASK",IF(UPPER(Data!BZ237)="TYPE=SAS",UPPER(RIGHT(Data!CA237,4))=".SAS",TRUE),TRUE),TRUE)</f>
        <v>1</v>
      </c>
      <c r="T237" s="26" t="b">
        <f>IF(Checks!C237,IF(Data!B237&lt;&gt;"",Data!D237&lt;&gt;"",TRUE),TRUE)</f>
        <v>1</v>
      </c>
      <c r="U237" s="26" t="b">
        <f ca="1">IF(Checks!C237,IF(UPPER(Data!C237)="DATA OBJECT",NOT(ISERROR(MATCH(Data!A237&amp;"||"&amp;Data!BW237&amp;Data!BX237,Key,0))),TRUE),TRUE)</f>
        <v>1</v>
      </c>
      <c r="V237" s="26" t="b">
        <f>IF(Checks!C237,IF(UPPER(Data!C237)="SUB PROCESS",Data!BY237&lt;&gt;"",TRUE),TRUE)</f>
        <v>1</v>
      </c>
      <c r="W237" s="26" t="b">
        <f>IF(Checks!C237,IF(UPPER(Data!C237)="SERVICE TASK",AND(Data!BZ237&lt;&gt;"",Data!CA237&lt;&gt;""),TRUE),TRUE)</f>
        <v>1</v>
      </c>
      <c r="X237" s="26" t="b">
        <f t="array" aca="1" ref="X237" ca="1">SUM((OFFSET(Data!B237,MAX(ROW(Data!$B$5)-ROW(Data!B237),-200),0,400,1)=Data!B237)*(OFFSET(Data!A237,MAX(ROW(Data!$B$5)-ROW(Data!B237),-200),0,400,1)=Data!A237))=1</f>
        <v>1</v>
      </c>
      <c r="Y237" s="26" t="b">
        <f t="array" aca="1" ref="Y237" ca="1">IF(UPPER(Data!C237)="START",SUM((OFFSET(Data!C237,MAX(ROW(Data!$C$5)-ROW(Data!C237),-200),0,400,1)="START")*(OFFSET(Data!A237,MAX(ROW(Data!$B$5)-ROW(Data!B237),-200),0,400,1)=Data!A237))=1,TRUE)</f>
        <v>1</v>
      </c>
      <c r="Z237" s="26" t="b">
        <f t="array" aca="1" ref="Z237" ca="1">IF(UPPER(Data!C237)="END",SUM((OFFSET(Data!C237,MAX(ROW(Data!$C$5)-ROW(Data!C237),-200),0,400,1)="END")*(OFFSET(Data!A237,MAX(ROW(Data!$B$5)-ROW(Data!B237),-200),0,400,1)=Data!A237))=1,TRUE)</f>
        <v>1</v>
      </c>
      <c r="AA237" s="26" t="b">
        <f>IF(Checks!C237,ISERROR(FIND("&amp;",Data!D237)),TRUE)</f>
        <v>1</v>
      </c>
      <c r="AB237" s="26" t="b">
        <f>IF(Checks!$C237,IF(AND(UPPER(Data!$C237)&lt;&gt;"START",UPPER(Data!$C237)&lt;&gt;"DATA OBJECT",Data!E237&lt;&gt;""),NOT(ISERROR(MATCH(Data!$A237&amp;"||"&amp;Data!E237,Key,0))),TRUE),TRUE)</f>
        <v>1</v>
      </c>
      <c r="AC237" s="27" t="b">
        <f>IF(Checks!C237,IF(UPPER(Data!C237)="END",Data!E237&lt;&gt;"",TRUE),TRUE)</f>
        <v>1</v>
      </c>
    </row>
    <row r="238" spans="1:29" x14ac:dyDescent="0.25">
      <c r="A238" s="1" t="str">
        <f>Data!A238&amp;"||"&amp;Data!B238</f>
        <v>Miscellaneous/subflow/irmifrs9_enrichment_stage1.bpmn||030_01_00</v>
      </c>
      <c r="B238" s="19"/>
      <c r="C238" s="24" t="b">
        <f>AND(UPPER(Data!A238)&lt;&gt;"EMPTY",Data!B238&lt;&gt;"")</f>
        <v>1</v>
      </c>
      <c r="D238" s="1"/>
      <c r="E238" s="25" t="b">
        <f t="shared" ca="1" si="6"/>
        <v>1</v>
      </c>
      <c r="F238" s="26" t="b">
        <f ca="1">IF(UPPER(Data!C238)="SUB PROCESS",NOT(ISERROR(MATCH(RIGHT(Data!BY238,LEN(Data!BY238)-5),OFFSET(Data,0,0,ItemsCount,1),0))),TRUE)</f>
        <v>1</v>
      </c>
      <c r="G238" s="26" t="b">
        <f ca="1">IF(MID(UPPER(Data!A238),1,13)="MISCELLANEOUS",NOT(ISERROR(MATCH("path="&amp;Data!A238,OFFSET(Data,0,76,ItemsCount,1),0))),TRUE)</f>
        <v>1</v>
      </c>
      <c r="L238" s="25" t="b">
        <f t="shared" ca="1" si="7"/>
        <v>1</v>
      </c>
      <c r="M238" s="24" t="b">
        <f>IF(Checks!$C238,Data!A238&lt;&gt;"",TRUE)</f>
        <v>1</v>
      </c>
      <c r="N238" s="26" t="b">
        <f>IF(Checks!C238,Data!B238&lt;&gt;"",TRUE)</f>
        <v>1</v>
      </c>
      <c r="O238" s="26" t="b">
        <f>IF(Checks!C238,IF(AND(UPPER(Data!C238)="SERVICE TASK",UPPER(Data!BZ238)="TYPE=SAS"),NodeExists(TRIM(RIGHT(Data!CA238,LEN(Data!CA238)-FIND("=",Data!CA238)))),TRUE),TRUE)</f>
        <v>1</v>
      </c>
      <c r="P238" s="26" t="b">
        <f>IF(Checks!C238,IF(Data!C238="DATA OBJECT",OR(AND(Data!BW238&lt;&gt;"",Data!BX238=""),AND(Data!BW238="",Data!BX238&lt;&gt;"")),TRUE),TRUE)</f>
        <v>1</v>
      </c>
      <c r="Q238" s="26" t="b">
        <f>IF(Checks!C238,UPPER(RIGHT(Data!A238,5))=".BPMN",TRUE)</f>
        <v>1</v>
      </c>
      <c r="R238" s="26" t="b">
        <f>IF(Checks!C238,IF(UPPER(Data!C238)="SUB PROCESS",UPPER(RIGHT(Data!BY238,5))=".BPMN",TRUE),TRUE)</f>
        <v>1</v>
      </c>
      <c r="S238" s="26" t="b">
        <f>IF(Checks!C238,IF(UPPER(Data!C238)="SERVICE TASK",IF(UPPER(Data!BZ238)="TYPE=SAS",UPPER(RIGHT(Data!CA238,4))=".SAS",TRUE),TRUE),TRUE)</f>
        <v>1</v>
      </c>
      <c r="T238" s="26" t="b">
        <f>IF(Checks!C238,IF(Data!B238&lt;&gt;"",Data!D238&lt;&gt;"",TRUE),TRUE)</f>
        <v>1</v>
      </c>
      <c r="U238" s="26" t="b">
        <f ca="1">IF(Checks!C238,IF(UPPER(Data!C238)="DATA OBJECT",NOT(ISERROR(MATCH(Data!A238&amp;"||"&amp;Data!BW238&amp;Data!BX238,Key,0))),TRUE),TRUE)</f>
        <v>1</v>
      </c>
      <c r="V238" s="26" t="b">
        <f>IF(Checks!C238,IF(UPPER(Data!C238)="SUB PROCESS",Data!BY238&lt;&gt;"",TRUE),TRUE)</f>
        <v>1</v>
      </c>
      <c r="W238" s="26" t="b">
        <f>IF(Checks!C238,IF(UPPER(Data!C238)="SERVICE TASK",AND(Data!BZ238&lt;&gt;"",Data!CA238&lt;&gt;""),TRUE),TRUE)</f>
        <v>1</v>
      </c>
      <c r="X238" s="26" t="b">
        <f t="array" aca="1" ref="X238" ca="1">SUM((OFFSET(Data!B238,MAX(ROW(Data!$B$5)-ROW(Data!B238),-200),0,400,1)=Data!B238)*(OFFSET(Data!A238,MAX(ROW(Data!$B$5)-ROW(Data!B238),-200),0,400,1)=Data!A238))=1</f>
        <v>1</v>
      </c>
      <c r="Y238" s="26" t="b">
        <f t="array" aca="1" ref="Y238" ca="1">IF(UPPER(Data!C238)="START",SUM((OFFSET(Data!C238,MAX(ROW(Data!$C$5)-ROW(Data!C238),-200),0,400,1)="START")*(OFFSET(Data!A238,MAX(ROW(Data!$B$5)-ROW(Data!B238),-200),0,400,1)=Data!A238))=1,TRUE)</f>
        <v>1</v>
      </c>
      <c r="Z238" s="26" t="b">
        <f t="array" aca="1" ref="Z238" ca="1">IF(UPPER(Data!C238)="END",SUM((OFFSET(Data!C238,MAX(ROW(Data!$C$5)-ROW(Data!C238),-200),0,400,1)="END")*(OFFSET(Data!A238,MAX(ROW(Data!$B$5)-ROW(Data!B238),-200),0,400,1)=Data!A238))=1,TRUE)</f>
        <v>1</v>
      </c>
      <c r="AA238" s="26" t="b">
        <f>IF(Checks!C238,ISERROR(FIND("&amp;",Data!D238)),TRUE)</f>
        <v>1</v>
      </c>
      <c r="AB238" s="26" t="b">
        <f>IF(Checks!$C238,IF(AND(UPPER(Data!$C238)&lt;&gt;"START",UPPER(Data!$C238)&lt;&gt;"DATA OBJECT",Data!E238&lt;&gt;""),NOT(ISERROR(MATCH(Data!$A238&amp;"||"&amp;Data!E238,Key,0))),TRUE),TRUE)</f>
        <v>1</v>
      </c>
      <c r="AC238" s="27" t="b">
        <f>IF(Checks!C238,IF(UPPER(Data!C238)="END",Data!E238&lt;&gt;"",TRUE),TRUE)</f>
        <v>1</v>
      </c>
    </row>
    <row r="239" spans="1:29" x14ac:dyDescent="0.25">
      <c r="A239" s="1" t="str">
        <f>Data!A239&amp;"||"&amp;Data!B239</f>
        <v>Miscellaneous/subflow/irmifrs9_enrichment_stage1.bpmn||999_00_00</v>
      </c>
      <c r="B239" s="19"/>
      <c r="C239" s="24" t="b">
        <f>AND(UPPER(Data!A239)&lt;&gt;"EMPTY",Data!B239&lt;&gt;"")</f>
        <v>1</v>
      </c>
      <c r="D239" s="1"/>
      <c r="E239" s="25" t="b">
        <f t="shared" ca="1" si="6"/>
        <v>1</v>
      </c>
      <c r="F239" s="26" t="b">
        <f ca="1">IF(UPPER(Data!C239)="SUB PROCESS",NOT(ISERROR(MATCH(RIGHT(Data!BY239,LEN(Data!BY239)-5),OFFSET(Data,0,0,ItemsCount,1),0))),TRUE)</f>
        <v>1</v>
      </c>
      <c r="G239" s="26" t="b">
        <f ca="1">IF(MID(UPPER(Data!A239),1,13)="MISCELLANEOUS",NOT(ISERROR(MATCH("path="&amp;Data!A239,OFFSET(Data,0,76,ItemsCount,1),0))),TRUE)</f>
        <v>1</v>
      </c>
      <c r="L239" s="25" t="b">
        <f t="shared" ca="1" si="7"/>
        <v>1</v>
      </c>
      <c r="M239" s="24" t="b">
        <f>IF(Checks!$C239,Data!A239&lt;&gt;"",TRUE)</f>
        <v>1</v>
      </c>
      <c r="N239" s="26" t="b">
        <f>IF(Checks!C239,Data!B239&lt;&gt;"",TRUE)</f>
        <v>1</v>
      </c>
      <c r="O239" s="26" t="b">
        <f>IF(Checks!C239,IF(AND(UPPER(Data!C239)="SERVICE TASK",UPPER(Data!BZ239)="TYPE=SAS"),NodeExists(TRIM(RIGHT(Data!CA239,LEN(Data!CA239)-FIND("=",Data!CA239)))),TRUE),TRUE)</f>
        <v>1</v>
      </c>
      <c r="P239" s="26" t="b">
        <f>IF(Checks!C239,IF(Data!C239="DATA OBJECT",OR(AND(Data!BW239&lt;&gt;"",Data!BX239=""),AND(Data!BW239="",Data!BX239&lt;&gt;"")),TRUE),TRUE)</f>
        <v>1</v>
      </c>
      <c r="Q239" s="26" t="b">
        <f>IF(Checks!C239,UPPER(RIGHT(Data!A239,5))=".BPMN",TRUE)</f>
        <v>1</v>
      </c>
      <c r="R239" s="26" t="b">
        <f>IF(Checks!C239,IF(UPPER(Data!C239)="SUB PROCESS",UPPER(RIGHT(Data!BY239,5))=".BPMN",TRUE),TRUE)</f>
        <v>1</v>
      </c>
      <c r="S239" s="26" t="b">
        <f>IF(Checks!C239,IF(UPPER(Data!C239)="SERVICE TASK",IF(UPPER(Data!BZ239)="TYPE=SAS",UPPER(RIGHT(Data!CA239,4))=".SAS",TRUE),TRUE),TRUE)</f>
        <v>1</v>
      </c>
      <c r="T239" s="26" t="b">
        <f>IF(Checks!C239,IF(Data!B239&lt;&gt;"",Data!D239&lt;&gt;"",TRUE),TRUE)</f>
        <v>1</v>
      </c>
      <c r="U239" s="26" t="b">
        <f>IF(Checks!C239,IF(UPPER(Data!C239)="DATA OBJECT",NOT(ISERROR(MATCH(Data!A239&amp;"||"&amp;Data!BW239&amp;Data!BX239,Key,0))),TRUE),TRUE)</f>
        <v>1</v>
      </c>
      <c r="V239" s="26" t="b">
        <f>IF(Checks!C239,IF(UPPER(Data!C239)="SUB PROCESS",Data!BY239&lt;&gt;"",TRUE),TRUE)</f>
        <v>1</v>
      </c>
      <c r="W239" s="26" t="b">
        <f>IF(Checks!C239,IF(UPPER(Data!C239)="SERVICE TASK",AND(Data!BZ239&lt;&gt;"",Data!CA239&lt;&gt;""),TRUE),TRUE)</f>
        <v>1</v>
      </c>
      <c r="X239" s="26" t="b">
        <f t="array" aca="1" ref="X239" ca="1">SUM((OFFSET(Data!B239,MAX(ROW(Data!$B$5)-ROW(Data!B239),-200),0,400,1)=Data!B239)*(OFFSET(Data!A239,MAX(ROW(Data!$B$5)-ROW(Data!B239),-200),0,400,1)=Data!A239))=1</f>
        <v>1</v>
      </c>
      <c r="Y239" s="26" t="b">
        <f t="array" aca="1" ref="Y239" ca="1">IF(UPPER(Data!C239)="START",SUM((OFFSET(Data!C239,MAX(ROW(Data!$C$5)-ROW(Data!C239),-200),0,400,1)="START")*(OFFSET(Data!A239,MAX(ROW(Data!$B$5)-ROW(Data!B239),-200),0,400,1)=Data!A239))=1,TRUE)</f>
        <v>1</v>
      </c>
      <c r="Z239" s="26" t="b">
        <f t="array" aca="1" ref="Z239" ca="1">IF(UPPER(Data!C239)="END",SUM((OFFSET(Data!C239,MAX(ROW(Data!$C$5)-ROW(Data!C239),-200),0,400,1)="END")*(OFFSET(Data!A239,MAX(ROW(Data!$B$5)-ROW(Data!B239),-200),0,400,1)=Data!A239))=1,TRUE)</f>
        <v>1</v>
      </c>
      <c r="AA239" s="26" t="b">
        <f>IF(Checks!C239,ISERROR(FIND("&amp;",Data!D239)),TRUE)</f>
        <v>1</v>
      </c>
      <c r="AB239" s="26" t="b">
        <f ca="1">IF(Checks!$C239,IF(AND(UPPER(Data!$C239)&lt;&gt;"START",UPPER(Data!$C239)&lt;&gt;"DATA OBJECT",Data!E239&lt;&gt;""),NOT(ISERROR(MATCH(Data!$A239&amp;"||"&amp;Data!E239,Key,0))),TRUE),TRUE)</f>
        <v>1</v>
      </c>
      <c r="AC239" s="27" t="b">
        <f>IF(Checks!C239,IF(UPPER(Data!C239)="END",Data!E239&lt;&gt;"",TRUE),TRUE)</f>
        <v>1</v>
      </c>
    </row>
    <row r="240" spans="1:29" x14ac:dyDescent="0.25">
      <c r="A240" s="1" t="str">
        <f>Data!A240&amp;"||"&amp;Data!B240</f>
        <v>Miscellaneous/subflow/irmifrs9_enrichment_stage2.bpmn||000_00_00</v>
      </c>
      <c r="B240" s="19"/>
      <c r="C240" s="24" t="b">
        <f>AND(UPPER(Data!A240)&lt;&gt;"EMPTY",Data!B240&lt;&gt;"")</f>
        <v>1</v>
      </c>
      <c r="D240" s="1"/>
      <c r="E240" s="25" t="b">
        <f t="shared" ca="1" si="6"/>
        <v>1</v>
      </c>
      <c r="F240" s="26" t="b">
        <f ca="1">IF(UPPER(Data!C240)="SUB PROCESS",NOT(ISERROR(MATCH(RIGHT(Data!BY240,LEN(Data!BY240)-5),OFFSET(Data,0,0,ItemsCount,1),0))),TRUE)</f>
        <v>1</v>
      </c>
      <c r="G240" s="26" t="b">
        <f ca="1">IF(MID(UPPER(Data!A240),1,13)="MISCELLANEOUS",NOT(ISERROR(MATCH("path="&amp;Data!A240,OFFSET(Data,0,76,ItemsCount,1),0))),TRUE)</f>
        <v>1</v>
      </c>
      <c r="L240" s="25" t="b">
        <f t="shared" ca="1" si="7"/>
        <v>1</v>
      </c>
      <c r="M240" s="24" t="b">
        <f>IF(Checks!$C240,Data!A240&lt;&gt;"",TRUE)</f>
        <v>1</v>
      </c>
      <c r="N240" s="26" t="b">
        <f>IF(Checks!C240,Data!B240&lt;&gt;"",TRUE)</f>
        <v>1</v>
      </c>
      <c r="O240" s="26" t="b">
        <f>IF(Checks!C240,IF(AND(UPPER(Data!C240)="SERVICE TASK",UPPER(Data!BZ240)="TYPE=SAS"),NodeExists(TRIM(RIGHT(Data!CA240,LEN(Data!CA240)-FIND("=",Data!CA240)))),TRUE),TRUE)</f>
        <v>1</v>
      </c>
      <c r="P240" s="26" t="b">
        <f>IF(Checks!C240,IF(Data!C240="DATA OBJECT",OR(AND(Data!BW240&lt;&gt;"",Data!BX240=""),AND(Data!BW240="",Data!BX240&lt;&gt;"")),TRUE),TRUE)</f>
        <v>1</v>
      </c>
      <c r="Q240" s="26" t="b">
        <f>IF(Checks!C240,UPPER(RIGHT(Data!A240,5))=".BPMN",TRUE)</f>
        <v>1</v>
      </c>
      <c r="R240" s="26" t="b">
        <f>IF(Checks!C240,IF(UPPER(Data!C240)="SUB PROCESS",UPPER(RIGHT(Data!BY240,5))=".BPMN",TRUE),TRUE)</f>
        <v>1</v>
      </c>
      <c r="S240" s="26" t="b">
        <f>IF(Checks!C240,IF(UPPER(Data!C240)="SERVICE TASK",IF(UPPER(Data!BZ240)="TYPE=SAS",UPPER(RIGHT(Data!CA240,4))=".SAS",TRUE),TRUE),TRUE)</f>
        <v>1</v>
      </c>
      <c r="T240" s="26" t="b">
        <f>IF(Checks!C240,IF(Data!B240&lt;&gt;"",Data!D240&lt;&gt;"",TRUE),TRUE)</f>
        <v>1</v>
      </c>
      <c r="U240" s="26" t="b">
        <f>IF(Checks!C240,IF(UPPER(Data!C240)="DATA OBJECT",NOT(ISERROR(MATCH(Data!A240&amp;"||"&amp;Data!BW240&amp;Data!BX240,Key,0))),TRUE),TRUE)</f>
        <v>1</v>
      </c>
      <c r="V240" s="26" t="b">
        <f>IF(Checks!C240,IF(UPPER(Data!C240)="SUB PROCESS",Data!BY240&lt;&gt;"",TRUE),TRUE)</f>
        <v>1</v>
      </c>
      <c r="W240" s="26" t="b">
        <f>IF(Checks!C240,IF(UPPER(Data!C240)="SERVICE TASK",AND(Data!BZ240&lt;&gt;"",Data!CA240&lt;&gt;""),TRUE),TRUE)</f>
        <v>1</v>
      </c>
      <c r="X240" s="26" t="b">
        <f t="array" aca="1" ref="X240" ca="1">SUM((OFFSET(Data!B240,MAX(ROW(Data!$B$5)-ROW(Data!B240),-200),0,400,1)=Data!B240)*(OFFSET(Data!A240,MAX(ROW(Data!$B$5)-ROW(Data!B240),-200),0,400,1)=Data!A240))=1</f>
        <v>1</v>
      </c>
      <c r="Y240" s="26" t="b">
        <f t="array" aca="1" ref="Y240" ca="1">IF(UPPER(Data!C240)="START",SUM((OFFSET(Data!C240,MAX(ROW(Data!$C$5)-ROW(Data!C240),-200),0,400,1)="START")*(OFFSET(Data!A240,MAX(ROW(Data!$B$5)-ROW(Data!B240),-200),0,400,1)=Data!A240))=1,TRUE)</f>
        <v>1</v>
      </c>
      <c r="Z240" s="26" t="b">
        <f t="array" aca="1" ref="Z240" ca="1">IF(UPPER(Data!C240)="END",SUM((OFFSET(Data!C240,MAX(ROW(Data!$C$5)-ROW(Data!C240),-200),0,400,1)="END")*(OFFSET(Data!A240,MAX(ROW(Data!$B$5)-ROW(Data!B240),-200),0,400,1)=Data!A240))=1,TRUE)</f>
        <v>1</v>
      </c>
      <c r="AA240" s="26" t="b">
        <f>IF(Checks!C240,ISERROR(FIND("&amp;",Data!D240)),TRUE)</f>
        <v>1</v>
      </c>
      <c r="AB240" s="26" t="b">
        <f>IF(Checks!$C240,IF(AND(UPPER(Data!$C240)&lt;&gt;"START",UPPER(Data!$C240)&lt;&gt;"DATA OBJECT",Data!E240&lt;&gt;""),NOT(ISERROR(MATCH(Data!$A240&amp;"||"&amp;Data!E240,Key,0))),TRUE),TRUE)</f>
        <v>1</v>
      </c>
      <c r="AC240" s="27" t="b">
        <f>IF(Checks!C240,IF(UPPER(Data!C240)="END",Data!E240&lt;&gt;"",TRUE),TRUE)</f>
        <v>1</v>
      </c>
    </row>
    <row r="241" spans="1:29" x14ac:dyDescent="0.25">
      <c r="A241" s="1" t="str">
        <f>Data!A241&amp;"||"&amp;Data!B241</f>
        <v>Miscellaneous/subflow/irmifrs9_enrichment_stage2.bpmn||010_00_00</v>
      </c>
      <c r="B241" s="19"/>
      <c r="C241" s="24" t="b">
        <f>AND(UPPER(Data!A241)&lt;&gt;"EMPTY",Data!B241&lt;&gt;"")</f>
        <v>1</v>
      </c>
      <c r="D241" s="1"/>
      <c r="E241" s="25" t="b">
        <f t="shared" ca="1" si="6"/>
        <v>1</v>
      </c>
      <c r="F241" s="26" t="b">
        <f ca="1">IF(UPPER(Data!C241)="SUB PROCESS",NOT(ISERROR(MATCH(RIGHT(Data!BY241,LEN(Data!BY241)-5),OFFSET(Data,0,0,ItemsCount,1),0))),TRUE)</f>
        <v>1</v>
      </c>
      <c r="G241" s="26" t="b">
        <f ca="1">IF(MID(UPPER(Data!A241),1,13)="MISCELLANEOUS",NOT(ISERROR(MATCH("path="&amp;Data!A241,OFFSET(Data,0,76,ItemsCount,1),0))),TRUE)</f>
        <v>1</v>
      </c>
      <c r="L241" s="25" t="b">
        <f t="shared" ca="1" si="7"/>
        <v>1</v>
      </c>
      <c r="M241" s="24" t="b">
        <f>IF(Checks!$C241,Data!A241&lt;&gt;"",TRUE)</f>
        <v>1</v>
      </c>
      <c r="N241" s="26" t="b">
        <f>IF(Checks!C241,Data!B241&lt;&gt;"",TRUE)</f>
        <v>1</v>
      </c>
      <c r="O241" s="26" t="b">
        <f>IF(Checks!C241,IF(AND(UPPER(Data!C241)="SERVICE TASK",UPPER(Data!BZ241)="TYPE=SAS"),NodeExists(TRIM(RIGHT(Data!CA241,LEN(Data!CA241)-FIND("=",Data!CA241)))),TRUE),TRUE)</f>
        <v>1</v>
      </c>
      <c r="P241" s="26" t="b">
        <f>IF(Checks!C241,IF(Data!C241="DATA OBJECT",OR(AND(Data!BW241&lt;&gt;"",Data!BX241=""),AND(Data!BW241="",Data!BX241&lt;&gt;"")),TRUE),TRUE)</f>
        <v>1</v>
      </c>
      <c r="Q241" s="26" t="b">
        <f>IF(Checks!C241,UPPER(RIGHT(Data!A241,5))=".BPMN",TRUE)</f>
        <v>1</v>
      </c>
      <c r="R241" s="26" t="b">
        <f>IF(Checks!C241,IF(UPPER(Data!C241)="SUB PROCESS",UPPER(RIGHT(Data!BY241,5))=".BPMN",TRUE),TRUE)</f>
        <v>1</v>
      </c>
      <c r="S241" s="26" t="b">
        <f>IF(Checks!C241,IF(UPPER(Data!C241)="SERVICE TASK",IF(UPPER(Data!BZ241)="TYPE=SAS",UPPER(RIGHT(Data!CA241,4))=".SAS",TRUE),TRUE),TRUE)</f>
        <v>1</v>
      </c>
      <c r="T241" s="26" t="b">
        <f>IF(Checks!C241,IF(Data!B241&lt;&gt;"",Data!D241&lt;&gt;"",TRUE),TRUE)</f>
        <v>1</v>
      </c>
      <c r="U241" s="26" t="b">
        <f>IF(Checks!C241,IF(UPPER(Data!C241)="DATA OBJECT",NOT(ISERROR(MATCH(Data!A241&amp;"||"&amp;Data!BW241&amp;Data!BX241,Key,0))),TRUE),TRUE)</f>
        <v>1</v>
      </c>
      <c r="V241" s="26" t="b">
        <f>IF(Checks!C241,IF(UPPER(Data!C241)="SUB PROCESS",Data!BY241&lt;&gt;"",TRUE),TRUE)</f>
        <v>1</v>
      </c>
      <c r="W241" s="26" t="b">
        <f>IF(Checks!C241,IF(UPPER(Data!C241)="SERVICE TASK",AND(Data!BZ241&lt;&gt;"",Data!CA241&lt;&gt;""),TRUE),TRUE)</f>
        <v>1</v>
      </c>
      <c r="X241" s="26" t="b">
        <f t="array" aca="1" ref="X241" ca="1">SUM((OFFSET(Data!B241,MAX(ROW(Data!$B$5)-ROW(Data!B241),-200),0,400,1)=Data!B241)*(OFFSET(Data!A241,MAX(ROW(Data!$B$5)-ROW(Data!B241),-200),0,400,1)=Data!A241))=1</f>
        <v>1</v>
      </c>
      <c r="Y241" s="26" t="b">
        <f t="array" aca="1" ref="Y241" ca="1">IF(UPPER(Data!C241)="START",SUM((OFFSET(Data!C241,MAX(ROW(Data!$C$5)-ROW(Data!C241),-200),0,400,1)="START")*(OFFSET(Data!A241,MAX(ROW(Data!$B$5)-ROW(Data!B241),-200),0,400,1)=Data!A241))=1,TRUE)</f>
        <v>1</v>
      </c>
      <c r="Z241" s="26" t="b">
        <f t="array" aca="1" ref="Z241" ca="1">IF(UPPER(Data!C241)="END",SUM((OFFSET(Data!C241,MAX(ROW(Data!$C$5)-ROW(Data!C241),-200),0,400,1)="END")*(OFFSET(Data!A241,MAX(ROW(Data!$B$5)-ROW(Data!B241),-200),0,400,1)=Data!A241))=1,TRUE)</f>
        <v>1</v>
      </c>
      <c r="AA241" s="26" t="b">
        <f>IF(Checks!C241,ISERROR(FIND("&amp;",Data!D241)),TRUE)</f>
        <v>1</v>
      </c>
      <c r="AB241" s="26" t="b">
        <f ca="1">IF(Checks!$C241,IF(AND(UPPER(Data!$C241)&lt;&gt;"START",UPPER(Data!$C241)&lt;&gt;"DATA OBJECT",Data!E241&lt;&gt;""),NOT(ISERROR(MATCH(Data!$A241&amp;"||"&amp;Data!E241,Key,0))),TRUE),TRUE)</f>
        <v>1</v>
      </c>
      <c r="AC241" s="27" t="b">
        <f>IF(Checks!C241,IF(UPPER(Data!C241)="END",Data!E241&lt;&gt;"",TRUE),TRUE)</f>
        <v>1</v>
      </c>
    </row>
    <row r="242" spans="1:29" x14ac:dyDescent="0.25">
      <c r="A242" s="1" t="str">
        <f>Data!A242&amp;"||"&amp;Data!B242</f>
        <v>Miscellaneous/subflow/irmifrs9_enrichment_stage2.bpmn||010_00_01</v>
      </c>
      <c r="B242" s="19"/>
      <c r="C242" s="24" t="b">
        <f>AND(UPPER(Data!A242)&lt;&gt;"EMPTY",Data!B242&lt;&gt;"")</f>
        <v>1</v>
      </c>
      <c r="D242" s="1"/>
      <c r="E242" s="25" t="b">
        <f t="shared" ca="1" si="6"/>
        <v>1</v>
      </c>
      <c r="F242" s="26" t="b">
        <f ca="1">IF(UPPER(Data!C242)="SUB PROCESS",NOT(ISERROR(MATCH(RIGHT(Data!BY242,LEN(Data!BY242)-5),OFFSET(Data,0,0,ItemsCount,1),0))),TRUE)</f>
        <v>1</v>
      </c>
      <c r="G242" s="26" t="b">
        <f ca="1">IF(MID(UPPER(Data!A242),1,13)="MISCELLANEOUS",NOT(ISERROR(MATCH("path="&amp;Data!A242,OFFSET(Data,0,76,ItemsCount,1),0))),TRUE)</f>
        <v>1</v>
      </c>
      <c r="L242" s="25" t="b">
        <f t="shared" ca="1" si="7"/>
        <v>1</v>
      </c>
      <c r="M242" s="24" t="b">
        <f>IF(Checks!$C242,Data!A242&lt;&gt;"",TRUE)</f>
        <v>1</v>
      </c>
      <c r="N242" s="26" t="b">
        <f>IF(Checks!C242,Data!B242&lt;&gt;"",TRUE)</f>
        <v>1</v>
      </c>
      <c r="O242" s="26" t="b">
        <f>IF(Checks!C242,IF(AND(UPPER(Data!C242)="SERVICE TASK",UPPER(Data!BZ242)="TYPE=SAS"),NodeExists(TRIM(RIGHT(Data!CA242,LEN(Data!CA242)-FIND("=",Data!CA242)))),TRUE),TRUE)</f>
        <v>1</v>
      </c>
      <c r="P242" s="26" t="b">
        <f>IF(Checks!C242,IF(Data!C242="DATA OBJECT",OR(AND(Data!BW242&lt;&gt;"",Data!BX242=""),AND(Data!BW242="",Data!BX242&lt;&gt;"")),TRUE),TRUE)</f>
        <v>1</v>
      </c>
      <c r="Q242" s="26" t="b">
        <f>IF(Checks!C242,UPPER(RIGHT(Data!A242,5))=".BPMN",TRUE)</f>
        <v>1</v>
      </c>
      <c r="R242" s="26" t="b">
        <f>IF(Checks!C242,IF(UPPER(Data!C242)="SUB PROCESS",UPPER(RIGHT(Data!BY242,5))=".BPMN",TRUE),TRUE)</f>
        <v>1</v>
      </c>
      <c r="S242" s="26" t="b">
        <f>IF(Checks!C242,IF(UPPER(Data!C242)="SERVICE TASK",IF(UPPER(Data!BZ242)="TYPE=SAS",UPPER(RIGHT(Data!CA242,4))=".SAS",TRUE),TRUE),TRUE)</f>
        <v>1</v>
      </c>
      <c r="T242" s="26" t="b">
        <f>IF(Checks!C242,IF(Data!B242&lt;&gt;"",Data!D242&lt;&gt;"",TRUE),TRUE)</f>
        <v>1</v>
      </c>
      <c r="U242" s="26" t="b">
        <f ca="1">IF(Checks!C242,IF(UPPER(Data!C242)="DATA OBJECT",NOT(ISERROR(MATCH(Data!A242&amp;"||"&amp;Data!BW242&amp;Data!BX242,Key,0))),TRUE),TRUE)</f>
        <v>1</v>
      </c>
      <c r="V242" s="26" t="b">
        <f>IF(Checks!C242,IF(UPPER(Data!C242)="SUB PROCESS",Data!BY242&lt;&gt;"",TRUE),TRUE)</f>
        <v>1</v>
      </c>
      <c r="W242" s="26" t="b">
        <f>IF(Checks!C242,IF(UPPER(Data!C242)="SERVICE TASK",AND(Data!BZ242&lt;&gt;"",Data!CA242&lt;&gt;""),TRUE),TRUE)</f>
        <v>1</v>
      </c>
      <c r="X242" s="26" t="b">
        <f t="array" aca="1" ref="X242" ca="1">SUM((OFFSET(Data!B242,MAX(ROW(Data!$B$5)-ROW(Data!B242),-200),0,400,1)=Data!B242)*(OFFSET(Data!A242,MAX(ROW(Data!$B$5)-ROW(Data!B242),-200),0,400,1)=Data!A242))=1</f>
        <v>1</v>
      </c>
      <c r="Y242" s="26" t="b">
        <f t="array" aca="1" ref="Y242" ca="1">IF(UPPER(Data!C242)="START",SUM((OFFSET(Data!C242,MAX(ROW(Data!$C$5)-ROW(Data!C242),-200),0,400,1)="START")*(OFFSET(Data!A242,MAX(ROW(Data!$B$5)-ROW(Data!B242),-200),0,400,1)=Data!A242))=1,TRUE)</f>
        <v>1</v>
      </c>
      <c r="Z242" s="26" t="b">
        <f t="array" aca="1" ref="Z242" ca="1">IF(UPPER(Data!C242)="END",SUM((OFFSET(Data!C242,MAX(ROW(Data!$C$5)-ROW(Data!C242),-200),0,400,1)="END")*(OFFSET(Data!A242,MAX(ROW(Data!$B$5)-ROW(Data!B242),-200),0,400,1)=Data!A242))=1,TRUE)</f>
        <v>1</v>
      </c>
      <c r="AA242" s="26" t="b">
        <f>IF(Checks!C242,ISERROR(FIND("&amp;",Data!D242)),TRUE)</f>
        <v>1</v>
      </c>
      <c r="AB242" s="26" t="b">
        <f>IF(Checks!$C242,IF(AND(UPPER(Data!$C242)&lt;&gt;"START",UPPER(Data!$C242)&lt;&gt;"DATA OBJECT",Data!E242&lt;&gt;""),NOT(ISERROR(MATCH(Data!$A242&amp;"||"&amp;Data!E242,Key,0))),TRUE),TRUE)</f>
        <v>1</v>
      </c>
      <c r="AC242" s="27" t="b">
        <f>IF(Checks!C242,IF(UPPER(Data!C242)="END",Data!E242&lt;&gt;"",TRUE),TRUE)</f>
        <v>1</v>
      </c>
    </row>
    <row r="243" spans="1:29" x14ac:dyDescent="0.25">
      <c r="A243" s="1" t="str">
        <f>Data!A243&amp;"||"&amp;Data!B243</f>
        <v>Miscellaneous/subflow/irmifrs9_enrichment_stage2.bpmn||010_00_02</v>
      </c>
      <c r="B243" s="19"/>
      <c r="C243" s="24" t="b">
        <f>AND(UPPER(Data!A243)&lt;&gt;"EMPTY",Data!B243&lt;&gt;"")</f>
        <v>1</v>
      </c>
      <c r="D243" s="1"/>
      <c r="E243" s="25" t="b">
        <f t="shared" ca="1" si="6"/>
        <v>1</v>
      </c>
      <c r="F243" s="26" t="b">
        <f ca="1">IF(UPPER(Data!C243)="SUB PROCESS",NOT(ISERROR(MATCH(RIGHT(Data!BY243,LEN(Data!BY243)-5),OFFSET(Data,0,0,ItemsCount,1),0))),TRUE)</f>
        <v>1</v>
      </c>
      <c r="G243" s="26" t="b">
        <f ca="1">IF(MID(UPPER(Data!A243),1,13)="MISCELLANEOUS",NOT(ISERROR(MATCH("path="&amp;Data!A243,OFFSET(Data,0,76,ItemsCount,1),0))),TRUE)</f>
        <v>1</v>
      </c>
      <c r="L243" s="25" t="b">
        <f t="shared" ca="1" si="7"/>
        <v>1</v>
      </c>
      <c r="M243" s="24" t="b">
        <f>IF(Checks!$C243,Data!A243&lt;&gt;"",TRUE)</f>
        <v>1</v>
      </c>
      <c r="N243" s="26" t="b">
        <f>IF(Checks!C243,Data!B243&lt;&gt;"",TRUE)</f>
        <v>1</v>
      </c>
      <c r="O243" s="26" t="b">
        <f>IF(Checks!C243,IF(AND(UPPER(Data!C243)="SERVICE TASK",UPPER(Data!BZ243)="TYPE=SAS"),NodeExists(TRIM(RIGHT(Data!CA243,LEN(Data!CA243)-FIND("=",Data!CA243)))),TRUE),TRUE)</f>
        <v>1</v>
      </c>
      <c r="P243" s="26" t="b">
        <f>IF(Checks!C243,IF(Data!C243="DATA OBJECT",OR(AND(Data!BW243&lt;&gt;"",Data!BX243=""),AND(Data!BW243="",Data!BX243&lt;&gt;"")),TRUE),TRUE)</f>
        <v>1</v>
      </c>
      <c r="Q243" s="26" t="b">
        <f>IF(Checks!C243,UPPER(RIGHT(Data!A243,5))=".BPMN",TRUE)</f>
        <v>1</v>
      </c>
      <c r="R243" s="26" t="b">
        <f>IF(Checks!C243,IF(UPPER(Data!C243)="SUB PROCESS",UPPER(RIGHT(Data!BY243,5))=".BPMN",TRUE),TRUE)</f>
        <v>1</v>
      </c>
      <c r="S243" s="26" t="b">
        <f>IF(Checks!C243,IF(UPPER(Data!C243)="SERVICE TASK",IF(UPPER(Data!BZ243)="TYPE=SAS",UPPER(RIGHT(Data!CA243,4))=".SAS",TRUE),TRUE),TRUE)</f>
        <v>1</v>
      </c>
      <c r="T243" s="26" t="b">
        <f>IF(Checks!C243,IF(Data!B243&lt;&gt;"",Data!D243&lt;&gt;"",TRUE),TRUE)</f>
        <v>1</v>
      </c>
      <c r="U243" s="26" t="b">
        <f ca="1">IF(Checks!C243,IF(UPPER(Data!C243)="DATA OBJECT",NOT(ISERROR(MATCH(Data!A243&amp;"||"&amp;Data!BW243&amp;Data!BX243,Key,0))),TRUE),TRUE)</f>
        <v>1</v>
      </c>
      <c r="V243" s="26" t="b">
        <f>IF(Checks!C243,IF(UPPER(Data!C243)="SUB PROCESS",Data!BY243&lt;&gt;"",TRUE),TRUE)</f>
        <v>1</v>
      </c>
      <c r="W243" s="26" t="b">
        <f>IF(Checks!C243,IF(UPPER(Data!C243)="SERVICE TASK",AND(Data!BZ243&lt;&gt;"",Data!CA243&lt;&gt;""),TRUE),TRUE)</f>
        <v>1</v>
      </c>
      <c r="X243" s="26" t="b">
        <f t="array" aca="1" ref="X243" ca="1">SUM((OFFSET(Data!B243,MAX(ROW(Data!$B$5)-ROW(Data!B243),-200),0,400,1)=Data!B243)*(OFFSET(Data!A243,MAX(ROW(Data!$B$5)-ROW(Data!B243),-200),0,400,1)=Data!A243))=1</f>
        <v>1</v>
      </c>
      <c r="Y243" s="26" t="b">
        <f t="array" aca="1" ref="Y243" ca="1">IF(UPPER(Data!C243)="START",SUM((OFFSET(Data!C243,MAX(ROW(Data!$C$5)-ROW(Data!C243),-200),0,400,1)="START")*(OFFSET(Data!A243,MAX(ROW(Data!$B$5)-ROW(Data!B243),-200),0,400,1)=Data!A243))=1,TRUE)</f>
        <v>1</v>
      </c>
      <c r="Z243" s="26" t="b">
        <f t="array" aca="1" ref="Z243" ca="1">IF(UPPER(Data!C243)="END",SUM((OFFSET(Data!C243,MAX(ROW(Data!$C$5)-ROW(Data!C243),-200),0,400,1)="END")*(OFFSET(Data!A243,MAX(ROW(Data!$B$5)-ROW(Data!B243),-200),0,400,1)=Data!A243))=1,TRUE)</f>
        <v>1</v>
      </c>
      <c r="AA243" s="26" t="b">
        <f>IF(Checks!C243,ISERROR(FIND("&amp;",Data!D243)),TRUE)</f>
        <v>1</v>
      </c>
      <c r="AB243" s="26" t="b">
        <f>IF(Checks!$C243,IF(AND(UPPER(Data!$C243)&lt;&gt;"START",UPPER(Data!$C243)&lt;&gt;"DATA OBJECT",Data!E243&lt;&gt;""),NOT(ISERROR(MATCH(Data!$A243&amp;"||"&amp;Data!E243,Key,0))),TRUE),TRUE)</f>
        <v>1</v>
      </c>
      <c r="AC243" s="27" t="b">
        <f>IF(Checks!C243,IF(UPPER(Data!C243)="END",Data!E243&lt;&gt;"",TRUE),TRUE)</f>
        <v>1</v>
      </c>
    </row>
    <row r="244" spans="1:29" x14ac:dyDescent="0.25">
      <c r="A244" s="1" t="str">
        <f>Data!A244&amp;"||"&amp;Data!B244</f>
        <v>Miscellaneous/subflow/irmifrs9_enrichment_stage2.bpmn||010_00_03</v>
      </c>
      <c r="B244" s="19"/>
      <c r="C244" s="24" t="b">
        <f>AND(UPPER(Data!A244)&lt;&gt;"EMPTY",Data!B244&lt;&gt;"")</f>
        <v>1</v>
      </c>
      <c r="D244" s="1"/>
      <c r="E244" s="25" t="b">
        <f t="shared" ca="1" si="6"/>
        <v>1</v>
      </c>
      <c r="F244" s="26" t="b">
        <f ca="1">IF(UPPER(Data!C244)="SUB PROCESS",NOT(ISERROR(MATCH(RIGHT(Data!BY244,LEN(Data!BY244)-5),OFFSET(Data,0,0,ItemsCount,1),0))),TRUE)</f>
        <v>1</v>
      </c>
      <c r="G244" s="26" t="b">
        <f ca="1">IF(MID(UPPER(Data!A244),1,13)="MISCELLANEOUS",NOT(ISERROR(MATCH("path="&amp;Data!A244,OFFSET(Data,0,76,ItemsCount,1),0))),TRUE)</f>
        <v>1</v>
      </c>
      <c r="L244" s="25" t="b">
        <f t="shared" ca="1" si="7"/>
        <v>1</v>
      </c>
      <c r="M244" s="24" t="b">
        <f>IF(Checks!$C244,Data!A244&lt;&gt;"",TRUE)</f>
        <v>1</v>
      </c>
      <c r="N244" s="26" t="b">
        <f>IF(Checks!C244,Data!B244&lt;&gt;"",TRUE)</f>
        <v>1</v>
      </c>
      <c r="O244" s="26" t="b">
        <f>IF(Checks!C244,IF(AND(UPPER(Data!C244)="SERVICE TASK",UPPER(Data!BZ244)="TYPE=SAS"),NodeExists(TRIM(RIGHT(Data!CA244,LEN(Data!CA244)-FIND("=",Data!CA244)))),TRUE),TRUE)</f>
        <v>1</v>
      </c>
      <c r="P244" s="26" t="b">
        <f>IF(Checks!C244,IF(Data!C244="DATA OBJECT",OR(AND(Data!BW244&lt;&gt;"",Data!BX244=""),AND(Data!BW244="",Data!BX244&lt;&gt;"")),TRUE),TRUE)</f>
        <v>1</v>
      </c>
      <c r="Q244" s="26" t="b">
        <f>IF(Checks!C244,UPPER(RIGHT(Data!A244,5))=".BPMN",TRUE)</f>
        <v>1</v>
      </c>
      <c r="R244" s="26" t="b">
        <f>IF(Checks!C244,IF(UPPER(Data!C244)="SUB PROCESS",UPPER(RIGHT(Data!BY244,5))=".BPMN",TRUE),TRUE)</f>
        <v>1</v>
      </c>
      <c r="S244" s="26" t="b">
        <f>IF(Checks!C244,IF(UPPER(Data!C244)="SERVICE TASK",IF(UPPER(Data!BZ244)="TYPE=SAS",UPPER(RIGHT(Data!CA244,4))=".SAS",TRUE),TRUE),TRUE)</f>
        <v>1</v>
      </c>
      <c r="T244" s="26" t="b">
        <f>IF(Checks!C244,IF(Data!B244&lt;&gt;"",Data!D244&lt;&gt;"",TRUE),TRUE)</f>
        <v>1</v>
      </c>
      <c r="U244" s="26" t="b">
        <f ca="1">IF(Checks!C244,IF(UPPER(Data!C244)="DATA OBJECT",NOT(ISERROR(MATCH(Data!A244&amp;"||"&amp;Data!BW244&amp;Data!BX244,Key,0))),TRUE),TRUE)</f>
        <v>1</v>
      </c>
      <c r="V244" s="26" t="b">
        <f>IF(Checks!C244,IF(UPPER(Data!C244)="SUB PROCESS",Data!BY244&lt;&gt;"",TRUE),TRUE)</f>
        <v>1</v>
      </c>
      <c r="W244" s="26" t="b">
        <f>IF(Checks!C244,IF(UPPER(Data!C244)="SERVICE TASK",AND(Data!BZ244&lt;&gt;"",Data!CA244&lt;&gt;""),TRUE),TRUE)</f>
        <v>1</v>
      </c>
      <c r="X244" s="26" t="b">
        <f t="array" aca="1" ref="X244" ca="1">SUM((OFFSET(Data!B244,MAX(ROW(Data!$B$5)-ROW(Data!B244),-200),0,400,1)=Data!B244)*(OFFSET(Data!A244,MAX(ROW(Data!$B$5)-ROW(Data!B244),-200),0,400,1)=Data!A244))=1</f>
        <v>1</v>
      </c>
      <c r="Y244" s="26" t="b">
        <f t="array" aca="1" ref="Y244" ca="1">IF(UPPER(Data!C244)="START",SUM((OFFSET(Data!C244,MAX(ROW(Data!$C$5)-ROW(Data!C244),-200),0,400,1)="START")*(OFFSET(Data!A244,MAX(ROW(Data!$B$5)-ROW(Data!B244),-200),0,400,1)=Data!A244))=1,TRUE)</f>
        <v>1</v>
      </c>
      <c r="Z244" s="26" t="b">
        <f t="array" aca="1" ref="Z244" ca="1">IF(UPPER(Data!C244)="END",SUM((OFFSET(Data!C244,MAX(ROW(Data!$C$5)-ROW(Data!C244),-200),0,400,1)="END")*(OFFSET(Data!A244,MAX(ROW(Data!$B$5)-ROW(Data!B244),-200),0,400,1)=Data!A244))=1,TRUE)</f>
        <v>1</v>
      </c>
      <c r="AA244" s="26" t="b">
        <f>IF(Checks!C244,ISERROR(FIND("&amp;",Data!D244)),TRUE)</f>
        <v>1</v>
      </c>
      <c r="AB244" s="26" t="b">
        <f>IF(Checks!$C244,IF(AND(UPPER(Data!$C244)&lt;&gt;"START",UPPER(Data!$C244)&lt;&gt;"DATA OBJECT",Data!E244&lt;&gt;""),NOT(ISERROR(MATCH(Data!$A244&amp;"||"&amp;Data!E244,Key,0))),TRUE),TRUE)</f>
        <v>1</v>
      </c>
      <c r="AC244" s="27" t="b">
        <f>IF(Checks!C244,IF(UPPER(Data!C244)="END",Data!E244&lt;&gt;"",TRUE),TRUE)</f>
        <v>1</v>
      </c>
    </row>
    <row r="245" spans="1:29" x14ac:dyDescent="0.25">
      <c r="A245" s="1" t="str">
        <f>Data!A245&amp;"||"&amp;Data!B245</f>
        <v>Miscellaneous/subflow/irmifrs9_enrichment_stage2.bpmn||010_01_00</v>
      </c>
      <c r="B245" s="19"/>
      <c r="C245" s="24" t="b">
        <f>AND(UPPER(Data!A245)&lt;&gt;"EMPTY",Data!B245&lt;&gt;"")</f>
        <v>1</v>
      </c>
      <c r="D245" s="1"/>
      <c r="E245" s="25" t="b">
        <f t="shared" ca="1" si="6"/>
        <v>1</v>
      </c>
      <c r="F245" s="26" t="b">
        <f ca="1">IF(UPPER(Data!C245)="SUB PROCESS",NOT(ISERROR(MATCH(RIGHT(Data!BY245,LEN(Data!BY245)-5),OFFSET(Data,0,0,ItemsCount,1),0))),TRUE)</f>
        <v>1</v>
      </c>
      <c r="G245" s="26" t="b">
        <f ca="1">IF(MID(UPPER(Data!A245),1,13)="MISCELLANEOUS",NOT(ISERROR(MATCH("path="&amp;Data!A245,OFFSET(Data,0,76,ItemsCount,1),0))),TRUE)</f>
        <v>1</v>
      </c>
      <c r="L245" s="25" t="b">
        <f t="shared" ca="1" si="7"/>
        <v>1</v>
      </c>
      <c r="M245" s="24" t="b">
        <f>IF(Checks!$C245,Data!A245&lt;&gt;"",TRUE)</f>
        <v>1</v>
      </c>
      <c r="N245" s="26" t="b">
        <f>IF(Checks!C245,Data!B245&lt;&gt;"",TRUE)</f>
        <v>1</v>
      </c>
      <c r="O245" s="26" t="b">
        <f>IF(Checks!C245,IF(AND(UPPER(Data!C245)="SERVICE TASK",UPPER(Data!BZ245)="TYPE=SAS"),NodeExists(TRIM(RIGHT(Data!CA245,LEN(Data!CA245)-FIND("=",Data!CA245)))),TRUE),TRUE)</f>
        <v>1</v>
      </c>
      <c r="P245" s="26" t="b">
        <f>IF(Checks!C245,IF(Data!C245="DATA OBJECT",OR(AND(Data!BW245&lt;&gt;"",Data!BX245=""),AND(Data!BW245="",Data!BX245&lt;&gt;"")),TRUE),TRUE)</f>
        <v>1</v>
      </c>
      <c r="Q245" s="26" t="b">
        <f>IF(Checks!C245,UPPER(RIGHT(Data!A245,5))=".BPMN",TRUE)</f>
        <v>1</v>
      </c>
      <c r="R245" s="26" t="b">
        <f>IF(Checks!C245,IF(UPPER(Data!C245)="SUB PROCESS",UPPER(RIGHT(Data!BY245,5))=".BPMN",TRUE),TRUE)</f>
        <v>1</v>
      </c>
      <c r="S245" s="26" t="b">
        <f>IF(Checks!C245,IF(UPPER(Data!C245)="SERVICE TASK",IF(UPPER(Data!BZ245)="TYPE=SAS",UPPER(RIGHT(Data!CA245,4))=".SAS",TRUE),TRUE),TRUE)</f>
        <v>1</v>
      </c>
      <c r="T245" s="26" t="b">
        <f>IF(Checks!C245,IF(Data!B245&lt;&gt;"",Data!D245&lt;&gt;"",TRUE),TRUE)</f>
        <v>1</v>
      </c>
      <c r="U245" s="26" t="b">
        <f ca="1">IF(Checks!C245,IF(UPPER(Data!C245)="DATA OBJECT",NOT(ISERROR(MATCH(Data!A245&amp;"||"&amp;Data!BW245&amp;Data!BX245,Key,0))),TRUE),TRUE)</f>
        <v>1</v>
      </c>
      <c r="V245" s="26" t="b">
        <f>IF(Checks!C245,IF(UPPER(Data!C245)="SUB PROCESS",Data!BY245&lt;&gt;"",TRUE),TRUE)</f>
        <v>1</v>
      </c>
      <c r="W245" s="26" t="b">
        <f>IF(Checks!C245,IF(UPPER(Data!C245)="SERVICE TASK",AND(Data!BZ245&lt;&gt;"",Data!CA245&lt;&gt;""),TRUE),TRUE)</f>
        <v>1</v>
      </c>
      <c r="X245" s="26" t="b">
        <f t="array" aca="1" ref="X245" ca="1">SUM((OFFSET(Data!B245,MAX(ROW(Data!$B$5)-ROW(Data!B245),-200),0,400,1)=Data!B245)*(OFFSET(Data!A245,MAX(ROW(Data!$B$5)-ROW(Data!B245),-200),0,400,1)=Data!A245))=1</f>
        <v>1</v>
      </c>
      <c r="Y245" s="26" t="b">
        <f t="array" aca="1" ref="Y245" ca="1">IF(UPPER(Data!C245)="START",SUM((OFFSET(Data!C245,MAX(ROW(Data!$C$5)-ROW(Data!C245),-200),0,400,1)="START")*(OFFSET(Data!A245,MAX(ROW(Data!$B$5)-ROW(Data!B245),-200),0,400,1)=Data!A245))=1,TRUE)</f>
        <v>1</v>
      </c>
      <c r="Z245" s="26" t="b">
        <f t="array" aca="1" ref="Z245" ca="1">IF(UPPER(Data!C245)="END",SUM((OFFSET(Data!C245,MAX(ROW(Data!$C$5)-ROW(Data!C245),-200),0,400,1)="END")*(OFFSET(Data!A245,MAX(ROW(Data!$B$5)-ROW(Data!B245),-200),0,400,1)=Data!A245))=1,TRUE)</f>
        <v>1</v>
      </c>
      <c r="AA245" s="26" t="b">
        <f>IF(Checks!C245,ISERROR(FIND("&amp;",Data!D245)),TRUE)</f>
        <v>1</v>
      </c>
      <c r="AB245" s="26" t="b">
        <f>IF(Checks!$C245,IF(AND(UPPER(Data!$C245)&lt;&gt;"START",UPPER(Data!$C245)&lt;&gt;"DATA OBJECT",Data!E245&lt;&gt;""),NOT(ISERROR(MATCH(Data!$A245&amp;"||"&amp;Data!E245,Key,0))),TRUE),TRUE)</f>
        <v>1</v>
      </c>
      <c r="AC245" s="27" t="b">
        <f>IF(Checks!C245,IF(UPPER(Data!C245)="END",Data!E245&lt;&gt;"",TRUE),TRUE)</f>
        <v>1</v>
      </c>
    </row>
    <row r="246" spans="1:29" x14ac:dyDescent="0.25">
      <c r="A246" s="1" t="str">
        <f>Data!A246&amp;"||"&amp;Data!B246</f>
        <v>Miscellaneous/subflow/irmifrs9_enrichment_stage2.bpmn||020_00_00</v>
      </c>
      <c r="B246" s="19"/>
      <c r="C246" s="24" t="b">
        <f>AND(UPPER(Data!A246)&lt;&gt;"EMPTY",Data!B246&lt;&gt;"")</f>
        <v>1</v>
      </c>
      <c r="D246" s="1"/>
      <c r="E246" s="25" t="b">
        <f t="shared" ca="1" si="6"/>
        <v>1</v>
      </c>
      <c r="F246" s="26" t="b">
        <f ca="1">IF(UPPER(Data!C246)="SUB PROCESS",NOT(ISERROR(MATCH(RIGHT(Data!BY246,LEN(Data!BY246)-5),OFFSET(Data,0,0,ItemsCount,1),0))),TRUE)</f>
        <v>1</v>
      </c>
      <c r="G246" s="26" t="b">
        <f ca="1">IF(MID(UPPER(Data!A246),1,13)="MISCELLANEOUS",NOT(ISERROR(MATCH("path="&amp;Data!A246,OFFSET(Data,0,76,ItemsCount,1),0))),TRUE)</f>
        <v>1</v>
      </c>
      <c r="L246" s="25" t="b">
        <f t="shared" ca="1" si="7"/>
        <v>1</v>
      </c>
      <c r="M246" s="24" t="b">
        <f>IF(Checks!$C246,Data!A246&lt;&gt;"",TRUE)</f>
        <v>1</v>
      </c>
      <c r="N246" s="26" t="b">
        <f>IF(Checks!C246,Data!B246&lt;&gt;"",TRUE)</f>
        <v>1</v>
      </c>
      <c r="O246" s="26" t="b">
        <f>IF(Checks!C246,IF(AND(UPPER(Data!C246)="SERVICE TASK",UPPER(Data!BZ246)="TYPE=SAS"),NodeExists(TRIM(RIGHT(Data!CA246,LEN(Data!CA246)-FIND("=",Data!CA246)))),TRUE),TRUE)</f>
        <v>1</v>
      </c>
      <c r="P246" s="26" t="b">
        <f>IF(Checks!C246,IF(Data!C246="DATA OBJECT",OR(AND(Data!BW246&lt;&gt;"",Data!BX246=""),AND(Data!BW246="",Data!BX246&lt;&gt;"")),TRUE),TRUE)</f>
        <v>1</v>
      </c>
      <c r="Q246" s="26" t="b">
        <f>IF(Checks!C246,UPPER(RIGHT(Data!A246,5))=".BPMN",TRUE)</f>
        <v>1</v>
      </c>
      <c r="R246" s="26" t="b">
        <f>IF(Checks!C246,IF(UPPER(Data!C246)="SUB PROCESS",UPPER(RIGHT(Data!BY246,5))=".BPMN",TRUE),TRUE)</f>
        <v>1</v>
      </c>
      <c r="S246" s="26" t="b">
        <f>IF(Checks!C246,IF(UPPER(Data!C246)="SERVICE TASK",IF(UPPER(Data!BZ246)="TYPE=SAS",UPPER(RIGHT(Data!CA246,4))=".SAS",TRUE),TRUE),TRUE)</f>
        <v>1</v>
      </c>
      <c r="T246" s="26" t="b">
        <f>IF(Checks!C246,IF(Data!B246&lt;&gt;"",Data!D246&lt;&gt;"",TRUE),TRUE)</f>
        <v>1</v>
      </c>
      <c r="U246" s="26" t="b">
        <f>IF(Checks!C246,IF(UPPER(Data!C246)="DATA OBJECT",NOT(ISERROR(MATCH(Data!A246&amp;"||"&amp;Data!BW246&amp;Data!BX246,Key,0))),TRUE),TRUE)</f>
        <v>1</v>
      </c>
      <c r="V246" s="26" t="b">
        <f>IF(Checks!C246,IF(UPPER(Data!C246)="SUB PROCESS",Data!BY246&lt;&gt;"",TRUE),TRUE)</f>
        <v>1</v>
      </c>
      <c r="W246" s="26" t="b">
        <f>IF(Checks!C246,IF(UPPER(Data!C246)="SERVICE TASK",AND(Data!BZ246&lt;&gt;"",Data!CA246&lt;&gt;""),TRUE),TRUE)</f>
        <v>1</v>
      </c>
      <c r="X246" s="26" t="b">
        <f t="array" aca="1" ref="X246" ca="1">SUM((OFFSET(Data!B246,MAX(ROW(Data!$B$5)-ROW(Data!B246),-200),0,400,1)=Data!B246)*(OFFSET(Data!A246,MAX(ROW(Data!$B$5)-ROW(Data!B246),-200),0,400,1)=Data!A246))=1</f>
        <v>1</v>
      </c>
      <c r="Y246" s="26" t="b">
        <f t="array" aca="1" ref="Y246" ca="1">IF(UPPER(Data!C246)="START",SUM((OFFSET(Data!C246,MAX(ROW(Data!$C$5)-ROW(Data!C246),-200),0,400,1)="START")*(OFFSET(Data!A246,MAX(ROW(Data!$B$5)-ROW(Data!B246),-200),0,400,1)=Data!A246))=1,TRUE)</f>
        <v>1</v>
      </c>
      <c r="Z246" s="26" t="b">
        <f t="array" aca="1" ref="Z246" ca="1">IF(UPPER(Data!C246)="END",SUM((OFFSET(Data!C246,MAX(ROW(Data!$C$5)-ROW(Data!C246),-200),0,400,1)="END")*(OFFSET(Data!A246,MAX(ROW(Data!$B$5)-ROW(Data!B246),-200),0,400,1)=Data!A246))=1,TRUE)</f>
        <v>1</v>
      </c>
      <c r="AA246" s="26" t="b">
        <f>IF(Checks!C246,ISERROR(FIND("&amp;",Data!D246)),TRUE)</f>
        <v>1</v>
      </c>
      <c r="AB246" s="26" t="b">
        <f ca="1">IF(Checks!$C246,IF(AND(UPPER(Data!$C246)&lt;&gt;"START",UPPER(Data!$C246)&lt;&gt;"DATA OBJECT",Data!E246&lt;&gt;""),NOT(ISERROR(MATCH(Data!$A246&amp;"||"&amp;Data!E246,Key,0))),TRUE),TRUE)</f>
        <v>1</v>
      </c>
      <c r="AC246" s="27" t="b">
        <f>IF(Checks!C246,IF(UPPER(Data!C246)="END",Data!E246&lt;&gt;"",TRUE),TRUE)</f>
        <v>1</v>
      </c>
    </row>
    <row r="247" spans="1:29" x14ac:dyDescent="0.25">
      <c r="A247" s="1" t="str">
        <f>Data!A247&amp;"||"&amp;Data!B247</f>
        <v>Miscellaneous/subflow/irmifrs9_enrichment_stage2.bpmn||020_00_01</v>
      </c>
      <c r="B247" s="19"/>
      <c r="C247" s="24" t="b">
        <f>AND(UPPER(Data!A247)&lt;&gt;"EMPTY",Data!B247&lt;&gt;"")</f>
        <v>1</v>
      </c>
      <c r="D247" s="1"/>
      <c r="E247" s="25" t="b">
        <f t="shared" ca="1" si="6"/>
        <v>1</v>
      </c>
      <c r="F247" s="26" t="b">
        <f ca="1">IF(UPPER(Data!C247)="SUB PROCESS",NOT(ISERROR(MATCH(RIGHT(Data!BY247,LEN(Data!BY247)-5),OFFSET(Data,0,0,ItemsCount,1),0))),TRUE)</f>
        <v>1</v>
      </c>
      <c r="G247" s="26" t="b">
        <f ca="1">IF(MID(UPPER(Data!A247),1,13)="MISCELLANEOUS",NOT(ISERROR(MATCH("path="&amp;Data!A247,OFFSET(Data,0,76,ItemsCount,1),0))),TRUE)</f>
        <v>1</v>
      </c>
      <c r="L247" s="25" t="b">
        <f t="shared" ca="1" si="7"/>
        <v>1</v>
      </c>
      <c r="M247" s="24" t="b">
        <f>IF(Checks!$C247,Data!A247&lt;&gt;"",TRUE)</f>
        <v>1</v>
      </c>
      <c r="N247" s="26" t="b">
        <f>IF(Checks!C247,Data!B247&lt;&gt;"",TRUE)</f>
        <v>1</v>
      </c>
      <c r="O247" s="26" t="b">
        <f>IF(Checks!C247,IF(AND(UPPER(Data!C247)="SERVICE TASK",UPPER(Data!BZ247)="TYPE=SAS"),NodeExists(TRIM(RIGHT(Data!CA247,LEN(Data!CA247)-FIND("=",Data!CA247)))),TRUE),TRUE)</f>
        <v>1</v>
      </c>
      <c r="P247" s="26" t="b">
        <f>IF(Checks!C247,IF(Data!C247="DATA OBJECT",OR(AND(Data!BW247&lt;&gt;"",Data!BX247=""),AND(Data!BW247="",Data!BX247&lt;&gt;"")),TRUE),TRUE)</f>
        <v>1</v>
      </c>
      <c r="Q247" s="26" t="b">
        <f>IF(Checks!C247,UPPER(RIGHT(Data!A247,5))=".BPMN",TRUE)</f>
        <v>1</v>
      </c>
      <c r="R247" s="26" t="b">
        <f>IF(Checks!C247,IF(UPPER(Data!C247)="SUB PROCESS",UPPER(RIGHT(Data!BY247,5))=".BPMN",TRUE),TRUE)</f>
        <v>1</v>
      </c>
      <c r="S247" s="26" t="b">
        <f>IF(Checks!C247,IF(UPPER(Data!C247)="SERVICE TASK",IF(UPPER(Data!BZ247)="TYPE=SAS",UPPER(RIGHT(Data!CA247,4))=".SAS",TRUE),TRUE),TRUE)</f>
        <v>1</v>
      </c>
      <c r="T247" s="26" t="b">
        <f>IF(Checks!C247,IF(Data!B247&lt;&gt;"",Data!D247&lt;&gt;"",TRUE),TRUE)</f>
        <v>1</v>
      </c>
      <c r="U247" s="26" t="b">
        <f ca="1">IF(Checks!C247,IF(UPPER(Data!C247)="DATA OBJECT",NOT(ISERROR(MATCH(Data!A247&amp;"||"&amp;Data!BW247&amp;Data!BX247,Key,0))),TRUE),TRUE)</f>
        <v>1</v>
      </c>
      <c r="V247" s="26" t="b">
        <f>IF(Checks!C247,IF(UPPER(Data!C247)="SUB PROCESS",Data!BY247&lt;&gt;"",TRUE),TRUE)</f>
        <v>1</v>
      </c>
      <c r="W247" s="26" t="b">
        <f>IF(Checks!C247,IF(UPPER(Data!C247)="SERVICE TASK",AND(Data!BZ247&lt;&gt;"",Data!CA247&lt;&gt;""),TRUE),TRUE)</f>
        <v>1</v>
      </c>
      <c r="X247" s="26" t="b">
        <f t="array" aca="1" ref="X247" ca="1">SUM((OFFSET(Data!B247,MAX(ROW(Data!$B$5)-ROW(Data!B247),-200),0,400,1)=Data!B247)*(OFFSET(Data!A247,MAX(ROW(Data!$B$5)-ROW(Data!B247),-200),0,400,1)=Data!A247))=1</f>
        <v>1</v>
      </c>
      <c r="Y247" s="26" t="b">
        <f t="array" aca="1" ref="Y247" ca="1">IF(UPPER(Data!C247)="START",SUM((OFFSET(Data!C247,MAX(ROW(Data!$C$5)-ROW(Data!C247),-200),0,400,1)="START")*(OFFSET(Data!A247,MAX(ROW(Data!$B$5)-ROW(Data!B247),-200),0,400,1)=Data!A247))=1,TRUE)</f>
        <v>1</v>
      </c>
      <c r="Z247" s="26" t="b">
        <f t="array" aca="1" ref="Z247" ca="1">IF(UPPER(Data!C247)="END",SUM((OFFSET(Data!C247,MAX(ROW(Data!$C$5)-ROW(Data!C247),-200),0,400,1)="END")*(OFFSET(Data!A247,MAX(ROW(Data!$B$5)-ROW(Data!B247),-200),0,400,1)=Data!A247))=1,TRUE)</f>
        <v>1</v>
      </c>
      <c r="AA247" s="26" t="b">
        <f>IF(Checks!C247,ISERROR(FIND("&amp;",Data!D247)),TRUE)</f>
        <v>1</v>
      </c>
      <c r="AB247" s="26" t="b">
        <f>IF(Checks!$C247,IF(AND(UPPER(Data!$C247)&lt;&gt;"START",UPPER(Data!$C247)&lt;&gt;"DATA OBJECT",Data!E247&lt;&gt;""),NOT(ISERROR(MATCH(Data!$A247&amp;"||"&amp;Data!E247,Key,0))),TRUE),TRUE)</f>
        <v>1</v>
      </c>
      <c r="AC247" s="27" t="b">
        <f>IF(Checks!C247,IF(UPPER(Data!C247)="END",Data!E247&lt;&gt;"",TRUE),TRUE)</f>
        <v>1</v>
      </c>
    </row>
    <row r="248" spans="1:29" x14ac:dyDescent="0.25">
      <c r="A248" s="1" t="str">
        <f>Data!A248&amp;"||"&amp;Data!B248</f>
        <v>Miscellaneous/subflow/irmifrs9_enrichment_stage2.bpmn||020_00_02</v>
      </c>
      <c r="B248" s="19"/>
      <c r="C248" s="24" t="b">
        <f>AND(UPPER(Data!A248)&lt;&gt;"EMPTY",Data!B248&lt;&gt;"")</f>
        <v>1</v>
      </c>
      <c r="D248" s="1"/>
      <c r="E248" s="25" t="b">
        <f t="shared" ca="1" si="6"/>
        <v>1</v>
      </c>
      <c r="F248" s="26" t="b">
        <f ca="1">IF(UPPER(Data!C248)="SUB PROCESS",NOT(ISERROR(MATCH(RIGHT(Data!BY248,LEN(Data!BY248)-5),OFFSET(Data,0,0,ItemsCount,1),0))),TRUE)</f>
        <v>1</v>
      </c>
      <c r="G248" s="26" t="b">
        <f ca="1">IF(MID(UPPER(Data!A248),1,13)="MISCELLANEOUS",NOT(ISERROR(MATCH("path="&amp;Data!A248,OFFSET(Data,0,76,ItemsCount,1),0))),TRUE)</f>
        <v>1</v>
      </c>
      <c r="L248" s="25" t="b">
        <f t="shared" ca="1" si="7"/>
        <v>1</v>
      </c>
      <c r="M248" s="24" t="b">
        <f>IF(Checks!$C248,Data!A248&lt;&gt;"",TRUE)</f>
        <v>1</v>
      </c>
      <c r="N248" s="26" t="b">
        <f>IF(Checks!C248,Data!B248&lt;&gt;"",TRUE)</f>
        <v>1</v>
      </c>
      <c r="O248" s="26" t="b">
        <f>IF(Checks!C248,IF(AND(UPPER(Data!C248)="SERVICE TASK",UPPER(Data!BZ248)="TYPE=SAS"),NodeExists(TRIM(RIGHT(Data!CA248,LEN(Data!CA248)-FIND("=",Data!CA248)))),TRUE),TRUE)</f>
        <v>1</v>
      </c>
      <c r="P248" s="26" t="b">
        <f>IF(Checks!C248,IF(Data!C248="DATA OBJECT",OR(AND(Data!BW248&lt;&gt;"",Data!BX248=""),AND(Data!BW248="",Data!BX248&lt;&gt;"")),TRUE),TRUE)</f>
        <v>1</v>
      </c>
      <c r="Q248" s="26" t="b">
        <f>IF(Checks!C248,UPPER(RIGHT(Data!A248,5))=".BPMN",TRUE)</f>
        <v>1</v>
      </c>
      <c r="R248" s="26" t="b">
        <f>IF(Checks!C248,IF(UPPER(Data!C248)="SUB PROCESS",UPPER(RIGHT(Data!BY248,5))=".BPMN",TRUE),TRUE)</f>
        <v>1</v>
      </c>
      <c r="S248" s="26" t="b">
        <f>IF(Checks!C248,IF(UPPER(Data!C248)="SERVICE TASK",IF(UPPER(Data!BZ248)="TYPE=SAS",UPPER(RIGHT(Data!CA248,4))=".SAS",TRUE),TRUE),TRUE)</f>
        <v>1</v>
      </c>
      <c r="T248" s="26" t="b">
        <f>IF(Checks!C248,IF(Data!B248&lt;&gt;"",Data!D248&lt;&gt;"",TRUE),TRUE)</f>
        <v>1</v>
      </c>
      <c r="U248" s="26" t="b">
        <f ca="1">IF(Checks!C248,IF(UPPER(Data!C248)="DATA OBJECT",NOT(ISERROR(MATCH(Data!A248&amp;"||"&amp;Data!BW248&amp;Data!BX248,Key,0))),TRUE),TRUE)</f>
        <v>1</v>
      </c>
      <c r="V248" s="26" t="b">
        <f>IF(Checks!C248,IF(UPPER(Data!C248)="SUB PROCESS",Data!BY248&lt;&gt;"",TRUE),TRUE)</f>
        <v>1</v>
      </c>
      <c r="W248" s="26" t="b">
        <f>IF(Checks!C248,IF(UPPER(Data!C248)="SERVICE TASK",AND(Data!BZ248&lt;&gt;"",Data!CA248&lt;&gt;""),TRUE),TRUE)</f>
        <v>1</v>
      </c>
      <c r="X248" s="26" t="b">
        <f t="array" aca="1" ref="X248" ca="1">SUM((OFFSET(Data!B248,MAX(ROW(Data!$B$5)-ROW(Data!B248),-200),0,400,1)=Data!B248)*(OFFSET(Data!A248,MAX(ROW(Data!$B$5)-ROW(Data!B248),-200),0,400,1)=Data!A248))=1</f>
        <v>1</v>
      </c>
      <c r="Y248" s="26" t="b">
        <f t="array" aca="1" ref="Y248" ca="1">IF(UPPER(Data!C248)="START",SUM((OFFSET(Data!C248,MAX(ROW(Data!$C$5)-ROW(Data!C248),-200),0,400,1)="START")*(OFFSET(Data!A248,MAX(ROW(Data!$B$5)-ROW(Data!B248),-200),0,400,1)=Data!A248))=1,TRUE)</f>
        <v>1</v>
      </c>
      <c r="Z248" s="26" t="b">
        <f t="array" aca="1" ref="Z248" ca="1">IF(UPPER(Data!C248)="END",SUM((OFFSET(Data!C248,MAX(ROW(Data!$C$5)-ROW(Data!C248),-200),0,400,1)="END")*(OFFSET(Data!A248,MAX(ROW(Data!$B$5)-ROW(Data!B248),-200),0,400,1)=Data!A248))=1,TRUE)</f>
        <v>1</v>
      </c>
      <c r="AA248" s="26" t="b">
        <f>IF(Checks!C248,ISERROR(FIND("&amp;",Data!D248)),TRUE)</f>
        <v>1</v>
      </c>
      <c r="AB248" s="26" t="b">
        <f>IF(Checks!$C248,IF(AND(UPPER(Data!$C248)&lt;&gt;"START",UPPER(Data!$C248)&lt;&gt;"DATA OBJECT",Data!E248&lt;&gt;""),NOT(ISERROR(MATCH(Data!$A248&amp;"||"&amp;Data!E248,Key,0))),TRUE),TRUE)</f>
        <v>1</v>
      </c>
      <c r="AC248" s="27" t="b">
        <f>IF(Checks!C248,IF(UPPER(Data!C248)="END",Data!E248&lt;&gt;"",TRUE),TRUE)</f>
        <v>1</v>
      </c>
    </row>
    <row r="249" spans="1:29" x14ac:dyDescent="0.25">
      <c r="A249" s="1" t="str">
        <f>Data!A249&amp;"||"&amp;Data!B249</f>
        <v>Miscellaneous/subflow/irmifrs9_enrichment_stage2.bpmn||020_00_03</v>
      </c>
      <c r="B249" s="19"/>
      <c r="C249" s="24" t="b">
        <f>AND(UPPER(Data!A249)&lt;&gt;"EMPTY",Data!B249&lt;&gt;"")</f>
        <v>1</v>
      </c>
      <c r="D249" s="1"/>
      <c r="E249" s="25" t="b">
        <f t="shared" ca="1" si="6"/>
        <v>1</v>
      </c>
      <c r="F249" s="26" t="b">
        <f ca="1">IF(UPPER(Data!C249)="SUB PROCESS",NOT(ISERROR(MATCH(RIGHT(Data!BY249,LEN(Data!BY249)-5),OFFSET(Data,0,0,ItemsCount,1),0))),TRUE)</f>
        <v>1</v>
      </c>
      <c r="G249" s="26" t="b">
        <f ca="1">IF(MID(UPPER(Data!A249),1,13)="MISCELLANEOUS",NOT(ISERROR(MATCH("path="&amp;Data!A249,OFFSET(Data,0,76,ItemsCount,1),0))),TRUE)</f>
        <v>1</v>
      </c>
      <c r="L249" s="25" t="b">
        <f t="shared" ca="1" si="7"/>
        <v>1</v>
      </c>
      <c r="M249" s="24" t="b">
        <f>IF(Checks!$C249,Data!A249&lt;&gt;"",TRUE)</f>
        <v>1</v>
      </c>
      <c r="N249" s="26" t="b">
        <f>IF(Checks!C249,Data!B249&lt;&gt;"",TRUE)</f>
        <v>1</v>
      </c>
      <c r="O249" s="26" t="b">
        <f>IF(Checks!C249,IF(AND(UPPER(Data!C249)="SERVICE TASK",UPPER(Data!BZ249)="TYPE=SAS"),NodeExists(TRIM(RIGHT(Data!CA249,LEN(Data!CA249)-FIND("=",Data!CA249)))),TRUE),TRUE)</f>
        <v>1</v>
      </c>
      <c r="P249" s="26" t="b">
        <f>IF(Checks!C249,IF(Data!C249="DATA OBJECT",OR(AND(Data!BW249&lt;&gt;"",Data!BX249=""),AND(Data!BW249="",Data!BX249&lt;&gt;"")),TRUE),TRUE)</f>
        <v>1</v>
      </c>
      <c r="Q249" s="26" t="b">
        <f>IF(Checks!C249,UPPER(RIGHT(Data!A249,5))=".BPMN",TRUE)</f>
        <v>1</v>
      </c>
      <c r="R249" s="26" t="b">
        <f>IF(Checks!C249,IF(UPPER(Data!C249)="SUB PROCESS",UPPER(RIGHT(Data!BY249,5))=".BPMN",TRUE),TRUE)</f>
        <v>1</v>
      </c>
      <c r="S249" s="26" t="b">
        <f>IF(Checks!C249,IF(UPPER(Data!C249)="SERVICE TASK",IF(UPPER(Data!BZ249)="TYPE=SAS",UPPER(RIGHT(Data!CA249,4))=".SAS",TRUE),TRUE),TRUE)</f>
        <v>1</v>
      </c>
      <c r="T249" s="26" t="b">
        <f>IF(Checks!C249,IF(Data!B249&lt;&gt;"",Data!D249&lt;&gt;"",TRUE),TRUE)</f>
        <v>1</v>
      </c>
      <c r="U249" s="26" t="b">
        <f ca="1">IF(Checks!C249,IF(UPPER(Data!C249)="DATA OBJECT",NOT(ISERROR(MATCH(Data!A249&amp;"||"&amp;Data!BW249&amp;Data!BX249,Key,0))),TRUE),TRUE)</f>
        <v>1</v>
      </c>
      <c r="V249" s="26" t="b">
        <f>IF(Checks!C249,IF(UPPER(Data!C249)="SUB PROCESS",Data!BY249&lt;&gt;"",TRUE),TRUE)</f>
        <v>1</v>
      </c>
      <c r="W249" s="26" t="b">
        <f>IF(Checks!C249,IF(UPPER(Data!C249)="SERVICE TASK",AND(Data!BZ249&lt;&gt;"",Data!CA249&lt;&gt;""),TRUE),TRUE)</f>
        <v>1</v>
      </c>
      <c r="X249" s="26" t="b">
        <f t="array" aca="1" ref="X249" ca="1">SUM((OFFSET(Data!B249,MAX(ROW(Data!$B$5)-ROW(Data!B249),-200),0,400,1)=Data!B249)*(OFFSET(Data!A249,MAX(ROW(Data!$B$5)-ROW(Data!B249),-200),0,400,1)=Data!A249))=1</f>
        <v>1</v>
      </c>
      <c r="Y249" s="26" t="b">
        <f t="array" aca="1" ref="Y249" ca="1">IF(UPPER(Data!C249)="START",SUM((OFFSET(Data!C249,MAX(ROW(Data!$C$5)-ROW(Data!C249),-200),0,400,1)="START")*(OFFSET(Data!A249,MAX(ROW(Data!$B$5)-ROW(Data!B249),-200),0,400,1)=Data!A249))=1,TRUE)</f>
        <v>1</v>
      </c>
      <c r="Z249" s="26" t="b">
        <f t="array" aca="1" ref="Z249" ca="1">IF(UPPER(Data!C249)="END",SUM((OFFSET(Data!C249,MAX(ROW(Data!$C$5)-ROW(Data!C249),-200),0,400,1)="END")*(OFFSET(Data!A249,MAX(ROW(Data!$B$5)-ROW(Data!B249),-200),0,400,1)=Data!A249))=1,TRUE)</f>
        <v>1</v>
      </c>
      <c r="AA249" s="26" t="b">
        <f>IF(Checks!C249,ISERROR(FIND("&amp;",Data!D249)),TRUE)</f>
        <v>1</v>
      </c>
      <c r="AB249" s="26" t="b">
        <f>IF(Checks!$C249,IF(AND(UPPER(Data!$C249)&lt;&gt;"START",UPPER(Data!$C249)&lt;&gt;"DATA OBJECT",Data!E249&lt;&gt;""),NOT(ISERROR(MATCH(Data!$A249&amp;"||"&amp;Data!E249,Key,0))),TRUE),TRUE)</f>
        <v>1</v>
      </c>
      <c r="AC249" s="27" t="b">
        <f>IF(Checks!C249,IF(UPPER(Data!C249)="END",Data!E249&lt;&gt;"",TRUE),TRUE)</f>
        <v>1</v>
      </c>
    </row>
    <row r="250" spans="1:29" x14ac:dyDescent="0.25">
      <c r="A250" s="1" t="str">
        <f>Data!A250&amp;"||"&amp;Data!B250</f>
        <v>Miscellaneous/subflow/irmifrs9_enrichment_stage2.bpmn||020_00_04</v>
      </c>
      <c r="B250" s="19"/>
      <c r="C250" s="24" t="b">
        <f>AND(UPPER(Data!A250)&lt;&gt;"EMPTY",Data!B250&lt;&gt;"")</f>
        <v>1</v>
      </c>
      <c r="D250" s="1"/>
      <c r="E250" s="25" t="b">
        <f t="shared" ca="1" si="6"/>
        <v>1</v>
      </c>
      <c r="F250" s="26" t="b">
        <f ca="1">IF(UPPER(Data!C250)="SUB PROCESS",NOT(ISERROR(MATCH(RIGHT(Data!BY250,LEN(Data!BY250)-5),OFFSET(Data,0,0,ItemsCount,1),0))),TRUE)</f>
        <v>1</v>
      </c>
      <c r="G250" s="26" t="b">
        <f ca="1">IF(MID(UPPER(Data!A250),1,13)="MISCELLANEOUS",NOT(ISERROR(MATCH("path="&amp;Data!A250,OFFSET(Data,0,76,ItemsCount,1),0))),TRUE)</f>
        <v>1</v>
      </c>
      <c r="L250" s="25" t="b">
        <f t="shared" ca="1" si="7"/>
        <v>1</v>
      </c>
      <c r="M250" s="24" t="b">
        <f>IF(Checks!$C250,Data!A250&lt;&gt;"",TRUE)</f>
        <v>1</v>
      </c>
      <c r="N250" s="26" t="b">
        <f>IF(Checks!C250,Data!B250&lt;&gt;"",TRUE)</f>
        <v>1</v>
      </c>
      <c r="O250" s="26" t="b">
        <f>IF(Checks!C250,IF(AND(UPPER(Data!C250)="SERVICE TASK",UPPER(Data!BZ250)="TYPE=SAS"),NodeExists(TRIM(RIGHT(Data!CA250,LEN(Data!CA250)-FIND("=",Data!CA250)))),TRUE),TRUE)</f>
        <v>1</v>
      </c>
      <c r="P250" s="26" t="b">
        <f>IF(Checks!C250,IF(Data!C250="DATA OBJECT",OR(AND(Data!BW250&lt;&gt;"",Data!BX250=""),AND(Data!BW250="",Data!BX250&lt;&gt;"")),TRUE),TRUE)</f>
        <v>1</v>
      </c>
      <c r="Q250" s="26" t="b">
        <f>IF(Checks!C250,UPPER(RIGHT(Data!A250,5))=".BPMN",TRUE)</f>
        <v>1</v>
      </c>
      <c r="R250" s="26" t="b">
        <f>IF(Checks!C250,IF(UPPER(Data!C250)="SUB PROCESS",UPPER(RIGHT(Data!BY250,5))=".BPMN",TRUE),TRUE)</f>
        <v>1</v>
      </c>
      <c r="S250" s="26" t="b">
        <f>IF(Checks!C250,IF(UPPER(Data!C250)="SERVICE TASK",IF(UPPER(Data!BZ250)="TYPE=SAS",UPPER(RIGHT(Data!CA250,4))=".SAS",TRUE),TRUE),TRUE)</f>
        <v>1</v>
      </c>
      <c r="T250" s="26" t="b">
        <f>IF(Checks!C250,IF(Data!B250&lt;&gt;"",Data!D250&lt;&gt;"",TRUE),TRUE)</f>
        <v>1</v>
      </c>
      <c r="U250" s="26" t="b">
        <f ca="1">IF(Checks!C250,IF(UPPER(Data!C250)="DATA OBJECT",NOT(ISERROR(MATCH(Data!A250&amp;"||"&amp;Data!BW250&amp;Data!BX250,Key,0))),TRUE),TRUE)</f>
        <v>1</v>
      </c>
      <c r="V250" s="26" t="b">
        <f>IF(Checks!C250,IF(UPPER(Data!C250)="SUB PROCESS",Data!BY250&lt;&gt;"",TRUE),TRUE)</f>
        <v>1</v>
      </c>
      <c r="W250" s="26" t="b">
        <f>IF(Checks!C250,IF(UPPER(Data!C250)="SERVICE TASK",AND(Data!BZ250&lt;&gt;"",Data!CA250&lt;&gt;""),TRUE),TRUE)</f>
        <v>1</v>
      </c>
      <c r="X250" s="26" t="b">
        <f t="array" aca="1" ref="X250" ca="1">SUM((OFFSET(Data!B250,MAX(ROW(Data!$B$5)-ROW(Data!B250),-200),0,400,1)=Data!B250)*(OFFSET(Data!A250,MAX(ROW(Data!$B$5)-ROW(Data!B250),-200),0,400,1)=Data!A250))=1</f>
        <v>1</v>
      </c>
      <c r="Y250" s="26" t="b">
        <f t="array" aca="1" ref="Y250" ca="1">IF(UPPER(Data!C250)="START",SUM((OFFSET(Data!C250,MAX(ROW(Data!$C$5)-ROW(Data!C250),-200),0,400,1)="START")*(OFFSET(Data!A250,MAX(ROW(Data!$B$5)-ROW(Data!B250),-200),0,400,1)=Data!A250))=1,TRUE)</f>
        <v>1</v>
      </c>
      <c r="Z250" s="26" t="b">
        <f t="array" aca="1" ref="Z250" ca="1">IF(UPPER(Data!C250)="END",SUM((OFFSET(Data!C250,MAX(ROW(Data!$C$5)-ROW(Data!C250),-200),0,400,1)="END")*(OFFSET(Data!A250,MAX(ROW(Data!$B$5)-ROW(Data!B250),-200),0,400,1)=Data!A250))=1,TRUE)</f>
        <v>1</v>
      </c>
      <c r="AA250" s="26" t="b">
        <f>IF(Checks!C250,ISERROR(FIND("&amp;",Data!D250)),TRUE)</f>
        <v>1</v>
      </c>
      <c r="AB250" s="26" t="b">
        <f>IF(Checks!$C250,IF(AND(UPPER(Data!$C250)&lt;&gt;"START",UPPER(Data!$C250)&lt;&gt;"DATA OBJECT",Data!E250&lt;&gt;""),NOT(ISERROR(MATCH(Data!$A250&amp;"||"&amp;Data!E250,Key,0))),TRUE),TRUE)</f>
        <v>1</v>
      </c>
      <c r="AC250" s="27" t="b">
        <f>IF(Checks!C250,IF(UPPER(Data!C250)="END",Data!E250&lt;&gt;"",TRUE),TRUE)</f>
        <v>1</v>
      </c>
    </row>
    <row r="251" spans="1:29" x14ac:dyDescent="0.25">
      <c r="A251" s="1" t="str">
        <f>Data!A251&amp;"||"&amp;Data!B251</f>
        <v>Miscellaneous/subflow/irmifrs9_enrichment_stage2.bpmn||020_00_05</v>
      </c>
      <c r="B251" s="19"/>
      <c r="C251" s="24" t="b">
        <f>AND(UPPER(Data!A251)&lt;&gt;"EMPTY",Data!B251&lt;&gt;"")</f>
        <v>1</v>
      </c>
      <c r="D251" s="1"/>
      <c r="E251" s="25" t="b">
        <f t="shared" ca="1" si="6"/>
        <v>1</v>
      </c>
      <c r="F251" s="26" t="b">
        <f ca="1">IF(UPPER(Data!C251)="SUB PROCESS",NOT(ISERROR(MATCH(RIGHT(Data!BY251,LEN(Data!BY251)-5),OFFSET(Data,0,0,ItemsCount,1),0))),TRUE)</f>
        <v>1</v>
      </c>
      <c r="G251" s="26" t="b">
        <f ca="1">IF(MID(UPPER(Data!A251),1,13)="MISCELLANEOUS",NOT(ISERROR(MATCH("path="&amp;Data!A251,OFFSET(Data,0,76,ItemsCount,1),0))),TRUE)</f>
        <v>1</v>
      </c>
      <c r="L251" s="25" t="b">
        <f t="shared" ca="1" si="7"/>
        <v>1</v>
      </c>
      <c r="M251" s="24" t="b">
        <f>IF(Checks!$C251,Data!A251&lt;&gt;"",TRUE)</f>
        <v>1</v>
      </c>
      <c r="N251" s="26" t="b">
        <f>IF(Checks!C251,Data!B251&lt;&gt;"",TRUE)</f>
        <v>1</v>
      </c>
      <c r="O251" s="26" t="b">
        <f>IF(Checks!C251,IF(AND(UPPER(Data!C251)="SERVICE TASK",UPPER(Data!BZ251)="TYPE=SAS"),NodeExists(TRIM(RIGHT(Data!CA251,LEN(Data!CA251)-FIND("=",Data!CA251)))),TRUE),TRUE)</f>
        <v>1</v>
      </c>
      <c r="P251" s="26" t="b">
        <f>IF(Checks!C251,IF(Data!C251="DATA OBJECT",OR(AND(Data!BW251&lt;&gt;"",Data!BX251=""),AND(Data!BW251="",Data!BX251&lt;&gt;"")),TRUE),TRUE)</f>
        <v>1</v>
      </c>
      <c r="Q251" s="26" t="b">
        <f>IF(Checks!C251,UPPER(RIGHT(Data!A251,5))=".BPMN",TRUE)</f>
        <v>1</v>
      </c>
      <c r="R251" s="26" t="b">
        <f>IF(Checks!C251,IF(UPPER(Data!C251)="SUB PROCESS",UPPER(RIGHT(Data!BY251,5))=".BPMN",TRUE),TRUE)</f>
        <v>1</v>
      </c>
      <c r="S251" s="26" t="b">
        <f>IF(Checks!C251,IF(UPPER(Data!C251)="SERVICE TASK",IF(UPPER(Data!BZ251)="TYPE=SAS",UPPER(RIGHT(Data!CA251,4))=".SAS",TRUE),TRUE),TRUE)</f>
        <v>1</v>
      </c>
      <c r="T251" s="26" t="b">
        <f>IF(Checks!C251,IF(Data!B251&lt;&gt;"",Data!D251&lt;&gt;"",TRUE),TRUE)</f>
        <v>1</v>
      </c>
      <c r="U251" s="26" t="b">
        <f ca="1">IF(Checks!C251,IF(UPPER(Data!C251)="DATA OBJECT",NOT(ISERROR(MATCH(Data!A251&amp;"||"&amp;Data!BW251&amp;Data!BX251,Key,0))),TRUE),TRUE)</f>
        <v>1</v>
      </c>
      <c r="V251" s="26" t="b">
        <f>IF(Checks!C251,IF(UPPER(Data!C251)="SUB PROCESS",Data!BY251&lt;&gt;"",TRUE),TRUE)</f>
        <v>1</v>
      </c>
      <c r="W251" s="26" t="b">
        <f>IF(Checks!C251,IF(UPPER(Data!C251)="SERVICE TASK",AND(Data!BZ251&lt;&gt;"",Data!CA251&lt;&gt;""),TRUE),TRUE)</f>
        <v>1</v>
      </c>
      <c r="X251" s="26" t="b">
        <f t="array" aca="1" ref="X251" ca="1">SUM((OFFSET(Data!B251,MAX(ROW(Data!$B$5)-ROW(Data!B251),-200),0,400,1)=Data!B251)*(OFFSET(Data!A251,MAX(ROW(Data!$B$5)-ROW(Data!B251),-200),0,400,1)=Data!A251))=1</f>
        <v>1</v>
      </c>
      <c r="Y251" s="26" t="b">
        <f t="array" aca="1" ref="Y251" ca="1">IF(UPPER(Data!C251)="START",SUM((OFFSET(Data!C251,MAX(ROW(Data!$C$5)-ROW(Data!C251),-200),0,400,1)="START")*(OFFSET(Data!A251,MAX(ROW(Data!$B$5)-ROW(Data!B251),-200),0,400,1)=Data!A251))=1,TRUE)</f>
        <v>1</v>
      </c>
      <c r="Z251" s="26" t="b">
        <f t="array" aca="1" ref="Z251" ca="1">IF(UPPER(Data!C251)="END",SUM((OFFSET(Data!C251,MAX(ROW(Data!$C$5)-ROW(Data!C251),-200),0,400,1)="END")*(OFFSET(Data!A251,MAX(ROW(Data!$B$5)-ROW(Data!B251),-200),0,400,1)=Data!A251))=1,TRUE)</f>
        <v>1</v>
      </c>
      <c r="AA251" s="26" t="b">
        <f>IF(Checks!C251,ISERROR(FIND("&amp;",Data!D251)),TRUE)</f>
        <v>1</v>
      </c>
      <c r="AB251" s="26" t="b">
        <f>IF(Checks!$C251,IF(AND(UPPER(Data!$C251)&lt;&gt;"START",UPPER(Data!$C251)&lt;&gt;"DATA OBJECT",Data!E251&lt;&gt;""),NOT(ISERROR(MATCH(Data!$A251&amp;"||"&amp;Data!E251,Key,0))),TRUE),TRUE)</f>
        <v>1</v>
      </c>
      <c r="AC251" s="27" t="b">
        <f>IF(Checks!C251,IF(UPPER(Data!C251)="END",Data!E251&lt;&gt;"",TRUE),TRUE)</f>
        <v>1</v>
      </c>
    </row>
    <row r="252" spans="1:29" x14ac:dyDescent="0.25">
      <c r="A252" s="1" t="str">
        <f>Data!A252&amp;"||"&amp;Data!B252</f>
        <v>Miscellaneous/subflow/irmifrs9_enrichment_stage2.bpmn||020_00_06</v>
      </c>
      <c r="B252" s="19"/>
      <c r="C252" s="24" t="b">
        <f>AND(UPPER(Data!A252)&lt;&gt;"EMPTY",Data!B252&lt;&gt;"")</f>
        <v>1</v>
      </c>
      <c r="D252" s="1"/>
      <c r="E252" s="25" t="b">
        <f t="shared" ca="1" si="6"/>
        <v>1</v>
      </c>
      <c r="F252" s="26" t="b">
        <f ca="1">IF(UPPER(Data!C252)="SUB PROCESS",NOT(ISERROR(MATCH(RIGHT(Data!BY252,LEN(Data!BY252)-5),OFFSET(Data,0,0,ItemsCount,1),0))),TRUE)</f>
        <v>1</v>
      </c>
      <c r="G252" s="26" t="b">
        <f ca="1">IF(MID(UPPER(Data!A252),1,13)="MISCELLANEOUS",NOT(ISERROR(MATCH("path="&amp;Data!A252,OFFSET(Data,0,76,ItemsCount,1),0))),TRUE)</f>
        <v>1</v>
      </c>
      <c r="L252" s="25" t="b">
        <f t="shared" ca="1" si="7"/>
        <v>1</v>
      </c>
      <c r="M252" s="24" t="b">
        <f>IF(Checks!$C252,Data!A252&lt;&gt;"",TRUE)</f>
        <v>1</v>
      </c>
      <c r="N252" s="26" t="b">
        <f>IF(Checks!C252,Data!B252&lt;&gt;"",TRUE)</f>
        <v>1</v>
      </c>
      <c r="O252" s="26" t="b">
        <f>IF(Checks!C252,IF(AND(UPPER(Data!C252)="SERVICE TASK",UPPER(Data!BZ252)="TYPE=SAS"),NodeExists(TRIM(RIGHT(Data!CA252,LEN(Data!CA252)-FIND("=",Data!CA252)))),TRUE),TRUE)</f>
        <v>1</v>
      </c>
      <c r="P252" s="26" t="b">
        <f>IF(Checks!C252,IF(Data!C252="DATA OBJECT",OR(AND(Data!BW252&lt;&gt;"",Data!BX252=""),AND(Data!BW252="",Data!BX252&lt;&gt;"")),TRUE),TRUE)</f>
        <v>1</v>
      </c>
      <c r="Q252" s="26" t="b">
        <f>IF(Checks!C252,UPPER(RIGHT(Data!A252,5))=".BPMN",TRUE)</f>
        <v>1</v>
      </c>
      <c r="R252" s="26" t="b">
        <f>IF(Checks!C252,IF(UPPER(Data!C252)="SUB PROCESS",UPPER(RIGHT(Data!BY252,5))=".BPMN",TRUE),TRUE)</f>
        <v>1</v>
      </c>
      <c r="S252" s="26" t="b">
        <f>IF(Checks!C252,IF(UPPER(Data!C252)="SERVICE TASK",IF(UPPER(Data!BZ252)="TYPE=SAS",UPPER(RIGHT(Data!CA252,4))=".SAS",TRUE),TRUE),TRUE)</f>
        <v>1</v>
      </c>
      <c r="T252" s="26" t="b">
        <f>IF(Checks!C252,IF(Data!B252&lt;&gt;"",Data!D252&lt;&gt;"",TRUE),TRUE)</f>
        <v>1</v>
      </c>
      <c r="U252" s="26" t="b">
        <f ca="1">IF(Checks!C252,IF(UPPER(Data!C252)="DATA OBJECT",NOT(ISERROR(MATCH(Data!A252&amp;"||"&amp;Data!BW252&amp;Data!BX252,Key,0))),TRUE),TRUE)</f>
        <v>1</v>
      </c>
      <c r="V252" s="26" t="b">
        <f>IF(Checks!C252,IF(UPPER(Data!C252)="SUB PROCESS",Data!BY252&lt;&gt;"",TRUE),TRUE)</f>
        <v>1</v>
      </c>
      <c r="W252" s="26" t="b">
        <f>IF(Checks!C252,IF(UPPER(Data!C252)="SERVICE TASK",AND(Data!BZ252&lt;&gt;"",Data!CA252&lt;&gt;""),TRUE),TRUE)</f>
        <v>1</v>
      </c>
      <c r="X252" s="26" t="b">
        <f t="array" aca="1" ref="X252" ca="1">SUM((OFFSET(Data!B252,MAX(ROW(Data!$B$5)-ROW(Data!B252),-200),0,400,1)=Data!B252)*(OFFSET(Data!A252,MAX(ROW(Data!$B$5)-ROW(Data!B252),-200),0,400,1)=Data!A252))=1</f>
        <v>1</v>
      </c>
      <c r="Y252" s="26" t="b">
        <f t="array" aca="1" ref="Y252" ca="1">IF(UPPER(Data!C252)="START",SUM((OFFSET(Data!C252,MAX(ROW(Data!$C$5)-ROW(Data!C252),-200),0,400,1)="START")*(OFFSET(Data!A252,MAX(ROW(Data!$B$5)-ROW(Data!B252),-200),0,400,1)=Data!A252))=1,TRUE)</f>
        <v>1</v>
      </c>
      <c r="Z252" s="26" t="b">
        <f t="array" aca="1" ref="Z252" ca="1">IF(UPPER(Data!C252)="END",SUM((OFFSET(Data!C252,MAX(ROW(Data!$C$5)-ROW(Data!C252),-200),0,400,1)="END")*(OFFSET(Data!A252,MAX(ROW(Data!$B$5)-ROW(Data!B252),-200),0,400,1)=Data!A252))=1,TRUE)</f>
        <v>1</v>
      </c>
      <c r="AA252" s="26" t="b">
        <f>IF(Checks!C252,ISERROR(FIND("&amp;",Data!D252)),TRUE)</f>
        <v>1</v>
      </c>
      <c r="AB252" s="26" t="b">
        <f>IF(Checks!$C252,IF(AND(UPPER(Data!$C252)&lt;&gt;"START",UPPER(Data!$C252)&lt;&gt;"DATA OBJECT",Data!E252&lt;&gt;""),NOT(ISERROR(MATCH(Data!$A252&amp;"||"&amp;Data!E252,Key,0))),TRUE),TRUE)</f>
        <v>1</v>
      </c>
      <c r="AC252" s="27" t="b">
        <f>IF(Checks!C252,IF(UPPER(Data!C252)="END",Data!E252&lt;&gt;"",TRUE),TRUE)</f>
        <v>1</v>
      </c>
    </row>
    <row r="253" spans="1:29" x14ac:dyDescent="0.25">
      <c r="A253" s="1" t="str">
        <f>Data!A253&amp;"||"&amp;Data!B253</f>
        <v>Miscellaneous/subflow/irmifrs9_enrichment_stage2.bpmn||020_00_07</v>
      </c>
      <c r="B253" s="19"/>
      <c r="C253" s="24" t="b">
        <f>AND(UPPER(Data!A253)&lt;&gt;"EMPTY",Data!B253&lt;&gt;"")</f>
        <v>1</v>
      </c>
      <c r="D253" s="1"/>
      <c r="E253" s="25" t="b">
        <f t="shared" ca="1" si="6"/>
        <v>1</v>
      </c>
      <c r="F253" s="26" t="b">
        <f ca="1">IF(UPPER(Data!C253)="SUB PROCESS",NOT(ISERROR(MATCH(RIGHT(Data!BY253,LEN(Data!BY253)-5),OFFSET(Data,0,0,ItemsCount,1),0))),TRUE)</f>
        <v>1</v>
      </c>
      <c r="G253" s="26" t="b">
        <f ca="1">IF(MID(UPPER(Data!A253),1,13)="MISCELLANEOUS",NOT(ISERROR(MATCH("path="&amp;Data!A253,OFFSET(Data,0,76,ItemsCount,1),0))),TRUE)</f>
        <v>1</v>
      </c>
      <c r="L253" s="25" t="b">
        <f t="shared" ca="1" si="7"/>
        <v>1</v>
      </c>
      <c r="M253" s="24" t="b">
        <f>IF(Checks!$C253,Data!A253&lt;&gt;"",TRUE)</f>
        <v>1</v>
      </c>
      <c r="N253" s="26" t="b">
        <f>IF(Checks!C253,Data!B253&lt;&gt;"",TRUE)</f>
        <v>1</v>
      </c>
      <c r="O253" s="26" t="b">
        <f>IF(Checks!C253,IF(AND(UPPER(Data!C253)="SERVICE TASK",UPPER(Data!BZ253)="TYPE=SAS"),NodeExists(TRIM(RIGHT(Data!CA253,LEN(Data!CA253)-FIND("=",Data!CA253)))),TRUE),TRUE)</f>
        <v>1</v>
      </c>
      <c r="P253" s="26" t="b">
        <f>IF(Checks!C253,IF(Data!C253="DATA OBJECT",OR(AND(Data!BW253&lt;&gt;"",Data!BX253=""),AND(Data!BW253="",Data!BX253&lt;&gt;"")),TRUE),TRUE)</f>
        <v>1</v>
      </c>
      <c r="Q253" s="26" t="b">
        <f>IF(Checks!C253,UPPER(RIGHT(Data!A253,5))=".BPMN",TRUE)</f>
        <v>1</v>
      </c>
      <c r="R253" s="26" t="b">
        <f>IF(Checks!C253,IF(UPPER(Data!C253)="SUB PROCESS",UPPER(RIGHT(Data!BY253,5))=".BPMN",TRUE),TRUE)</f>
        <v>1</v>
      </c>
      <c r="S253" s="26" t="b">
        <f>IF(Checks!C253,IF(UPPER(Data!C253)="SERVICE TASK",IF(UPPER(Data!BZ253)="TYPE=SAS",UPPER(RIGHT(Data!CA253,4))=".SAS",TRUE),TRUE),TRUE)</f>
        <v>1</v>
      </c>
      <c r="T253" s="26" t="b">
        <f>IF(Checks!C253,IF(Data!B253&lt;&gt;"",Data!D253&lt;&gt;"",TRUE),TRUE)</f>
        <v>1</v>
      </c>
      <c r="U253" s="26" t="b">
        <f ca="1">IF(Checks!C253,IF(UPPER(Data!C253)="DATA OBJECT",NOT(ISERROR(MATCH(Data!A253&amp;"||"&amp;Data!BW253&amp;Data!BX253,Key,0))),TRUE),TRUE)</f>
        <v>1</v>
      </c>
      <c r="V253" s="26" t="b">
        <f>IF(Checks!C253,IF(UPPER(Data!C253)="SUB PROCESS",Data!BY253&lt;&gt;"",TRUE),TRUE)</f>
        <v>1</v>
      </c>
      <c r="W253" s="26" t="b">
        <f>IF(Checks!C253,IF(UPPER(Data!C253)="SERVICE TASK",AND(Data!BZ253&lt;&gt;"",Data!CA253&lt;&gt;""),TRUE),TRUE)</f>
        <v>1</v>
      </c>
      <c r="X253" s="26" t="b">
        <f t="array" aca="1" ref="X253" ca="1">SUM((OFFSET(Data!B253,MAX(ROW(Data!$B$5)-ROW(Data!B253),-200),0,400,1)=Data!B253)*(OFFSET(Data!A253,MAX(ROW(Data!$B$5)-ROW(Data!B253),-200),0,400,1)=Data!A253))=1</f>
        <v>1</v>
      </c>
      <c r="Y253" s="26" t="b">
        <f t="array" aca="1" ref="Y253" ca="1">IF(UPPER(Data!C253)="START",SUM((OFFSET(Data!C253,MAX(ROW(Data!$C$5)-ROW(Data!C253),-200),0,400,1)="START")*(OFFSET(Data!A253,MAX(ROW(Data!$B$5)-ROW(Data!B253),-200),0,400,1)=Data!A253))=1,TRUE)</f>
        <v>1</v>
      </c>
      <c r="Z253" s="26" t="b">
        <f t="array" aca="1" ref="Z253" ca="1">IF(UPPER(Data!C253)="END",SUM((OFFSET(Data!C253,MAX(ROW(Data!$C$5)-ROW(Data!C253),-200),0,400,1)="END")*(OFFSET(Data!A253,MAX(ROW(Data!$B$5)-ROW(Data!B253),-200),0,400,1)=Data!A253))=1,TRUE)</f>
        <v>1</v>
      </c>
      <c r="AA253" s="26" t="b">
        <f>IF(Checks!C253,ISERROR(FIND("&amp;",Data!D253)),TRUE)</f>
        <v>1</v>
      </c>
      <c r="AB253" s="26" t="b">
        <f>IF(Checks!$C253,IF(AND(UPPER(Data!$C253)&lt;&gt;"START",UPPER(Data!$C253)&lt;&gt;"DATA OBJECT",Data!E253&lt;&gt;""),NOT(ISERROR(MATCH(Data!$A253&amp;"||"&amp;Data!E253,Key,0))),TRUE),TRUE)</f>
        <v>1</v>
      </c>
      <c r="AC253" s="27" t="b">
        <f>IF(Checks!C253,IF(UPPER(Data!C253)="END",Data!E253&lt;&gt;"",TRUE),TRUE)</f>
        <v>1</v>
      </c>
    </row>
    <row r="254" spans="1:29" x14ac:dyDescent="0.25">
      <c r="A254" s="1" t="str">
        <f>Data!A254&amp;"||"&amp;Data!B254</f>
        <v>Miscellaneous/subflow/irmifrs9_enrichment_stage2.bpmn||020_00_08</v>
      </c>
      <c r="B254" s="19"/>
      <c r="C254" s="24" t="b">
        <f>AND(UPPER(Data!A254)&lt;&gt;"EMPTY",Data!B254&lt;&gt;"")</f>
        <v>1</v>
      </c>
      <c r="D254" s="1"/>
      <c r="E254" s="25" t="b">
        <f t="shared" ca="1" si="6"/>
        <v>1</v>
      </c>
      <c r="F254" s="26" t="b">
        <f ca="1">IF(UPPER(Data!C254)="SUB PROCESS",NOT(ISERROR(MATCH(RIGHT(Data!BY254,LEN(Data!BY254)-5),OFFSET(Data,0,0,ItemsCount,1),0))),TRUE)</f>
        <v>1</v>
      </c>
      <c r="G254" s="26" t="b">
        <f ca="1">IF(MID(UPPER(Data!A254),1,13)="MISCELLANEOUS",NOT(ISERROR(MATCH("path="&amp;Data!A254,OFFSET(Data,0,76,ItemsCount,1),0))),TRUE)</f>
        <v>1</v>
      </c>
      <c r="L254" s="25" t="b">
        <f t="shared" ca="1" si="7"/>
        <v>1</v>
      </c>
      <c r="M254" s="24" t="b">
        <f>IF(Checks!$C254,Data!A254&lt;&gt;"",TRUE)</f>
        <v>1</v>
      </c>
      <c r="N254" s="26" t="b">
        <f>IF(Checks!C254,Data!B254&lt;&gt;"",TRUE)</f>
        <v>1</v>
      </c>
      <c r="O254" s="26" t="b">
        <f>IF(Checks!C254,IF(AND(UPPER(Data!C254)="SERVICE TASK",UPPER(Data!BZ254)="TYPE=SAS"),NodeExists(TRIM(RIGHT(Data!CA254,LEN(Data!CA254)-FIND("=",Data!CA254)))),TRUE),TRUE)</f>
        <v>1</v>
      </c>
      <c r="P254" s="26" t="b">
        <f>IF(Checks!C254,IF(Data!C254="DATA OBJECT",OR(AND(Data!BW254&lt;&gt;"",Data!BX254=""),AND(Data!BW254="",Data!BX254&lt;&gt;"")),TRUE),TRUE)</f>
        <v>1</v>
      </c>
      <c r="Q254" s="26" t="b">
        <f>IF(Checks!C254,UPPER(RIGHT(Data!A254,5))=".BPMN",TRUE)</f>
        <v>1</v>
      </c>
      <c r="R254" s="26" t="b">
        <f>IF(Checks!C254,IF(UPPER(Data!C254)="SUB PROCESS",UPPER(RIGHT(Data!BY254,5))=".BPMN",TRUE),TRUE)</f>
        <v>1</v>
      </c>
      <c r="S254" s="26" t="b">
        <f>IF(Checks!C254,IF(UPPER(Data!C254)="SERVICE TASK",IF(UPPER(Data!BZ254)="TYPE=SAS",UPPER(RIGHT(Data!CA254,4))=".SAS",TRUE),TRUE),TRUE)</f>
        <v>1</v>
      </c>
      <c r="T254" s="26" t="b">
        <f>IF(Checks!C254,IF(Data!B254&lt;&gt;"",Data!D254&lt;&gt;"",TRUE),TRUE)</f>
        <v>1</v>
      </c>
      <c r="U254" s="26" t="b">
        <f ca="1">IF(Checks!C254,IF(UPPER(Data!C254)="DATA OBJECT",NOT(ISERROR(MATCH(Data!A254&amp;"||"&amp;Data!BW254&amp;Data!BX254,Key,0))),TRUE),TRUE)</f>
        <v>1</v>
      </c>
      <c r="V254" s="26" t="b">
        <f>IF(Checks!C254,IF(UPPER(Data!C254)="SUB PROCESS",Data!BY254&lt;&gt;"",TRUE),TRUE)</f>
        <v>1</v>
      </c>
      <c r="W254" s="26" t="b">
        <f>IF(Checks!C254,IF(UPPER(Data!C254)="SERVICE TASK",AND(Data!BZ254&lt;&gt;"",Data!CA254&lt;&gt;""),TRUE),TRUE)</f>
        <v>1</v>
      </c>
      <c r="X254" s="26" t="b">
        <f t="array" aca="1" ref="X254" ca="1">SUM((OFFSET(Data!B254,MAX(ROW(Data!$B$5)-ROW(Data!B254),-200),0,400,1)=Data!B254)*(OFFSET(Data!A254,MAX(ROW(Data!$B$5)-ROW(Data!B254),-200),0,400,1)=Data!A254))=1</f>
        <v>1</v>
      </c>
      <c r="Y254" s="26" t="b">
        <f t="array" aca="1" ref="Y254" ca="1">IF(UPPER(Data!C254)="START",SUM((OFFSET(Data!C254,MAX(ROW(Data!$C$5)-ROW(Data!C254),-200),0,400,1)="START")*(OFFSET(Data!A254,MAX(ROW(Data!$B$5)-ROW(Data!B254),-200),0,400,1)=Data!A254))=1,TRUE)</f>
        <v>1</v>
      </c>
      <c r="Z254" s="26" t="b">
        <f t="array" aca="1" ref="Z254" ca="1">IF(UPPER(Data!C254)="END",SUM((OFFSET(Data!C254,MAX(ROW(Data!$C$5)-ROW(Data!C254),-200),0,400,1)="END")*(OFFSET(Data!A254,MAX(ROW(Data!$B$5)-ROW(Data!B254),-200),0,400,1)=Data!A254))=1,TRUE)</f>
        <v>1</v>
      </c>
      <c r="AA254" s="26" t="b">
        <f>IF(Checks!C254,ISERROR(FIND("&amp;",Data!D254)),TRUE)</f>
        <v>1</v>
      </c>
      <c r="AB254" s="26" t="b">
        <f>IF(Checks!$C254,IF(AND(UPPER(Data!$C254)&lt;&gt;"START",UPPER(Data!$C254)&lt;&gt;"DATA OBJECT",Data!E254&lt;&gt;""),NOT(ISERROR(MATCH(Data!$A254&amp;"||"&amp;Data!E254,Key,0))),TRUE),TRUE)</f>
        <v>1</v>
      </c>
      <c r="AC254" s="27" t="b">
        <f>IF(Checks!C254,IF(UPPER(Data!C254)="END",Data!E254&lt;&gt;"",TRUE),TRUE)</f>
        <v>1</v>
      </c>
    </row>
    <row r="255" spans="1:29" x14ac:dyDescent="0.25">
      <c r="A255" s="1" t="str">
        <f>Data!A255&amp;"||"&amp;Data!B255</f>
        <v>Miscellaneous/subflow/irmifrs9_enrichment_stage2.bpmn||020_00_09</v>
      </c>
      <c r="B255" s="19"/>
      <c r="C255" s="24" t="b">
        <f>AND(UPPER(Data!A255)&lt;&gt;"EMPTY",Data!B255&lt;&gt;"")</f>
        <v>1</v>
      </c>
      <c r="D255" s="1"/>
      <c r="E255" s="25" t="b">
        <f t="shared" ca="1" si="6"/>
        <v>1</v>
      </c>
      <c r="F255" s="26" t="b">
        <f ca="1">IF(UPPER(Data!C255)="SUB PROCESS",NOT(ISERROR(MATCH(RIGHT(Data!BY255,LEN(Data!BY255)-5),OFFSET(Data,0,0,ItemsCount,1),0))),TRUE)</f>
        <v>1</v>
      </c>
      <c r="G255" s="26" t="b">
        <f ca="1">IF(MID(UPPER(Data!A255),1,13)="MISCELLANEOUS",NOT(ISERROR(MATCH("path="&amp;Data!A255,OFFSET(Data,0,76,ItemsCount,1),0))),TRUE)</f>
        <v>1</v>
      </c>
      <c r="L255" s="25" t="b">
        <f t="shared" ca="1" si="7"/>
        <v>1</v>
      </c>
      <c r="M255" s="24" t="b">
        <f>IF(Checks!$C255,Data!A255&lt;&gt;"",TRUE)</f>
        <v>1</v>
      </c>
      <c r="N255" s="26" t="b">
        <f>IF(Checks!C255,Data!B255&lt;&gt;"",TRUE)</f>
        <v>1</v>
      </c>
      <c r="O255" s="26" t="b">
        <f>IF(Checks!C255,IF(AND(UPPER(Data!C255)="SERVICE TASK",UPPER(Data!BZ255)="TYPE=SAS"),NodeExists(TRIM(RIGHT(Data!CA255,LEN(Data!CA255)-FIND("=",Data!CA255)))),TRUE),TRUE)</f>
        <v>1</v>
      </c>
      <c r="P255" s="26" t="b">
        <f>IF(Checks!C255,IF(Data!C255="DATA OBJECT",OR(AND(Data!BW255&lt;&gt;"",Data!BX255=""),AND(Data!BW255="",Data!BX255&lt;&gt;"")),TRUE),TRUE)</f>
        <v>1</v>
      </c>
      <c r="Q255" s="26" t="b">
        <f>IF(Checks!C255,UPPER(RIGHT(Data!A255,5))=".BPMN",TRUE)</f>
        <v>1</v>
      </c>
      <c r="R255" s="26" t="b">
        <f>IF(Checks!C255,IF(UPPER(Data!C255)="SUB PROCESS",UPPER(RIGHT(Data!BY255,5))=".BPMN",TRUE),TRUE)</f>
        <v>1</v>
      </c>
      <c r="S255" s="26" t="b">
        <f>IF(Checks!C255,IF(UPPER(Data!C255)="SERVICE TASK",IF(UPPER(Data!BZ255)="TYPE=SAS",UPPER(RIGHT(Data!CA255,4))=".SAS",TRUE),TRUE),TRUE)</f>
        <v>1</v>
      </c>
      <c r="T255" s="26" t="b">
        <f>IF(Checks!C255,IF(Data!B255&lt;&gt;"",Data!D255&lt;&gt;"",TRUE),TRUE)</f>
        <v>1</v>
      </c>
      <c r="U255" s="26" t="b">
        <f ca="1">IF(Checks!C255,IF(UPPER(Data!C255)="DATA OBJECT",NOT(ISERROR(MATCH(Data!A255&amp;"||"&amp;Data!BW255&amp;Data!BX255,Key,0))),TRUE),TRUE)</f>
        <v>1</v>
      </c>
      <c r="V255" s="26" t="b">
        <f>IF(Checks!C255,IF(UPPER(Data!C255)="SUB PROCESS",Data!BY255&lt;&gt;"",TRUE),TRUE)</f>
        <v>1</v>
      </c>
      <c r="W255" s="26" t="b">
        <f>IF(Checks!C255,IF(UPPER(Data!C255)="SERVICE TASK",AND(Data!BZ255&lt;&gt;"",Data!CA255&lt;&gt;""),TRUE),TRUE)</f>
        <v>1</v>
      </c>
      <c r="X255" s="26" t="b">
        <f t="array" aca="1" ref="X255" ca="1">SUM((OFFSET(Data!B255,MAX(ROW(Data!$B$5)-ROW(Data!B255),-200),0,400,1)=Data!B255)*(OFFSET(Data!A255,MAX(ROW(Data!$B$5)-ROW(Data!B255),-200),0,400,1)=Data!A255))=1</f>
        <v>1</v>
      </c>
      <c r="Y255" s="26" t="b">
        <f t="array" aca="1" ref="Y255" ca="1">IF(UPPER(Data!C255)="START",SUM((OFFSET(Data!C255,MAX(ROW(Data!$C$5)-ROW(Data!C255),-200),0,400,1)="START")*(OFFSET(Data!A255,MAX(ROW(Data!$B$5)-ROW(Data!B255),-200),0,400,1)=Data!A255))=1,TRUE)</f>
        <v>1</v>
      </c>
      <c r="Z255" s="26" t="b">
        <f t="array" aca="1" ref="Z255" ca="1">IF(UPPER(Data!C255)="END",SUM((OFFSET(Data!C255,MAX(ROW(Data!$C$5)-ROW(Data!C255),-200),0,400,1)="END")*(OFFSET(Data!A255,MAX(ROW(Data!$B$5)-ROW(Data!B255),-200),0,400,1)=Data!A255))=1,TRUE)</f>
        <v>1</v>
      </c>
      <c r="AA255" s="26" t="b">
        <f>IF(Checks!C255,ISERROR(FIND("&amp;",Data!D255)),TRUE)</f>
        <v>1</v>
      </c>
      <c r="AB255" s="26" t="b">
        <f>IF(Checks!$C255,IF(AND(UPPER(Data!$C255)&lt;&gt;"START",UPPER(Data!$C255)&lt;&gt;"DATA OBJECT",Data!E255&lt;&gt;""),NOT(ISERROR(MATCH(Data!$A255&amp;"||"&amp;Data!E255,Key,0))),TRUE),TRUE)</f>
        <v>1</v>
      </c>
      <c r="AC255" s="27" t="b">
        <f>IF(Checks!C255,IF(UPPER(Data!C255)="END",Data!E255&lt;&gt;"",TRUE),TRUE)</f>
        <v>1</v>
      </c>
    </row>
    <row r="256" spans="1:29" x14ac:dyDescent="0.25">
      <c r="A256" s="1" t="str">
        <f>Data!A256&amp;"||"&amp;Data!B256</f>
        <v>Miscellaneous/subflow/irmifrs9_enrichment_stage2.bpmn||020_00_10</v>
      </c>
      <c r="B256" s="19"/>
      <c r="C256" s="24" t="b">
        <f>AND(UPPER(Data!A256)&lt;&gt;"EMPTY",Data!B256&lt;&gt;"")</f>
        <v>1</v>
      </c>
      <c r="D256" s="1"/>
      <c r="E256" s="25" t="b">
        <f t="shared" ca="1" si="6"/>
        <v>1</v>
      </c>
      <c r="F256" s="26" t="b">
        <f ca="1">IF(UPPER(Data!C256)="SUB PROCESS",NOT(ISERROR(MATCH(RIGHT(Data!BY256,LEN(Data!BY256)-5),OFFSET(Data,0,0,ItemsCount,1),0))),TRUE)</f>
        <v>1</v>
      </c>
      <c r="G256" s="26" t="b">
        <f ca="1">IF(MID(UPPER(Data!A256),1,13)="MISCELLANEOUS",NOT(ISERROR(MATCH("path="&amp;Data!A256,OFFSET(Data,0,76,ItemsCount,1),0))),TRUE)</f>
        <v>1</v>
      </c>
      <c r="L256" s="25" t="b">
        <f t="shared" ca="1" si="7"/>
        <v>1</v>
      </c>
      <c r="M256" s="24" t="b">
        <f>IF(Checks!$C256,Data!A256&lt;&gt;"",TRUE)</f>
        <v>1</v>
      </c>
      <c r="N256" s="26" t="b">
        <f>IF(Checks!C256,Data!B256&lt;&gt;"",TRUE)</f>
        <v>1</v>
      </c>
      <c r="O256" s="26" t="b">
        <f>IF(Checks!C256,IF(AND(UPPER(Data!C256)="SERVICE TASK",UPPER(Data!BZ256)="TYPE=SAS"),NodeExists(TRIM(RIGHT(Data!CA256,LEN(Data!CA256)-FIND("=",Data!CA256)))),TRUE),TRUE)</f>
        <v>1</v>
      </c>
      <c r="P256" s="26" t="b">
        <f>IF(Checks!C256,IF(Data!C256="DATA OBJECT",OR(AND(Data!BW256&lt;&gt;"",Data!BX256=""),AND(Data!BW256="",Data!BX256&lt;&gt;"")),TRUE),TRUE)</f>
        <v>1</v>
      </c>
      <c r="Q256" s="26" t="b">
        <f>IF(Checks!C256,UPPER(RIGHT(Data!A256,5))=".BPMN",TRUE)</f>
        <v>1</v>
      </c>
      <c r="R256" s="26" t="b">
        <f>IF(Checks!C256,IF(UPPER(Data!C256)="SUB PROCESS",UPPER(RIGHT(Data!BY256,5))=".BPMN",TRUE),TRUE)</f>
        <v>1</v>
      </c>
      <c r="S256" s="26" t="b">
        <f>IF(Checks!C256,IF(UPPER(Data!C256)="SERVICE TASK",IF(UPPER(Data!BZ256)="TYPE=SAS",UPPER(RIGHT(Data!CA256,4))=".SAS",TRUE),TRUE),TRUE)</f>
        <v>1</v>
      </c>
      <c r="T256" s="26" t="b">
        <f>IF(Checks!C256,IF(Data!B256&lt;&gt;"",Data!D256&lt;&gt;"",TRUE),TRUE)</f>
        <v>1</v>
      </c>
      <c r="U256" s="26" t="b">
        <f ca="1">IF(Checks!C256,IF(UPPER(Data!C256)="DATA OBJECT",NOT(ISERROR(MATCH(Data!A256&amp;"||"&amp;Data!BW256&amp;Data!BX256,Key,0))),TRUE),TRUE)</f>
        <v>1</v>
      </c>
      <c r="V256" s="26" t="b">
        <f>IF(Checks!C256,IF(UPPER(Data!C256)="SUB PROCESS",Data!BY256&lt;&gt;"",TRUE),TRUE)</f>
        <v>1</v>
      </c>
      <c r="W256" s="26" t="b">
        <f>IF(Checks!C256,IF(UPPER(Data!C256)="SERVICE TASK",AND(Data!BZ256&lt;&gt;"",Data!CA256&lt;&gt;""),TRUE),TRUE)</f>
        <v>1</v>
      </c>
      <c r="X256" s="26" t="b">
        <f t="array" aca="1" ref="X256" ca="1">SUM((OFFSET(Data!B256,MAX(ROW(Data!$B$5)-ROW(Data!B256),-200),0,400,1)=Data!B256)*(OFFSET(Data!A256,MAX(ROW(Data!$B$5)-ROW(Data!B256),-200),0,400,1)=Data!A256))=1</f>
        <v>1</v>
      </c>
      <c r="Y256" s="26" t="b">
        <f t="array" aca="1" ref="Y256" ca="1">IF(UPPER(Data!C256)="START",SUM((OFFSET(Data!C256,MAX(ROW(Data!$C$5)-ROW(Data!C256),-200),0,400,1)="START")*(OFFSET(Data!A256,MAX(ROW(Data!$B$5)-ROW(Data!B256),-200),0,400,1)=Data!A256))=1,TRUE)</f>
        <v>1</v>
      </c>
      <c r="Z256" s="26" t="b">
        <f t="array" aca="1" ref="Z256" ca="1">IF(UPPER(Data!C256)="END",SUM((OFFSET(Data!C256,MAX(ROW(Data!$C$5)-ROW(Data!C256),-200),0,400,1)="END")*(OFFSET(Data!A256,MAX(ROW(Data!$B$5)-ROW(Data!B256),-200),0,400,1)=Data!A256))=1,TRUE)</f>
        <v>1</v>
      </c>
      <c r="AA256" s="26" t="b">
        <f>IF(Checks!C256,ISERROR(FIND("&amp;",Data!D256)),TRUE)</f>
        <v>1</v>
      </c>
      <c r="AB256" s="26" t="b">
        <f>IF(Checks!$C256,IF(AND(UPPER(Data!$C256)&lt;&gt;"START",UPPER(Data!$C256)&lt;&gt;"DATA OBJECT",Data!E256&lt;&gt;""),NOT(ISERROR(MATCH(Data!$A256&amp;"||"&amp;Data!E256,Key,0))),TRUE),TRUE)</f>
        <v>1</v>
      </c>
      <c r="AC256" s="27" t="b">
        <f>IF(Checks!C256,IF(UPPER(Data!C256)="END",Data!E256&lt;&gt;"",TRUE),TRUE)</f>
        <v>1</v>
      </c>
    </row>
    <row r="257" spans="1:29" x14ac:dyDescent="0.25">
      <c r="A257" s="1" t="str">
        <f>Data!A257&amp;"||"&amp;Data!B257</f>
        <v>Miscellaneous/subflow/irmifrs9_enrichment_stage2.bpmn||020_01_00</v>
      </c>
      <c r="B257" s="19"/>
      <c r="C257" s="24" t="b">
        <f>AND(UPPER(Data!A257)&lt;&gt;"EMPTY",Data!B257&lt;&gt;"")</f>
        <v>1</v>
      </c>
      <c r="D257" s="1"/>
      <c r="E257" s="25" t="b">
        <f t="shared" ca="1" si="6"/>
        <v>1</v>
      </c>
      <c r="F257" s="26" t="b">
        <f ca="1">IF(UPPER(Data!C257)="SUB PROCESS",NOT(ISERROR(MATCH(RIGHT(Data!BY257,LEN(Data!BY257)-5),OFFSET(Data,0,0,ItemsCount,1),0))),TRUE)</f>
        <v>1</v>
      </c>
      <c r="G257" s="26" t="b">
        <f ca="1">IF(MID(UPPER(Data!A257),1,13)="MISCELLANEOUS",NOT(ISERROR(MATCH("path="&amp;Data!A257,OFFSET(Data,0,76,ItemsCount,1),0))),TRUE)</f>
        <v>1</v>
      </c>
      <c r="L257" s="25" t="b">
        <f t="shared" ca="1" si="7"/>
        <v>1</v>
      </c>
      <c r="M257" s="24" t="b">
        <f>IF(Checks!$C257,Data!A257&lt;&gt;"",TRUE)</f>
        <v>1</v>
      </c>
      <c r="N257" s="26" t="b">
        <f>IF(Checks!C257,Data!B257&lt;&gt;"",TRUE)</f>
        <v>1</v>
      </c>
      <c r="O257" s="26" t="b">
        <f>IF(Checks!C257,IF(AND(UPPER(Data!C257)="SERVICE TASK",UPPER(Data!BZ257)="TYPE=SAS"),NodeExists(TRIM(RIGHT(Data!CA257,LEN(Data!CA257)-FIND("=",Data!CA257)))),TRUE),TRUE)</f>
        <v>1</v>
      </c>
      <c r="P257" s="26" t="b">
        <f>IF(Checks!C257,IF(Data!C257="DATA OBJECT",OR(AND(Data!BW257&lt;&gt;"",Data!BX257=""),AND(Data!BW257="",Data!BX257&lt;&gt;"")),TRUE),TRUE)</f>
        <v>1</v>
      </c>
      <c r="Q257" s="26" t="b">
        <f>IF(Checks!C257,UPPER(RIGHT(Data!A257,5))=".BPMN",TRUE)</f>
        <v>1</v>
      </c>
      <c r="R257" s="26" t="b">
        <f>IF(Checks!C257,IF(UPPER(Data!C257)="SUB PROCESS",UPPER(RIGHT(Data!BY257,5))=".BPMN",TRUE),TRUE)</f>
        <v>1</v>
      </c>
      <c r="S257" s="26" t="b">
        <f>IF(Checks!C257,IF(UPPER(Data!C257)="SERVICE TASK",IF(UPPER(Data!BZ257)="TYPE=SAS",UPPER(RIGHT(Data!CA257,4))=".SAS",TRUE),TRUE),TRUE)</f>
        <v>1</v>
      </c>
      <c r="T257" s="26" t="b">
        <f>IF(Checks!C257,IF(Data!B257&lt;&gt;"",Data!D257&lt;&gt;"",TRUE),TRUE)</f>
        <v>1</v>
      </c>
      <c r="U257" s="26" t="b">
        <f ca="1">IF(Checks!C257,IF(UPPER(Data!C257)="DATA OBJECT",NOT(ISERROR(MATCH(Data!A257&amp;"||"&amp;Data!BW257&amp;Data!BX257,Key,0))),TRUE),TRUE)</f>
        <v>1</v>
      </c>
      <c r="V257" s="26" t="b">
        <f>IF(Checks!C257,IF(UPPER(Data!C257)="SUB PROCESS",Data!BY257&lt;&gt;"",TRUE),TRUE)</f>
        <v>1</v>
      </c>
      <c r="W257" s="26" t="b">
        <f>IF(Checks!C257,IF(UPPER(Data!C257)="SERVICE TASK",AND(Data!BZ257&lt;&gt;"",Data!CA257&lt;&gt;""),TRUE),TRUE)</f>
        <v>1</v>
      </c>
      <c r="X257" s="26" t="b">
        <f t="array" aca="1" ref="X257" ca="1">SUM((OFFSET(Data!B257,MAX(ROW(Data!$B$5)-ROW(Data!B257),-200),0,400,1)=Data!B257)*(OFFSET(Data!A257,MAX(ROW(Data!$B$5)-ROW(Data!B257),-200),0,400,1)=Data!A257))=1</f>
        <v>1</v>
      </c>
      <c r="Y257" s="26" t="b">
        <f t="array" aca="1" ref="Y257" ca="1">IF(UPPER(Data!C257)="START",SUM((OFFSET(Data!C257,MAX(ROW(Data!$C$5)-ROW(Data!C257),-200),0,400,1)="START")*(OFFSET(Data!A257,MAX(ROW(Data!$B$5)-ROW(Data!B257),-200),0,400,1)=Data!A257))=1,TRUE)</f>
        <v>1</v>
      </c>
      <c r="Z257" s="26" t="b">
        <f t="array" aca="1" ref="Z257" ca="1">IF(UPPER(Data!C257)="END",SUM((OFFSET(Data!C257,MAX(ROW(Data!$C$5)-ROW(Data!C257),-200),0,400,1)="END")*(OFFSET(Data!A257,MAX(ROW(Data!$B$5)-ROW(Data!B257),-200),0,400,1)=Data!A257))=1,TRUE)</f>
        <v>1</v>
      </c>
      <c r="AA257" s="26" t="b">
        <f>IF(Checks!C257,ISERROR(FIND("&amp;",Data!D257)),TRUE)</f>
        <v>1</v>
      </c>
      <c r="AB257" s="26" t="b">
        <f>IF(Checks!$C257,IF(AND(UPPER(Data!$C257)&lt;&gt;"START",UPPER(Data!$C257)&lt;&gt;"DATA OBJECT",Data!E257&lt;&gt;""),NOT(ISERROR(MATCH(Data!$A257&amp;"||"&amp;Data!E257,Key,0))),TRUE),TRUE)</f>
        <v>1</v>
      </c>
      <c r="AC257" s="27" t="b">
        <f>IF(Checks!C257,IF(UPPER(Data!C257)="END",Data!E257&lt;&gt;"",TRUE),TRUE)</f>
        <v>1</v>
      </c>
    </row>
    <row r="258" spans="1:29" x14ac:dyDescent="0.25">
      <c r="A258" s="1" t="str">
        <f>Data!A258&amp;"||"&amp;Data!B258</f>
        <v>Miscellaneous/subflow/irmifrs9_enrichment_stage2.bpmn||030_00_00</v>
      </c>
      <c r="B258" s="19"/>
      <c r="C258" s="24" t="b">
        <f>AND(UPPER(Data!A258)&lt;&gt;"EMPTY",Data!B258&lt;&gt;"")</f>
        <v>1</v>
      </c>
      <c r="D258" s="1"/>
      <c r="E258" s="25" t="b">
        <f t="shared" ca="1" si="6"/>
        <v>1</v>
      </c>
      <c r="F258" s="26" t="b">
        <f ca="1">IF(UPPER(Data!C258)="SUB PROCESS",NOT(ISERROR(MATCH(RIGHT(Data!BY258,LEN(Data!BY258)-5),OFFSET(Data,0,0,ItemsCount,1),0))),TRUE)</f>
        <v>1</v>
      </c>
      <c r="G258" s="26" t="b">
        <f ca="1">IF(MID(UPPER(Data!A258),1,13)="MISCELLANEOUS",NOT(ISERROR(MATCH("path="&amp;Data!A258,OFFSET(Data,0,76,ItemsCount,1),0))),TRUE)</f>
        <v>1</v>
      </c>
      <c r="L258" s="25" t="b">
        <f t="shared" ca="1" si="7"/>
        <v>1</v>
      </c>
      <c r="M258" s="24" t="b">
        <f>IF(Checks!$C258,Data!A258&lt;&gt;"",TRUE)</f>
        <v>1</v>
      </c>
      <c r="N258" s="26" t="b">
        <f>IF(Checks!C258,Data!B258&lt;&gt;"",TRUE)</f>
        <v>1</v>
      </c>
      <c r="O258" s="26" t="b">
        <f>IF(Checks!C258,IF(AND(UPPER(Data!C258)="SERVICE TASK",UPPER(Data!BZ258)="TYPE=SAS"),NodeExists(TRIM(RIGHT(Data!CA258,LEN(Data!CA258)-FIND("=",Data!CA258)))),TRUE),TRUE)</f>
        <v>1</v>
      </c>
      <c r="P258" s="26" t="b">
        <f>IF(Checks!C258,IF(Data!C258="DATA OBJECT",OR(AND(Data!BW258&lt;&gt;"",Data!BX258=""),AND(Data!BW258="",Data!BX258&lt;&gt;"")),TRUE),TRUE)</f>
        <v>1</v>
      </c>
      <c r="Q258" s="26" t="b">
        <f>IF(Checks!C258,UPPER(RIGHT(Data!A258,5))=".BPMN",TRUE)</f>
        <v>1</v>
      </c>
      <c r="R258" s="26" t="b">
        <f>IF(Checks!C258,IF(UPPER(Data!C258)="SUB PROCESS",UPPER(RIGHT(Data!BY258,5))=".BPMN",TRUE),TRUE)</f>
        <v>1</v>
      </c>
      <c r="S258" s="26" t="b">
        <f>IF(Checks!C258,IF(UPPER(Data!C258)="SERVICE TASK",IF(UPPER(Data!BZ258)="TYPE=SAS",UPPER(RIGHT(Data!CA258,4))=".SAS",TRUE),TRUE),TRUE)</f>
        <v>1</v>
      </c>
      <c r="T258" s="26" t="b">
        <f>IF(Checks!C258,IF(Data!B258&lt;&gt;"",Data!D258&lt;&gt;"",TRUE),TRUE)</f>
        <v>1</v>
      </c>
      <c r="U258" s="26" t="b">
        <f>IF(Checks!C258,IF(UPPER(Data!C258)="DATA OBJECT",NOT(ISERROR(MATCH(Data!A258&amp;"||"&amp;Data!BW258&amp;Data!BX258,Key,0))),TRUE),TRUE)</f>
        <v>1</v>
      </c>
      <c r="V258" s="26" t="b">
        <f>IF(Checks!C258,IF(UPPER(Data!C258)="SUB PROCESS",Data!BY258&lt;&gt;"",TRUE),TRUE)</f>
        <v>1</v>
      </c>
      <c r="W258" s="26" t="b">
        <f>IF(Checks!C258,IF(UPPER(Data!C258)="SERVICE TASK",AND(Data!BZ258&lt;&gt;"",Data!CA258&lt;&gt;""),TRUE),TRUE)</f>
        <v>1</v>
      </c>
      <c r="X258" s="26" t="b">
        <f t="array" aca="1" ref="X258" ca="1">SUM((OFFSET(Data!B258,MAX(ROW(Data!$B$5)-ROW(Data!B258),-200),0,400,1)=Data!B258)*(OFFSET(Data!A258,MAX(ROW(Data!$B$5)-ROW(Data!B258),-200),0,400,1)=Data!A258))=1</f>
        <v>1</v>
      </c>
      <c r="Y258" s="26" t="b">
        <f t="array" aca="1" ref="Y258" ca="1">IF(UPPER(Data!C258)="START",SUM((OFFSET(Data!C258,MAX(ROW(Data!$C$5)-ROW(Data!C258),-200),0,400,1)="START")*(OFFSET(Data!A258,MAX(ROW(Data!$B$5)-ROW(Data!B258),-200),0,400,1)=Data!A258))=1,TRUE)</f>
        <v>1</v>
      </c>
      <c r="Z258" s="26" t="b">
        <f t="array" aca="1" ref="Z258" ca="1">IF(UPPER(Data!C258)="END",SUM((OFFSET(Data!C258,MAX(ROW(Data!$C$5)-ROW(Data!C258),-200),0,400,1)="END")*(OFFSET(Data!A258,MAX(ROW(Data!$B$5)-ROW(Data!B258),-200),0,400,1)=Data!A258))=1,TRUE)</f>
        <v>1</v>
      </c>
      <c r="AA258" s="26" t="b">
        <f>IF(Checks!C258,ISERROR(FIND("&amp;",Data!D258)),TRUE)</f>
        <v>1</v>
      </c>
      <c r="AB258" s="26" t="b">
        <f ca="1">IF(Checks!$C258,IF(AND(UPPER(Data!$C258)&lt;&gt;"START",UPPER(Data!$C258)&lt;&gt;"DATA OBJECT",Data!E258&lt;&gt;""),NOT(ISERROR(MATCH(Data!$A258&amp;"||"&amp;Data!E258,Key,0))),TRUE),TRUE)</f>
        <v>1</v>
      </c>
      <c r="AC258" s="27" t="b">
        <f>IF(Checks!C258,IF(UPPER(Data!C258)="END",Data!E258&lt;&gt;"",TRUE),TRUE)</f>
        <v>1</v>
      </c>
    </row>
    <row r="259" spans="1:29" x14ac:dyDescent="0.25">
      <c r="A259" s="1" t="str">
        <f>Data!A259&amp;"||"&amp;Data!B259</f>
        <v>Miscellaneous/subflow/irmifrs9_enrichment_stage2.bpmn||030_00_01</v>
      </c>
      <c r="B259" s="19"/>
      <c r="C259" s="24" t="b">
        <f>AND(UPPER(Data!A259)&lt;&gt;"EMPTY",Data!B259&lt;&gt;"")</f>
        <v>1</v>
      </c>
      <c r="D259" s="1"/>
      <c r="E259" s="25" t="b">
        <f t="shared" ca="1" si="6"/>
        <v>1</v>
      </c>
      <c r="F259" s="26" t="b">
        <f ca="1">IF(UPPER(Data!C259)="SUB PROCESS",NOT(ISERROR(MATCH(RIGHT(Data!BY259,LEN(Data!BY259)-5),OFFSET(Data,0,0,ItemsCount,1),0))),TRUE)</f>
        <v>1</v>
      </c>
      <c r="G259" s="26" t="b">
        <f ca="1">IF(MID(UPPER(Data!A259),1,13)="MISCELLANEOUS",NOT(ISERROR(MATCH("path="&amp;Data!A259,OFFSET(Data,0,76,ItemsCount,1),0))),TRUE)</f>
        <v>1</v>
      </c>
      <c r="L259" s="25" t="b">
        <f t="shared" ca="1" si="7"/>
        <v>1</v>
      </c>
      <c r="M259" s="24" t="b">
        <f>IF(Checks!$C259,Data!A259&lt;&gt;"",TRUE)</f>
        <v>1</v>
      </c>
      <c r="N259" s="26" t="b">
        <f>IF(Checks!C259,Data!B259&lt;&gt;"",TRUE)</f>
        <v>1</v>
      </c>
      <c r="O259" s="26" t="b">
        <f>IF(Checks!C259,IF(AND(UPPER(Data!C259)="SERVICE TASK",UPPER(Data!BZ259)="TYPE=SAS"),NodeExists(TRIM(RIGHT(Data!CA259,LEN(Data!CA259)-FIND("=",Data!CA259)))),TRUE),TRUE)</f>
        <v>1</v>
      </c>
      <c r="P259" s="26" t="b">
        <f>IF(Checks!C259,IF(Data!C259="DATA OBJECT",OR(AND(Data!BW259&lt;&gt;"",Data!BX259=""),AND(Data!BW259="",Data!BX259&lt;&gt;"")),TRUE),TRUE)</f>
        <v>1</v>
      </c>
      <c r="Q259" s="26" t="b">
        <f>IF(Checks!C259,UPPER(RIGHT(Data!A259,5))=".BPMN",TRUE)</f>
        <v>1</v>
      </c>
      <c r="R259" s="26" t="b">
        <f>IF(Checks!C259,IF(UPPER(Data!C259)="SUB PROCESS",UPPER(RIGHT(Data!BY259,5))=".BPMN",TRUE),TRUE)</f>
        <v>1</v>
      </c>
      <c r="S259" s="26" t="b">
        <f>IF(Checks!C259,IF(UPPER(Data!C259)="SERVICE TASK",IF(UPPER(Data!BZ259)="TYPE=SAS",UPPER(RIGHT(Data!CA259,4))=".SAS",TRUE),TRUE),TRUE)</f>
        <v>1</v>
      </c>
      <c r="T259" s="26" t="b">
        <f>IF(Checks!C259,IF(Data!B259&lt;&gt;"",Data!D259&lt;&gt;"",TRUE),TRUE)</f>
        <v>1</v>
      </c>
      <c r="U259" s="26" t="b">
        <f ca="1">IF(Checks!C259,IF(UPPER(Data!C259)="DATA OBJECT",NOT(ISERROR(MATCH(Data!A259&amp;"||"&amp;Data!BW259&amp;Data!BX259,Key,0))),TRUE),TRUE)</f>
        <v>1</v>
      </c>
      <c r="V259" s="26" t="b">
        <f>IF(Checks!C259,IF(UPPER(Data!C259)="SUB PROCESS",Data!BY259&lt;&gt;"",TRUE),TRUE)</f>
        <v>1</v>
      </c>
      <c r="W259" s="26" t="b">
        <f>IF(Checks!C259,IF(UPPER(Data!C259)="SERVICE TASK",AND(Data!BZ259&lt;&gt;"",Data!CA259&lt;&gt;""),TRUE),TRUE)</f>
        <v>1</v>
      </c>
      <c r="X259" s="26" t="b">
        <f t="array" aca="1" ref="X259" ca="1">SUM((OFFSET(Data!B259,MAX(ROW(Data!$B$5)-ROW(Data!B259),-200),0,400,1)=Data!B259)*(OFFSET(Data!A259,MAX(ROW(Data!$B$5)-ROW(Data!B259),-200),0,400,1)=Data!A259))=1</f>
        <v>1</v>
      </c>
      <c r="Y259" s="26" t="b">
        <f t="array" aca="1" ref="Y259" ca="1">IF(UPPER(Data!C259)="START",SUM((OFFSET(Data!C259,MAX(ROW(Data!$C$5)-ROW(Data!C259),-200),0,400,1)="START")*(OFFSET(Data!A259,MAX(ROW(Data!$B$5)-ROW(Data!B259),-200),0,400,1)=Data!A259))=1,TRUE)</f>
        <v>1</v>
      </c>
      <c r="Z259" s="26" t="b">
        <f t="array" aca="1" ref="Z259" ca="1">IF(UPPER(Data!C259)="END",SUM((OFFSET(Data!C259,MAX(ROW(Data!$C$5)-ROW(Data!C259),-200),0,400,1)="END")*(OFFSET(Data!A259,MAX(ROW(Data!$B$5)-ROW(Data!B259),-200),0,400,1)=Data!A259))=1,TRUE)</f>
        <v>1</v>
      </c>
      <c r="AA259" s="26" t="b">
        <f>IF(Checks!C259,ISERROR(FIND("&amp;",Data!D259)),TRUE)</f>
        <v>1</v>
      </c>
      <c r="AB259" s="26" t="b">
        <f>IF(Checks!$C259,IF(AND(UPPER(Data!$C259)&lt;&gt;"START",UPPER(Data!$C259)&lt;&gt;"DATA OBJECT",Data!E259&lt;&gt;""),NOT(ISERROR(MATCH(Data!$A259&amp;"||"&amp;Data!E259,Key,0))),TRUE),TRUE)</f>
        <v>1</v>
      </c>
      <c r="AC259" s="27" t="b">
        <f>IF(Checks!C259,IF(UPPER(Data!C259)="END",Data!E259&lt;&gt;"",TRUE),TRUE)</f>
        <v>1</v>
      </c>
    </row>
    <row r="260" spans="1:29" x14ac:dyDescent="0.25">
      <c r="A260" s="1" t="str">
        <f>Data!A260&amp;"||"&amp;Data!B260</f>
        <v>Miscellaneous/subflow/irmifrs9_enrichment_stage2.bpmn||030_00_02</v>
      </c>
      <c r="B260" s="19"/>
      <c r="C260" s="24" t="b">
        <f>AND(UPPER(Data!A260)&lt;&gt;"EMPTY",Data!B260&lt;&gt;"")</f>
        <v>1</v>
      </c>
      <c r="D260" s="1"/>
      <c r="E260" s="25" t="b">
        <f t="shared" ca="1" si="6"/>
        <v>1</v>
      </c>
      <c r="F260" s="26" t="b">
        <f ca="1">IF(UPPER(Data!C260)="SUB PROCESS",NOT(ISERROR(MATCH(RIGHT(Data!BY260,LEN(Data!BY260)-5),OFFSET(Data,0,0,ItemsCount,1),0))),TRUE)</f>
        <v>1</v>
      </c>
      <c r="G260" s="26" t="b">
        <f ca="1">IF(MID(UPPER(Data!A260),1,13)="MISCELLANEOUS",NOT(ISERROR(MATCH("path="&amp;Data!A260,OFFSET(Data,0,76,ItemsCount,1),0))),TRUE)</f>
        <v>1</v>
      </c>
      <c r="L260" s="25" t="b">
        <f t="shared" ca="1" si="7"/>
        <v>1</v>
      </c>
      <c r="M260" s="24" t="b">
        <f>IF(Checks!$C260,Data!A260&lt;&gt;"",TRUE)</f>
        <v>1</v>
      </c>
      <c r="N260" s="26" t="b">
        <f>IF(Checks!C260,Data!B260&lt;&gt;"",TRUE)</f>
        <v>1</v>
      </c>
      <c r="O260" s="26" t="b">
        <f>IF(Checks!C260,IF(AND(UPPER(Data!C260)="SERVICE TASK",UPPER(Data!BZ260)="TYPE=SAS"),NodeExists(TRIM(RIGHT(Data!CA260,LEN(Data!CA260)-FIND("=",Data!CA260)))),TRUE),TRUE)</f>
        <v>1</v>
      </c>
      <c r="P260" s="26" t="b">
        <f>IF(Checks!C260,IF(Data!C260="DATA OBJECT",OR(AND(Data!BW260&lt;&gt;"",Data!BX260=""),AND(Data!BW260="",Data!BX260&lt;&gt;"")),TRUE),TRUE)</f>
        <v>1</v>
      </c>
      <c r="Q260" s="26" t="b">
        <f>IF(Checks!C260,UPPER(RIGHT(Data!A260,5))=".BPMN",TRUE)</f>
        <v>1</v>
      </c>
      <c r="R260" s="26" t="b">
        <f>IF(Checks!C260,IF(UPPER(Data!C260)="SUB PROCESS",UPPER(RIGHT(Data!BY260,5))=".BPMN",TRUE),TRUE)</f>
        <v>1</v>
      </c>
      <c r="S260" s="26" t="b">
        <f>IF(Checks!C260,IF(UPPER(Data!C260)="SERVICE TASK",IF(UPPER(Data!BZ260)="TYPE=SAS",UPPER(RIGHT(Data!CA260,4))=".SAS",TRUE),TRUE),TRUE)</f>
        <v>1</v>
      </c>
      <c r="T260" s="26" t="b">
        <f>IF(Checks!C260,IF(Data!B260&lt;&gt;"",Data!D260&lt;&gt;"",TRUE),TRUE)</f>
        <v>1</v>
      </c>
      <c r="U260" s="26" t="b">
        <f ca="1">IF(Checks!C260,IF(UPPER(Data!C260)="DATA OBJECT",NOT(ISERROR(MATCH(Data!A260&amp;"||"&amp;Data!BW260&amp;Data!BX260,Key,0))),TRUE),TRUE)</f>
        <v>1</v>
      </c>
      <c r="V260" s="26" t="b">
        <f>IF(Checks!C260,IF(UPPER(Data!C260)="SUB PROCESS",Data!BY260&lt;&gt;"",TRUE),TRUE)</f>
        <v>1</v>
      </c>
      <c r="W260" s="26" t="b">
        <f>IF(Checks!C260,IF(UPPER(Data!C260)="SERVICE TASK",AND(Data!BZ260&lt;&gt;"",Data!CA260&lt;&gt;""),TRUE),TRUE)</f>
        <v>1</v>
      </c>
      <c r="X260" s="26" t="b">
        <f t="array" aca="1" ref="X260" ca="1">SUM((OFFSET(Data!B260,MAX(ROW(Data!$B$5)-ROW(Data!B260),-200),0,400,1)=Data!B260)*(OFFSET(Data!A260,MAX(ROW(Data!$B$5)-ROW(Data!B260),-200),0,400,1)=Data!A260))=1</f>
        <v>1</v>
      </c>
      <c r="Y260" s="26" t="b">
        <f t="array" aca="1" ref="Y260" ca="1">IF(UPPER(Data!C260)="START",SUM((OFFSET(Data!C260,MAX(ROW(Data!$C$5)-ROW(Data!C260),-200),0,400,1)="START")*(OFFSET(Data!A260,MAX(ROW(Data!$B$5)-ROW(Data!B260),-200),0,400,1)=Data!A260))=1,TRUE)</f>
        <v>1</v>
      </c>
      <c r="Z260" s="26" t="b">
        <f t="array" aca="1" ref="Z260" ca="1">IF(UPPER(Data!C260)="END",SUM((OFFSET(Data!C260,MAX(ROW(Data!$C$5)-ROW(Data!C260),-200),0,400,1)="END")*(OFFSET(Data!A260,MAX(ROW(Data!$B$5)-ROW(Data!B260),-200),0,400,1)=Data!A260))=1,TRUE)</f>
        <v>1</v>
      </c>
      <c r="AA260" s="26" t="b">
        <f>IF(Checks!C260,ISERROR(FIND("&amp;",Data!D260)),TRUE)</f>
        <v>1</v>
      </c>
      <c r="AB260" s="26" t="b">
        <f>IF(Checks!$C260,IF(AND(UPPER(Data!$C260)&lt;&gt;"START",UPPER(Data!$C260)&lt;&gt;"DATA OBJECT",Data!E260&lt;&gt;""),NOT(ISERROR(MATCH(Data!$A260&amp;"||"&amp;Data!E260,Key,0))),TRUE),TRUE)</f>
        <v>1</v>
      </c>
      <c r="AC260" s="27" t="b">
        <f>IF(Checks!C260,IF(UPPER(Data!C260)="END",Data!E260&lt;&gt;"",TRUE),TRUE)</f>
        <v>1</v>
      </c>
    </row>
    <row r="261" spans="1:29" x14ac:dyDescent="0.25">
      <c r="A261" s="1" t="str">
        <f>Data!A261&amp;"||"&amp;Data!B261</f>
        <v>Miscellaneous/subflow/irmifrs9_enrichment_stage2.bpmn||030_01_00</v>
      </c>
      <c r="B261" s="19"/>
      <c r="C261" s="24" t="b">
        <f>AND(UPPER(Data!A261)&lt;&gt;"EMPTY",Data!B261&lt;&gt;"")</f>
        <v>1</v>
      </c>
      <c r="D261" s="1"/>
      <c r="E261" s="25" t="b">
        <f t="shared" ca="1" si="6"/>
        <v>1</v>
      </c>
      <c r="F261" s="26" t="b">
        <f ca="1">IF(UPPER(Data!C261)="SUB PROCESS",NOT(ISERROR(MATCH(RIGHT(Data!BY261,LEN(Data!BY261)-5),OFFSET(Data,0,0,ItemsCount,1),0))),TRUE)</f>
        <v>1</v>
      </c>
      <c r="G261" s="26" t="b">
        <f ca="1">IF(MID(UPPER(Data!A261),1,13)="MISCELLANEOUS",NOT(ISERROR(MATCH("path="&amp;Data!A261,OFFSET(Data,0,76,ItemsCount,1),0))),TRUE)</f>
        <v>1</v>
      </c>
      <c r="L261" s="25" t="b">
        <f t="shared" ca="1" si="7"/>
        <v>1</v>
      </c>
      <c r="M261" s="24" t="b">
        <f>IF(Checks!$C261,Data!A261&lt;&gt;"",TRUE)</f>
        <v>1</v>
      </c>
      <c r="N261" s="26" t="b">
        <f>IF(Checks!C261,Data!B261&lt;&gt;"",TRUE)</f>
        <v>1</v>
      </c>
      <c r="O261" s="26" t="b">
        <f>IF(Checks!C261,IF(AND(UPPER(Data!C261)="SERVICE TASK",UPPER(Data!BZ261)="TYPE=SAS"),NodeExists(TRIM(RIGHT(Data!CA261,LEN(Data!CA261)-FIND("=",Data!CA261)))),TRUE),TRUE)</f>
        <v>1</v>
      </c>
      <c r="P261" s="26" t="b">
        <f>IF(Checks!C261,IF(Data!C261="DATA OBJECT",OR(AND(Data!BW261&lt;&gt;"",Data!BX261=""),AND(Data!BW261="",Data!BX261&lt;&gt;"")),TRUE),TRUE)</f>
        <v>1</v>
      </c>
      <c r="Q261" s="26" t="b">
        <f>IF(Checks!C261,UPPER(RIGHT(Data!A261,5))=".BPMN",TRUE)</f>
        <v>1</v>
      </c>
      <c r="R261" s="26" t="b">
        <f>IF(Checks!C261,IF(UPPER(Data!C261)="SUB PROCESS",UPPER(RIGHT(Data!BY261,5))=".BPMN",TRUE),TRUE)</f>
        <v>1</v>
      </c>
      <c r="S261" s="26" t="b">
        <f>IF(Checks!C261,IF(UPPER(Data!C261)="SERVICE TASK",IF(UPPER(Data!BZ261)="TYPE=SAS",UPPER(RIGHT(Data!CA261,4))=".SAS",TRUE),TRUE),TRUE)</f>
        <v>1</v>
      </c>
      <c r="T261" s="26" t="b">
        <f>IF(Checks!C261,IF(Data!B261&lt;&gt;"",Data!D261&lt;&gt;"",TRUE),TRUE)</f>
        <v>1</v>
      </c>
      <c r="U261" s="26" t="b">
        <f ca="1">IF(Checks!C261,IF(UPPER(Data!C261)="DATA OBJECT",NOT(ISERROR(MATCH(Data!A261&amp;"||"&amp;Data!BW261&amp;Data!BX261,Key,0))),TRUE),TRUE)</f>
        <v>1</v>
      </c>
      <c r="V261" s="26" t="b">
        <f>IF(Checks!C261,IF(UPPER(Data!C261)="SUB PROCESS",Data!BY261&lt;&gt;"",TRUE),TRUE)</f>
        <v>1</v>
      </c>
      <c r="W261" s="26" t="b">
        <f>IF(Checks!C261,IF(UPPER(Data!C261)="SERVICE TASK",AND(Data!BZ261&lt;&gt;"",Data!CA261&lt;&gt;""),TRUE),TRUE)</f>
        <v>1</v>
      </c>
      <c r="X261" s="26" t="b">
        <f t="array" aca="1" ref="X261" ca="1">SUM((OFFSET(Data!B261,MAX(ROW(Data!$B$5)-ROW(Data!B261),-200),0,400,1)=Data!B261)*(OFFSET(Data!A261,MAX(ROW(Data!$B$5)-ROW(Data!B261),-200),0,400,1)=Data!A261))=1</f>
        <v>1</v>
      </c>
      <c r="Y261" s="26" t="b">
        <f t="array" aca="1" ref="Y261" ca="1">IF(UPPER(Data!C261)="START",SUM((OFFSET(Data!C261,MAX(ROW(Data!$C$5)-ROW(Data!C261),-200),0,400,1)="START")*(OFFSET(Data!A261,MAX(ROW(Data!$B$5)-ROW(Data!B261),-200),0,400,1)=Data!A261))=1,TRUE)</f>
        <v>1</v>
      </c>
      <c r="Z261" s="26" t="b">
        <f t="array" aca="1" ref="Z261" ca="1">IF(UPPER(Data!C261)="END",SUM((OFFSET(Data!C261,MAX(ROW(Data!$C$5)-ROW(Data!C261),-200),0,400,1)="END")*(OFFSET(Data!A261,MAX(ROW(Data!$B$5)-ROW(Data!B261),-200),0,400,1)=Data!A261))=1,TRUE)</f>
        <v>1</v>
      </c>
      <c r="AA261" s="26" t="b">
        <f>IF(Checks!C261,ISERROR(FIND("&amp;",Data!D261)),TRUE)</f>
        <v>1</v>
      </c>
      <c r="AB261" s="26" t="b">
        <f>IF(Checks!$C261,IF(AND(UPPER(Data!$C261)&lt;&gt;"START",UPPER(Data!$C261)&lt;&gt;"DATA OBJECT",Data!E261&lt;&gt;""),NOT(ISERROR(MATCH(Data!$A261&amp;"||"&amp;Data!E261,Key,0))),TRUE),TRUE)</f>
        <v>1</v>
      </c>
      <c r="AC261" s="27" t="b">
        <f>IF(Checks!C261,IF(UPPER(Data!C261)="END",Data!E261&lt;&gt;"",TRUE),TRUE)</f>
        <v>1</v>
      </c>
    </row>
    <row r="262" spans="1:29" x14ac:dyDescent="0.25">
      <c r="A262" s="1" t="str">
        <f>Data!A262&amp;"||"&amp;Data!B262</f>
        <v>Miscellaneous/subflow/irmifrs9_enrichment_stage2.bpmn||999_00_00</v>
      </c>
      <c r="B262" s="19"/>
      <c r="C262" s="24" t="b">
        <f>AND(UPPER(Data!A262)&lt;&gt;"EMPTY",Data!B262&lt;&gt;"")</f>
        <v>1</v>
      </c>
      <c r="D262" s="1"/>
      <c r="E262" s="25" t="b">
        <f t="shared" ref="E262:E325" ca="1" si="8">IF(C262,AND(F262:G262),TRUE)</f>
        <v>1</v>
      </c>
      <c r="F262" s="26" t="b">
        <f ca="1">IF(UPPER(Data!C262)="SUB PROCESS",NOT(ISERROR(MATCH(RIGHT(Data!BY262,LEN(Data!BY262)-5),OFFSET(Data,0,0,ItemsCount,1),0))),TRUE)</f>
        <v>1</v>
      </c>
      <c r="G262" s="26" t="b">
        <f ca="1">IF(MID(UPPER(Data!A262),1,13)="MISCELLANEOUS",NOT(ISERROR(MATCH("path="&amp;Data!A262,OFFSET(Data,0,76,ItemsCount,1),0))),TRUE)</f>
        <v>1</v>
      </c>
      <c r="L262" s="25" t="b">
        <f t="shared" ref="L262:L325" ca="1" si="9">IF(C262,AND(M262:AC262),TRUE)</f>
        <v>1</v>
      </c>
      <c r="M262" s="24" t="b">
        <f>IF(Checks!$C262,Data!A262&lt;&gt;"",TRUE)</f>
        <v>1</v>
      </c>
      <c r="N262" s="26" t="b">
        <f>IF(Checks!C262,Data!B262&lt;&gt;"",TRUE)</f>
        <v>1</v>
      </c>
      <c r="O262" s="26" t="b">
        <f>IF(Checks!C262,IF(AND(UPPER(Data!C262)="SERVICE TASK",UPPER(Data!BZ262)="TYPE=SAS"),NodeExists(TRIM(RIGHT(Data!CA262,LEN(Data!CA262)-FIND("=",Data!CA262)))),TRUE),TRUE)</f>
        <v>1</v>
      </c>
      <c r="P262" s="26" t="b">
        <f>IF(Checks!C262,IF(Data!C262="DATA OBJECT",OR(AND(Data!BW262&lt;&gt;"",Data!BX262=""),AND(Data!BW262="",Data!BX262&lt;&gt;"")),TRUE),TRUE)</f>
        <v>1</v>
      </c>
      <c r="Q262" s="26" t="b">
        <f>IF(Checks!C262,UPPER(RIGHT(Data!A262,5))=".BPMN",TRUE)</f>
        <v>1</v>
      </c>
      <c r="R262" s="26" t="b">
        <f>IF(Checks!C262,IF(UPPER(Data!C262)="SUB PROCESS",UPPER(RIGHT(Data!BY262,5))=".BPMN",TRUE),TRUE)</f>
        <v>1</v>
      </c>
      <c r="S262" s="26" t="b">
        <f>IF(Checks!C262,IF(UPPER(Data!C262)="SERVICE TASK",IF(UPPER(Data!BZ262)="TYPE=SAS",UPPER(RIGHT(Data!CA262,4))=".SAS",TRUE),TRUE),TRUE)</f>
        <v>1</v>
      </c>
      <c r="T262" s="26" t="b">
        <f>IF(Checks!C262,IF(Data!B262&lt;&gt;"",Data!D262&lt;&gt;"",TRUE),TRUE)</f>
        <v>1</v>
      </c>
      <c r="U262" s="26" t="b">
        <f>IF(Checks!C262,IF(UPPER(Data!C262)="DATA OBJECT",NOT(ISERROR(MATCH(Data!A262&amp;"||"&amp;Data!BW262&amp;Data!BX262,Key,0))),TRUE),TRUE)</f>
        <v>1</v>
      </c>
      <c r="V262" s="26" t="b">
        <f>IF(Checks!C262,IF(UPPER(Data!C262)="SUB PROCESS",Data!BY262&lt;&gt;"",TRUE),TRUE)</f>
        <v>1</v>
      </c>
      <c r="W262" s="26" t="b">
        <f>IF(Checks!C262,IF(UPPER(Data!C262)="SERVICE TASK",AND(Data!BZ262&lt;&gt;"",Data!CA262&lt;&gt;""),TRUE),TRUE)</f>
        <v>1</v>
      </c>
      <c r="X262" s="26" t="b">
        <f t="array" aca="1" ref="X262" ca="1">SUM((OFFSET(Data!B262,MAX(ROW(Data!$B$5)-ROW(Data!B262),-200),0,400,1)=Data!B262)*(OFFSET(Data!A262,MAX(ROW(Data!$B$5)-ROW(Data!B262),-200),0,400,1)=Data!A262))=1</f>
        <v>1</v>
      </c>
      <c r="Y262" s="26" t="b">
        <f t="array" aca="1" ref="Y262" ca="1">IF(UPPER(Data!C262)="START",SUM((OFFSET(Data!C262,MAX(ROW(Data!$C$5)-ROW(Data!C262),-200),0,400,1)="START")*(OFFSET(Data!A262,MAX(ROW(Data!$B$5)-ROW(Data!B262),-200),0,400,1)=Data!A262))=1,TRUE)</f>
        <v>1</v>
      </c>
      <c r="Z262" s="26" t="b">
        <f t="array" aca="1" ref="Z262" ca="1">IF(UPPER(Data!C262)="END",SUM((OFFSET(Data!C262,MAX(ROW(Data!$C$5)-ROW(Data!C262),-200),0,400,1)="END")*(OFFSET(Data!A262,MAX(ROW(Data!$B$5)-ROW(Data!B262),-200),0,400,1)=Data!A262))=1,TRUE)</f>
        <v>1</v>
      </c>
      <c r="AA262" s="26" t="b">
        <f>IF(Checks!C262,ISERROR(FIND("&amp;",Data!D262)),TRUE)</f>
        <v>1</v>
      </c>
      <c r="AB262" s="26" t="b">
        <f ca="1">IF(Checks!$C262,IF(AND(UPPER(Data!$C262)&lt;&gt;"START",UPPER(Data!$C262)&lt;&gt;"DATA OBJECT",Data!E262&lt;&gt;""),NOT(ISERROR(MATCH(Data!$A262&amp;"||"&amp;Data!E262,Key,0))),TRUE),TRUE)</f>
        <v>1</v>
      </c>
      <c r="AC262" s="27" t="b">
        <f>IF(Checks!C262,IF(UPPER(Data!C262)="END",Data!E262&lt;&gt;"",TRUE),TRUE)</f>
        <v>1</v>
      </c>
    </row>
    <row r="263" spans="1:29" x14ac:dyDescent="0.25">
      <c r="A263" s="1" t="str">
        <f>Data!A263&amp;"||"&amp;Data!B263</f>
        <v>Miscellaneous/subflow/irmifrs9_enrichment_stage3.bpmn||000_00_00</v>
      </c>
      <c r="B263" s="19"/>
      <c r="C263" s="24" t="b">
        <f>AND(UPPER(Data!A263)&lt;&gt;"EMPTY",Data!B263&lt;&gt;"")</f>
        <v>1</v>
      </c>
      <c r="D263" s="1"/>
      <c r="E263" s="25" t="b">
        <f t="shared" ca="1" si="8"/>
        <v>1</v>
      </c>
      <c r="F263" s="26" t="b">
        <f ca="1">IF(UPPER(Data!C263)="SUB PROCESS",NOT(ISERROR(MATCH(RIGHT(Data!BY263,LEN(Data!BY263)-5),OFFSET(Data,0,0,ItemsCount,1),0))),TRUE)</f>
        <v>1</v>
      </c>
      <c r="G263" s="26" t="b">
        <f ca="1">IF(MID(UPPER(Data!A263),1,13)="MISCELLANEOUS",NOT(ISERROR(MATCH("path="&amp;Data!A263,OFFSET(Data,0,76,ItemsCount,1),0))),TRUE)</f>
        <v>1</v>
      </c>
      <c r="L263" s="25" t="b">
        <f t="shared" ca="1" si="9"/>
        <v>1</v>
      </c>
      <c r="M263" s="24" t="b">
        <f>IF(Checks!$C263,Data!A263&lt;&gt;"",TRUE)</f>
        <v>1</v>
      </c>
      <c r="N263" s="26" t="b">
        <f>IF(Checks!C263,Data!B263&lt;&gt;"",TRUE)</f>
        <v>1</v>
      </c>
      <c r="O263" s="26" t="b">
        <f>IF(Checks!C263,IF(AND(UPPER(Data!C263)="SERVICE TASK",UPPER(Data!BZ263)="TYPE=SAS"),NodeExists(TRIM(RIGHT(Data!CA263,LEN(Data!CA263)-FIND("=",Data!CA263)))),TRUE),TRUE)</f>
        <v>1</v>
      </c>
      <c r="P263" s="26" t="b">
        <f>IF(Checks!C263,IF(Data!C263="DATA OBJECT",OR(AND(Data!BW263&lt;&gt;"",Data!BX263=""),AND(Data!BW263="",Data!BX263&lt;&gt;"")),TRUE),TRUE)</f>
        <v>1</v>
      </c>
      <c r="Q263" s="26" t="b">
        <f>IF(Checks!C263,UPPER(RIGHT(Data!A263,5))=".BPMN",TRUE)</f>
        <v>1</v>
      </c>
      <c r="R263" s="26" t="b">
        <f>IF(Checks!C263,IF(UPPER(Data!C263)="SUB PROCESS",UPPER(RIGHT(Data!BY263,5))=".BPMN",TRUE),TRUE)</f>
        <v>1</v>
      </c>
      <c r="S263" s="26" t="b">
        <f>IF(Checks!C263,IF(UPPER(Data!C263)="SERVICE TASK",IF(UPPER(Data!BZ263)="TYPE=SAS",UPPER(RIGHT(Data!CA263,4))=".SAS",TRUE),TRUE),TRUE)</f>
        <v>1</v>
      </c>
      <c r="T263" s="26" t="b">
        <f>IF(Checks!C263,IF(Data!B263&lt;&gt;"",Data!D263&lt;&gt;"",TRUE),TRUE)</f>
        <v>1</v>
      </c>
      <c r="U263" s="26" t="b">
        <f>IF(Checks!C263,IF(UPPER(Data!C263)="DATA OBJECT",NOT(ISERROR(MATCH(Data!A263&amp;"||"&amp;Data!BW263&amp;Data!BX263,Key,0))),TRUE),TRUE)</f>
        <v>1</v>
      </c>
      <c r="V263" s="26" t="b">
        <f>IF(Checks!C263,IF(UPPER(Data!C263)="SUB PROCESS",Data!BY263&lt;&gt;"",TRUE),TRUE)</f>
        <v>1</v>
      </c>
      <c r="W263" s="26" t="b">
        <f>IF(Checks!C263,IF(UPPER(Data!C263)="SERVICE TASK",AND(Data!BZ263&lt;&gt;"",Data!CA263&lt;&gt;""),TRUE),TRUE)</f>
        <v>1</v>
      </c>
      <c r="X263" s="26" t="b">
        <f t="array" aca="1" ref="X263" ca="1">SUM((OFFSET(Data!B263,MAX(ROW(Data!$B$5)-ROW(Data!B263),-200),0,400,1)=Data!B263)*(OFFSET(Data!A263,MAX(ROW(Data!$B$5)-ROW(Data!B263),-200),0,400,1)=Data!A263))=1</f>
        <v>1</v>
      </c>
      <c r="Y263" s="26" t="b">
        <f t="array" aca="1" ref="Y263" ca="1">IF(UPPER(Data!C263)="START",SUM((OFFSET(Data!C263,MAX(ROW(Data!$C$5)-ROW(Data!C263),-200),0,400,1)="START")*(OFFSET(Data!A263,MAX(ROW(Data!$B$5)-ROW(Data!B263),-200),0,400,1)=Data!A263))=1,TRUE)</f>
        <v>1</v>
      </c>
      <c r="Z263" s="26" t="b">
        <f t="array" aca="1" ref="Z263" ca="1">IF(UPPER(Data!C263)="END",SUM((OFFSET(Data!C263,MAX(ROW(Data!$C$5)-ROW(Data!C263),-200),0,400,1)="END")*(OFFSET(Data!A263,MAX(ROW(Data!$B$5)-ROW(Data!B263),-200),0,400,1)=Data!A263))=1,TRUE)</f>
        <v>1</v>
      </c>
      <c r="AA263" s="26" t="b">
        <f>IF(Checks!C263,ISERROR(FIND("&amp;",Data!D263)),TRUE)</f>
        <v>1</v>
      </c>
      <c r="AB263" s="26" t="b">
        <f>IF(Checks!$C263,IF(AND(UPPER(Data!$C263)&lt;&gt;"START",UPPER(Data!$C263)&lt;&gt;"DATA OBJECT",Data!E263&lt;&gt;""),NOT(ISERROR(MATCH(Data!$A263&amp;"||"&amp;Data!E263,Key,0))),TRUE),TRUE)</f>
        <v>1</v>
      </c>
      <c r="AC263" s="27" t="b">
        <f>IF(Checks!C263,IF(UPPER(Data!C263)="END",Data!E263&lt;&gt;"",TRUE),TRUE)</f>
        <v>1</v>
      </c>
    </row>
    <row r="264" spans="1:29" x14ac:dyDescent="0.25">
      <c r="A264" s="1" t="str">
        <f>Data!A264&amp;"||"&amp;Data!B264</f>
        <v>Miscellaneous/subflow/irmifrs9_enrichment_stage3.bpmn||010_00_00</v>
      </c>
      <c r="B264" s="19"/>
      <c r="C264" s="24" t="b">
        <f>AND(UPPER(Data!A264)&lt;&gt;"EMPTY",Data!B264&lt;&gt;"")</f>
        <v>1</v>
      </c>
      <c r="D264" s="1"/>
      <c r="E264" s="25" t="b">
        <f t="shared" ca="1" si="8"/>
        <v>1</v>
      </c>
      <c r="F264" s="26" t="b">
        <f ca="1">IF(UPPER(Data!C264)="SUB PROCESS",NOT(ISERROR(MATCH(RIGHT(Data!BY264,LEN(Data!BY264)-5),OFFSET(Data,0,0,ItemsCount,1),0))),TRUE)</f>
        <v>1</v>
      </c>
      <c r="G264" s="26" t="b">
        <f ca="1">IF(MID(UPPER(Data!A264),1,13)="MISCELLANEOUS",NOT(ISERROR(MATCH("path="&amp;Data!A264,OFFSET(Data,0,76,ItemsCount,1),0))),TRUE)</f>
        <v>1</v>
      </c>
      <c r="L264" s="25" t="b">
        <f t="shared" ca="1" si="9"/>
        <v>1</v>
      </c>
      <c r="M264" s="24" t="b">
        <f>IF(Checks!$C264,Data!A264&lt;&gt;"",TRUE)</f>
        <v>1</v>
      </c>
      <c r="N264" s="26" t="b">
        <f>IF(Checks!C264,Data!B264&lt;&gt;"",TRUE)</f>
        <v>1</v>
      </c>
      <c r="O264" s="26" t="b">
        <f>IF(Checks!C264,IF(AND(UPPER(Data!C264)="SERVICE TASK",UPPER(Data!BZ264)="TYPE=SAS"),NodeExists(TRIM(RIGHT(Data!CA264,LEN(Data!CA264)-FIND("=",Data!CA264)))),TRUE),TRUE)</f>
        <v>1</v>
      </c>
      <c r="P264" s="26" t="b">
        <f>IF(Checks!C264,IF(Data!C264="DATA OBJECT",OR(AND(Data!BW264&lt;&gt;"",Data!BX264=""),AND(Data!BW264="",Data!BX264&lt;&gt;"")),TRUE),TRUE)</f>
        <v>1</v>
      </c>
      <c r="Q264" s="26" t="b">
        <f>IF(Checks!C264,UPPER(RIGHT(Data!A264,5))=".BPMN",TRUE)</f>
        <v>1</v>
      </c>
      <c r="R264" s="26" t="b">
        <f>IF(Checks!C264,IF(UPPER(Data!C264)="SUB PROCESS",UPPER(RIGHT(Data!BY264,5))=".BPMN",TRUE),TRUE)</f>
        <v>1</v>
      </c>
      <c r="S264" s="26" t="b">
        <f>IF(Checks!C264,IF(UPPER(Data!C264)="SERVICE TASK",IF(UPPER(Data!BZ264)="TYPE=SAS",UPPER(RIGHT(Data!CA264,4))=".SAS",TRUE),TRUE),TRUE)</f>
        <v>1</v>
      </c>
      <c r="T264" s="26" t="b">
        <f>IF(Checks!C264,IF(Data!B264&lt;&gt;"",Data!D264&lt;&gt;"",TRUE),TRUE)</f>
        <v>1</v>
      </c>
      <c r="U264" s="26" t="b">
        <f>IF(Checks!C264,IF(UPPER(Data!C264)="DATA OBJECT",NOT(ISERROR(MATCH(Data!A264&amp;"||"&amp;Data!BW264&amp;Data!BX264,Key,0))),TRUE),TRUE)</f>
        <v>1</v>
      </c>
      <c r="V264" s="26" t="b">
        <f>IF(Checks!C264,IF(UPPER(Data!C264)="SUB PROCESS",Data!BY264&lt;&gt;"",TRUE),TRUE)</f>
        <v>1</v>
      </c>
      <c r="W264" s="26" t="b">
        <f>IF(Checks!C264,IF(UPPER(Data!C264)="SERVICE TASK",AND(Data!BZ264&lt;&gt;"",Data!CA264&lt;&gt;""),TRUE),TRUE)</f>
        <v>1</v>
      </c>
      <c r="X264" s="26" t="b">
        <f t="array" aca="1" ref="X264" ca="1">SUM((OFFSET(Data!B264,MAX(ROW(Data!$B$5)-ROW(Data!B264),-200),0,400,1)=Data!B264)*(OFFSET(Data!A264,MAX(ROW(Data!$B$5)-ROW(Data!B264),-200),0,400,1)=Data!A264))=1</f>
        <v>1</v>
      </c>
      <c r="Y264" s="26" t="b">
        <f t="array" aca="1" ref="Y264" ca="1">IF(UPPER(Data!C264)="START",SUM((OFFSET(Data!C264,MAX(ROW(Data!$C$5)-ROW(Data!C264),-200),0,400,1)="START")*(OFFSET(Data!A264,MAX(ROW(Data!$B$5)-ROW(Data!B264),-200),0,400,1)=Data!A264))=1,TRUE)</f>
        <v>1</v>
      </c>
      <c r="Z264" s="26" t="b">
        <f t="array" aca="1" ref="Z264" ca="1">IF(UPPER(Data!C264)="END",SUM((OFFSET(Data!C264,MAX(ROW(Data!$C$5)-ROW(Data!C264),-200),0,400,1)="END")*(OFFSET(Data!A264,MAX(ROW(Data!$B$5)-ROW(Data!B264),-200),0,400,1)=Data!A264))=1,TRUE)</f>
        <v>1</v>
      </c>
      <c r="AA264" s="26" t="b">
        <f>IF(Checks!C264,ISERROR(FIND("&amp;",Data!D264)),TRUE)</f>
        <v>1</v>
      </c>
      <c r="AB264" s="26" t="b">
        <f ca="1">IF(Checks!$C264,IF(AND(UPPER(Data!$C264)&lt;&gt;"START",UPPER(Data!$C264)&lt;&gt;"DATA OBJECT",Data!E264&lt;&gt;""),NOT(ISERROR(MATCH(Data!$A264&amp;"||"&amp;Data!E264,Key,0))),TRUE),TRUE)</f>
        <v>1</v>
      </c>
      <c r="AC264" s="27" t="b">
        <f>IF(Checks!C264,IF(UPPER(Data!C264)="END",Data!E264&lt;&gt;"",TRUE),TRUE)</f>
        <v>1</v>
      </c>
    </row>
    <row r="265" spans="1:29" x14ac:dyDescent="0.25">
      <c r="A265" s="1" t="str">
        <f>Data!A265&amp;"||"&amp;Data!B265</f>
        <v>Miscellaneous/subflow/irmifrs9_enrichment_stage3.bpmn||010_00_01</v>
      </c>
      <c r="B265" s="19"/>
      <c r="C265" s="24" t="b">
        <f>AND(UPPER(Data!A265)&lt;&gt;"EMPTY",Data!B265&lt;&gt;"")</f>
        <v>1</v>
      </c>
      <c r="D265" s="1"/>
      <c r="E265" s="25" t="b">
        <f t="shared" ca="1" si="8"/>
        <v>1</v>
      </c>
      <c r="F265" s="26" t="b">
        <f ca="1">IF(UPPER(Data!C265)="SUB PROCESS",NOT(ISERROR(MATCH(RIGHT(Data!BY265,LEN(Data!BY265)-5),OFFSET(Data,0,0,ItemsCount,1),0))),TRUE)</f>
        <v>1</v>
      </c>
      <c r="G265" s="26" t="b">
        <f ca="1">IF(MID(UPPER(Data!A265),1,13)="MISCELLANEOUS",NOT(ISERROR(MATCH("path="&amp;Data!A265,OFFSET(Data,0,76,ItemsCount,1),0))),TRUE)</f>
        <v>1</v>
      </c>
      <c r="L265" s="25" t="b">
        <f t="shared" ca="1" si="9"/>
        <v>1</v>
      </c>
      <c r="M265" s="24" t="b">
        <f>IF(Checks!$C265,Data!A265&lt;&gt;"",TRUE)</f>
        <v>1</v>
      </c>
      <c r="N265" s="26" t="b">
        <f>IF(Checks!C265,Data!B265&lt;&gt;"",TRUE)</f>
        <v>1</v>
      </c>
      <c r="O265" s="26" t="b">
        <f>IF(Checks!C265,IF(AND(UPPER(Data!C265)="SERVICE TASK",UPPER(Data!BZ265)="TYPE=SAS"),NodeExists(TRIM(RIGHT(Data!CA265,LEN(Data!CA265)-FIND("=",Data!CA265)))),TRUE),TRUE)</f>
        <v>1</v>
      </c>
      <c r="P265" s="26" t="b">
        <f>IF(Checks!C265,IF(Data!C265="DATA OBJECT",OR(AND(Data!BW265&lt;&gt;"",Data!BX265=""),AND(Data!BW265="",Data!BX265&lt;&gt;"")),TRUE),TRUE)</f>
        <v>1</v>
      </c>
      <c r="Q265" s="26" t="b">
        <f>IF(Checks!C265,UPPER(RIGHT(Data!A265,5))=".BPMN",TRUE)</f>
        <v>1</v>
      </c>
      <c r="R265" s="26" t="b">
        <f>IF(Checks!C265,IF(UPPER(Data!C265)="SUB PROCESS",UPPER(RIGHT(Data!BY265,5))=".BPMN",TRUE),TRUE)</f>
        <v>1</v>
      </c>
      <c r="S265" s="26" t="b">
        <f>IF(Checks!C265,IF(UPPER(Data!C265)="SERVICE TASK",IF(UPPER(Data!BZ265)="TYPE=SAS",UPPER(RIGHT(Data!CA265,4))=".SAS",TRUE),TRUE),TRUE)</f>
        <v>1</v>
      </c>
      <c r="T265" s="26" t="b">
        <f>IF(Checks!C265,IF(Data!B265&lt;&gt;"",Data!D265&lt;&gt;"",TRUE),TRUE)</f>
        <v>1</v>
      </c>
      <c r="U265" s="26" t="b">
        <f ca="1">IF(Checks!C265,IF(UPPER(Data!C265)="DATA OBJECT",NOT(ISERROR(MATCH(Data!A265&amp;"||"&amp;Data!BW265&amp;Data!BX265,Key,0))),TRUE),TRUE)</f>
        <v>1</v>
      </c>
      <c r="V265" s="26" t="b">
        <f>IF(Checks!C265,IF(UPPER(Data!C265)="SUB PROCESS",Data!BY265&lt;&gt;"",TRUE),TRUE)</f>
        <v>1</v>
      </c>
      <c r="W265" s="26" t="b">
        <f>IF(Checks!C265,IF(UPPER(Data!C265)="SERVICE TASK",AND(Data!BZ265&lt;&gt;"",Data!CA265&lt;&gt;""),TRUE),TRUE)</f>
        <v>1</v>
      </c>
      <c r="X265" s="26" t="b">
        <f t="array" aca="1" ref="X265" ca="1">SUM((OFFSET(Data!B265,MAX(ROW(Data!$B$5)-ROW(Data!B265),-200),0,400,1)=Data!B265)*(OFFSET(Data!A265,MAX(ROW(Data!$B$5)-ROW(Data!B265),-200),0,400,1)=Data!A265))=1</f>
        <v>1</v>
      </c>
      <c r="Y265" s="26" t="b">
        <f t="array" aca="1" ref="Y265" ca="1">IF(UPPER(Data!C265)="START",SUM((OFFSET(Data!C265,MAX(ROW(Data!$C$5)-ROW(Data!C265),-200),0,400,1)="START")*(OFFSET(Data!A265,MAX(ROW(Data!$B$5)-ROW(Data!B265),-200),0,400,1)=Data!A265))=1,TRUE)</f>
        <v>1</v>
      </c>
      <c r="Z265" s="26" t="b">
        <f t="array" aca="1" ref="Z265" ca="1">IF(UPPER(Data!C265)="END",SUM((OFFSET(Data!C265,MAX(ROW(Data!$C$5)-ROW(Data!C265),-200),0,400,1)="END")*(OFFSET(Data!A265,MAX(ROW(Data!$B$5)-ROW(Data!B265),-200),0,400,1)=Data!A265))=1,TRUE)</f>
        <v>1</v>
      </c>
      <c r="AA265" s="26" t="b">
        <f>IF(Checks!C265,ISERROR(FIND("&amp;",Data!D265)),TRUE)</f>
        <v>1</v>
      </c>
      <c r="AB265" s="26" t="b">
        <f>IF(Checks!$C265,IF(AND(UPPER(Data!$C265)&lt;&gt;"START",UPPER(Data!$C265)&lt;&gt;"DATA OBJECT",Data!E265&lt;&gt;""),NOT(ISERROR(MATCH(Data!$A265&amp;"||"&amp;Data!E265,Key,0))),TRUE),TRUE)</f>
        <v>1</v>
      </c>
      <c r="AC265" s="27" t="b">
        <f>IF(Checks!C265,IF(UPPER(Data!C265)="END",Data!E265&lt;&gt;"",TRUE),TRUE)</f>
        <v>1</v>
      </c>
    </row>
    <row r="266" spans="1:29" x14ac:dyDescent="0.25">
      <c r="A266" s="1" t="str">
        <f>Data!A266&amp;"||"&amp;Data!B266</f>
        <v>Miscellaneous/subflow/irmifrs9_enrichment_stage3.bpmn||010_00_02</v>
      </c>
      <c r="B266" s="19"/>
      <c r="C266" s="24" t="b">
        <f>AND(UPPER(Data!A266)&lt;&gt;"EMPTY",Data!B266&lt;&gt;"")</f>
        <v>1</v>
      </c>
      <c r="D266" s="1"/>
      <c r="E266" s="25" t="b">
        <f t="shared" ca="1" si="8"/>
        <v>1</v>
      </c>
      <c r="F266" s="26" t="b">
        <f ca="1">IF(UPPER(Data!C266)="SUB PROCESS",NOT(ISERROR(MATCH(RIGHT(Data!BY266,LEN(Data!BY266)-5),OFFSET(Data,0,0,ItemsCount,1),0))),TRUE)</f>
        <v>1</v>
      </c>
      <c r="G266" s="26" t="b">
        <f ca="1">IF(MID(UPPER(Data!A266),1,13)="MISCELLANEOUS",NOT(ISERROR(MATCH("path="&amp;Data!A266,OFFSET(Data,0,76,ItemsCount,1),0))),TRUE)</f>
        <v>1</v>
      </c>
      <c r="L266" s="25" t="b">
        <f t="shared" ca="1" si="9"/>
        <v>1</v>
      </c>
      <c r="M266" s="24" t="b">
        <f>IF(Checks!$C266,Data!A266&lt;&gt;"",TRUE)</f>
        <v>1</v>
      </c>
      <c r="N266" s="26" t="b">
        <f>IF(Checks!C266,Data!B266&lt;&gt;"",TRUE)</f>
        <v>1</v>
      </c>
      <c r="O266" s="26" t="b">
        <f>IF(Checks!C266,IF(AND(UPPER(Data!C266)="SERVICE TASK",UPPER(Data!BZ266)="TYPE=SAS"),NodeExists(TRIM(RIGHT(Data!CA266,LEN(Data!CA266)-FIND("=",Data!CA266)))),TRUE),TRUE)</f>
        <v>1</v>
      </c>
      <c r="P266" s="26" t="b">
        <f>IF(Checks!C266,IF(Data!C266="DATA OBJECT",OR(AND(Data!BW266&lt;&gt;"",Data!BX266=""),AND(Data!BW266="",Data!BX266&lt;&gt;"")),TRUE),TRUE)</f>
        <v>1</v>
      </c>
      <c r="Q266" s="26" t="b">
        <f>IF(Checks!C266,UPPER(RIGHT(Data!A266,5))=".BPMN",TRUE)</f>
        <v>1</v>
      </c>
      <c r="R266" s="26" t="b">
        <f>IF(Checks!C266,IF(UPPER(Data!C266)="SUB PROCESS",UPPER(RIGHT(Data!BY266,5))=".BPMN",TRUE),TRUE)</f>
        <v>1</v>
      </c>
      <c r="S266" s="26" t="b">
        <f>IF(Checks!C266,IF(UPPER(Data!C266)="SERVICE TASK",IF(UPPER(Data!BZ266)="TYPE=SAS",UPPER(RIGHT(Data!CA266,4))=".SAS",TRUE),TRUE),TRUE)</f>
        <v>1</v>
      </c>
      <c r="T266" s="26" t="b">
        <f>IF(Checks!C266,IF(Data!B266&lt;&gt;"",Data!D266&lt;&gt;"",TRUE),TRUE)</f>
        <v>1</v>
      </c>
      <c r="U266" s="26" t="b">
        <f ca="1">IF(Checks!C266,IF(UPPER(Data!C266)="DATA OBJECT",NOT(ISERROR(MATCH(Data!A266&amp;"||"&amp;Data!BW266&amp;Data!BX266,Key,0))),TRUE),TRUE)</f>
        <v>1</v>
      </c>
      <c r="V266" s="26" t="b">
        <f>IF(Checks!C266,IF(UPPER(Data!C266)="SUB PROCESS",Data!BY266&lt;&gt;"",TRUE),TRUE)</f>
        <v>1</v>
      </c>
      <c r="W266" s="26" t="b">
        <f>IF(Checks!C266,IF(UPPER(Data!C266)="SERVICE TASK",AND(Data!BZ266&lt;&gt;"",Data!CA266&lt;&gt;""),TRUE),TRUE)</f>
        <v>1</v>
      </c>
      <c r="X266" s="26" t="b">
        <f t="array" aca="1" ref="X266" ca="1">SUM((OFFSET(Data!B266,MAX(ROW(Data!$B$5)-ROW(Data!B266),-200),0,400,1)=Data!B266)*(OFFSET(Data!A266,MAX(ROW(Data!$B$5)-ROW(Data!B266),-200),0,400,1)=Data!A266))=1</f>
        <v>1</v>
      </c>
      <c r="Y266" s="26" t="b">
        <f t="array" aca="1" ref="Y266" ca="1">IF(UPPER(Data!C266)="START",SUM((OFFSET(Data!C266,MAX(ROW(Data!$C$5)-ROW(Data!C266),-200),0,400,1)="START")*(OFFSET(Data!A266,MAX(ROW(Data!$B$5)-ROW(Data!B266),-200),0,400,1)=Data!A266))=1,TRUE)</f>
        <v>1</v>
      </c>
      <c r="Z266" s="26" t="b">
        <f t="array" aca="1" ref="Z266" ca="1">IF(UPPER(Data!C266)="END",SUM((OFFSET(Data!C266,MAX(ROW(Data!$C$5)-ROW(Data!C266),-200),0,400,1)="END")*(OFFSET(Data!A266,MAX(ROW(Data!$B$5)-ROW(Data!B266),-200),0,400,1)=Data!A266))=1,TRUE)</f>
        <v>1</v>
      </c>
      <c r="AA266" s="26" t="b">
        <f>IF(Checks!C266,ISERROR(FIND("&amp;",Data!D266)),TRUE)</f>
        <v>1</v>
      </c>
      <c r="AB266" s="26" t="b">
        <f>IF(Checks!$C266,IF(AND(UPPER(Data!$C266)&lt;&gt;"START",UPPER(Data!$C266)&lt;&gt;"DATA OBJECT",Data!E266&lt;&gt;""),NOT(ISERROR(MATCH(Data!$A266&amp;"||"&amp;Data!E266,Key,0))),TRUE),TRUE)</f>
        <v>1</v>
      </c>
      <c r="AC266" s="27" t="b">
        <f>IF(Checks!C266,IF(UPPER(Data!C266)="END",Data!E266&lt;&gt;"",TRUE),TRUE)</f>
        <v>1</v>
      </c>
    </row>
    <row r="267" spans="1:29" x14ac:dyDescent="0.25">
      <c r="A267" s="1" t="str">
        <f>Data!A267&amp;"||"&amp;Data!B267</f>
        <v>Miscellaneous/subflow/irmifrs9_enrichment_stage3.bpmn||010_00_03</v>
      </c>
      <c r="B267" s="19"/>
      <c r="C267" s="24" t="b">
        <f>AND(UPPER(Data!A267)&lt;&gt;"EMPTY",Data!B267&lt;&gt;"")</f>
        <v>1</v>
      </c>
      <c r="D267" s="1"/>
      <c r="E267" s="25" t="b">
        <f t="shared" ca="1" si="8"/>
        <v>1</v>
      </c>
      <c r="F267" s="26" t="b">
        <f ca="1">IF(UPPER(Data!C267)="SUB PROCESS",NOT(ISERROR(MATCH(RIGHT(Data!BY267,LEN(Data!BY267)-5),OFFSET(Data,0,0,ItemsCount,1),0))),TRUE)</f>
        <v>1</v>
      </c>
      <c r="G267" s="26" t="b">
        <f ca="1">IF(MID(UPPER(Data!A267),1,13)="MISCELLANEOUS",NOT(ISERROR(MATCH("path="&amp;Data!A267,OFFSET(Data,0,76,ItemsCount,1),0))),TRUE)</f>
        <v>1</v>
      </c>
      <c r="L267" s="25" t="b">
        <f t="shared" ca="1" si="9"/>
        <v>1</v>
      </c>
      <c r="M267" s="24" t="b">
        <f>IF(Checks!$C267,Data!A267&lt;&gt;"",TRUE)</f>
        <v>1</v>
      </c>
      <c r="N267" s="26" t="b">
        <f>IF(Checks!C267,Data!B267&lt;&gt;"",TRUE)</f>
        <v>1</v>
      </c>
      <c r="O267" s="26" t="b">
        <f>IF(Checks!C267,IF(AND(UPPER(Data!C267)="SERVICE TASK",UPPER(Data!BZ267)="TYPE=SAS"),NodeExists(TRIM(RIGHT(Data!CA267,LEN(Data!CA267)-FIND("=",Data!CA267)))),TRUE),TRUE)</f>
        <v>1</v>
      </c>
      <c r="P267" s="26" t="b">
        <f>IF(Checks!C267,IF(Data!C267="DATA OBJECT",OR(AND(Data!BW267&lt;&gt;"",Data!BX267=""),AND(Data!BW267="",Data!BX267&lt;&gt;"")),TRUE),TRUE)</f>
        <v>1</v>
      </c>
      <c r="Q267" s="26" t="b">
        <f>IF(Checks!C267,UPPER(RIGHT(Data!A267,5))=".BPMN",TRUE)</f>
        <v>1</v>
      </c>
      <c r="R267" s="26" t="b">
        <f>IF(Checks!C267,IF(UPPER(Data!C267)="SUB PROCESS",UPPER(RIGHT(Data!BY267,5))=".BPMN",TRUE),TRUE)</f>
        <v>1</v>
      </c>
      <c r="S267" s="26" t="b">
        <f>IF(Checks!C267,IF(UPPER(Data!C267)="SERVICE TASK",IF(UPPER(Data!BZ267)="TYPE=SAS",UPPER(RIGHT(Data!CA267,4))=".SAS",TRUE),TRUE),TRUE)</f>
        <v>1</v>
      </c>
      <c r="T267" s="26" t="b">
        <f>IF(Checks!C267,IF(Data!B267&lt;&gt;"",Data!D267&lt;&gt;"",TRUE),TRUE)</f>
        <v>1</v>
      </c>
      <c r="U267" s="26" t="b">
        <f ca="1">IF(Checks!C267,IF(UPPER(Data!C267)="DATA OBJECT",NOT(ISERROR(MATCH(Data!A267&amp;"||"&amp;Data!BW267&amp;Data!BX267,Key,0))),TRUE),TRUE)</f>
        <v>1</v>
      </c>
      <c r="V267" s="26" t="b">
        <f>IF(Checks!C267,IF(UPPER(Data!C267)="SUB PROCESS",Data!BY267&lt;&gt;"",TRUE),TRUE)</f>
        <v>1</v>
      </c>
      <c r="W267" s="26" t="b">
        <f>IF(Checks!C267,IF(UPPER(Data!C267)="SERVICE TASK",AND(Data!BZ267&lt;&gt;"",Data!CA267&lt;&gt;""),TRUE),TRUE)</f>
        <v>1</v>
      </c>
      <c r="X267" s="26" t="b">
        <f t="array" aca="1" ref="X267" ca="1">SUM((OFFSET(Data!B267,MAX(ROW(Data!$B$5)-ROW(Data!B267),-200),0,400,1)=Data!B267)*(OFFSET(Data!A267,MAX(ROW(Data!$B$5)-ROW(Data!B267),-200),0,400,1)=Data!A267))=1</f>
        <v>1</v>
      </c>
      <c r="Y267" s="26" t="b">
        <f t="array" aca="1" ref="Y267" ca="1">IF(UPPER(Data!C267)="START",SUM((OFFSET(Data!C267,MAX(ROW(Data!$C$5)-ROW(Data!C267),-200),0,400,1)="START")*(OFFSET(Data!A267,MAX(ROW(Data!$B$5)-ROW(Data!B267),-200),0,400,1)=Data!A267))=1,TRUE)</f>
        <v>1</v>
      </c>
      <c r="Z267" s="26" t="b">
        <f t="array" aca="1" ref="Z267" ca="1">IF(UPPER(Data!C267)="END",SUM((OFFSET(Data!C267,MAX(ROW(Data!$C$5)-ROW(Data!C267),-200),0,400,1)="END")*(OFFSET(Data!A267,MAX(ROW(Data!$B$5)-ROW(Data!B267),-200),0,400,1)=Data!A267))=1,TRUE)</f>
        <v>1</v>
      </c>
      <c r="AA267" s="26" t="b">
        <f>IF(Checks!C267,ISERROR(FIND("&amp;",Data!D267)),TRUE)</f>
        <v>1</v>
      </c>
      <c r="AB267" s="26" t="b">
        <f>IF(Checks!$C267,IF(AND(UPPER(Data!$C267)&lt;&gt;"START",UPPER(Data!$C267)&lt;&gt;"DATA OBJECT",Data!E267&lt;&gt;""),NOT(ISERROR(MATCH(Data!$A267&amp;"||"&amp;Data!E267,Key,0))),TRUE),TRUE)</f>
        <v>1</v>
      </c>
      <c r="AC267" s="27" t="b">
        <f>IF(Checks!C267,IF(UPPER(Data!C267)="END",Data!E267&lt;&gt;"",TRUE),TRUE)</f>
        <v>1</v>
      </c>
    </row>
    <row r="268" spans="1:29" x14ac:dyDescent="0.25">
      <c r="A268" s="1" t="str">
        <f>Data!A268&amp;"||"&amp;Data!B268</f>
        <v>Miscellaneous/subflow/irmifrs9_enrichment_stage3.bpmn||010_01_00</v>
      </c>
      <c r="B268" s="19"/>
      <c r="C268" s="24" t="b">
        <f>AND(UPPER(Data!A268)&lt;&gt;"EMPTY",Data!B268&lt;&gt;"")</f>
        <v>1</v>
      </c>
      <c r="D268" s="1"/>
      <c r="E268" s="25" t="b">
        <f t="shared" ca="1" si="8"/>
        <v>1</v>
      </c>
      <c r="F268" s="26" t="b">
        <f ca="1">IF(UPPER(Data!C268)="SUB PROCESS",NOT(ISERROR(MATCH(RIGHT(Data!BY268,LEN(Data!BY268)-5),OFFSET(Data,0,0,ItemsCount,1),0))),TRUE)</f>
        <v>1</v>
      </c>
      <c r="G268" s="26" t="b">
        <f ca="1">IF(MID(UPPER(Data!A268),1,13)="MISCELLANEOUS",NOT(ISERROR(MATCH("path="&amp;Data!A268,OFFSET(Data,0,76,ItemsCount,1),0))),TRUE)</f>
        <v>1</v>
      </c>
      <c r="L268" s="25" t="b">
        <f t="shared" ca="1" si="9"/>
        <v>1</v>
      </c>
      <c r="M268" s="24" t="b">
        <f>IF(Checks!$C268,Data!A268&lt;&gt;"",TRUE)</f>
        <v>1</v>
      </c>
      <c r="N268" s="26" t="b">
        <f>IF(Checks!C268,Data!B268&lt;&gt;"",TRUE)</f>
        <v>1</v>
      </c>
      <c r="O268" s="26" t="b">
        <f>IF(Checks!C268,IF(AND(UPPER(Data!C268)="SERVICE TASK",UPPER(Data!BZ268)="TYPE=SAS"),NodeExists(TRIM(RIGHT(Data!CA268,LEN(Data!CA268)-FIND("=",Data!CA268)))),TRUE),TRUE)</f>
        <v>1</v>
      </c>
      <c r="P268" s="26" t="b">
        <f>IF(Checks!C268,IF(Data!C268="DATA OBJECT",OR(AND(Data!BW268&lt;&gt;"",Data!BX268=""),AND(Data!BW268="",Data!BX268&lt;&gt;"")),TRUE),TRUE)</f>
        <v>1</v>
      </c>
      <c r="Q268" s="26" t="b">
        <f>IF(Checks!C268,UPPER(RIGHT(Data!A268,5))=".BPMN",TRUE)</f>
        <v>1</v>
      </c>
      <c r="R268" s="26" t="b">
        <f>IF(Checks!C268,IF(UPPER(Data!C268)="SUB PROCESS",UPPER(RIGHT(Data!BY268,5))=".BPMN",TRUE),TRUE)</f>
        <v>1</v>
      </c>
      <c r="S268" s="26" t="b">
        <f>IF(Checks!C268,IF(UPPER(Data!C268)="SERVICE TASK",IF(UPPER(Data!BZ268)="TYPE=SAS",UPPER(RIGHT(Data!CA268,4))=".SAS",TRUE),TRUE),TRUE)</f>
        <v>1</v>
      </c>
      <c r="T268" s="26" t="b">
        <f>IF(Checks!C268,IF(Data!B268&lt;&gt;"",Data!D268&lt;&gt;"",TRUE),TRUE)</f>
        <v>1</v>
      </c>
      <c r="U268" s="26" t="b">
        <f ca="1">IF(Checks!C268,IF(UPPER(Data!C268)="DATA OBJECT",NOT(ISERROR(MATCH(Data!A268&amp;"||"&amp;Data!BW268&amp;Data!BX268,Key,0))),TRUE),TRUE)</f>
        <v>1</v>
      </c>
      <c r="V268" s="26" t="b">
        <f>IF(Checks!C268,IF(UPPER(Data!C268)="SUB PROCESS",Data!BY268&lt;&gt;"",TRUE),TRUE)</f>
        <v>1</v>
      </c>
      <c r="W268" s="26" t="b">
        <f>IF(Checks!C268,IF(UPPER(Data!C268)="SERVICE TASK",AND(Data!BZ268&lt;&gt;"",Data!CA268&lt;&gt;""),TRUE),TRUE)</f>
        <v>1</v>
      </c>
      <c r="X268" s="26" t="b">
        <f t="array" aca="1" ref="X268" ca="1">SUM((OFFSET(Data!B268,MAX(ROW(Data!$B$5)-ROW(Data!B268),-200),0,400,1)=Data!B268)*(OFFSET(Data!A268,MAX(ROW(Data!$B$5)-ROW(Data!B268),-200),0,400,1)=Data!A268))=1</f>
        <v>1</v>
      </c>
      <c r="Y268" s="26" t="b">
        <f t="array" aca="1" ref="Y268" ca="1">IF(UPPER(Data!C268)="START",SUM((OFFSET(Data!C268,MAX(ROW(Data!$C$5)-ROW(Data!C268),-200),0,400,1)="START")*(OFFSET(Data!A268,MAX(ROW(Data!$B$5)-ROW(Data!B268),-200),0,400,1)=Data!A268))=1,TRUE)</f>
        <v>1</v>
      </c>
      <c r="Z268" s="26" t="b">
        <f t="array" aca="1" ref="Z268" ca="1">IF(UPPER(Data!C268)="END",SUM((OFFSET(Data!C268,MAX(ROW(Data!$C$5)-ROW(Data!C268),-200),0,400,1)="END")*(OFFSET(Data!A268,MAX(ROW(Data!$B$5)-ROW(Data!B268),-200),0,400,1)=Data!A268))=1,TRUE)</f>
        <v>1</v>
      </c>
      <c r="AA268" s="26" t="b">
        <f>IF(Checks!C268,ISERROR(FIND("&amp;",Data!D268)),TRUE)</f>
        <v>1</v>
      </c>
      <c r="AB268" s="26" t="b">
        <f>IF(Checks!$C268,IF(AND(UPPER(Data!$C268)&lt;&gt;"START",UPPER(Data!$C268)&lt;&gt;"DATA OBJECT",Data!E268&lt;&gt;""),NOT(ISERROR(MATCH(Data!$A268&amp;"||"&amp;Data!E268,Key,0))),TRUE),TRUE)</f>
        <v>1</v>
      </c>
      <c r="AC268" s="27" t="b">
        <f>IF(Checks!C268,IF(UPPER(Data!C268)="END",Data!E268&lt;&gt;"",TRUE),TRUE)</f>
        <v>1</v>
      </c>
    </row>
    <row r="269" spans="1:29" x14ac:dyDescent="0.25">
      <c r="A269" s="1" t="str">
        <f>Data!A269&amp;"||"&amp;Data!B269</f>
        <v>Miscellaneous/subflow/irmifrs9_enrichment_stage3.bpmn||020_00_00</v>
      </c>
      <c r="B269" s="19"/>
      <c r="C269" s="24" t="b">
        <f>AND(UPPER(Data!A269)&lt;&gt;"EMPTY",Data!B269&lt;&gt;"")</f>
        <v>1</v>
      </c>
      <c r="D269" s="1"/>
      <c r="E269" s="25" t="b">
        <f t="shared" ca="1" si="8"/>
        <v>1</v>
      </c>
      <c r="F269" s="26" t="b">
        <f ca="1">IF(UPPER(Data!C269)="SUB PROCESS",NOT(ISERROR(MATCH(RIGHT(Data!BY269,LEN(Data!BY269)-5),OFFSET(Data,0,0,ItemsCount,1),0))),TRUE)</f>
        <v>1</v>
      </c>
      <c r="G269" s="26" t="b">
        <f ca="1">IF(MID(UPPER(Data!A269),1,13)="MISCELLANEOUS",NOT(ISERROR(MATCH("path="&amp;Data!A269,OFFSET(Data,0,76,ItemsCount,1),0))),TRUE)</f>
        <v>1</v>
      </c>
      <c r="L269" s="25" t="b">
        <f t="shared" ca="1" si="9"/>
        <v>1</v>
      </c>
      <c r="M269" s="24" t="b">
        <f>IF(Checks!$C269,Data!A269&lt;&gt;"",TRUE)</f>
        <v>1</v>
      </c>
      <c r="N269" s="26" t="b">
        <f>IF(Checks!C269,Data!B269&lt;&gt;"",TRUE)</f>
        <v>1</v>
      </c>
      <c r="O269" s="26" t="b">
        <f>IF(Checks!C269,IF(AND(UPPER(Data!C269)="SERVICE TASK",UPPER(Data!BZ269)="TYPE=SAS"),NodeExists(TRIM(RIGHT(Data!CA269,LEN(Data!CA269)-FIND("=",Data!CA269)))),TRUE),TRUE)</f>
        <v>1</v>
      </c>
      <c r="P269" s="26" t="b">
        <f>IF(Checks!C269,IF(Data!C269="DATA OBJECT",OR(AND(Data!BW269&lt;&gt;"",Data!BX269=""),AND(Data!BW269="",Data!BX269&lt;&gt;"")),TRUE),TRUE)</f>
        <v>1</v>
      </c>
      <c r="Q269" s="26" t="b">
        <f>IF(Checks!C269,UPPER(RIGHT(Data!A269,5))=".BPMN",TRUE)</f>
        <v>1</v>
      </c>
      <c r="R269" s="26" t="b">
        <f>IF(Checks!C269,IF(UPPER(Data!C269)="SUB PROCESS",UPPER(RIGHT(Data!BY269,5))=".BPMN",TRUE),TRUE)</f>
        <v>1</v>
      </c>
      <c r="S269" s="26" t="b">
        <f>IF(Checks!C269,IF(UPPER(Data!C269)="SERVICE TASK",IF(UPPER(Data!BZ269)="TYPE=SAS",UPPER(RIGHT(Data!CA269,4))=".SAS",TRUE),TRUE),TRUE)</f>
        <v>1</v>
      </c>
      <c r="T269" s="26" t="b">
        <f>IF(Checks!C269,IF(Data!B269&lt;&gt;"",Data!D269&lt;&gt;"",TRUE),TRUE)</f>
        <v>1</v>
      </c>
      <c r="U269" s="26" t="b">
        <f>IF(Checks!C269,IF(UPPER(Data!C269)="DATA OBJECT",NOT(ISERROR(MATCH(Data!A269&amp;"||"&amp;Data!BW269&amp;Data!BX269,Key,0))),TRUE),TRUE)</f>
        <v>1</v>
      </c>
      <c r="V269" s="26" t="b">
        <f>IF(Checks!C269,IF(UPPER(Data!C269)="SUB PROCESS",Data!BY269&lt;&gt;"",TRUE),TRUE)</f>
        <v>1</v>
      </c>
      <c r="W269" s="26" t="b">
        <f>IF(Checks!C269,IF(UPPER(Data!C269)="SERVICE TASK",AND(Data!BZ269&lt;&gt;"",Data!CA269&lt;&gt;""),TRUE),TRUE)</f>
        <v>1</v>
      </c>
      <c r="X269" s="26" t="b">
        <f t="array" aca="1" ref="X269" ca="1">SUM((OFFSET(Data!B269,MAX(ROW(Data!$B$5)-ROW(Data!B269),-200),0,400,1)=Data!B269)*(OFFSET(Data!A269,MAX(ROW(Data!$B$5)-ROW(Data!B269),-200),0,400,1)=Data!A269))=1</f>
        <v>1</v>
      </c>
      <c r="Y269" s="26" t="b">
        <f t="array" aca="1" ref="Y269" ca="1">IF(UPPER(Data!C269)="START",SUM((OFFSET(Data!C269,MAX(ROW(Data!$C$5)-ROW(Data!C269),-200),0,400,1)="START")*(OFFSET(Data!A269,MAX(ROW(Data!$B$5)-ROW(Data!B269),-200),0,400,1)=Data!A269))=1,TRUE)</f>
        <v>1</v>
      </c>
      <c r="Z269" s="26" t="b">
        <f t="array" aca="1" ref="Z269" ca="1">IF(UPPER(Data!C269)="END",SUM((OFFSET(Data!C269,MAX(ROW(Data!$C$5)-ROW(Data!C269),-200),0,400,1)="END")*(OFFSET(Data!A269,MAX(ROW(Data!$B$5)-ROW(Data!B269),-200),0,400,1)=Data!A269))=1,TRUE)</f>
        <v>1</v>
      </c>
      <c r="AA269" s="26" t="b">
        <f>IF(Checks!C269,ISERROR(FIND("&amp;",Data!D269)),TRUE)</f>
        <v>1</v>
      </c>
      <c r="AB269" s="26" t="b">
        <f ca="1">IF(Checks!$C269,IF(AND(UPPER(Data!$C269)&lt;&gt;"START",UPPER(Data!$C269)&lt;&gt;"DATA OBJECT",Data!E269&lt;&gt;""),NOT(ISERROR(MATCH(Data!$A269&amp;"||"&amp;Data!E269,Key,0))),TRUE),TRUE)</f>
        <v>1</v>
      </c>
      <c r="AC269" s="27" t="b">
        <f>IF(Checks!C269,IF(UPPER(Data!C269)="END",Data!E269&lt;&gt;"",TRUE),TRUE)</f>
        <v>1</v>
      </c>
    </row>
    <row r="270" spans="1:29" x14ac:dyDescent="0.25">
      <c r="A270" s="1" t="str">
        <f>Data!A270&amp;"||"&amp;Data!B270</f>
        <v>Miscellaneous/subflow/irmifrs9_enrichment_stage3.bpmn||020_00_01</v>
      </c>
      <c r="B270" s="19"/>
      <c r="C270" s="24" t="b">
        <f>AND(UPPER(Data!A270)&lt;&gt;"EMPTY",Data!B270&lt;&gt;"")</f>
        <v>1</v>
      </c>
      <c r="D270" s="1"/>
      <c r="E270" s="25" t="b">
        <f t="shared" ca="1" si="8"/>
        <v>1</v>
      </c>
      <c r="F270" s="26" t="b">
        <f ca="1">IF(UPPER(Data!C270)="SUB PROCESS",NOT(ISERROR(MATCH(RIGHT(Data!BY270,LEN(Data!BY270)-5),OFFSET(Data,0,0,ItemsCount,1),0))),TRUE)</f>
        <v>1</v>
      </c>
      <c r="G270" s="26" t="b">
        <f ca="1">IF(MID(UPPER(Data!A270),1,13)="MISCELLANEOUS",NOT(ISERROR(MATCH("path="&amp;Data!A270,OFFSET(Data,0,76,ItemsCount,1),0))),TRUE)</f>
        <v>1</v>
      </c>
      <c r="L270" s="25" t="b">
        <f t="shared" ca="1" si="9"/>
        <v>1</v>
      </c>
      <c r="M270" s="24" t="b">
        <f>IF(Checks!$C270,Data!A270&lt;&gt;"",TRUE)</f>
        <v>1</v>
      </c>
      <c r="N270" s="26" t="b">
        <f>IF(Checks!C270,Data!B270&lt;&gt;"",TRUE)</f>
        <v>1</v>
      </c>
      <c r="O270" s="26" t="b">
        <f>IF(Checks!C270,IF(AND(UPPER(Data!C270)="SERVICE TASK",UPPER(Data!BZ270)="TYPE=SAS"),NodeExists(TRIM(RIGHT(Data!CA270,LEN(Data!CA270)-FIND("=",Data!CA270)))),TRUE),TRUE)</f>
        <v>1</v>
      </c>
      <c r="P270" s="26" t="b">
        <f>IF(Checks!C270,IF(Data!C270="DATA OBJECT",OR(AND(Data!BW270&lt;&gt;"",Data!BX270=""),AND(Data!BW270="",Data!BX270&lt;&gt;"")),TRUE),TRUE)</f>
        <v>1</v>
      </c>
      <c r="Q270" s="26" t="b">
        <f>IF(Checks!C270,UPPER(RIGHT(Data!A270,5))=".BPMN",TRUE)</f>
        <v>1</v>
      </c>
      <c r="R270" s="26" t="b">
        <f>IF(Checks!C270,IF(UPPER(Data!C270)="SUB PROCESS",UPPER(RIGHT(Data!BY270,5))=".BPMN",TRUE),TRUE)</f>
        <v>1</v>
      </c>
      <c r="S270" s="26" t="b">
        <f>IF(Checks!C270,IF(UPPER(Data!C270)="SERVICE TASK",IF(UPPER(Data!BZ270)="TYPE=SAS",UPPER(RIGHT(Data!CA270,4))=".SAS",TRUE),TRUE),TRUE)</f>
        <v>1</v>
      </c>
      <c r="T270" s="26" t="b">
        <f>IF(Checks!C270,IF(Data!B270&lt;&gt;"",Data!D270&lt;&gt;"",TRUE),TRUE)</f>
        <v>1</v>
      </c>
      <c r="U270" s="26" t="b">
        <f ca="1">IF(Checks!C270,IF(UPPER(Data!C270)="DATA OBJECT",NOT(ISERROR(MATCH(Data!A270&amp;"||"&amp;Data!BW270&amp;Data!BX270,Key,0))),TRUE),TRUE)</f>
        <v>1</v>
      </c>
      <c r="V270" s="26" t="b">
        <f>IF(Checks!C270,IF(UPPER(Data!C270)="SUB PROCESS",Data!BY270&lt;&gt;"",TRUE),TRUE)</f>
        <v>1</v>
      </c>
      <c r="W270" s="26" t="b">
        <f>IF(Checks!C270,IF(UPPER(Data!C270)="SERVICE TASK",AND(Data!BZ270&lt;&gt;"",Data!CA270&lt;&gt;""),TRUE),TRUE)</f>
        <v>1</v>
      </c>
      <c r="X270" s="26" t="b">
        <f t="array" aca="1" ref="X270" ca="1">SUM((OFFSET(Data!B270,MAX(ROW(Data!$B$5)-ROW(Data!B270),-200),0,400,1)=Data!B270)*(OFFSET(Data!A270,MAX(ROW(Data!$B$5)-ROW(Data!B270),-200),0,400,1)=Data!A270))=1</f>
        <v>1</v>
      </c>
      <c r="Y270" s="26" t="b">
        <f t="array" aca="1" ref="Y270" ca="1">IF(UPPER(Data!C270)="START",SUM((OFFSET(Data!C270,MAX(ROW(Data!$C$5)-ROW(Data!C270),-200),0,400,1)="START")*(OFFSET(Data!A270,MAX(ROW(Data!$B$5)-ROW(Data!B270),-200),0,400,1)=Data!A270))=1,TRUE)</f>
        <v>1</v>
      </c>
      <c r="Z270" s="26" t="b">
        <f t="array" aca="1" ref="Z270" ca="1">IF(UPPER(Data!C270)="END",SUM((OFFSET(Data!C270,MAX(ROW(Data!$C$5)-ROW(Data!C270),-200),0,400,1)="END")*(OFFSET(Data!A270,MAX(ROW(Data!$B$5)-ROW(Data!B270),-200),0,400,1)=Data!A270))=1,TRUE)</f>
        <v>1</v>
      </c>
      <c r="AA270" s="26" t="b">
        <f>IF(Checks!C270,ISERROR(FIND("&amp;",Data!D270)),TRUE)</f>
        <v>1</v>
      </c>
      <c r="AB270" s="26" t="b">
        <f>IF(Checks!$C270,IF(AND(UPPER(Data!$C270)&lt;&gt;"START",UPPER(Data!$C270)&lt;&gt;"DATA OBJECT",Data!E270&lt;&gt;""),NOT(ISERROR(MATCH(Data!$A270&amp;"||"&amp;Data!E270,Key,0))),TRUE),TRUE)</f>
        <v>1</v>
      </c>
      <c r="AC270" s="27" t="b">
        <f>IF(Checks!C270,IF(UPPER(Data!C270)="END",Data!E270&lt;&gt;"",TRUE),TRUE)</f>
        <v>1</v>
      </c>
    </row>
    <row r="271" spans="1:29" x14ac:dyDescent="0.25">
      <c r="A271" s="1" t="str">
        <f>Data!A271&amp;"||"&amp;Data!B271</f>
        <v>Miscellaneous/subflow/irmifrs9_enrichment_stage3.bpmn||020_00_02</v>
      </c>
      <c r="B271" s="19"/>
      <c r="C271" s="24" t="b">
        <f>AND(UPPER(Data!A271)&lt;&gt;"EMPTY",Data!B271&lt;&gt;"")</f>
        <v>1</v>
      </c>
      <c r="D271" s="1"/>
      <c r="E271" s="25" t="b">
        <f t="shared" ca="1" si="8"/>
        <v>1</v>
      </c>
      <c r="F271" s="26" t="b">
        <f ca="1">IF(UPPER(Data!C271)="SUB PROCESS",NOT(ISERROR(MATCH(RIGHT(Data!BY271,LEN(Data!BY271)-5),OFFSET(Data,0,0,ItemsCount,1),0))),TRUE)</f>
        <v>1</v>
      </c>
      <c r="G271" s="26" t="b">
        <f ca="1">IF(MID(UPPER(Data!A271),1,13)="MISCELLANEOUS",NOT(ISERROR(MATCH("path="&amp;Data!A271,OFFSET(Data,0,76,ItemsCount,1),0))),TRUE)</f>
        <v>1</v>
      </c>
      <c r="L271" s="25" t="b">
        <f t="shared" ca="1" si="9"/>
        <v>1</v>
      </c>
      <c r="M271" s="24" t="b">
        <f>IF(Checks!$C271,Data!A271&lt;&gt;"",TRUE)</f>
        <v>1</v>
      </c>
      <c r="N271" s="26" t="b">
        <f>IF(Checks!C271,Data!B271&lt;&gt;"",TRUE)</f>
        <v>1</v>
      </c>
      <c r="O271" s="26" t="b">
        <f>IF(Checks!C271,IF(AND(UPPER(Data!C271)="SERVICE TASK",UPPER(Data!BZ271)="TYPE=SAS"),NodeExists(TRIM(RIGHT(Data!CA271,LEN(Data!CA271)-FIND("=",Data!CA271)))),TRUE),TRUE)</f>
        <v>1</v>
      </c>
      <c r="P271" s="26" t="b">
        <f>IF(Checks!C271,IF(Data!C271="DATA OBJECT",OR(AND(Data!BW271&lt;&gt;"",Data!BX271=""),AND(Data!BW271="",Data!BX271&lt;&gt;"")),TRUE),TRUE)</f>
        <v>1</v>
      </c>
      <c r="Q271" s="26" t="b">
        <f>IF(Checks!C271,UPPER(RIGHT(Data!A271,5))=".BPMN",TRUE)</f>
        <v>1</v>
      </c>
      <c r="R271" s="26" t="b">
        <f>IF(Checks!C271,IF(UPPER(Data!C271)="SUB PROCESS",UPPER(RIGHT(Data!BY271,5))=".BPMN",TRUE),TRUE)</f>
        <v>1</v>
      </c>
      <c r="S271" s="26" t="b">
        <f>IF(Checks!C271,IF(UPPER(Data!C271)="SERVICE TASK",IF(UPPER(Data!BZ271)="TYPE=SAS",UPPER(RIGHT(Data!CA271,4))=".SAS",TRUE),TRUE),TRUE)</f>
        <v>1</v>
      </c>
      <c r="T271" s="26" t="b">
        <f>IF(Checks!C271,IF(Data!B271&lt;&gt;"",Data!D271&lt;&gt;"",TRUE),TRUE)</f>
        <v>1</v>
      </c>
      <c r="U271" s="26" t="b">
        <f ca="1">IF(Checks!C271,IF(UPPER(Data!C271)="DATA OBJECT",NOT(ISERROR(MATCH(Data!A271&amp;"||"&amp;Data!BW271&amp;Data!BX271,Key,0))),TRUE),TRUE)</f>
        <v>1</v>
      </c>
      <c r="V271" s="26" t="b">
        <f>IF(Checks!C271,IF(UPPER(Data!C271)="SUB PROCESS",Data!BY271&lt;&gt;"",TRUE),TRUE)</f>
        <v>1</v>
      </c>
      <c r="W271" s="26" t="b">
        <f>IF(Checks!C271,IF(UPPER(Data!C271)="SERVICE TASK",AND(Data!BZ271&lt;&gt;"",Data!CA271&lt;&gt;""),TRUE),TRUE)</f>
        <v>1</v>
      </c>
      <c r="X271" s="26" t="b">
        <f t="array" aca="1" ref="X271" ca="1">SUM((OFFSET(Data!B271,MAX(ROW(Data!$B$5)-ROW(Data!B271),-200),0,400,1)=Data!B271)*(OFFSET(Data!A271,MAX(ROW(Data!$B$5)-ROW(Data!B271),-200),0,400,1)=Data!A271))=1</f>
        <v>1</v>
      </c>
      <c r="Y271" s="26" t="b">
        <f t="array" aca="1" ref="Y271" ca="1">IF(UPPER(Data!C271)="START",SUM((OFFSET(Data!C271,MAX(ROW(Data!$C$5)-ROW(Data!C271),-200),0,400,1)="START")*(OFFSET(Data!A271,MAX(ROW(Data!$B$5)-ROW(Data!B271),-200),0,400,1)=Data!A271))=1,TRUE)</f>
        <v>1</v>
      </c>
      <c r="Z271" s="26" t="b">
        <f t="array" aca="1" ref="Z271" ca="1">IF(UPPER(Data!C271)="END",SUM((OFFSET(Data!C271,MAX(ROW(Data!$C$5)-ROW(Data!C271),-200),0,400,1)="END")*(OFFSET(Data!A271,MAX(ROW(Data!$B$5)-ROW(Data!B271),-200),0,400,1)=Data!A271))=1,TRUE)</f>
        <v>1</v>
      </c>
      <c r="AA271" s="26" t="b">
        <f>IF(Checks!C271,ISERROR(FIND("&amp;",Data!D271)),TRUE)</f>
        <v>1</v>
      </c>
      <c r="AB271" s="26" t="b">
        <f>IF(Checks!$C271,IF(AND(UPPER(Data!$C271)&lt;&gt;"START",UPPER(Data!$C271)&lt;&gt;"DATA OBJECT",Data!E271&lt;&gt;""),NOT(ISERROR(MATCH(Data!$A271&amp;"||"&amp;Data!E271,Key,0))),TRUE),TRUE)</f>
        <v>1</v>
      </c>
      <c r="AC271" s="27" t="b">
        <f>IF(Checks!C271,IF(UPPER(Data!C271)="END",Data!E271&lt;&gt;"",TRUE),TRUE)</f>
        <v>1</v>
      </c>
    </row>
    <row r="272" spans="1:29" x14ac:dyDescent="0.25">
      <c r="A272" s="1" t="str">
        <f>Data!A272&amp;"||"&amp;Data!B272</f>
        <v>Miscellaneous/subflow/irmifrs9_enrichment_stage3.bpmn||020_00_03</v>
      </c>
      <c r="B272" s="19"/>
      <c r="C272" s="24" t="b">
        <f>AND(UPPER(Data!A272)&lt;&gt;"EMPTY",Data!B272&lt;&gt;"")</f>
        <v>1</v>
      </c>
      <c r="D272" s="1"/>
      <c r="E272" s="25" t="b">
        <f t="shared" ca="1" si="8"/>
        <v>1</v>
      </c>
      <c r="F272" s="26" t="b">
        <f ca="1">IF(UPPER(Data!C272)="SUB PROCESS",NOT(ISERROR(MATCH(RIGHT(Data!BY272,LEN(Data!BY272)-5),OFFSET(Data,0,0,ItemsCount,1),0))),TRUE)</f>
        <v>1</v>
      </c>
      <c r="G272" s="26" t="b">
        <f ca="1">IF(MID(UPPER(Data!A272),1,13)="MISCELLANEOUS",NOT(ISERROR(MATCH("path="&amp;Data!A272,OFFSET(Data,0,76,ItemsCount,1),0))),TRUE)</f>
        <v>1</v>
      </c>
      <c r="L272" s="25" t="b">
        <f t="shared" ca="1" si="9"/>
        <v>1</v>
      </c>
      <c r="M272" s="24" t="b">
        <f>IF(Checks!$C272,Data!A272&lt;&gt;"",TRUE)</f>
        <v>1</v>
      </c>
      <c r="N272" s="26" t="b">
        <f>IF(Checks!C272,Data!B272&lt;&gt;"",TRUE)</f>
        <v>1</v>
      </c>
      <c r="O272" s="26" t="b">
        <f>IF(Checks!C272,IF(AND(UPPER(Data!C272)="SERVICE TASK",UPPER(Data!BZ272)="TYPE=SAS"),NodeExists(TRIM(RIGHT(Data!CA272,LEN(Data!CA272)-FIND("=",Data!CA272)))),TRUE),TRUE)</f>
        <v>1</v>
      </c>
      <c r="P272" s="26" t="b">
        <f>IF(Checks!C272,IF(Data!C272="DATA OBJECT",OR(AND(Data!BW272&lt;&gt;"",Data!BX272=""),AND(Data!BW272="",Data!BX272&lt;&gt;"")),TRUE),TRUE)</f>
        <v>1</v>
      </c>
      <c r="Q272" s="26" t="b">
        <f>IF(Checks!C272,UPPER(RIGHT(Data!A272,5))=".BPMN",TRUE)</f>
        <v>1</v>
      </c>
      <c r="R272" s="26" t="b">
        <f>IF(Checks!C272,IF(UPPER(Data!C272)="SUB PROCESS",UPPER(RIGHT(Data!BY272,5))=".BPMN",TRUE),TRUE)</f>
        <v>1</v>
      </c>
      <c r="S272" s="26" t="b">
        <f>IF(Checks!C272,IF(UPPER(Data!C272)="SERVICE TASK",IF(UPPER(Data!BZ272)="TYPE=SAS",UPPER(RIGHT(Data!CA272,4))=".SAS",TRUE),TRUE),TRUE)</f>
        <v>1</v>
      </c>
      <c r="T272" s="26" t="b">
        <f>IF(Checks!C272,IF(Data!B272&lt;&gt;"",Data!D272&lt;&gt;"",TRUE),TRUE)</f>
        <v>1</v>
      </c>
      <c r="U272" s="26" t="b">
        <f ca="1">IF(Checks!C272,IF(UPPER(Data!C272)="DATA OBJECT",NOT(ISERROR(MATCH(Data!A272&amp;"||"&amp;Data!BW272&amp;Data!BX272,Key,0))),TRUE),TRUE)</f>
        <v>1</v>
      </c>
      <c r="V272" s="26" t="b">
        <f>IF(Checks!C272,IF(UPPER(Data!C272)="SUB PROCESS",Data!BY272&lt;&gt;"",TRUE),TRUE)</f>
        <v>1</v>
      </c>
      <c r="W272" s="26" t="b">
        <f>IF(Checks!C272,IF(UPPER(Data!C272)="SERVICE TASK",AND(Data!BZ272&lt;&gt;"",Data!CA272&lt;&gt;""),TRUE),TRUE)</f>
        <v>1</v>
      </c>
      <c r="X272" s="26" t="b">
        <f t="array" aca="1" ref="X272" ca="1">SUM((OFFSET(Data!B272,MAX(ROW(Data!$B$5)-ROW(Data!B272),-200),0,400,1)=Data!B272)*(OFFSET(Data!A272,MAX(ROW(Data!$B$5)-ROW(Data!B272),-200),0,400,1)=Data!A272))=1</f>
        <v>1</v>
      </c>
      <c r="Y272" s="26" t="b">
        <f t="array" aca="1" ref="Y272" ca="1">IF(UPPER(Data!C272)="START",SUM((OFFSET(Data!C272,MAX(ROW(Data!$C$5)-ROW(Data!C272),-200),0,400,1)="START")*(OFFSET(Data!A272,MAX(ROW(Data!$B$5)-ROW(Data!B272),-200),0,400,1)=Data!A272))=1,TRUE)</f>
        <v>1</v>
      </c>
      <c r="Z272" s="26" t="b">
        <f t="array" aca="1" ref="Z272" ca="1">IF(UPPER(Data!C272)="END",SUM((OFFSET(Data!C272,MAX(ROW(Data!$C$5)-ROW(Data!C272),-200),0,400,1)="END")*(OFFSET(Data!A272,MAX(ROW(Data!$B$5)-ROW(Data!B272),-200),0,400,1)=Data!A272))=1,TRUE)</f>
        <v>1</v>
      </c>
      <c r="AA272" s="26" t="b">
        <f>IF(Checks!C272,ISERROR(FIND("&amp;",Data!D272)),TRUE)</f>
        <v>1</v>
      </c>
      <c r="AB272" s="26" t="b">
        <f>IF(Checks!$C272,IF(AND(UPPER(Data!$C272)&lt;&gt;"START",UPPER(Data!$C272)&lt;&gt;"DATA OBJECT",Data!E272&lt;&gt;""),NOT(ISERROR(MATCH(Data!$A272&amp;"||"&amp;Data!E272,Key,0))),TRUE),TRUE)</f>
        <v>1</v>
      </c>
      <c r="AC272" s="27" t="b">
        <f>IF(Checks!C272,IF(UPPER(Data!C272)="END",Data!E272&lt;&gt;"",TRUE),TRUE)</f>
        <v>1</v>
      </c>
    </row>
    <row r="273" spans="1:29" x14ac:dyDescent="0.25">
      <c r="A273" s="1" t="str">
        <f>Data!A273&amp;"||"&amp;Data!B273</f>
        <v>Miscellaneous/subflow/irmifrs9_enrichment_stage3.bpmn||020_00_04</v>
      </c>
      <c r="B273" s="19"/>
      <c r="C273" s="24" t="b">
        <f>AND(UPPER(Data!A273)&lt;&gt;"EMPTY",Data!B273&lt;&gt;"")</f>
        <v>1</v>
      </c>
      <c r="D273" s="1"/>
      <c r="E273" s="25" t="b">
        <f t="shared" ca="1" si="8"/>
        <v>1</v>
      </c>
      <c r="F273" s="26" t="b">
        <f ca="1">IF(UPPER(Data!C273)="SUB PROCESS",NOT(ISERROR(MATCH(RIGHT(Data!BY273,LEN(Data!BY273)-5),OFFSET(Data,0,0,ItemsCount,1),0))),TRUE)</f>
        <v>1</v>
      </c>
      <c r="G273" s="26" t="b">
        <f ca="1">IF(MID(UPPER(Data!A273),1,13)="MISCELLANEOUS",NOT(ISERROR(MATCH("path="&amp;Data!A273,OFFSET(Data,0,76,ItemsCount,1),0))),TRUE)</f>
        <v>1</v>
      </c>
      <c r="L273" s="25" t="b">
        <f t="shared" ca="1" si="9"/>
        <v>1</v>
      </c>
      <c r="M273" s="24" t="b">
        <f>IF(Checks!$C273,Data!A273&lt;&gt;"",TRUE)</f>
        <v>1</v>
      </c>
      <c r="N273" s="26" t="b">
        <f>IF(Checks!C273,Data!B273&lt;&gt;"",TRUE)</f>
        <v>1</v>
      </c>
      <c r="O273" s="26" t="b">
        <f>IF(Checks!C273,IF(AND(UPPER(Data!C273)="SERVICE TASK",UPPER(Data!BZ273)="TYPE=SAS"),NodeExists(TRIM(RIGHT(Data!CA273,LEN(Data!CA273)-FIND("=",Data!CA273)))),TRUE),TRUE)</f>
        <v>1</v>
      </c>
      <c r="P273" s="26" t="b">
        <f>IF(Checks!C273,IF(Data!C273="DATA OBJECT",OR(AND(Data!BW273&lt;&gt;"",Data!BX273=""),AND(Data!BW273="",Data!BX273&lt;&gt;"")),TRUE),TRUE)</f>
        <v>1</v>
      </c>
      <c r="Q273" s="26" t="b">
        <f>IF(Checks!C273,UPPER(RIGHT(Data!A273,5))=".BPMN",TRUE)</f>
        <v>1</v>
      </c>
      <c r="R273" s="26" t="b">
        <f>IF(Checks!C273,IF(UPPER(Data!C273)="SUB PROCESS",UPPER(RIGHT(Data!BY273,5))=".BPMN",TRUE),TRUE)</f>
        <v>1</v>
      </c>
      <c r="S273" s="26" t="b">
        <f>IF(Checks!C273,IF(UPPER(Data!C273)="SERVICE TASK",IF(UPPER(Data!BZ273)="TYPE=SAS",UPPER(RIGHT(Data!CA273,4))=".SAS",TRUE),TRUE),TRUE)</f>
        <v>1</v>
      </c>
      <c r="T273" s="26" t="b">
        <f>IF(Checks!C273,IF(Data!B273&lt;&gt;"",Data!D273&lt;&gt;"",TRUE),TRUE)</f>
        <v>1</v>
      </c>
      <c r="U273" s="26" t="b">
        <f ca="1">IF(Checks!C273,IF(UPPER(Data!C273)="DATA OBJECT",NOT(ISERROR(MATCH(Data!A273&amp;"||"&amp;Data!BW273&amp;Data!BX273,Key,0))),TRUE),TRUE)</f>
        <v>1</v>
      </c>
      <c r="V273" s="26" t="b">
        <f>IF(Checks!C273,IF(UPPER(Data!C273)="SUB PROCESS",Data!BY273&lt;&gt;"",TRUE),TRUE)</f>
        <v>1</v>
      </c>
      <c r="W273" s="26" t="b">
        <f>IF(Checks!C273,IF(UPPER(Data!C273)="SERVICE TASK",AND(Data!BZ273&lt;&gt;"",Data!CA273&lt;&gt;""),TRUE),TRUE)</f>
        <v>1</v>
      </c>
      <c r="X273" s="26" t="b">
        <f t="array" aca="1" ref="X273" ca="1">SUM((OFFSET(Data!B273,MAX(ROW(Data!$B$5)-ROW(Data!B273),-200),0,400,1)=Data!B273)*(OFFSET(Data!A273,MAX(ROW(Data!$B$5)-ROW(Data!B273),-200),0,400,1)=Data!A273))=1</f>
        <v>1</v>
      </c>
      <c r="Y273" s="26" t="b">
        <f t="array" aca="1" ref="Y273" ca="1">IF(UPPER(Data!C273)="START",SUM((OFFSET(Data!C273,MAX(ROW(Data!$C$5)-ROW(Data!C273),-200),0,400,1)="START")*(OFFSET(Data!A273,MAX(ROW(Data!$B$5)-ROW(Data!B273),-200),0,400,1)=Data!A273))=1,TRUE)</f>
        <v>1</v>
      </c>
      <c r="Z273" s="26" t="b">
        <f t="array" aca="1" ref="Z273" ca="1">IF(UPPER(Data!C273)="END",SUM((OFFSET(Data!C273,MAX(ROW(Data!$C$5)-ROW(Data!C273),-200),0,400,1)="END")*(OFFSET(Data!A273,MAX(ROW(Data!$B$5)-ROW(Data!B273),-200),0,400,1)=Data!A273))=1,TRUE)</f>
        <v>1</v>
      </c>
      <c r="AA273" s="26" t="b">
        <f>IF(Checks!C273,ISERROR(FIND("&amp;",Data!D273)),TRUE)</f>
        <v>1</v>
      </c>
      <c r="AB273" s="26" t="b">
        <f>IF(Checks!$C273,IF(AND(UPPER(Data!$C273)&lt;&gt;"START",UPPER(Data!$C273)&lt;&gt;"DATA OBJECT",Data!E273&lt;&gt;""),NOT(ISERROR(MATCH(Data!$A273&amp;"||"&amp;Data!E273,Key,0))),TRUE),TRUE)</f>
        <v>1</v>
      </c>
      <c r="AC273" s="27" t="b">
        <f>IF(Checks!C273,IF(UPPER(Data!C273)="END",Data!E273&lt;&gt;"",TRUE),TRUE)</f>
        <v>1</v>
      </c>
    </row>
    <row r="274" spans="1:29" x14ac:dyDescent="0.25">
      <c r="A274" s="1" t="str">
        <f>Data!A274&amp;"||"&amp;Data!B274</f>
        <v>Miscellaneous/subflow/irmifrs9_enrichment_stage3.bpmn||020_00_05</v>
      </c>
      <c r="B274" s="19"/>
      <c r="C274" s="24" t="b">
        <f>AND(UPPER(Data!A274)&lt;&gt;"EMPTY",Data!B274&lt;&gt;"")</f>
        <v>1</v>
      </c>
      <c r="D274" s="1"/>
      <c r="E274" s="25" t="b">
        <f t="shared" ca="1" si="8"/>
        <v>1</v>
      </c>
      <c r="F274" s="26" t="b">
        <f ca="1">IF(UPPER(Data!C274)="SUB PROCESS",NOT(ISERROR(MATCH(RIGHT(Data!BY274,LEN(Data!BY274)-5),OFFSET(Data,0,0,ItemsCount,1),0))),TRUE)</f>
        <v>1</v>
      </c>
      <c r="G274" s="26" t="b">
        <f ca="1">IF(MID(UPPER(Data!A274),1,13)="MISCELLANEOUS",NOT(ISERROR(MATCH("path="&amp;Data!A274,OFFSET(Data,0,76,ItemsCount,1),0))),TRUE)</f>
        <v>1</v>
      </c>
      <c r="L274" s="25" t="b">
        <f t="shared" ca="1" si="9"/>
        <v>1</v>
      </c>
      <c r="M274" s="24" t="b">
        <f>IF(Checks!$C274,Data!A274&lt;&gt;"",TRUE)</f>
        <v>1</v>
      </c>
      <c r="N274" s="26" t="b">
        <f>IF(Checks!C274,Data!B274&lt;&gt;"",TRUE)</f>
        <v>1</v>
      </c>
      <c r="O274" s="26" t="b">
        <f>IF(Checks!C274,IF(AND(UPPER(Data!C274)="SERVICE TASK",UPPER(Data!BZ274)="TYPE=SAS"),NodeExists(TRIM(RIGHT(Data!CA274,LEN(Data!CA274)-FIND("=",Data!CA274)))),TRUE),TRUE)</f>
        <v>1</v>
      </c>
      <c r="P274" s="26" t="b">
        <f>IF(Checks!C274,IF(Data!C274="DATA OBJECT",OR(AND(Data!BW274&lt;&gt;"",Data!BX274=""),AND(Data!BW274="",Data!BX274&lt;&gt;"")),TRUE),TRUE)</f>
        <v>1</v>
      </c>
      <c r="Q274" s="26" t="b">
        <f>IF(Checks!C274,UPPER(RIGHT(Data!A274,5))=".BPMN",TRUE)</f>
        <v>1</v>
      </c>
      <c r="R274" s="26" t="b">
        <f>IF(Checks!C274,IF(UPPER(Data!C274)="SUB PROCESS",UPPER(RIGHT(Data!BY274,5))=".BPMN",TRUE),TRUE)</f>
        <v>1</v>
      </c>
      <c r="S274" s="26" t="b">
        <f>IF(Checks!C274,IF(UPPER(Data!C274)="SERVICE TASK",IF(UPPER(Data!BZ274)="TYPE=SAS",UPPER(RIGHT(Data!CA274,4))=".SAS",TRUE),TRUE),TRUE)</f>
        <v>1</v>
      </c>
      <c r="T274" s="26" t="b">
        <f>IF(Checks!C274,IF(Data!B274&lt;&gt;"",Data!D274&lt;&gt;"",TRUE),TRUE)</f>
        <v>1</v>
      </c>
      <c r="U274" s="26" t="b">
        <f ca="1">IF(Checks!C274,IF(UPPER(Data!C274)="DATA OBJECT",NOT(ISERROR(MATCH(Data!A274&amp;"||"&amp;Data!BW274&amp;Data!BX274,Key,0))),TRUE),TRUE)</f>
        <v>1</v>
      </c>
      <c r="V274" s="26" t="b">
        <f>IF(Checks!C274,IF(UPPER(Data!C274)="SUB PROCESS",Data!BY274&lt;&gt;"",TRUE),TRUE)</f>
        <v>1</v>
      </c>
      <c r="W274" s="26" t="b">
        <f>IF(Checks!C274,IF(UPPER(Data!C274)="SERVICE TASK",AND(Data!BZ274&lt;&gt;"",Data!CA274&lt;&gt;""),TRUE),TRUE)</f>
        <v>1</v>
      </c>
      <c r="X274" s="26" t="b">
        <f t="array" aca="1" ref="X274" ca="1">SUM((OFFSET(Data!B274,MAX(ROW(Data!$B$5)-ROW(Data!B274),-200),0,400,1)=Data!B274)*(OFFSET(Data!A274,MAX(ROW(Data!$B$5)-ROW(Data!B274),-200),0,400,1)=Data!A274))=1</f>
        <v>1</v>
      </c>
      <c r="Y274" s="26" t="b">
        <f t="array" aca="1" ref="Y274" ca="1">IF(UPPER(Data!C274)="START",SUM((OFFSET(Data!C274,MAX(ROW(Data!$C$5)-ROW(Data!C274),-200),0,400,1)="START")*(OFFSET(Data!A274,MAX(ROW(Data!$B$5)-ROW(Data!B274),-200),0,400,1)=Data!A274))=1,TRUE)</f>
        <v>1</v>
      </c>
      <c r="Z274" s="26" t="b">
        <f t="array" aca="1" ref="Z274" ca="1">IF(UPPER(Data!C274)="END",SUM((OFFSET(Data!C274,MAX(ROW(Data!$C$5)-ROW(Data!C274),-200),0,400,1)="END")*(OFFSET(Data!A274,MAX(ROW(Data!$B$5)-ROW(Data!B274),-200),0,400,1)=Data!A274))=1,TRUE)</f>
        <v>1</v>
      </c>
      <c r="AA274" s="26" t="b">
        <f>IF(Checks!C274,ISERROR(FIND("&amp;",Data!D274)),TRUE)</f>
        <v>1</v>
      </c>
      <c r="AB274" s="26" t="b">
        <f>IF(Checks!$C274,IF(AND(UPPER(Data!$C274)&lt;&gt;"START",UPPER(Data!$C274)&lt;&gt;"DATA OBJECT",Data!E274&lt;&gt;""),NOT(ISERROR(MATCH(Data!$A274&amp;"||"&amp;Data!E274,Key,0))),TRUE),TRUE)</f>
        <v>1</v>
      </c>
      <c r="AC274" s="27" t="b">
        <f>IF(Checks!C274,IF(UPPER(Data!C274)="END",Data!E274&lt;&gt;"",TRUE),TRUE)</f>
        <v>1</v>
      </c>
    </row>
    <row r="275" spans="1:29" x14ac:dyDescent="0.25">
      <c r="A275" s="1" t="str">
        <f>Data!A275&amp;"||"&amp;Data!B275</f>
        <v>Miscellaneous/subflow/irmifrs9_enrichment_stage3.bpmn||020_00_06</v>
      </c>
      <c r="B275" s="19"/>
      <c r="C275" s="24" t="b">
        <f>AND(UPPER(Data!A275)&lt;&gt;"EMPTY",Data!B275&lt;&gt;"")</f>
        <v>1</v>
      </c>
      <c r="D275" s="1"/>
      <c r="E275" s="25" t="b">
        <f t="shared" ca="1" si="8"/>
        <v>1</v>
      </c>
      <c r="F275" s="26" t="b">
        <f ca="1">IF(UPPER(Data!C275)="SUB PROCESS",NOT(ISERROR(MATCH(RIGHT(Data!BY275,LEN(Data!BY275)-5),OFFSET(Data,0,0,ItemsCount,1),0))),TRUE)</f>
        <v>1</v>
      </c>
      <c r="G275" s="26" t="b">
        <f ca="1">IF(MID(UPPER(Data!A275),1,13)="MISCELLANEOUS",NOT(ISERROR(MATCH("path="&amp;Data!A275,OFFSET(Data,0,76,ItemsCount,1),0))),TRUE)</f>
        <v>1</v>
      </c>
      <c r="L275" s="25" t="b">
        <f t="shared" ca="1" si="9"/>
        <v>1</v>
      </c>
      <c r="M275" s="24" t="b">
        <f>IF(Checks!$C275,Data!A275&lt;&gt;"",TRUE)</f>
        <v>1</v>
      </c>
      <c r="N275" s="26" t="b">
        <f>IF(Checks!C275,Data!B275&lt;&gt;"",TRUE)</f>
        <v>1</v>
      </c>
      <c r="O275" s="26" t="b">
        <f>IF(Checks!C275,IF(AND(UPPER(Data!C275)="SERVICE TASK",UPPER(Data!BZ275)="TYPE=SAS"),NodeExists(TRIM(RIGHT(Data!CA275,LEN(Data!CA275)-FIND("=",Data!CA275)))),TRUE),TRUE)</f>
        <v>1</v>
      </c>
      <c r="P275" s="26" t="b">
        <f>IF(Checks!C275,IF(Data!C275="DATA OBJECT",OR(AND(Data!BW275&lt;&gt;"",Data!BX275=""),AND(Data!BW275="",Data!BX275&lt;&gt;"")),TRUE),TRUE)</f>
        <v>1</v>
      </c>
      <c r="Q275" s="26" t="b">
        <f>IF(Checks!C275,UPPER(RIGHT(Data!A275,5))=".BPMN",TRUE)</f>
        <v>1</v>
      </c>
      <c r="R275" s="26" t="b">
        <f>IF(Checks!C275,IF(UPPER(Data!C275)="SUB PROCESS",UPPER(RIGHT(Data!BY275,5))=".BPMN",TRUE),TRUE)</f>
        <v>1</v>
      </c>
      <c r="S275" s="26" t="b">
        <f>IF(Checks!C275,IF(UPPER(Data!C275)="SERVICE TASK",IF(UPPER(Data!BZ275)="TYPE=SAS",UPPER(RIGHT(Data!CA275,4))=".SAS",TRUE),TRUE),TRUE)</f>
        <v>1</v>
      </c>
      <c r="T275" s="26" t="b">
        <f>IF(Checks!C275,IF(Data!B275&lt;&gt;"",Data!D275&lt;&gt;"",TRUE),TRUE)</f>
        <v>1</v>
      </c>
      <c r="U275" s="26" t="b">
        <f ca="1">IF(Checks!C275,IF(UPPER(Data!C275)="DATA OBJECT",NOT(ISERROR(MATCH(Data!A275&amp;"||"&amp;Data!BW275&amp;Data!BX275,Key,0))),TRUE),TRUE)</f>
        <v>1</v>
      </c>
      <c r="V275" s="26" t="b">
        <f>IF(Checks!C275,IF(UPPER(Data!C275)="SUB PROCESS",Data!BY275&lt;&gt;"",TRUE),TRUE)</f>
        <v>1</v>
      </c>
      <c r="W275" s="26" t="b">
        <f>IF(Checks!C275,IF(UPPER(Data!C275)="SERVICE TASK",AND(Data!BZ275&lt;&gt;"",Data!CA275&lt;&gt;""),TRUE),TRUE)</f>
        <v>1</v>
      </c>
      <c r="X275" s="26" t="b">
        <f t="array" aca="1" ref="X275" ca="1">SUM((OFFSET(Data!B275,MAX(ROW(Data!$B$5)-ROW(Data!B275),-200),0,400,1)=Data!B275)*(OFFSET(Data!A275,MAX(ROW(Data!$B$5)-ROW(Data!B275),-200),0,400,1)=Data!A275))=1</f>
        <v>1</v>
      </c>
      <c r="Y275" s="26" t="b">
        <f t="array" aca="1" ref="Y275" ca="1">IF(UPPER(Data!C275)="START",SUM((OFFSET(Data!C275,MAX(ROW(Data!$C$5)-ROW(Data!C275),-200),0,400,1)="START")*(OFFSET(Data!A275,MAX(ROW(Data!$B$5)-ROW(Data!B275),-200),0,400,1)=Data!A275))=1,TRUE)</f>
        <v>1</v>
      </c>
      <c r="Z275" s="26" t="b">
        <f t="array" aca="1" ref="Z275" ca="1">IF(UPPER(Data!C275)="END",SUM((OFFSET(Data!C275,MAX(ROW(Data!$C$5)-ROW(Data!C275),-200),0,400,1)="END")*(OFFSET(Data!A275,MAX(ROW(Data!$B$5)-ROW(Data!B275),-200),0,400,1)=Data!A275))=1,TRUE)</f>
        <v>1</v>
      </c>
      <c r="AA275" s="26" t="b">
        <f>IF(Checks!C275,ISERROR(FIND("&amp;",Data!D275)),TRUE)</f>
        <v>1</v>
      </c>
      <c r="AB275" s="26" t="b">
        <f>IF(Checks!$C275,IF(AND(UPPER(Data!$C275)&lt;&gt;"START",UPPER(Data!$C275)&lt;&gt;"DATA OBJECT",Data!E275&lt;&gt;""),NOT(ISERROR(MATCH(Data!$A275&amp;"||"&amp;Data!E275,Key,0))),TRUE),TRUE)</f>
        <v>1</v>
      </c>
      <c r="AC275" s="27" t="b">
        <f>IF(Checks!C275,IF(UPPER(Data!C275)="END",Data!E275&lt;&gt;"",TRUE),TRUE)</f>
        <v>1</v>
      </c>
    </row>
    <row r="276" spans="1:29" x14ac:dyDescent="0.25">
      <c r="A276" s="1" t="str">
        <f>Data!A276&amp;"||"&amp;Data!B276</f>
        <v>Miscellaneous/subflow/irmifrs9_enrichment_stage3.bpmn||020_00_07</v>
      </c>
      <c r="B276" s="19"/>
      <c r="C276" s="24" t="b">
        <f>AND(UPPER(Data!A276)&lt;&gt;"EMPTY",Data!B276&lt;&gt;"")</f>
        <v>1</v>
      </c>
      <c r="D276" s="1"/>
      <c r="E276" s="25" t="b">
        <f t="shared" ca="1" si="8"/>
        <v>1</v>
      </c>
      <c r="F276" s="26" t="b">
        <f ca="1">IF(UPPER(Data!C276)="SUB PROCESS",NOT(ISERROR(MATCH(RIGHT(Data!BY276,LEN(Data!BY276)-5),OFFSET(Data,0,0,ItemsCount,1),0))),TRUE)</f>
        <v>1</v>
      </c>
      <c r="G276" s="26" t="b">
        <f ca="1">IF(MID(UPPER(Data!A276),1,13)="MISCELLANEOUS",NOT(ISERROR(MATCH("path="&amp;Data!A276,OFFSET(Data,0,76,ItemsCount,1),0))),TRUE)</f>
        <v>1</v>
      </c>
      <c r="L276" s="25" t="b">
        <f t="shared" ca="1" si="9"/>
        <v>1</v>
      </c>
      <c r="M276" s="24" t="b">
        <f>IF(Checks!$C276,Data!A276&lt;&gt;"",TRUE)</f>
        <v>1</v>
      </c>
      <c r="N276" s="26" t="b">
        <f>IF(Checks!C276,Data!B276&lt;&gt;"",TRUE)</f>
        <v>1</v>
      </c>
      <c r="O276" s="26" t="b">
        <f>IF(Checks!C276,IF(AND(UPPER(Data!C276)="SERVICE TASK",UPPER(Data!BZ276)="TYPE=SAS"),NodeExists(TRIM(RIGHT(Data!CA276,LEN(Data!CA276)-FIND("=",Data!CA276)))),TRUE),TRUE)</f>
        <v>1</v>
      </c>
      <c r="P276" s="26" t="b">
        <f>IF(Checks!C276,IF(Data!C276="DATA OBJECT",OR(AND(Data!BW276&lt;&gt;"",Data!BX276=""),AND(Data!BW276="",Data!BX276&lt;&gt;"")),TRUE),TRUE)</f>
        <v>1</v>
      </c>
      <c r="Q276" s="26" t="b">
        <f>IF(Checks!C276,UPPER(RIGHT(Data!A276,5))=".BPMN",TRUE)</f>
        <v>1</v>
      </c>
      <c r="R276" s="26" t="b">
        <f>IF(Checks!C276,IF(UPPER(Data!C276)="SUB PROCESS",UPPER(RIGHT(Data!BY276,5))=".BPMN",TRUE),TRUE)</f>
        <v>1</v>
      </c>
      <c r="S276" s="26" t="b">
        <f>IF(Checks!C276,IF(UPPER(Data!C276)="SERVICE TASK",IF(UPPER(Data!BZ276)="TYPE=SAS",UPPER(RIGHT(Data!CA276,4))=".SAS",TRUE),TRUE),TRUE)</f>
        <v>1</v>
      </c>
      <c r="T276" s="26" t="b">
        <f>IF(Checks!C276,IF(Data!B276&lt;&gt;"",Data!D276&lt;&gt;"",TRUE),TRUE)</f>
        <v>1</v>
      </c>
      <c r="U276" s="26" t="b">
        <f ca="1">IF(Checks!C276,IF(UPPER(Data!C276)="DATA OBJECT",NOT(ISERROR(MATCH(Data!A276&amp;"||"&amp;Data!BW276&amp;Data!BX276,Key,0))),TRUE),TRUE)</f>
        <v>1</v>
      </c>
      <c r="V276" s="26" t="b">
        <f>IF(Checks!C276,IF(UPPER(Data!C276)="SUB PROCESS",Data!BY276&lt;&gt;"",TRUE),TRUE)</f>
        <v>1</v>
      </c>
      <c r="W276" s="26" t="b">
        <f>IF(Checks!C276,IF(UPPER(Data!C276)="SERVICE TASK",AND(Data!BZ276&lt;&gt;"",Data!CA276&lt;&gt;""),TRUE),TRUE)</f>
        <v>1</v>
      </c>
      <c r="X276" s="26" t="b">
        <f t="array" aca="1" ref="X276" ca="1">SUM((OFFSET(Data!B276,MAX(ROW(Data!$B$5)-ROW(Data!B276),-200),0,400,1)=Data!B276)*(OFFSET(Data!A276,MAX(ROW(Data!$B$5)-ROW(Data!B276),-200),0,400,1)=Data!A276))=1</f>
        <v>1</v>
      </c>
      <c r="Y276" s="26" t="b">
        <f t="array" aca="1" ref="Y276" ca="1">IF(UPPER(Data!C276)="START",SUM((OFFSET(Data!C276,MAX(ROW(Data!$C$5)-ROW(Data!C276),-200),0,400,1)="START")*(OFFSET(Data!A276,MAX(ROW(Data!$B$5)-ROW(Data!B276),-200),0,400,1)=Data!A276))=1,TRUE)</f>
        <v>1</v>
      </c>
      <c r="Z276" s="26" t="b">
        <f t="array" aca="1" ref="Z276" ca="1">IF(UPPER(Data!C276)="END",SUM((OFFSET(Data!C276,MAX(ROW(Data!$C$5)-ROW(Data!C276),-200),0,400,1)="END")*(OFFSET(Data!A276,MAX(ROW(Data!$B$5)-ROW(Data!B276),-200),0,400,1)=Data!A276))=1,TRUE)</f>
        <v>1</v>
      </c>
      <c r="AA276" s="26" t="b">
        <f>IF(Checks!C276,ISERROR(FIND("&amp;",Data!D276)),TRUE)</f>
        <v>1</v>
      </c>
      <c r="AB276" s="26" t="b">
        <f>IF(Checks!$C276,IF(AND(UPPER(Data!$C276)&lt;&gt;"START",UPPER(Data!$C276)&lt;&gt;"DATA OBJECT",Data!E276&lt;&gt;""),NOT(ISERROR(MATCH(Data!$A276&amp;"||"&amp;Data!E276,Key,0))),TRUE),TRUE)</f>
        <v>1</v>
      </c>
      <c r="AC276" s="27" t="b">
        <f>IF(Checks!C276,IF(UPPER(Data!C276)="END",Data!E276&lt;&gt;"",TRUE),TRUE)</f>
        <v>1</v>
      </c>
    </row>
    <row r="277" spans="1:29" x14ac:dyDescent="0.25">
      <c r="A277" s="1" t="str">
        <f>Data!A277&amp;"||"&amp;Data!B277</f>
        <v>Miscellaneous/subflow/irmifrs9_enrichment_stage3.bpmn||020_00_08</v>
      </c>
      <c r="B277" s="19"/>
      <c r="C277" s="24" t="b">
        <f>AND(UPPER(Data!A277)&lt;&gt;"EMPTY",Data!B277&lt;&gt;"")</f>
        <v>1</v>
      </c>
      <c r="D277" s="1"/>
      <c r="E277" s="25" t="b">
        <f t="shared" ca="1" si="8"/>
        <v>1</v>
      </c>
      <c r="F277" s="26" t="b">
        <f ca="1">IF(UPPER(Data!C277)="SUB PROCESS",NOT(ISERROR(MATCH(RIGHT(Data!BY277,LEN(Data!BY277)-5),OFFSET(Data,0,0,ItemsCount,1),0))),TRUE)</f>
        <v>1</v>
      </c>
      <c r="G277" s="26" t="b">
        <f ca="1">IF(MID(UPPER(Data!A277),1,13)="MISCELLANEOUS",NOT(ISERROR(MATCH("path="&amp;Data!A277,OFFSET(Data,0,76,ItemsCount,1),0))),TRUE)</f>
        <v>1</v>
      </c>
      <c r="L277" s="25" t="b">
        <f t="shared" ca="1" si="9"/>
        <v>1</v>
      </c>
      <c r="M277" s="24" t="b">
        <f>IF(Checks!$C277,Data!A277&lt;&gt;"",TRUE)</f>
        <v>1</v>
      </c>
      <c r="N277" s="26" t="b">
        <f>IF(Checks!C277,Data!B277&lt;&gt;"",TRUE)</f>
        <v>1</v>
      </c>
      <c r="O277" s="26" t="b">
        <f>IF(Checks!C277,IF(AND(UPPER(Data!C277)="SERVICE TASK",UPPER(Data!BZ277)="TYPE=SAS"),NodeExists(TRIM(RIGHT(Data!CA277,LEN(Data!CA277)-FIND("=",Data!CA277)))),TRUE),TRUE)</f>
        <v>1</v>
      </c>
      <c r="P277" s="26" t="b">
        <f>IF(Checks!C277,IF(Data!C277="DATA OBJECT",OR(AND(Data!BW277&lt;&gt;"",Data!BX277=""),AND(Data!BW277="",Data!BX277&lt;&gt;"")),TRUE),TRUE)</f>
        <v>1</v>
      </c>
      <c r="Q277" s="26" t="b">
        <f>IF(Checks!C277,UPPER(RIGHT(Data!A277,5))=".BPMN",TRUE)</f>
        <v>1</v>
      </c>
      <c r="R277" s="26" t="b">
        <f>IF(Checks!C277,IF(UPPER(Data!C277)="SUB PROCESS",UPPER(RIGHT(Data!BY277,5))=".BPMN",TRUE),TRUE)</f>
        <v>1</v>
      </c>
      <c r="S277" s="26" t="b">
        <f>IF(Checks!C277,IF(UPPER(Data!C277)="SERVICE TASK",IF(UPPER(Data!BZ277)="TYPE=SAS",UPPER(RIGHT(Data!CA277,4))=".SAS",TRUE),TRUE),TRUE)</f>
        <v>1</v>
      </c>
      <c r="T277" s="26" t="b">
        <f>IF(Checks!C277,IF(Data!B277&lt;&gt;"",Data!D277&lt;&gt;"",TRUE),TRUE)</f>
        <v>1</v>
      </c>
      <c r="U277" s="26" t="b">
        <f ca="1">IF(Checks!C277,IF(UPPER(Data!C277)="DATA OBJECT",NOT(ISERROR(MATCH(Data!A277&amp;"||"&amp;Data!BW277&amp;Data!BX277,Key,0))),TRUE),TRUE)</f>
        <v>1</v>
      </c>
      <c r="V277" s="26" t="b">
        <f>IF(Checks!C277,IF(UPPER(Data!C277)="SUB PROCESS",Data!BY277&lt;&gt;"",TRUE),TRUE)</f>
        <v>1</v>
      </c>
      <c r="W277" s="26" t="b">
        <f>IF(Checks!C277,IF(UPPER(Data!C277)="SERVICE TASK",AND(Data!BZ277&lt;&gt;"",Data!CA277&lt;&gt;""),TRUE),TRUE)</f>
        <v>1</v>
      </c>
      <c r="X277" s="26" t="b">
        <f t="array" aca="1" ref="X277" ca="1">SUM((OFFSET(Data!B277,MAX(ROW(Data!$B$5)-ROW(Data!B277),-200),0,400,1)=Data!B277)*(OFFSET(Data!A277,MAX(ROW(Data!$B$5)-ROW(Data!B277),-200),0,400,1)=Data!A277))=1</f>
        <v>1</v>
      </c>
      <c r="Y277" s="26" t="b">
        <f t="array" aca="1" ref="Y277" ca="1">IF(UPPER(Data!C277)="START",SUM((OFFSET(Data!C277,MAX(ROW(Data!$C$5)-ROW(Data!C277),-200),0,400,1)="START")*(OFFSET(Data!A277,MAX(ROW(Data!$B$5)-ROW(Data!B277),-200),0,400,1)=Data!A277))=1,TRUE)</f>
        <v>1</v>
      </c>
      <c r="Z277" s="26" t="b">
        <f t="array" aca="1" ref="Z277" ca="1">IF(UPPER(Data!C277)="END",SUM((OFFSET(Data!C277,MAX(ROW(Data!$C$5)-ROW(Data!C277),-200),0,400,1)="END")*(OFFSET(Data!A277,MAX(ROW(Data!$B$5)-ROW(Data!B277),-200),0,400,1)=Data!A277))=1,TRUE)</f>
        <v>1</v>
      </c>
      <c r="AA277" s="26" t="b">
        <f>IF(Checks!C277,ISERROR(FIND("&amp;",Data!D277)),TRUE)</f>
        <v>1</v>
      </c>
      <c r="AB277" s="26" t="b">
        <f>IF(Checks!$C277,IF(AND(UPPER(Data!$C277)&lt;&gt;"START",UPPER(Data!$C277)&lt;&gt;"DATA OBJECT",Data!E277&lt;&gt;""),NOT(ISERROR(MATCH(Data!$A277&amp;"||"&amp;Data!E277,Key,0))),TRUE),TRUE)</f>
        <v>1</v>
      </c>
      <c r="AC277" s="27" t="b">
        <f>IF(Checks!C277,IF(UPPER(Data!C277)="END",Data!E277&lt;&gt;"",TRUE),TRUE)</f>
        <v>1</v>
      </c>
    </row>
    <row r="278" spans="1:29" x14ac:dyDescent="0.25">
      <c r="A278" s="1" t="str">
        <f>Data!A278&amp;"||"&amp;Data!B278</f>
        <v>Miscellaneous/subflow/irmifrs9_enrichment_stage3.bpmn||020_00_09</v>
      </c>
      <c r="B278" s="19"/>
      <c r="C278" s="24" t="b">
        <f>AND(UPPER(Data!A278)&lt;&gt;"EMPTY",Data!B278&lt;&gt;"")</f>
        <v>1</v>
      </c>
      <c r="D278" s="1"/>
      <c r="E278" s="25" t="b">
        <f t="shared" ca="1" si="8"/>
        <v>1</v>
      </c>
      <c r="F278" s="26" t="b">
        <f ca="1">IF(UPPER(Data!C278)="SUB PROCESS",NOT(ISERROR(MATCH(RIGHT(Data!BY278,LEN(Data!BY278)-5),OFFSET(Data,0,0,ItemsCount,1),0))),TRUE)</f>
        <v>1</v>
      </c>
      <c r="G278" s="26" t="b">
        <f ca="1">IF(MID(UPPER(Data!A278),1,13)="MISCELLANEOUS",NOT(ISERROR(MATCH("path="&amp;Data!A278,OFFSET(Data,0,76,ItemsCount,1),0))),TRUE)</f>
        <v>1</v>
      </c>
      <c r="L278" s="25" t="b">
        <f t="shared" ca="1" si="9"/>
        <v>1</v>
      </c>
      <c r="M278" s="24" t="b">
        <f>IF(Checks!$C278,Data!A278&lt;&gt;"",TRUE)</f>
        <v>1</v>
      </c>
      <c r="N278" s="26" t="b">
        <f>IF(Checks!C278,Data!B278&lt;&gt;"",TRUE)</f>
        <v>1</v>
      </c>
      <c r="O278" s="26" t="b">
        <f>IF(Checks!C278,IF(AND(UPPER(Data!C278)="SERVICE TASK",UPPER(Data!BZ278)="TYPE=SAS"),NodeExists(TRIM(RIGHT(Data!CA278,LEN(Data!CA278)-FIND("=",Data!CA278)))),TRUE),TRUE)</f>
        <v>1</v>
      </c>
      <c r="P278" s="26" t="b">
        <f>IF(Checks!C278,IF(Data!C278="DATA OBJECT",OR(AND(Data!BW278&lt;&gt;"",Data!BX278=""),AND(Data!BW278="",Data!BX278&lt;&gt;"")),TRUE),TRUE)</f>
        <v>1</v>
      </c>
      <c r="Q278" s="26" t="b">
        <f>IF(Checks!C278,UPPER(RIGHT(Data!A278,5))=".BPMN",TRUE)</f>
        <v>1</v>
      </c>
      <c r="R278" s="26" t="b">
        <f>IF(Checks!C278,IF(UPPER(Data!C278)="SUB PROCESS",UPPER(RIGHT(Data!BY278,5))=".BPMN",TRUE),TRUE)</f>
        <v>1</v>
      </c>
      <c r="S278" s="26" t="b">
        <f>IF(Checks!C278,IF(UPPER(Data!C278)="SERVICE TASK",IF(UPPER(Data!BZ278)="TYPE=SAS",UPPER(RIGHT(Data!CA278,4))=".SAS",TRUE),TRUE),TRUE)</f>
        <v>1</v>
      </c>
      <c r="T278" s="26" t="b">
        <f>IF(Checks!C278,IF(Data!B278&lt;&gt;"",Data!D278&lt;&gt;"",TRUE),TRUE)</f>
        <v>1</v>
      </c>
      <c r="U278" s="26" t="b">
        <f ca="1">IF(Checks!C278,IF(UPPER(Data!C278)="DATA OBJECT",NOT(ISERROR(MATCH(Data!A278&amp;"||"&amp;Data!BW278&amp;Data!BX278,Key,0))),TRUE),TRUE)</f>
        <v>1</v>
      </c>
      <c r="V278" s="26" t="b">
        <f>IF(Checks!C278,IF(UPPER(Data!C278)="SUB PROCESS",Data!BY278&lt;&gt;"",TRUE),TRUE)</f>
        <v>1</v>
      </c>
      <c r="W278" s="26" t="b">
        <f>IF(Checks!C278,IF(UPPER(Data!C278)="SERVICE TASK",AND(Data!BZ278&lt;&gt;"",Data!CA278&lt;&gt;""),TRUE),TRUE)</f>
        <v>1</v>
      </c>
      <c r="X278" s="26" t="b">
        <f t="array" aca="1" ref="X278" ca="1">SUM((OFFSET(Data!B278,MAX(ROW(Data!$B$5)-ROW(Data!B278),-200),0,400,1)=Data!B278)*(OFFSET(Data!A278,MAX(ROW(Data!$B$5)-ROW(Data!B278),-200),0,400,1)=Data!A278))=1</f>
        <v>1</v>
      </c>
      <c r="Y278" s="26" t="b">
        <f t="array" aca="1" ref="Y278" ca="1">IF(UPPER(Data!C278)="START",SUM((OFFSET(Data!C278,MAX(ROW(Data!$C$5)-ROW(Data!C278),-200),0,400,1)="START")*(OFFSET(Data!A278,MAX(ROW(Data!$B$5)-ROW(Data!B278),-200),0,400,1)=Data!A278))=1,TRUE)</f>
        <v>1</v>
      </c>
      <c r="Z278" s="26" t="b">
        <f t="array" aca="1" ref="Z278" ca="1">IF(UPPER(Data!C278)="END",SUM((OFFSET(Data!C278,MAX(ROW(Data!$C$5)-ROW(Data!C278),-200),0,400,1)="END")*(OFFSET(Data!A278,MAX(ROW(Data!$B$5)-ROW(Data!B278),-200),0,400,1)=Data!A278))=1,TRUE)</f>
        <v>1</v>
      </c>
      <c r="AA278" s="26" t="b">
        <f>IF(Checks!C278,ISERROR(FIND("&amp;",Data!D278)),TRUE)</f>
        <v>1</v>
      </c>
      <c r="AB278" s="26" t="b">
        <f>IF(Checks!$C278,IF(AND(UPPER(Data!$C278)&lt;&gt;"START",UPPER(Data!$C278)&lt;&gt;"DATA OBJECT",Data!E278&lt;&gt;""),NOT(ISERROR(MATCH(Data!$A278&amp;"||"&amp;Data!E278,Key,0))),TRUE),TRUE)</f>
        <v>1</v>
      </c>
      <c r="AC278" s="27" t="b">
        <f>IF(Checks!C278,IF(UPPER(Data!C278)="END",Data!E278&lt;&gt;"",TRUE),TRUE)</f>
        <v>1</v>
      </c>
    </row>
    <row r="279" spans="1:29" x14ac:dyDescent="0.25">
      <c r="A279" s="1" t="str">
        <f>Data!A279&amp;"||"&amp;Data!B279</f>
        <v>Miscellaneous/subflow/irmifrs9_enrichment_stage3.bpmn||020_00_10</v>
      </c>
      <c r="B279" s="19"/>
      <c r="C279" s="24" t="b">
        <f>AND(UPPER(Data!A279)&lt;&gt;"EMPTY",Data!B279&lt;&gt;"")</f>
        <v>1</v>
      </c>
      <c r="D279" s="1"/>
      <c r="E279" s="25" t="b">
        <f t="shared" ca="1" si="8"/>
        <v>1</v>
      </c>
      <c r="F279" s="26" t="b">
        <f ca="1">IF(UPPER(Data!C279)="SUB PROCESS",NOT(ISERROR(MATCH(RIGHT(Data!BY279,LEN(Data!BY279)-5),OFFSET(Data,0,0,ItemsCount,1),0))),TRUE)</f>
        <v>1</v>
      </c>
      <c r="G279" s="26" t="b">
        <f ca="1">IF(MID(UPPER(Data!A279),1,13)="MISCELLANEOUS",NOT(ISERROR(MATCH("path="&amp;Data!A279,OFFSET(Data,0,76,ItemsCount,1),0))),TRUE)</f>
        <v>1</v>
      </c>
      <c r="L279" s="25" t="b">
        <f t="shared" ca="1" si="9"/>
        <v>1</v>
      </c>
      <c r="M279" s="24" t="b">
        <f>IF(Checks!$C279,Data!A279&lt;&gt;"",TRUE)</f>
        <v>1</v>
      </c>
      <c r="N279" s="26" t="b">
        <f>IF(Checks!C279,Data!B279&lt;&gt;"",TRUE)</f>
        <v>1</v>
      </c>
      <c r="O279" s="26" t="b">
        <f>IF(Checks!C279,IF(AND(UPPER(Data!C279)="SERVICE TASK",UPPER(Data!BZ279)="TYPE=SAS"),NodeExists(TRIM(RIGHT(Data!CA279,LEN(Data!CA279)-FIND("=",Data!CA279)))),TRUE),TRUE)</f>
        <v>1</v>
      </c>
      <c r="P279" s="26" t="b">
        <f>IF(Checks!C279,IF(Data!C279="DATA OBJECT",OR(AND(Data!BW279&lt;&gt;"",Data!BX279=""),AND(Data!BW279="",Data!BX279&lt;&gt;"")),TRUE),TRUE)</f>
        <v>1</v>
      </c>
      <c r="Q279" s="26" t="b">
        <f>IF(Checks!C279,UPPER(RIGHT(Data!A279,5))=".BPMN",TRUE)</f>
        <v>1</v>
      </c>
      <c r="R279" s="26" t="b">
        <f>IF(Checks!C279,IF(UPPER(Data!C279)="SUB PROCESS",UPPER(RIGHT(Data!BY279,5))=".BPMN",TRUE),TRUE)</f>
        <v>1</v>
      </c>
      <c r="S279" s="26" t="b">
        <f>IF(Checks!C279,IF(UPPER(Data!C279)="SERVICE TASK",IF(UPPER(Data!BZ279)="TYPE=SAS",UPPER(RIGHT(Data!CA279,4))=".SAS",TRUE),TRUE),TRUE)</f>
        <v>1</v>
      </c>
      <c r="T279" s="26" t="b">
        <f>IF(Checks!C279,IF(Data!B279&lt;&gt;"",Data!D279&lt;&gt;"",TRUE),TRUE)</f>
        <v>1</v>
      </c>
      <c r="U279" s="26" t="b">
        <f ca="1">IF(Checks!C279,IF(UPPER(Data!C279)="DATA OBJECT",NOT(ISERROR(MATCH(Data!A279&amp;"||"&amp;Data!BW279&amp;Data!BX279,Key,0))),TRUE),TRUE)</f>
        <v>1</v>
      </c>
      <c r="V279" s="26" t="b">
        <f>IF(Checks!C279,IF(UPPER(Data!C279)="SUB PROCESS",Data!BY279&lt;&gt;"",TRUE),TRUE)</f>
        <v>1</v>
      </c>
      <c r="W279" s="26" t="b">
        <f>IF(Checks!C279,IF(UPPER(Data!C279)="SERVICE TASK",AND(Data!BZ279&lt;&gt;"",Data!CA279&lt;&gt;""),TRUE),TRUE)</f>
        <v>1</v>
      </c>
      <c r="X279" s="26" t="b">
        <f t="array" aca="1" ref="X279" ca="1">SUM((OFFSET(Data!B279,MAX(ROW(Data!$B$5)-ROW(Data!B279),-200),0,400,1)=Data!B279)*(OFFSET(Data!A279,MAX(ROW(Data!$B$5)-ROW(Data!B279),-200),0,400,1)=Data!A279))=1</f>
        <v>1</v>
      </c>
      <c r="Y279" s="26" t="b">
        <f t="array" aca="1" ref="Y279" ca="1">IF(UPPER(Data!C279)="START",SUM((OFFSET(Data!C279,MAX(ROW(Data!$C$5)-ROW(Data!C279),-200),0,400,1)="START")*(OFFSET(Data!A279,MAX(ROW(Data!$B$5)-ROW(Data!B279),-200),0,400,1)=Data!A279))=1,TRUE)</f>
        <v>1</v>
      </c>
      <c r="Z279" s="26" t="b">
        <f t="array" aca="1" ref="Z279" ca="1">IF(UPPER(Data!C279)="END",SUM((OFFSET(Data!C279,MAX(ROW(Data!$C$5)-ROW(Data!C279),-200),0,400,1)="END")*(OFFSET(Data!A279,MAX(ROW(Data!$B$5)-ROW(Data!B279),-200),0,400,1)=Data!A279))=1,TRUE)</f>
        <v>1</v>
      </c>
      <c r="AA279" s="26" t="b">
        <f>IF(Checks!C279,ISERROR(FIND("&amp;",Data!D279)),TRUE)</f>
        <v>1</v>
      </c>
      <c r="AB279" s="26" t="b">
        <f>IF(Checks!$C279,IF(AND(UPPER(Data!$C279)&lt;&gt;"START",UPPER(Data!$C279)&lt;&gt;"DATA OBJECT",Data!E279&lt;&gt;""),NOT(ISERROR(MATCH(Data!$A279&amp;"||"&amp;Data!E279,Key,0))),TRUE),TRUE)</f>
        <v>1</v>
      </c>
      <c r="AC279" s="27" t="b">
        <f>IF(Checks!C279,IF(UPPER(Data!C279)="END",Data!E279&lt;&gt;"",TRUE),TRUE)</f>
        <v>1</v>
      </c>
    </row>
    <row r="280" spans="1:29" x14ac:dyDescent="0.25">
      <c r="A280" s="1" t="str">
        <f>Data!A280&amp;"||"&amp;Data!B280</f>
        <v>Miscellaneous/subflow/irmifrs9_enrichment_stage3.bpmn||020_01_00</v>
      </c>
      <c r="B280" s="19"/>
      <c r="C280" s="24" t="b">
        <f>AND(UPPER(Data!A280)&lt;&gt;"EMPTY",Data!B280&lt;&gt;"")</f>
        <v>1</v>
      </c>
      <c r="D280" s="1"/>
      <c r="E280" s="25" t="b">
        <f t="shared" ca="1" si="8"/>
        <v>1</v>
      </c>
      <c r="F280" s="26" t="b">
        <f ca="1">IF(UPPER(Data!C280)="SUB PROCESS",NOT(ISERROR(MATCH(RIGHT(Data!BY280,LEN(Data!BY280)-5),OFFSET(Data,0,0,ItemsCount,1),0))),TRUE)</f>
        <v>1</v>
      </c>
      <c r="G280" s="26" t="b">
        <f ca="1">IF(MID(UPPER(Data!A280),1,13)="MISCELLANEOUS",NOT(ISERROR(MATCH("path="&amp;Data!A280,OFFSET(Data,0,76,ItemsCount,1),0))),TRUE)</f>
        <v>1</v>
      </c>
      <c r="L280" s="25" t="b">
        <f t="shared" ca="1" si="9"/>
        <v>1</v>
      </c>
      <c r="M280" s="24" t="b">
        <f>IF(Checks!$C280,Data!A280&lt;&gt;"",TRUE)</f>
        <v>1</v>
      </c>
      <c r="N280" s="26" t="b">
        <f>IF(Checks!C280,Data!B280&lt;&gt;"",TRUE)</f>
        <v>1</v>
      </c>
      <c r="O280" s="26" t="b">
        <f>IF(Checks!C280,IF(AND(UPPER(Data!C280)="SERVICE TASK",UPPER(Data!BZ280)="TYPE=SAS"),NodeExists(TRIM(RIGHT(Data!CA280,LEN(Data!CA280)-FIND("=",Data!CA280)))),TRUE),TRUE)</f>
        <v>1</v>
      </c>
      <c r="P280" s="26" t="b">
        <f>IF(Checks!C280,IF(Data!C280="DATA OBJECT",OR(AND(Data!BW280&lt;&gt;"",Data!BX280=""),AND(Data!BW280="",Data!BX280&lt;&gt;"")),TRUE),TRUE)</f>
        <v>1</v>
      </c>
      <c r="Q280" s="26" t="b">
        <f>IF(Checks!C280,UPPER(RIGHT(Data!A280,5))=".BPMN",TRUE)</f>
        <v>1</v>
      </c>
      <c r="R280" s="26" t="b">
        <f>IF(Checks!C280,IF(UPPER(Data!C280)="SUB PROCESS",UPPER(RIGHT(Data!BY280,5))=".BPMN",TRUE),TRUE)</f>
        <v>1</v>
      </c>
      <c r="S280" s="26" t="b">
        <f>IF(Checks!C280,IF(UPPER(Data!C280)="SERVICE TASK",IF(UPPER(Data!BZ280)="TYPE=SAS",UPPER(RIGHT(Data!CA280,4))=".SAS",TRUE),TRUE),TRUE)</f>
        <v>1</v>
      </c>
      <c r="T280" s="26" t="b">
        <f>IF(Checks!C280,IF(Data!B280&lt;&gt;"",Data!D280&lt;&gt;"",TRUE),TRUE)</f>
        <v>1</v>
      </c>
      <c r="U280" s="26" t="b">
        <f ca="1">IF(Checks!C280,IF(UPPER(Data!C280)="DATA OBJECT",NOT(ISERROR(MATCH(Data!A280&amp;"||"&amp;Data!BW280&amp;Data!BX280,Key,0))),TRUE),TRUE)</f>
        <v>1</v>
      </c>
      <c r="V280" s="26" t="b">
        <f>IF(Checks!C280,IF(UPPER(Data!C280)="SUB PROCESS",Data!BY280&lt;&gt;"",TRUE),TRUE)</f>
        <v>1</v>
      </c>
      <c r="W280" s="26" t="b">
        <f>IF(Checks!C280,IF(UPPER(Data!C280)="SERVICE TASK",AND(Data!BZ280&lt;&gt;"",Data!CA280&lt;&gt;""),TRUE),TRUE)</f>
        <v>1</v>
      </c>
      <c r="X280" s="26" t="b">
        <f t="array" aca="1" ref="X280" ca="1">SUM((OFFSET(Data!B280,MAX(ROW(Data!$B$5)-ROW(Data!B280),-200),0,400,1)=Data!B280)*(OFFSET(Data!A280,MAX(ROW(Data!$B$5)-ROW(Data!B280),-200),0,400,1)=Data!A280))=1</f>
        <v>1</v>
      </c>
      <c r="Y280" s="26" t="b">
        <f t="array" aca="1" ref="Y280" ca="1">IF(UPPER(Data!C280)="START",SUM((OFFSET(Data!C280,MAX(ROW(Data!$C$5)-ROW(Data!C280),-200),0,400,1)="START")*(OFFSET(Data!A280,MAX(ROW(Data!$B$5)-ROW(Data!B280),-200),0,400,1)=Data!A280))=1,TRUE)</f>
        <v>1</v>
      </c>
      <c r="Z280" s="26" t="b">
        <f t="array" aca="1" ref="Z280" ca="1">IF(UPPER(Data!C280)="END",SUM((OFFSET(Data!C280,MAX(ROW(Data!$C$5)-ROW(Data!C280),-200),0,400,1)="END")*(OFFSET(Data!A280,MAX(ROW(Data!$B$5)-ROW(Data!B280),-200),0,400,1)=Data!A280))=1,TRUE)</f>
        <v>1</v>
      </c>
      <c r="AA280" s="26" t="b">
        <f>IF(Checks!C280,ISERROR(FIND("&amp;",Data!D280)),TRUE)</f>
        <v>1</v>
      </c>
      <c r="AB280" s="26" t="b">
        <f>IF(Checks!$C280,IF(AND(UPPER(Data!$C280)&lt;&gt;"START",UPPER(Data!$C280)&lt;&gt;"DATA OBJECT",Data!E280&lt;&gt;""),NOT(ISERROR(MATCH(Data!$A280&amp;"||"&amp;Data!E280,Key,0))),TRUE),TRUE)</f>
        <v>1</v>
      </c>
      <c r="AC280" s="27" t="b">
        <f>IF(Checks!C280,IF(UPPER(Data!C280)="END",Data!E280&lt;&gt;"",TRUE),TRUE)</f>
        <v>1</v>
      </c>
    </row>
    <row r="281" spans="1:29" x14ac:dyDescent="0.25">
      <c r="A281" s="1" t="str">
        <f>Data!A281&amp;"||"&amp;Data!B281</f>
        <v>Miscellaneous/subflow/irmifrs9_enrichment_stage3.bpmn||030_00_00</v>
      </c>
      <c r="B281" s="19"/>
      <c r="C281" s="24" t="b">
        <f>AND(UPPER(Data!A281)&lt;&gt;"EMPTY",Data!B281&lt;&gt;"")</f>
        <v>1</v>
      </c>
      <c r="D281" s="1"/>
      <c r="E281" s="25" t="b">
        <f t="shared" ca="1" si="8"/>
        <v>1</v>
      </c>
      <c r="F281" s="26" t="b">
        <f ca="1">IF(UPPER(Data!C281)="SUB PROCESS",NOT(ISERROR(MATCH(RIGHT(Data!BY281,LEN(Data!BY281)-5),OFFSET(Data,0,0,ItemsCount,1),0))),TRUE)</f>
        <v>1</v>
      </c>
      <c r="G281" s="26" t="b">
        <f ca="1">IF(MID(UPPER(Data!A281),1,13)="MISCELLANEOUS",NOT(ISERROR(MATCH("path="&amp;Data!A281,OFFSET(Data,0,76,ItemsCount,1),0))),TRUE)</f>
        <v>1</v>
      </c>
      <c r="L281" s="25" t="b">
        <f t="shared" ca="1" si="9"/>
        <v>1</v>
      </c>
      <c r="M281" s="24" t="b">
        <f>IF(Checks!$C281,Data!A281&lt;&gt;"",TRUE)</f>
        <v>1</v>
      </c>
      <c r="N281" s="26" t="b">
        <f>IF(Checks!C281,Data!B281&lt;&gt;"",TRUE)</f>
        <v>1</v>
      </c>
      <c r="O281" s="26" t="b">
        <f>IF(Checks!C281,IF(AND(UPPER(Data!C281)="SERVICE TASK",UPPER(Data!BZ281)="TYPE=SAS"),NodeExists(TRIM(RIGHT(Data!CA281,LEN(Data!CA281)-FIND("=",Data!CA281)))),TRUE),TRUE)</f>
        <v>1</v>
      </c>
      <c r="P281" s="26" t="b">
        <f>IF(Checks!C281,IF(Data!C281="DATA OBJECT",OR(AND(Data!BW281&lt;&gt;"",Data!BX281=""),AND(Data!BW281="",Data!BX281&lt;&gt;"")),TRUE),TRUE)</f>
        <v>1</v>
      </c>
      <c r="Q281" s="26" t="b">
        <f>IF(Checks!C281,UPPER(RIGHT(Data!A281,5))=".BPMN",TRUE)</f>
        <v>1</v>
      </c>
      <c r="R281" s="26" t="b">
        <f>IF(Checks!C281,IF(UPPER(Data!C281)="SUB PROCESS",UPPER(RIGHT(Data!BY281,5))=".BPMN",TRUE),TRUE)</f>
        <v>1</v>
      </c>
      <c r="S281" s="26" t="b">
        <f>IF(Checks!C281,IF(UPPER(Data!C281)="SERVICE TASK",IF(UPPER(Data!BZ281)="TYPE=SAS",UPPER(RIGHT(Data!CA281,4))=".SAS",TRUE),TRUE),TRUE)</f>
        <v>1</v>
      </c>
      <c r="T281" s="26" t="b">
        <f>IF(Checks!C281,IF(Data!B281&lt;&gt;"",Data!D281&lt;&gt;"",TRUE),TRUE)</f>
        <v>1</v>
      </c>
      <c r="U281" s="26" t="b">
        <f>IF(Checks!C281,IF(UPPER(Data!C281)="DATA OBJECT",NOT(ISERROR(MATCH(Data!A281&amp;"||"&amp;Data!BW281&amp;Data!BX281,Key,0))),TRUE),TRUE)</f>
        <v>1</v>
      </c>
      <c r="V281" s="26" t="b">
        <f>IF(Checks!C281,IF(UPPER(Data!C281)="SUB PROCESS",Data!BY281&lt;&gt;"",TRUE),TRUE)</f>
        <v>1</v>
      </c>
      <c r="W281" s="26" t="b">
        <f>IF(Checks!C281,IF(UPPER(Data!C281)="SERVICE TASK",AND(Data!BZ281&lt;&gt;"",Data!CA281&lt;&gt;""),TRUE),TRUE)</f>
        <v>1</v>
      </c>
      <c r="X281" s="26" t="b">
        <f t="array" aca="1" ref="X281" ca="1">SUM((OFFSET(Data!B281,MAX(ROW(Data!$B$5)-ROW(Data!B281),-200),0,400,1)=Data!B281)*(OFFSET(Data!A281,MAX(ROW(Data!$B$5)-ROW(Data!B281),-200),0,400,1)=Data!A281))=1</f>
        <v>1</v>
      </c>
      <c r="Y281" s="26" t="b">
        <f t="array" aca="1" ref="Y281" ca="1">IF(UPPER(Data!C281)="START",SUM((OFFSET(Data!C281,MAX(ROW(Data!$C$5)-ROW(Data!C281),-200),0,400,1)="START")*(OFFSET(Data!A281,MAX(ROW(Data!$B$5)-ROW(Data!B281),-200),0,400,1)=Data!A281))=1,TRUE)</f>
        <v>1</v>
      </c>
      <c r="Z281" s="26" t="b">
        <f t="array" aca="1" ref="Z281" ca="1">IF(UPPER(Data!C281)="END",SUM((OFFSET(Data!C281,MAX(ROW(Data!$C$5)-ROW(Data!C281),-200),0,400,1)="END")*(OFFSET(Data!A281,MAX(ROW(Data!$B$5)-ROW(Data!B281),-200),0,400,1)=Data!A281))=1,TRUE)</f>
        <v>1</v>
      </c>
      <c r="AA281" s="26" t="b">
        <f>IF(Checks!C281,ISERROR(FIND("&amp;",Data!D281)),TRUE)</f>
        <v>1</v>
      </c>
      <c r="AB281" s="26" t="b">
        <f ca="1">IF(Checks!$C281,IF(AND(UPPER(Data!$C281)&lt;&gt;"START",UPPER(Data!$C281)&lt;&gt;"DATA OBJECT",Data!E281&lt;&gt;""),NOT(ISERROR(MATCH(Data!$A281&amp;"||"&amp;Data!E281,Key,0))),TRUE),TRUE)</f>
        <v>1</v>
      </c>
      <c r="AC281" s="27" t="b">
        <f>IF(Checks!C281,IF(UPPER(Data!C281)="END",Data!E281&lt;&gt;"",TRUE),TRUE)</f>
        <v>1</v>
      </c>
    </row>
    <row r="282" spans="1:29" x14ac:dyDescent="0.25">
      <c r="A282" s="1" t="str">
        <f>Data!A282&amp;"||"&amp;Data!B282</f>
        <v>Miscellaneous/subflow/irmifrs9_enrichment_stage3.bpmn||030_00_01</v>
      </c>
      <c r="B282" s="19"/>
      <c r="C282" s="24" t="b">
        <f>AND(UPPER(Data!A282)&lt;&gt;"EMPTY",Data!B282&lt;&gt;"")</f>
        <v>1</v>
      </c>
      <c r="D282" s="1"/>
      <c r="E282" s="25" t="b">
        <f t="shared" ca="1" si="8"/>
        <v>1</v>
      </c>
      <c r="F282" s="26" t="b">
        <f ca="1">IF(UPPER(Data!C282)="SUB PROCESS",NOT(ISERROR(MATCH(RIGHT(Data!BY282,LEN(Data!BY282)-5),OFFSET(Data,0,0,ItemsCount,1),0))),TRUE)</f>
        <v>1</v>
      </c>
      <c r="G282" s="26" t="b">
        <f ca="1">IF(MID(UPPER(Data!A282),1,13)="MISCELLANEOUS",NOT(ISERROR(MATCH("path="&amp;Data!A282,OFFSET(Data,0,76,ItemsCount,1),0))),TRUE)</f>
        <v>1</v>
      </c>
      <c r="L282" s="25" t="b">
        <f t="shared" ca="1" si="9"/>
        <v>1</v>
      </c>
      <c r="M282" s="24" t="b">
        <f>IF(Checks!$C282,Data!A282&lt;&gt;"",TRUE)</f>
        <v>1</v>
      </c>
      <c r="N282" s="26" t="b">
        <f>IF(Checks!C282,Data!B282&lt;&gt;"",TRUE)</f>
        <v>1</v>
      </c>
      <c r="O282" s="26" t="b">
        <f>IF(Checks!C282,IF(AND(UPPER(Data!C282)="SERVICE TASK",UPPER(Data!BZ282)="TYPE=SAS"),NodeExists(TRIM(RIGHT(Data!CA282,LEN(Data!CA282)-FIND("=",Data!CA282)))),TRUE),TRUE)</f>
        <v>1</v>
      </c>
      <c r="P282" s="26" t="b">
        <f>IF(Checks!C282,IF(Data!C282="DATA OBJECT",OR(AND(Data!BW282&lt;&gt;"",Data!BX282=""),AND(Data!BW282="",Data!BX282&lt;&gt;"")),TRUE),TRUE)</f>
        <v>1</v>
      </c>
      <c r="Q282" s="26" t="b">
        <f>IF(Checks!C282,UPPER(RIGHT(Data!A282,5))=".BPMN",TRUE)</f>
        <v>1</v>
      </c>
      <c r="R282" s="26" t="b">
        <f>IF(Checks!C282,IF(UPPER(Data!C282)="SUB PROCESS",UPPER(RIGHT(Data!BY282,5))=".BPMN",TRUE),TRUE)</f>
        <v>1</v>
      </c>
      <c r="S282" s="26" t="b">
        <f>IF(Checks!C282,IF(UPPER(Data!C282)="SERVICE TASK",IF(UPPER(Data!BZ282)="TYPE=SAS",UPPER(RIGHT(Data!CA282,4))=".SAS",TRUE),TRUE),TRUE)</f>
        <v>1</v>
      </c>
      <c r="T282" s="26" t="b">
        <f>IF(Checks!C282,IF(Data!B282&lt;&gt;"",Data!D282&lt;&gt;"",TRUE),TRUE)</f>
        <v>1</v>
      </c>
      <c r="U282" s="26" t="b">
        <f ca="1">IF(Checks!C282,IF(UPPER(Data!C282)="DATA OBJECT",NOT(ISERROR(MATCH(Data!A282&amp;"||"&amp;Data!BW282&amp;Data!BX282,Key,0))),TRUE),TRUE)</f>
        <v>1</v>
      </c>
      <c r="V282" s="26" t="b">
        <f>IF(Checks!C282,IF(UPPER(Data!C282)="SUB PROCESS",Data!BY282&lt;&gt;"",TRUE),TRUE)</f>
        <v>1</v>
      </c>
      <c r="W282" s="26" t="b">
        <f>IF(Checks!C282,IF(UPPER(Data!C282)="SERVICE TASK",AND(Data!BZ282&lt;&gt;"",Data!CA282&lt;&gt;""),TRUE),TRUE)</f>
        <v>1</v>
      </c>
      <c r="X282" s="26" t="b">
        <f t="array" aca="1" ref="X282" ca="1">SUM((OFFSET(Data!B282,MAX(ROW(Data!$B$5)-ROW(Data!B282),-200),0,400,1)=Data!B282)*(OFFSET(Data!A282,MAX(ROW(Data!$B$5)-ROW(Data!B282),-200),0,400,1)=Data!A282))=1</f>
        <v>1</v>
      </c>
      <c r="Y282" s="26" t="b">
        <f t="array" aca="1" ref="Y282" ca="1">IF(UPPER(Data!C282)="START",SUM((OFFSET(Data!C282,MAX(ROW(Data!$C$5)-ROW(Data!C282),-200),0,400,1)="START")*(OFFSET(Data!A282,MAX(ROW(Data!$B$5)-ROW(Data!B282),-200),0,400,1)=Data!A282))=1,TRUE)</f>
        <v>1</v>
      </c>
      <c r="Z282" s="26" t="b">
        <f t="array" aca="1" ref="Z282" ca="1">IF(UPPER(Data!C282)="END",SUM((OFFSET(Data!C282,MAX(ROW(Data!$C$5)-ROW(Data!C282),-200),0,400,1)="END")*(OFFSET(Data!A282,MAX(ROW(Data!$B$5)-ROW(Data!B282),-200),0,400,1)=Data!A282))=1,TRUE)</f>
        <v>1</v>
      </c>
      <c r="AA282" s="26" t="b">
        <f>IF(Checks!C282,ISERROR(FIND("&amp;",Data!D282)),TRUE)</f>
        <v>1</v>
      </c>
      <c r="AB282" s="26" t="b">
        <f>IF(Checks!$C282,IF(AND(UPPER(Data!$C282)&lt;&gt;"START",UPPER(Data!$C282)&lt;&gt;"DATA OBJECT",Data!E282&lt;&gt;""),NOT(ISERROR(MATCH(Data!$A282&amp;"||"&amp;Data!E282,Key,0))),TRUE),TRUE)</f>
        <v>1</v>
      </c>
      <c r="AC282" s="27" t="b">
        <f>IF(Checks!C282,IF(UPPER(Data!C282)="END",Data!E282&lt;&gt;"",TRUE),TRUE)</f>
        <v>1</v>
      </c>
    </row>
    <row r="283" spans="1:29" x14ac:dyDescent="0.25">
      <c r="A283" s="1" t="str">
        <f>Data!A283&amp;"||"&amp;Data!B283</f>
        <v>Miscellaneous/subflow/irmifrs9_enrichment_stage3.bpmn||030_00_02</v>
      </c>
      <c r="B283" s="19"/>
      <c r="C283" s="24" t="b">
        <f>AND(UPPER(Data!A283)&lt;&gt;"EMPTY",Data!B283&lt;&gt;"")</f>
        <v>1</v>
      </c>
      <c r="D283" s="1"/>
      <c r="E283" s="25" t="b">
        <f t="shared" ca="1" si="8"/>
        <v>1</v>
      </c>
      <c r="F283" s="26" t="b">
        <f ca="1">IF(UPPER(Data!C283)="SUB PROCESS",NOT(ISERROR(MATCH(RIGHT(Data!BY283,LEN(Data!BY283)-5),OFFSET(Data,0,0,ItemsCount,1),0))),TRUE)</f>
        <v>1</v>
      </c>
      <c r="G283" s="26" t="b">
        <f ca="1">IF(MID(UPPER(Data!A283),1,13)="MISCELLANEOUS",NOT(ISERROR(MATCH("path="&amp;Data!A283,OFFSET(Data,0,76,ItemsCount,1),0))),TRUE)</f>
        <v>1</v>
      </c>
      <c r="L283" s="25" t="b">
        <f t="shared" ca="1" si="9"/>
        <v>1</v>
      </c>
      <c r="M283" s="24" t="b">
        <f>IF(Checks!$C283,Data!A283&lt;&gt;"",TRUE)</f>
        <v>1</v>
      </c>
      <c r="N283" s="26" t="b">
        <f>IF(Checks!C283,Data!B283&lt;&gt;"",TRUE)</f>
        <v>1</v>
      </c>
      <c r="O283" s="26" t="b">
        <f>IF(Checks!C283,IF(AND(UPPER(Data!C283)="SERVICE TASK",UPPER(Data!BZ283)="TYPE=SAS"),NodeExists(TRIM(RIGHT(Data!CA283,LEN(Data!CA283)-FIND("=",Data!CA283)))),TRUE),TRUE)</f>
        <v>1</v>
      </c>
      <c r="P283" s="26" t="b">
        <f>IF(Checks!C283,IF(Data!C283="DATA OBJECT",OR(AND(Data!BW283&lt;&gt;"",Data!BX283=""),AND(Data!BW283="",Data!BX283&lt;&gt;"")),TRUE),TRUE)</f>
        <v>1</v>
      </c>
      <c r="Q283" s="26" t="b">
        <f>IF(Checks!C283,UPPER(RIGHT(Data!A283,5))=".BPMN",TRUE)</f>
        <v>1</v>
      </c>
      <c r="R283" s="26" t="b">
        <f>IF(Checks!C283,IF(UPPER(Data!C283)="SUB PROCESS",UPPER(RIGHT(Data!BY283,5))=".BPMN",TRUE),TRUE)</f>
        <v>1</v>
      </c>
      <c r="S283" s="26" t="b">
        <f>IF(Checks!C283,IF(UPPER(Data!C283)="SERVICE TASK",IF(UPPER(Data!BZ283)="TYPE=SAS",UPPER(RIGHT(Data!CA283,4))=".SAS",TRUE),TRUE),TRUE)</f>
        <v>1</v>
      </c>
      <c r="T283" s="26" t="b">
        <f>IF(Checks!C283,IF(Data!B283&lt;&gt;"",Data!D283&lt;&gt;"",TRUE),TRUE)</f>
        <v>1</v>
      </c>
      <c r="U283" s="26" t="b">
        <f ca="1">IF(Checks!C283,IF(UPPER(Data!C283)="DATA OBJECT",NOT(ISERROR(MATCH(Data!A283&amp;"||"&amp;Data!BW283&amp;Data!BX283,Key,0))),TRUE),TRUE)</f>
        <v>1</v>
      </c>
      <c r="V283" s="26" t="b">
        <f>IF(Checks!C283,IF(UPPER(Data!C283)="SUB PROCESS",Data!BY283&lt;&gt;"",TRUE),TRUE)</f>
        <v>1</v>
      </c>
      <c r="W283" s="26" t="b">
        <f>IF(Checks!C283,IF(UPPER(Data!C283)="SERVICE TASK",AND(Data!BZ283&lt;&gt;"",Data!CA283&lt;&gt;""),TRUE),TRUE)</f>
        <v>1</v>
      </c>
      <c r="X283" s="26" t="b">
        <f t="array" aca="1" ref="X283" ca="1">SUM((OFFSET(Data!B283,MAX(ROW(Data!$B$5)-ROW(Data!B283),-200),0,400,1)=Data!B283)*(OFFSET(Data!A283,MAX(ROW(Data!$B$5)-ROW(Data!B283),-200),0,400,1)=Data!A283))=1</f>
        <v>1</v>
      </c>
      <c r="Y283" s="26" t="b">
        <f t="array" aca="1" ref="Y283" ca="1">IF(UPPER(Data!C283)="START",SUM((OFFSET(Data!C283,MAX(ROW(Data!$C$5)-ROW(Data!C283),-200),0,400,1)="START")*(OFFSET(Data!A283,MAX(ROW(Data!$B$5)-ROW(Data!B283),-200),0,400,1)=Data!A283))=1,TRUE)</f>
        <v>1</v>
      </c>
      <c r="Z283" s="26" t="b">
        <f t="array" aca="1" ref="Z283" ca="1">IF(UPPER(Data!C283)="END",SUM((OFFSET(Data!C283,MAX(ROW(Data!$C$5)-ROW(Data!C283),-200),0,400,1)="END")*(OFFSET(Data!A283,MAX(ROW(Data!$B$5)-ROW(Data!B283),-200),0,400,1)=Data!A283))=1,TRUE)</f>
        <v>1</v>
      </c>
      <c r="AA283" s="26" t="b">
        <f>IF(Checks!C283,ISERROR(FIND("&amp;",Data!D283)),TRUE)</f>
        <v>1</v>
      </c>
      <c r="AB283" s="26" t="b">
        <f>IF(Checks!$C283,IF(AND(UPPER(Data!$C283)&lt;&gt;"START",UPPER(Data!$C283)&lt;&gt;"DATA OBJECT",Data!E283&lt;&gt;""),NOT(ISERROR(MATCH(Data!$A283&amp;"||"&amp;Data!E283,Key,0))),TRUE),TRUE)</f>
        <v>1</v>
      </c>
      <c r="AC283" s="27" t="b">
        <f>IF(Checks!C283,IF(UPPER(Data!C283)="END",Data!E283&lt;&gt;"",TRUE),TRUE)</f>
        <v>1</v>
      </c>
    </row>
    <row r="284" spans="1:29" x14ac:dyDescent="0.25">
      <c r="A284" s="1" t="str">
        <f>Data!A284&amp;"||"&amp;Data!B284</f>
        <v>Miscellaneous/subflow/irmifrs9_enrichment_stage3.bpmn||030_01_00</v>
      </c>
      <c r="B284" s="19"/>
      <c r="C284" s="24" t="b">
        <f>AND(UPPER(Data!A284)&lt;&gt;"EMPTY",Data!B284&lt;&gt;"")</f>
        <v>1</v>
      </c>
      <c r="D284" s="1"/>
      <c r="E284" s="25" t="b">
        <f t="shared" ca="1" si="8"/>
        <v>1</v>
      </c>
      <c r="F284" s="26" t="b">
        <f ca="1">IF(UPPER(Data!C284)="SUB PROCESS",NOT(ISERROR(MATCH(RIGHT(Data!BY284,LEN(Data!BY284)-5),OFFSET(Data,0,0,ItemsCount,1),0))),TRUE)</f>
        <v>1</v>
      </c>
      <c r="G284" s="26" t="b">
        <f ca="1">IF(MID(UPPER(Data!A284),1,13)="MISCELLANEOUS",NOT(ISERROR(MATCH("path="&amp;Data!A284,OFFSET(Data,0,76,ItemsCount,1),0))),TRUE)</f>
        <v>1</v>
      </c>
      <c r="L284" s="25" t="b">
        <f t="shared" ca="1" si="9"/>
        <v>1</v>
      </c>
      <c r="M284" s="24" t="b">
        <f>IF(Checks!$C284,Data!A284&lt;&gt;"",TRUE)</f>
        <v>1</v>
      </c>
      <c r="N284" s="26" t="b">
        <f>IF(Checks!C284,Data!B284&lt;&gt;"",TRUE)</f>
        <v>1</v>
      </c>
      <c r="O284" s="26" t="b">
        <f>IF(Checks!C284,IF(AND(UPPER(Data!C284)="SERVICE TASK",UPPER(Data!BZ284)="TYPE=SAS"),NodeExists(TRIM(RIGHT(Data!CA284,LEN(Data!CA284)-FIND("=",Data!CA284)))),TRUE),TRUE)</f>
        <v>1</v>
      </c>
      <c r="P284" s="26" t="b">
        <f>IF(Checks!C284,IF(Data!C284="DATA OBJECT",OR(AND(Data!BW284&lt;&gt;"",Data!BX284=""),AND(Data!BW284="",Data!BX284&lt;&gt;"")),TRUE),TRUE)</f>
        <v>1</v>
      </c>
      <c r="Q284" s="26" t="b">
        <f>IF(Checks!C284,UPPER(RIGHT(Data!A284,5))=".BPMN",TRUE)</f>
        <v>1</v>
      </c>
      <c r="R284" s="26" t="b">
        <f>IF(Checks!C284,IF(UPPER(Data!C284)="SUB PROCESS",UPPER(RIGHT(Data!BY284,5))=".BPMN",TRUE),TRUE)</f>
        <v>1</v>
      </c>
      <c r="S284" s="26" t="b">
        <f>IF(Checks!C284,IF(UPPER(Data!C284)="SERVICE TASK",IF(UPPER(Data!BZ284)="TYPE=SAS",UPPER(RIGHT(Data!CA284,4))=".SAS",TRUE),TRUE),TRUE)</f>
        <v>1</v>
      </c>
      <c r="T284" s="26" t="b">
        <f>IF(Checks!C284,IF(Data!B284&lt;&gt;"",Data!D284&lt;&gt;"",TRUE),TRUE)</f>
        <v>1</v>
      </c>
      <c r="U284" s="26" t="b">
        <f ca="1">IF(Checks!C284,IF(UPPER(Data!C284)="DATA OBJECT",NOT(ISERROR(MATCH(Data!A284&amp;"||"&amp;Data!BW284&amp;Data!BX284,Key,0))),TRUE),TRUE)</f>
        <v>1</v>
      </c>
      <c r="V284" s="26" t="b">
        <f>IF(Checks!C284,IF(UPPER(Data!C284)="SUB PROCESS",Data!BY284&lt;&gt;"",TRUE),TRUE)</f>
        <v>1</v>
      </c>
      <c r="W284" s="26" t="b">
        <f>IF(Checks!C284,IF(UPPER(Data!C284)="SERVICE TASK",AND(Data!BZ284&lt;&gt;"",Data!CA284&lt;&gt;""),TRUE),TRUE)</f>
        <v>1</v>
      </c>
      <c r="X284" s="26" t="b">
        <f t="array" aca="1" ref="X284" ca="1">SUM((OFFSET(Data!B284,MAX(ROW(Data!$B$5)-ROW(Data!B284),-200),0,400,1)=Data!B284)*(OFFSET(Data!A284,MAX(ROW(Data!$B$5)-ROW(Data!B284),-200),0,400,1)=Data!A284))=1</f>
        <v>1</v>
      </c>
      <c r="Y284" s="26" t="b">
        <f t="array" aca="1" ref="Y284" ca="1">IF(UPPER(Data!C284)="START",SUM((OFFSET(Data!C284,MAX(ROW(Data!$C$5)-ROW(Data!C284),-200),0,400,1)="START")*(OFFSET(Data!A284,MAX(ROW(Data!$B$5)-ROW(Data!B284),-200),0,400,1)=Data!A284))=1,TRUE)</f>
        <v>1</v>
      </c>
      <c r="Z284" s="26" t="b">
        <f t="array" aca="1" ref="Z284" ca="1">IF(UPPER(Data!C284)="END",SUM((OFFSET(Data!C284,MAX(ROW(Data!$C$5)-ROW(Data!C284),-200),0,400,1)="END")*(OFFSET(Data!A284,MAX(ROW(Data!$B$5)-ROW(Data!B284),-200),0,400,1)=Data!A284))=1,TRUE)</f>
        <v>1</v>
      </c>
      <c r="AA284" s="26" t="b">
        <f>IF(Checks!C284,ISERROR(FIND("&amp;",Data!D284)),TRUE)</f>
        <v>1</v>
      </c>
      <c r="AB284" s="26" t="b">
        <f>IF(Checks!$C284,IF(AND(UPPER(Data!$C284)&lt;&gt;"START",UPPER(Data!$C284)&lt;&gt;"DATA OBJECT",Data!E284&lt;&gt;""),NOT(ISERROR(MATCH(Data!$A284&amp;"||"&amp;Data!E284,Key,0))),TRUE),TRUE)</f>
        <v>1</v>
      </c>
      <c r="AC284" s="27" t="b">
        <f>IF(Checks!C284,IF(UPPER(Data!C284)="END",Data!E284&lt;&gt;"",TRUE),TRUE)</f>
        <v>1</v>
      </c>
    </row>
    <row r="285" spans="1:29" x14ac:dyDescent="0.25">
      <c r="A285" s="1" t="str">
        <f>Data!A285&amp;"||"&amp;Data!B285</f>
        <v>Miscellaneous/subflow/irmifrs9_enrichment_stage3.bpmn||999_00_00</v>
      </c>
      <c r="B285" s="19"/>
      <c r="C285" s="24" t="b">
        <f>AND(UPPER(Data!A285)&lt;&gt;"EMPTY",Data!B285&lt;&gt;"")</f>
        <v>1</v>
      </c>
      <c r="D285" s="1"/>
      <c r="E285" s="25" t="b">
        <f t="shared" ca="1" si="8"/>
        <v>1</v>
      </c>
      <c r="F285" s="26" t="b">
        <f ca="1">IF(UPPER(Data!C285)="SUB PROCESS",NOT(ISERROR(MATCH(RIGHT(Data!BY285,LEN(Data!BY285)-5),OFFSET(Data,0,0,ItemsCount,1),0))),TRUE)</f>
        <v>1</v>
      </c>
      <c r="G285" s="26" t="b">
        <f ca="1">IF(MID(UPPER(Data!A285),1,13)="MISCELLANEOUS",NOT(ISERROR(MATCH("path="&amp;Data!A285,OFFSET(Data,0,76,ItemsCount,1),0))),TRUE)</f>
        <v>1</v>
      </c>
      <c r="L285" s="25" t="b">
        <f t="shared" ca="1" si="9"/>
        <v>1</v>
      </c>
      <c r="M285" s="24" t="b">
        <f>IF(Checks!$C285,Data!A285&lt;&gt;"",TRUE)</f>
        <v>1</v>
      </c>
      <c r="N285" s="26" t="b">
        <f>IF(Checks!C285,Data!B285&lt;&gt;"",TRUE)</f>
        <v>1</v>
      </c>
      <c r="O285" s="26" t="b">
        <f>IF(Checks!C285,IF(AND(UPPER(Data!C285)="SERVICE TASK",UPPER(Data!BZ285)="TYPE=SAS"),NodeExists(TRIM(RIGHT(Data!CA285,LEN(Data!CA285)-FIND("=",Data!CA285)))),TRUE),TRUE)</f>
        <v>1</v>
      </c>
      <c r="P285" s="26" t="b">
        <f>IF(Checks!C285,IF(Data!C285="DATA OBJECT",OR(AND(Data!BW285&lt;&gt;"",Data!BX285=""),AND(Data!BW285="",Data!BX285&lt;&gt;"")),TRUE),TRUE)</f>
        <v>1</v>
      </c>
      <c r="Q285" s="26" t="b">
        <f>IF(Checks!C285,UPPER(RIGHT(Data!A285,5))=".BPMN",TRUE)</f>
        <v>1</v>
      </c>
      <c r="R285" s="26" t="b">
        <f>IF(Checks!C285,IF(UPPER(Data!C285)="SUB PROCESS",UPPER(RIGHT(Data!BY285,5))=".BPMN",TRUE),TRUE)</f>
        <v>1</v>
      </c>
      <c r="S285" s="26" t="b">
        <f>IF(Checks!C285,IF(UPPER(Data!C285)="SERVICE TASK",IF(UPPER(Data!BZ285)="TYPE=SAS",UPPER(RIGHT(Data!CA285,4))=".SAS",TRUE),TRUE),TRUE)</f>
        <v>1</v>
      </c>
      <c r="T285" s="26" t="b">
        <f>IF(Checks!C285,IF(Data!B285&lt;&gt;"",Data!D285&lt;&gt;"",TRUE),TRUE)</f>
        <v>1</v>
      </c>
      <c r="U285" s="26" t="b">
        <f>IF(Checks!C285,IF(UPPER(Data!C285)="DATA OBJECT",NOT(ISERROR(MATCH(Data!A285&amp;"||"&amp;Data!BW285&amp;Data!BX285,Key,0))),TRUE),TRUE)</f>
        <v>1</v>
      </c>
      <c r="V285" s="26" t="b">
        <f>IF(Checks!C285,IF(UPPER(Data!C285)="SUB PROCESS",Data!BY285&lt;&gt;"",TRUE),TRUE)</f>
        <v>1</v>
      </c>
      <c r="W285" s="26" t="b">
        <f>IF(Checks!C285,IF(UPPER(Data!C285)="SERVICE TASK",AND(Data!BZ285&lt;&gt;"",Data!CA285&lt;&gt;""),TRUE),TRUE)</f>
        <v>1</v>
      </c>
      <c r="X285" s="26" t="b">
        <f t="array" aca="1" ref="X285" ca="1">SUM((OFFSET(Data!B285,MAX(ROW(Data!$B$5)-ROW(Data!B285),-200),0,400,1)=Data!B285)*(OFFSET(Data!A285,MAX(ROW(Data!$B$5)-ROW(Data!B285),-200),0,400,1)=Data!A285))=1</f>
        <v>1</v>
      </c>
      <c r="Y285" s="26" t="b">
        <f t="array" aca="1" ref="Y285" ca="1">IF(UPPER(Data!C285)="START",SUM((OFFSET(Data!C285,MAX(ROW(Data!$C$5)-ROW(Data!C285),-200),0,400,1)="START")*(OFFSET(Data!A285,MAX(ROW(Data!$B$5)-ROW(Data!B285),-200),0,400,1)=Data!A285))=1,TRUE)</f>
        <v>1</v>
      </c>
      <c r="Z285" s="26" t="b">
        <f t="array" aca="1" ref="Z285" ca="1">IF(UPPER(Data!C285)="END",SUM((OFFSET(Data!C285,MAX(ROW(Data!$C$5)-ROW(Data!C285),-200),0,400,1)="END")*(OFFSET(Data!A285,MAX(ROW(Data!$B$5)-ROW(Data!B285),-200),0,400,1)=Data!A285))=1,TRUE)</f>
        <v>1</v>
      </c>
      <c r="AA285" s="26" t="b">
        <f>IF(Checks!C285,ISERROR(FIND("&amp;",Data!D285)),TRUE)</f>
        <v>1</v>
      </c>
      <c r="AB285" s="26" t="b">
        <f ca="1">IF(Checks!$C285,IF(AND(UPPER(Data!$C285)&lt;&gt;"START",UPPER(Data!$C285)&lt;&gt;"DATA OBJECT",Data!E285&lt;&gt;""),NOT(ISERROR(MATCH(Data!$A285&amp;"||"&amp;Data!E285,Key,0))),TRUE),TRUE)</f>
        <v>1</v>
      </c>
      <c r="AC285" s="27" t="b">
        <f>IF(Checks!C285,IF(UPPER(Data!C285)="END",Data!E285&lt;&gt;"",TRUE),TRUE)</f>
        <v>1</v>
      </c>
    </row>
    <row r="286" spans="1:29" x14ac:dyDescent="0.25">
      <c r="A286" s="1" t="str">
        <f>Data!A286&amp;"||"&amp;Data!B286</f>
        <v>Miscellaneous/subflow/irmifrs9_enrichment_stage4.bpmn||000_00_00</v>
      </c>
      <c r="B286" s="19"/>
      <c r="C286" s="24" t="b">
        <f>AND(UPPER(Data!A286)&lt;&gt;"EMPTY",Data!B286&lt;&gt;"")</f>
        <v>1</v>
      </c>
      <c r="D286" s="1"/>
      <c r="E286" s="25" t="b">
        <f t="shared" ca="1" si="8"/>
        <v>1</v>
      </c>
      <c r="F286" s="26" t="b">
        <f ca="1">IF(UPPER(Data!C286)="SUB PROCESS",NOT(ISERROR(MATCH(RIGHT(Data!BY286,LEN(Data!BY286)-5),OFFSET(Data,0,0,ItemsCount,1),0))),TRUE)</f>
        <v>1</v>
      </c>
      <c r="G286" s="26" t="b">
        <f ca="1">IF(MID(UPPER(Data!A286),1,13)="MISCELLANEOUS",NOT(ISERROR(MATCH("path="&amp;Data!A286,OFFSET(Data,0,76,ItemsCount,1),0))),TRUE)</f>
        <v>1</v>
      </c>
      <c r="L286" s="25" t="b">
        <f t="shared" ca="1" si="9"/>
        <v>1</v>
      </c>
      <c r="M286" s="24" t="b">
        <f>IF(Checks!$C286,Data!A286&lt;&gt;"",TRUE)</f>
        <v>1</v>
      </c>
      <c r="N286" s="26" t="b">
        <f>IF(Checks!C286,Data!B286&lt;&gt;"",TRUE)</f>
        <v>1</v>
      </c>
      <c r="O286" s="26" t="b">
        <f>IF(Checks!C286,IF(AND(UPPER(Data!C286)="SERVICE TASK",UPPER(Data!BZ286)="TYPE=SAS"),NodeExists(TRIM(RIGHT(Data!CA286,LEN(Data!CA286)-FIND("=",Data!CA286)))),TRUE),TRUE)</f>
        <v>1</v>
      </c>
      <c r="P286" s="26" t="b">
        <f>IF(Checks!C286,IF(Data!C286="DATA OBJECT",OR(AND(Data!BW286&lt;&gt;"",Data!BX286=""),AND(Data!BW286="",Data!BX286&lt;&gt;"")),TRUE),TRUE)</f>
        <v>1</v>
      </c>
      <c r="Q286" s="26" t="b">
        <f>IF(Checks!C286,UPPER(RIGHT(Data!A286,5))=".BPMN",TRUE)</f>
        <v>1</v>
      </c>
      <c r="R286" s="26" t="b">
        <f>IF(Checks!C286,IF(UPPER(Data!C286)="SUB PROCESS",UPPER(RIGHT(Data!BY286,5))=".BPMN",TRUE),TRUE)</f>
        <v>1</v>
      </c>
      <c r="S286" s="26" t="b">
        <f>IF(Checks!C286,IF(UPPER(Data!C286)="SERVICE TASK",IF(UPPER(Data!BZ286)="TYPE=SAS",UPPER(RIGHT(Data!CA286,4))=".SAS",TRUE),TRUE),TRUE)</f>
        <v>1</v>
      </c>
      <c r="T286" s="26" t="b">
        <f>IF(Checks!C286,IF(Data!B286&lt;&gt;"",Data!D286&lt;&gt;"",TRUE),TRUE)</f>
        <v>1</v>
      </c>
      <c r="U286" s="26" t="b">
        <f>IF(Checks!C286,IF(UPPER(Data!C286)="DATA OBJECT",NOT(ISERROR(MATCH(Data!A286&amp;"||"&amp;Data!BW286&amp;Data!BX286,Key,0))),TRUE),TRUE)</f>
        <v>1</v>
      </c>
      <c r="V286" s="26" t="b">
        <f>IF(Checks!C286,IF(UPPER(Data!C286)="SUB PROCESS",Data!BY286&lt;&gt;"",TRUE),TRUE)</f>
        <v>1</v>
      </c>
      <c r="W286" s="26" t="b">
        <f>IF(Checks!C286,IF(UPPER(Data!C286)="SERVICE TASK",AND(Data!BZ286&lt;&gt;"",Data!CA286&lt;&gt;""),TRUE),TRUE)</f>
        <v>1</v>
      </c>
      <c r="X286" s="26" t="b">
        <f t="array" aca="1" ref="X286" ca="1">SUM((OFFSET(Data!B286,MAX(ROW(Data!$B$5)-ROW(Data!B286),-200),0,400,1)=Data!B286)*(OFFSET(Data!A286,MAX(ROW(Data!$B$5)-ROW(Data!B286),-200),0,400,1)=Data!A286))=1</f>
        <v>1</v>
      </c>
      <c r="Y286" s="26" t="b">
        <f t="array" aca="1" ref="Y286" ca="1">IF(UPPER(Data!C286)="START",SUM((OFFSET(Data!C286,MAX(ROW(Data!$C$5)-ROW(Data!C286),-200),0,400,1)="START")*(OFFSET(Data!A286,MAX(ROW(Data!$B$5)-ROW(Data!B286),-200),0,400,1)=Data!A286))=1,TRUE)</f>
        <v>1</v>
      </c>
      <c r="Z286" s="26" t="b">
        <f t="array" aca="1" ref="Z286" ca="1">IF(UPPER(Data!C286)="END",SUM((OFFSET(Data!C286,MAX(ROW(Data!$C$5)-ROW(Data!C286),-200),0,400,1)="END")*(OFFSET(Data!A286,MAX(ROW(Data!$B$5)-ROW(Data!B286),-200),0,400,1)=Data!A286))=1,TRUE)</f>
        <v>1</v>
      </c>
      <c r="AA286" s="26" t="b">
        <f>IF(Checks!C286,ISERROR(FIND("&amp;",Data!D286)),TRUE)</f>
        <v>1</v>
      </c>
      <c r="AB286" s="26" t="b">
        <f>IF(Checks!$C286,IF(AND(UPPER(Data!$C286)&lt;&gt;"START",UPPER(Data!$C286)&lt;&gt;"DATA OBJECT",Data!E286&lt;&gt;""),NOT(ISERROR(MATCH(Data!$A286&amp;"||"&amp;Data!E286,Key,0))),TRUE),TRUE)</f>
        <v>1</v>
      </c>
      <c r="AC286" s="27" t="b">
        <f>IF(Checks!C286,IF(UPPER(Data!C286)="END",Data!E286&lt;&gt;"",TRUE),TRUE)</f>
        <v>1</v>
      </c>
    </row>
    <row r="287" spans="1:29" x14ac:dyDescent="0.25">
      <c r="A287" s="1" t="str">
        <f>Data!A287&amp;"||"&amp;Data!B287</f>
        <v>Miscellaneous/subflow/irmifrs9_enrichment_stage4.bpmn||010_00_00</v>
      </c>
      <c r="B287" s="19"/>
      <c r="C287" s="24" t="b">
        <f>AND(UPPER(Data!A287)&lt;&gt;"EMPTY",Data!B287&lt;&gt;"")</f>
        <v>1</v>
      </c>
      <c r="D287" s="1"/>
      <c r="E287" s="25" t="b">
        <f t="shared" ca="1" si="8"/>
        <v>1</v>
      </c>
      <c r="F287" s="26" t="b">
        <f ca="1">IF(UPPER(Data!C287)="SUB PROCESS",NOT(ISERROR(MATCH(RIGHT(Data!BY287,LEN(Data!BY287)-5),OFFSET(Data,0,0,ItemsCount,1),0))),TRUE)</f>
        <v>1</v>
      </c>
      <c r="G287" s="26" t="b">
        <f ca="1">IF(MID(UPPER(Data!A287),1,13)="MISCELLANEOUS",NOT(ISERROR(MATCH("path="&amp;Data!A287,OFFSET(Data,0,76,ItemsCount,1),0))),TRUE)</f>
        <v>1</v>
      </c>
      <c r="L287" s="25" t="b">
        <f t="shared" ca="1" si="9"/>
        <v>1</v>
      </c>
      <c r="M287" s="24" t="b">
        <f>IF(Checks!$C287,Data!A287&lt;&gt;"",TRUE)</f>
        <v>1</v>
      </c>
      <c r="N287" s="26" t="b">
        <f>IF(Checks!C287,Data!B287&lt;&gt;"",TRUE)</f>
        <v>1</v>
      </c>
      <c r="O287" s="26" t="b">
        <f>IF(Checks!C287,IF(AND(UPPER(Data!C287)="SERVICE TASK",UPPER(Data!BZ287)="TYPE=SAS"),NodeExists(TRIM(RIGHT(Data!CA287,LEN(Data!CA287)-FIND("=",Data!CA287)))),TRUE),TRUE)</f>
        <v>1</v>
      </c>
      <c r="P287" s="26" t="b">
        <f>IF(Checks!C287,IF(Data!C287="DATA OBJECT",OR(AND(Data!BW287&lt;&gt;"",Data!BX287=""),AND(Data!BW287="",Data!BX287&lt;&gt;"")),TRUE),TRUE)</f>
        <v>1</v>
      </c>
      <c r="Q287" s="26" t="b">
        <f>IF(Checks!C287,UPPER(RIGHT(Data!A287,5))=".BPMN",TRUE)</f>
        <v>1</v>
      </c>
      <c r="R287" s="26" t="b">
        <f>IF(Checks!C287,IF(UPPER(Data!C287)="SUB PROCESS",UPPER(RIGHT(Data!BY287,5))=".BPMN",TRUE),TRUE)</f>
        <v>1</v>
      </c>
      <c r="S287" s="26" t="b">
        <f>IF(Checks!C287,IF(UPPER(Data!C287)="SERVICE TASK",IF(UPPER(Data!BZ287)="TYPE=SAS",UPPER(RIGHT(Data!CA287,4))=".SAS",TRUE),TRUE),TRUE)</f>
        <v>1</v>
      </c>
      <c r="T287" s="26" t="b">
        <f>IF(Checks!C287,IF(Data!B287&lt;&gt;"",Data!D287&lt;&gt;"",TRUE),TRUE)</f>
        <v>1</v>
      </c>
      <c r="U287" s="26" t="b">
        <f>IF(Checks!C287,IF(UPPER(Data!C287)="DATA OBJECT",NOT(ISERROR(MATCH(Data!A287&amp;"||"&amp;Data!BW287&amp;Data!BX287,Key,0))),TRUE),TRUE)</f>
        <v>1</v>
      </c>
      <c r="V287" s="26" t="b">
        <f>IF(Checks!C287,IF(UPPER(Data!C287)="SUB PROCESS",Data!BY287&lt;&gt;"",TRUE),TRUE)</f>
        <v>1</v>
      </c>
      <c r="W287" s="26" t="b">
        <f>IF(Checks!C287,IF(UPPER(Data!C287)="SERVICE TASK",AND(Data!BZ287&lt;&gt;"",Data!CA287&lt;&gt;""),TRUE),TRUE)</f>
        <v>1</v>
      </c>
      <c r="X287" s="26" t="b">
        <f t="array" aca="1" ref="X287" ca="1">SUM((OFFSET(Data!B287,MAX(ROW(Data!$B$5)-ROW(Data!B287),-200),0,400,1)=Data!B287)*(OFFSET(Data!A287,MAX(ROW(Data!$B$5)-ROW(Data!B287),-200),0,400,1)=Data!A287))=1</f>
        <v>1</v>
      </c>
      <c r="Y287" s="26" t="b">
        <f t="array" aca="1" ref="Y287" ca="1">IF(UPPER(Data!C287)="START",SUM((OFFSET(Data!C287,MAX(ROW(Data!$C$5)-ROW(Data!C287),-200),0,400,1)="START")*(OFFSET(Data!A287,MAX(ROW(Data!$B$5)-ROW(Data!B287),-200),0,400,1)=Data!A287))=1,TRUE)</f>
        <v>1</v>
      </c>
      <c r="Z287" s="26" t="b">
        <f t="array" aca="1" ref="Z287" ca="1">IF(UPPER(Data!C287)="END",SUM((OFFSET(Data!C287,MAX(ROW(Data!$C$5)-ROW(Data!C287),-200),0,400,1)="END")*(OFFSET(Data!A287,MAX(ROW(Data!$B$5)-ROW(Data!B287),-200),0,400,1)=Data!A287))=1,TRUE)</f>
        <v>1</v>
      </c>
      <c r="AA287" s="26" t="b">
        <f>IF(Checks!C287,ISERROR(FIND("&amp;",Data!D287)),TRUE)</f>
        <v>1</v>
      </c>
      <c r="AB287" s="26" t="b">
        <f ca="1">IF(Checks!$C287,IF(AND(UPPER(Data!$C287)&lt;&gt;"START",UPPER(Data!$C287)&lt;&gt;"DATA OBJECT",Data!E287&lt;&gt;""),NOT(ISERROR(MATCH(Data!$A287&amp;"||"&amp;Data!E287,Key,0))),TRUE),TRUE)</f>
        <v>1</v>
      </c>
      <c r="AC287" s="27" t="b">
        <f>IF(Checks!C287,IF(UPPER(Data!C287)="END",Data!E287&lt;&gt;"",TRUE),TRUE)</f>
        <v>1</v>
      </c>
    </row>
    <row r="288" spans="1:29" x14ac:dyDescent="0.25">
      <c r="A288" s="1" t="str">
        <f>Data!A288&amp;"||"&amp;Data!B288</f>
        <v>Miscellaneous/subflow/irmifrs9_enrichment_stage4.bpmn||010_00_01</v>
      </c>
      <c r="B288" s="19"/>
      <c r="C288" s="24" t="b">
        <f>AND(UPPER(Data!A288)&lt;&gt;"EMPTY",Data!B288&lt;&gt;"")</f>
        <v>1</v>
      </c>
      <c r="D288" s="1"/>
      <c r="E288" s="25" t="b">
        <f t="shared" ca="1" si="8"/>
        <v>1</v>
      </c>
      <c r="F288" s="26" t="b">
        <f ca="1">IF(UPPER(Data!C288)="SUB PROCESS",NOT(ISERROR(MATCH(RIGHT(Data!BY288,LEN(Data!BY288)-5),OFFSET(Data,0,0,ItemsCount,1),0))),TRUE)</f>
        <v>1</v>
      </c>
      <c r="G288" s="26" t="b">
        <f ca="1">IF(MID(UPPER(Data!A288),1,13)="MISCELLANEOUS",NOT(ISERROR(MATCH("path="&amp;Data!A288,OFFSET(Data,0,76,ItemsCount,1),0))),TRUE)</f>
        <v>1</v>
      </c>
      <c r="L288" s="25" t="b">
        <f t="shared" ca="1" si="9"/>
        <v>1</v>
      </c>
      <c r="M288" s="24" t="b">
        <f>IF(Checks!$C288,Data!A288&lt;&gt;"",TRUE)</f>
        <v>1</v>
      </c>
      <c r="N288" s="26" t="b">
        <f>IF(Checks!C288,Data!B288&lt;&gt;"",TRUE)</f>
        <v>1</v>
      </c>
      <c r="O288" s="26" t="b">
        <f>IF(Checks!C288,IF(AND(UPPER(Data!C288)="SERVICE TASK",UPPER(Data!BZ288)="TYPE=SAS"),NodeExists(TRIM(RIGHT(Data!CA288,LEN(Data!CA288)-FIND("=",Data!CA288)))),TRUE),TRUE)</f>
        <v>1</v>
      </c>
      <c r="P288" s="26" t="b">
        <f>IF(Checks!C288,IF(Data!C288="DATA OBJECT",OR(AND(Data!BW288&lt;&gt;"",Data!BX288=""),AND(Data!BW288="",Data!BX288&lt;&gt;"")),TRUE),TRUE)</f>
        <v>1</v>
      </c>
      <c r="Q288" s="26" t="b">
        <f>IF(Checks!C288,UPPER(RIGHT(Data!A288,5))=".BPMN",TRUE)</f>
        <v>1</v>
      </c>
      <c r="R288" s="26" t="b">
        <f>IF(Checks!C288,IF(UPPER(Data!C288)="SUB PROCESS",UPPER(RIGHT(Data!BY288,5))=".BPMN",TRUE),TRUE)</f>
        <v>1</v>
      </c>
      <c r="S288" s="26" t="b">
        <f>IF(Checks!C288,IF(UPPER(Data!C288)="SERVICE TASK",IF(UPPER(Data!BZ288)="TYPE=SAS",UPPER(RIGHT(Data!CA288,4))=".SAS",TRUE),TRUE),TRUE)</f>
        <v>1</v>
      </c>
      <c r="T288" s="26" t="b">
        <f>IF(Checks!C288,IF(Data!B288&lt;&gt;"",Data!D288&lt;&gt;"",TRUE),TRUE)</f>
        <v>1</v>
      </c>
      <c r="U288" s="26" t="b">
        <f ca="1">IF(Checks!C288,IF(UPPER(Data!C288)="DATA OBJECT",NOT(ISERROR(MATCH(Data!A288&amp;"||"&amp;Data!BW288&amp;Data!BX288,Key,0))),TRUE),TRUE)</f>
        <v>1</v>
      </c>
      <c r="V288" s="26" t="b">
        <f>IF(Checks!C288,IF(UPPER(Data!C288)="SUB PROCESS",Data!BY288&lt;&gt;"",TRUE),TRUE)</f>
        <v>1</v>
      </c>
      <c r="W288" s="26" t="b">
        <f>IF(Checks!C288,IF(UPPER(Data!C288)="SERVICE TASK",AND(Data!BZ288&lt;&gt;"",Data!CA288&lt;&gt;""),TRUE),TRUE)</f>
        <v>1</v>
      </c>
      <c r="X288" s="26" t="b">
        <f t="array" aca="1" ref="X288" ca="1">SUM((OFFSET(Data!B288,MAX(ROW(Data!$B$5)-ROW(Data!B288),-200),0,400,1)=Data!B288)*(OFFSET(Data!A288,MAX(ROW(Data!$B$5)-ROW(Data!B288),-200),0,400,1)=Data!A288))=1</f>
        <v>1</v>
      </c>
      <c r="Y288" s="26" t="b">
        <f t="array" aca="1" ref="Y288" ca="1">IF(UPPER(Data!C288)="START",SUM((OFFSET(Data!C288,MAX(ROW(Data!$C$5)-ROW(Data!C288),-200),0,400,1)="START")*(OFFSET(Data!A288,MAX(ROW(Data!$B$5)-ROW(Data!B288),-200),0,400,1)=Data!A288))=1,TRUE)</f>
        <v>1</v>
      </c>
      <c r="Z288" s="26" t="b">
        <f t="array" aca="1" ref="Z288" ca="1">IF(UPPER(Data!C288)="END",SUM((OFFSET(Data!C288,MAX(ROW(Data!$C$5)-ROW(Data!C288),-200),0,400,1)="END")*(OFFSET(Data!A288,MAX(ROW(Data!$B$5)-ROW(Data!B288),-200),0,400,1)=Data!A288))=1,TRUE)</f>
        <v>1</v>
      </c>
      <c r="AA288" s="26" t="b">
        <f>IF(Checks!C288,ISERROR(FIND("&amp;",Data!D288)),TRUE)</f>
        <v>1</v>
      </c>
      <c r="AB288" s="26" t="b">
        <f>IF(Checks!$C288,IF(AND(UPPER(Data!$C288)&lt;&gt;"START",UPPER(Data!$C288)&lt;&gt;"DATA OBJECT",Data!E288&lt;&gt;""),NOT(ISERROR(MATCH(Data!$A288&amp;"||"&amp;Data!E288,Key,0))),TRUE),TRUE)</f>
        <v>1</v>
      </c>
      <c r="AC288" s="27" t="b">
        <f>IF(Checks!C288,IF(UPPER(Data!C288)="END",Data!E288&lt;&gt;"",TRUE),TRUE)</f>
        <v>1</v>
      </c>
    </row>
    <row r="289" spans="1:29" x14ac:dyDescent="0.25">
      <c r="A289" s="1" t="str">
        <f>Data!A289&amp;"||"&amp;Data!B289</f>
        <v>Miscellaneous/subflow/irmifrs9_enrichment_stage4.bpmn||010_00_02</v>
      </c>
      <c r="B289" s="19"/>
      <c r="C289" s="24" t="b">
        <f>AND(UPPER(Data!A289)&lt;&gt;"EMPTY",Data!B289&lt;&gt;"")</f>
        <v>1</v>
      </c>
      <c r="D289" s="1"/>
      <c r="E289" s="25" t="b">
        <f t="shared" ca="1" si="8"/>
        <v>1</v>
      </c>
      <c r="F289" s="26" t="b">
        <f ca="1">IF(UPPER(Data!C289)="SUB PROCESS",NOT(ISERROR(MATCH(RIGHT(Data!BY289,LEN(Data!BY289)-5),OFFSET(Data,0,0,ItemsCount,1),0))),TRUE)</f>
        <v>1</v>
      </c>
      <c r="G289" s="26" t="b">
        <f ca="1">IF(MID(UPPER(Data!A289),1,13)="MISCELLANEOUS",NOT(ISERROR(MATCH("path="&amp;Data!A289,OFFSET(Data,0,76,ItemsCount,1),0))),TRUE)</f>
        <v>1</v>
      </c>
      <c r="L289" s="25" t="b">
        <f t="shared" ca="1" si="9"/>
        <v>1</v>
      </c>
      <c r="M289" s="24" t="b">
        <f>IF(Checks!$C289,Data!A289&lt;&gt;"",TRUE)</f>
        <v>1</v>
      </c>
      <c r="N289" s="26" t="b">
        <f>IF(Checks!C289,Data!B289&lt;&gt;"",TRUE)</f>
        <v>1</v>
      </c>
      <c r="O289" s="26" t="b">
        <f>IF(Checks!C289,IF(AND(UPPER(Data!C289)="SERVICE TASK",UPPER(Data!BZ289)="TYPE=SAS"),NodeExists(TRIM(RIGHT(Data!CA289,LEN(Data!CA289)-FIND("=",Data!CA289)))),TRUE),TRUE)</f>
        <v>1</v>
      </c>
      <c r="P289" s="26" t="b">
        <f>IF(Checks!C289,IF(Data!C289="DATA OBJECT",OR(AND(Data!BW289&lt;&gt;"",Data!BX289=""),AND(Data!BW289="",Data!BX289&lt;&gt;"")),TRUE),TRUE)</f>
        <v>1</v>
      </c>
      <c r="Q289" s="26" t="b">
        <f>IF(Checks!C289,UPPER(RIGHT(Data!A289,5))=".BPMN",TRUE)</f>
        <v>1</v>
      </c>
      <c r="R289" s="26" t="b">
        <f>IF(Checks!C289,IF(UPPER(Data!C289)="SUB PROCESS",UPPER(RIGHT(Data!BY289,5))=".BPMN",TRUE),TRUE)</f>
        <v>1</v>
      </c>
      <c r="S289" s="26" t="b">
        <f>IF(Checks!C289,IF(UPPER(Data!C289)="SERVICE TASK",IF(UPPER(Data!BZ289)="TYPE=SAS",UPPER(RIGHT(Data!CA289,4))=".SAS",TRUE),TRUE),TRUE)</f>
        <v>1</v>
      </c>
      <c r="T289" s="26" t="b">
        <f>IF(Checks!C289,IF(Data!B289&lt;&gt;"",Data!D289&lt;&gt;"",TRUE),TRUE)</f>
        <v>1</v>
      </c>
      <c r="U289" s="26" t="b">
        <f ca="1">IF(Checks!C289,IF(UPPER(Data!C289)="DATA OBJECT",NOT(ISERROR(MATCH(Data!A289&amp;"||"&amp;Data!BW289&amp;Data!BX289,Key,0))),TRUE),TRUE)</f>
        <v>1</v>
      </c>
      <c r="V289" s="26" t="b">
        <f>IF(Checks!C289,IF(UPPER(Data!C289)="SUB PROCESS",Data!BY289&lt;&gt;"",TRUE),TRUE)</f>
        <v>1</v>
      </c>
      <c r="W289" s="26" t="b">
        <f>IF(Checks!C289,IF(UPPER(Data!C289)="SERVICE TASK",AND(Data!BZ289&lt;&gt;"",Data!CA289&lt;&gt;""),TRUE),TRUE)</f>
        <v>1</v>
      </c>
      <c r="X289" s="26" t="b">
        <f t="array" aca="1" ref="X289" ca="1">SUM((OFFSET(Data!B289,MAX(ROW(Data!$B$5)-ROW(Data!B289),-200),0,400,1)=Data!B289)*(OFFSET(Data!A289,MAX(ROW(Data!$B$5)-ROW(Data!B289),-200),0,400,1)=Data!A289))=1</f>
        <v>1</v>
      </c>
      <c r="Y289" s="26" t="b">
        <f t="array" aca="1" ref="Y289" ca="1">IF(UPPER(Data!C289)="START",SUM((OFFSET(Data!C289,MAX(ROW(Data!$C$5)-ROW(Data!C289),-200),0,400,1)="START")*(OFFSET(Data!A289,MAX(ROW(Data!$B$5)-ROW(Data!B289),-200),0,400,1)=Data!A289))=1,TRUE)</f>
        <v>1</v>
      </c>
      <c r="Z289" s="26" t="b">
        <f t="array" aca="1" ref="Z289" ca="1">IF(UPPER(Data!C289)="END",SUM((OFFSET(Data!C289,MAX(ROW(Data!$C$5)-ROW(Data!C289),-200),0,400,1)="END")*(OFFSET(Data!A289,MAX(ROW(Data!$B$5)-ROW(Data!B289),-200),0,400,1)=Data!A289))=1,TRUE)</f>
        <v>1</v>
      </c>
      <c r="AA289" s="26" t="b">
        <f>IF(Checks!C289,ISERROR(FIND("&amp;",Data!D289)),TRUE)</f>
        <v>1</v>
      </c>
      <c r="AB289" s="26" t="b">
        <f>IF(Checks!$C289,IF(AND(UPPER(Data!$C289)&lt;&gt;"START",UPPER(Data!$C289)&lt;&gt;"DATA OBJECT",Data!E289&lt;&gt;""),NOT(ISERROR(MATCH(Data!$A289&amp;"||"&amp;Data!E289,Key,0))),TRUE),TRUE)</f>
        <v>1</v>
      </c>
      <c r="AC289" s="27" t="b">
        <f>IF(Checks!C289,IF(UPPER(Data!C289)="END",Data!E289&lt;&gt;"",TRUE),TRUE)</f>
        <v>1</v>
      </c>
    </row>
    <row r="290" spans="1:29" x14ac:dyDescent="0.25">
      <c r="A290" s="1" t="str">
        <f>Data!A290&amp;"||"&amp;Data!B290</f>
        <v>Miscellaneous/subflow/irmifrs9_enrichment_stage4.bpmn||010_00_03</v>
      </c>
      <c r="B290" s="19"/>
      <c r="C290" s="24" t="b">
        <f>AND(UPPER(Data!A290)&lt;&gt;"EMPTY",Data!B290&lt;&gt;"")</f>
        <v>1</v>
      </c>
      <c r="D290" s="1"/>
      <c r="E290" s="25" t="b">
        <f t="shared" ca="1" si="8"/>
        <v>1</v>
      </c>
      <c r="F290" s="26" t="b">
        <f ca="1">IF(UPPER(Data!C290)="SUB PROCESS",NOT(ISERROR(MATCH(RIGHT(Data!BY290,LEN(Data!BY290)-5),OFFSET(Data,0,0,ItemsCount,1),0))),TRUE)</f>
        <v>1</v>
      </c>
      <c r="G290" s="26" t="b">
        <f ca="1">IF(MID(UPPER(Data!A290),1,13)="MISCELLANEOUS",NOT(ISERROR(MATCH("path="&amp;Data!A290,OFFSET(Data,0,76,ItemsCount,1),0))),TRUE)</f>
        <v>1</v>
      </c>
      <c r="L290" s="25" t="b">
        <f t="shared" ca="1" si="9"/>
        <v>1</v>
      </c>
      <c r="M290" s="24" t="b">
        <f>IF(Checks!$C290,Data!A290&lt;&gt;"",TRUE)</f>
        <v>1</v>
      </c>
      <c r="N290" s="26" t="b">
        <f>IF(Checks!C290,Data!B290&lt;&gt;"",TRUE)</f>
        <v>1</v>
      </c>
      <c r="O290" s="26" t="b">
        <f>IF(Checks!C290,IF(AND(UPPER(Data!C290)="SERVICE TASK",UPPER(Data!BZ290)="TYPE=SAS"),NodeExists(TRIM(RIGHT(Data!CA290,LEN(Data!CA290)-FIND("=",Data!CA290)))),TRUE),TRUE)</f>
        <v>1</v>
      </c>
      <c r="P290" s="26" t="b">
        <f>IF(Checks!C290,IF(Data!C290="DATA OBJECT",OR(AND(Data!BW290&lt;&gt;"",Data!BX290=""),AND(Data!BW290="",Data!BX290&lt;&gt;"")),TRUE),TRUE)</f>
        <v>1</v>
      </c>
      <c r="Q290" s="26" t="b">
        <f>IF(Checks!C290,UPPER(RIGHT(Data!A290,5))=".BPMN",TRUE)</f>
        <v>1</v>
      </c>
      <c r="R290" s="26" t="b">
        <f>IF(Checks!C290,IF(UPPER(Data!C290)="SUB PROCESS",UPPER(RIGHT(Data!BY290,5))=".BPMN",TRUE),TRUE)</f>
        <v>1</v>
      </c>
      <c r="S290" s="26" t="b">
        <f>IF(Checks!C290,IF(UPPER(Data!C290)="SERVICE TASK",IF(UPPER(Data!BZ290)="TYPE=SAS",UPPER(RIGHT(Data!CA290,4))=".SAS",TRUE),TRUE),TRUE)</f>
        <v>1</v>
      </c>
      <c r="T290" s="26" t="b">
        <f>IF(Checks!C290,IF(Data!B290&lt;&gt;"",Data!D290&lt;&gt;"",TRUE),TRUE)</f>
        <v>1</v>
      </c>
      <c r="U290" s="26" t="b">
        <f ca="1">IF(Checks!C290,IF(UPPER(Data!C290)="DATA OBJECT",NOT(ISERROR(MATCH(Data!A290&amp;"||"&amp;Data!BW290&amp;Data!BX290,Key,0))),TRUE),TRUE)</f>
        <v>1</v>
      </c>
      <c r="V290" s="26" t="b">
        <f>IF(Checks!C290,IF(UPPER(Data!C290)="SUB PROCESS",Data!BY290&lt;&gt;"",TRUE),TRUE)</f>
        <v>1</v>
      </c>
      <c r="W290" s="26" t="b">
        <f>IF(Checks!C290,IF(UPPER(Data!C290)="SERVICE TASK",AND(Data!BZ290&lt;&gt;"",Data!CA290&lt;&gt;""),TRUE),TRUE)</f>
        <v>1</v>
      </c>
      <c r="X290" s="26" t="b">
        <f t="array" aca="1" ref="X290" ca="1">SUM((OFFSET(Data!B290,MAX(ROW(Data!$B$5)-ROW(Data!B290),-200),0,400,1)=Data!B290)*(OFFSET(Data!A290,MAX(ROW(Data!$B$5)-ROW(Data!B290),-200),0,400,1)=Data!A290))=1</f>
        <v>1</v>
      </c>
      <c r="Y290" s="26" t="b">
        <f t="array" aca="1" ref="Y290" ca="1">IF(UPPER(Data!C290)="START",SUM((OFFSET(Data!C290,MAX(ROW(Data!$C$5)-ROW(Data!C290),-200),0,400,1)="START")*(OFFSET(Data!A290,MAX(ROW(Data!$B$5)-ROW(Data!B290),-200),0,400,1)=Data!A290))=1,TRUE)</f>
        <v>1</v>
      </c>
      <c r="Z290" s="26" t="b">
        <f t="array" aca="1" ref="Z290" ca="1">IF(UPPER(Data!C290)="END",SUM((OFFSET(Data!C290,MAX(ROW(Data!$C$5)-ROW(Data!C290),-200),0,400,1)="END")*(OFFSET(Data!A290,MAX(ROW(Data!$B$5)-ROW(Data!B290),-200),0,400,1)=Data!A290))=1,TRUE)</f>
        <v>1</v>
      </c>
      <c r="AA290" s="26" t="b">
        <f>IF(Checks!C290,ISERROR(FIND("&amp;",Data!D290)),TRUE)</f>
        <v>1</v>
      </c>
      <c r="AB290" s="26" t="b">
        <f>IF(Checks!$C290,IF(AND(UPPER(Data!$C290)&lt;&gt;"START",UPPER(Data!$C290)&lt;&gt;"DATA OBJECT",Data!E290&lt;&gt;""),NOT(ISERROR(MATCH(Data!$A290&amp;"||"&amp;Data!E290,Key,0))),TRUE),TRUE)</f>
        <v>1</v>
      </c>
      <c r="AC290" s="27" t="b">
        <f>IF(Checks!C290,IF(UPPER(Data!C290)="END",Data!E290&lt;&gt;"",TRUE),TRUE)</f>
        <v>1</v>
      </c>
    </row>
    <row r="291" spans="1:29" x14ac:dyDescent="0.25">
      <c r="A291" s="1" t="str">
        <f>Data!A291&amp;"||"&amp;Data!B291</f>
        <v>Miscellaneous/subflow/irmifrs9_enrichment_stage4.bpmn||010_01_00</v>
      </c>
      <c r="B291" s="19"/>
      <c r="C291" s="24" t="b">
        <f>AND(UPPER(Data!A291)&lt;&gt;"EMPTY",Data!B291&lt;&gt;"")</f>
        <v>1</v>
      </c>
      <c r="D291" s="1"/>
      <c r="E291" s="25" t="b">
        <f t="shared" ca="1" si="8"/>
        <v>1</v>
      </c>
      <c r="F291" s="26" t="b">
        <f ca="1">IF(UPPER(Data!C291)="SUB PROCESS",NOT(ISERROR(MATCH(RIGHT(Data!BY291,LEN(Data!BY291)-5),OFFSET(Data,0,0,ItemsCount,1),0))),TRUE)</f>
        <v>1</v>
      </c>
      <c r="G291" s="26" t="b">
        <f ca="1">IF(MID(UPPER(Data!A291),1,13)="MISCELLANEOUS",NOT(ISERROR(MATCH("path="&amp;Data!A291,OFFSET(Data,0,76,ItemsCount,1),0))),TRUE)</f>
        <v>1</v>
      </c>
      <c r="L291" s="25" t="b">
        <f t="shared" ca="1" si="9"/>
        <v>1</v>
      </c>
      <c r="M291" s="24" t="b">
        <f>IF(Checks!$C291,Data!A291&lt;&gt;"",TRUE)</f>
        <v>1</v>
      </c>
      <c r="N291" s="26" t="b">
        <f>IF(Checks!C291,Data!B291&lt;&gt;"",TRUE)</f>
        <v>1</v>
      </c>
      <c r="O291" s="26" t="b">
        <f>IF(Checks!C291,IF(AND(UPPER(Data!C291)="SERVICE TASK",UPPER(Data!BZ291)="TYPE=SAS"),NodeExists(TRIM(RIGHT(Data!CA291,LEN(Data!CA291)-FIND("=",Data!CA291)))),TRUE),TRUE)</f>
        <v>1</v>
      </c>
      <c r="P291" s="26" t="b">
        <f>IF(Checks!C291,IF(Data!C291="DATA OBJECT",OR(AND(Data!BW291&lt;&gt;"",Data!BX291=""),AND(Data!BW291="",Data!BX291&lt;&gt;"")),TRUE),TRUE)</f>
        <v>1</v>
      </c>
      <c r="Q291" s="26" t="b">
        <f>IF(Checks!C291,UPPER(RIGHT(Data!A291,5))=".BPMN",TRUE)</f>
        <v>1</v>
      </c>
      <c r="R291" s="26" t="b">
        <f>IF(Checks!C291,IF(UPPER(Data!C291)="SUB PROCESS",UPPER(RIGHT(Data!BY291,5))=".BPMN",TRUE),TRUE)</f>
        <v>1</v>
      </c>
      <c r="S291" s="26" t="b">
        <f>IF(Checks!C291,IF(UPPER(Data!C291)="SERVICE TASK",IF(UPPER(Data!BZ291)="TYPE=SAS",UPPER(RIGHT(Data!CA291,4))=".SAS",TRUE),TRUE),TRUE)</f>
        <v>1</v>
      </c>
      <c r="T291" s="26" t="b">
        <f>IF(Checks!C291,IF(Data!B291&lt;&gt;"",Data!D291&lt;&gt;"",TRUE),TRUE)</f>
        <v>1</v>
      </c>
      <c r="U291" s="26" t="b">
        <f ca="1">IF(Checks!C291,IF(UPPER(Data!C291)="DATA OBJECT",NOT(ISERROR(MATCH(Data!A291&amp;"||"&amp;Data!BW291&amp;Data!BX291,Key,0))),TRUE),TRUE)</f>
        <v>1</v>
      </c>
      <c r="V291" s="26" t="b">
        <f>IF(Checks!C291,IF(UPPER(Data!C291)="SUB PROCESS",Data!BY291&lt;&gt;"",TRUE),TRUE)</f>
        <v>1</v>
      </c>
      <c r="W291" s="26" t="b">
        <f>IF(Checks!C291,IF(UPPER(Data!C291)="SERVICE TASK",AND(Data!BZ291&lt;&gt;"",Data!CA291&lt;&gt;""),TRUE),TRUE)</f>
        <v>1</v>
      </c>
      <c r="X291" s="26" t="b">
        <f t="array" aca="1" ref="X291" ca="1">SUM((OFFSET(Data!B291,MAX(ROW(Data!$B$5)-ROW(Data!B291),-200),0,400,1)=Data!B291)*(OFFSET(Data!A291,MAX(ROW(Data!$B$5)-ROW(Data!B291),-200),0,400,1)=Data!A291))=1</f>
        <v>1</v>
      </c>
      <c r="Y291" s="26" t="b">
        <f t="array" aca="1" ref="Y291" ca="1">IF(UPPER(Data!C291)="START",SUM((OFFSET(Data!C291,MAX(ROW(Data!$C$5)-ROW(Data!C291),-200),0,400,1)="START")*(OFFSET(Data!A291,MAX(ROW(Data!$B$5)-ROW(Data!B291),-200),0,400,1)=Data!A291))=1,TRUE)</f>
        <v>1</v>
      </c>
      <c r="Z291" s="26" t="b">
        <f t="array" aca="1" ref="Z291" ca="1">IF(UPPER(Data!C291)="END",SUM((OFFSET(Data!C291,MAX(ROW(Data!$C$5)-ROW(Data!C291),-200),0,400,1)="END")*(OFFSET(Data!A291,MAX(ROW(Data!$B$5)-ROW(Data!B291),-200),0,400,1)=Data!A291))=1,TRUE)</f>
        <v>1</v>
      </c>
      <c r="AA291" s="26" t="b">
        <f>IF(Checks!C291,ISERROR(FIND("&amp;",Data!D291)),TRUE)</f>
        <v>1</v>
      </c>
      <c r="AB291" s="26" t="b">
        <f>IF(Checks!$C291,IF(AND(UPPER(Data!$C291)&lt;&gt;"START",UPPER(Data!$C291)&lt;&gt;"DATA OBJECT",Data!E291&lt;&gt;""),NOT(ISERROR(MATCH(Data!$A291&amp;"||"&amp;Data!E291,Key,0))),TRUE),TRUE)</f>
        <v>1</v>
      </c>
      <c r="AC291" s="27" t="b">
        <f>IF(Checks!C291,IF(UPPER(Data!C291)="END",Data!E291&lt;&gt;"",TRUE),TRUE)</f>
        <v>1</v>
      </c>
    </row>
    <row r="292" spans="1:29" x14ac:dyDescent="0.25">
      <c r="A292" s="1" t="str">
        <f>Data!A292&amp;"||"&amp;Data!B292</f>
        <v>Miscellaneous/subflow/irmifrs9_enrichment_stage4.bpmn||020_00_00</v>
      </c>
      <c r="B292" s="19"/>
      <c r="C292" s="24" t="b">
        <f>AND(UPPER(Data!A292)&lt;&gt;"EMPTY",Data!B292&lt;&gt;"")</f>
        <v>1</v>
      </c>
      <c r="D292" s="1"/>
      <c r="E292" s="25" t="b">
        <f t="shared" ca="1" si="8"/>
        <v>1</v>
      </c>
      <c r="F292" s="26" t="b">
        <f ca="1">IF(UPPER(Data!C292)="SUB PROCESS",NOT(ISERROR(MATCH(RIGHT(Data!BY292,LEN(Data!BY292)-5),OFFSET(Data,0,0,ItemsCount,1),0))),TRUE)</f>
        <v>1</v>
      </c>
      <c r="G292" s="26" t="b">
        <f ca="1">IF(MID(UPPER(Data!A292),1,13)="MISCELLANEOUS",NOT(ISERROR(MATCH("path="&amp;Data!A292,OFFSET(Data,0,76,ItemsCount,1),0))),TRUE)</f>
        <v>1</v>
      </c>
      <c r="L292" s="25" t="b">
        <f t="shared" ca="1" si="9"/>
        <v>1</v>
      </c>
      <c r="M292" s="24" t="b">
        <f>IF(Checks!$C292,Data!A292&lt;&gt;"",TRUE)</f>
        <v>1</v>
      </c>
      <c r="N292" s="26" t="b">
        <f>IF(Checks!C292,Data!B292&lt;&gt;"",TRUE)</f>
        <v>1</v>
      </c>
      <c r="O292" s="26" t="b">
        <f>IF(Checks!C292,IF(AND(UPPER(Data!C292)="SERVICE TASK",UPPER(Data!BZ292)="TYPE=SAS"),NodeExists(TRIM(RIGHT(Data!CA292,LEN(Data!CA292)-FIND("=",Data!CA292)))),TRUE),TRUE)</f>
        <v>1</v>
      </c>
      <c r="P292" s="26" t="b">
        <f>IF(Checks!C292,IF(Data!C292="DATA OBJECT",OR(AND(Data!BW292&lt;&gt;"",Data!BX292=""),AND(Data!BW292="",Data!BX292&lt;&gt;"")),TRUE),TRUE)</f>
        <v>1</v>
      </c>
      <c r="Q292" s="26" t="b">
        <f>IF(Checks!C292,UPPER(RIGHT(Data!A292,5))=".BPMN",TRUE)</f>
        <v>1</v>
      </c>
      <c r="R292" s="26" t="b">
        <f>IF(Checks!C292,IF(UPPER(Data!C292)="SUB PROCESS",UPPER(RIGHT(Data!BY292,5))=".BPMN",TRUE),TRUE)</f>
        <v>1</v>
      </c>
      <c r="S292" s="26" t="b">
        <f>IF(Checks!C292,IF(UPPER(Data!C292)="SERVICE TASK",IF(UPPER(Data!BZ292)="TYPE=SAS",UPPER(RIGHT(Data!CA292,4))=".SAS",TRUE),TRUE),TRUE)</f>
        <v>1</v>
      </c>
      <c r="T292" s="26" t="b">
        <f>IF(Checks!C292,IF(Data!B292&lt;&gt;"",Data!D292&lt;&gt;"",TRUE),TRUE)</f>
        <v>1</v>
      </c>
      <c r="U292" s="26" t="b">
        <f>IF(Checks!C292,IF(UPPER(Data!C292)="DATA OBJECT",NOT(ISERROR(MATCH(Data!A292&amp;"||"&amp;Data!BW292&amp;Data!BX292,Key,0))),TRUE),TRUE)</f>
        <v>1</v>
      </c>
      <c r="V292" s="26" t="b">
        <f>IF(Checks!C292,IF(UPPER(Data!C292)="SUB PROCESS",Data!BY292&lt;&gt;"",TRUE),TRUE)</f>
        <v>1</v>
      </c>
      <c r="W292" s="26" t="b">
        <f>IF(Checks!C292,IF(UPPER(Data!C292)="SERVICE TASK",AND(Data!BZ292&lt;&gt;"",Data!CA292&lt;&gt;""),TRUE),TRUE)</f>
        <v>1</v>
      </c>
      <c r="X292" s="26" t="b">
        <f t="array" aca="1" ref="X292" ca="1">SUM((OFFSET(Data!B292,MAX(ROW(Data!$B$5)-ROW(Data!B292),-200),0,400,1)=Data!B292)*(OFFSET(Data!A292,MAX(ROW(Data!$B$5)-ROW(Data!B292),-200),0,400,1)=Data!A292))=1</f>
        <v>1</v>
      </c>
      <c r="Y292" s="26" t="b">
        <f t="array" aca="1" ref="Y292" ca="1">IF(UPPER(Data!C292)="START",SUM((OFFSET(Data!C292,MAX(ROW(Data!$C$5)-ROW(Data!C292),-200),0,400,1)="START")*(OFFSET(Data!A292,MAX(ROW(Data!$B$5)-ROW(Data!B292),-200),0,400,1)=Data!A292))=1,TRUE)</f>
        <v>1</v>
      </c>
      <c r="Z292" s="26" t="b">
        <f t="array" aca="1" ref="Z292" ca="1">IF(UPPER(Data!C292)="END",SUM((OFFSET(Data!C292,MAX(ROW(Data!$C$5)-ROW(Data!C292),-200),0,400,1)="END")*(OFFSET(Data!A292,MAX(ROW(Data!$B$5)-ROW(Data!B292),-200),0,400,1)=Data!A292))=1,TRUE)</f>
        <v>1</v>
      </c>
      <c r="AA292" s="26" t="b">
        <f>IF(Checks!C292,ISERROR(FIND("&amp;",Data!D292)),TRUE)</f>
        <v>1</v>
      </c>
      <c r="AB292" s="26" t="b">
        <f ca="1">IF(Checks!$C292,IF(AND(UPPER(Data!$C292)&lt;&gt;"START",UPPER(Data!$C292)&lt;&gt;"DATA OBJECT",Data!E292&lt;&gt;""),NOT(ISERROR(MATCH(Data!$A292&amp;"||"&amp;Data!E292,Key,0))),TRUE),TRUE)</f>
        <v>1</v>
      </c>
      <c r="AC292" s="27" t="b">
        <f>IF(Checks!C292,IF(UPPER(Data!C292)="END",Data!E292&lt;&gt;"",TRUE),TRUE)</f>
        <v>1</v>
      </c>
    </row>
    <row r="293" spans="1:29" x14ac:dyDescent="0.25">
      <c r="A293" s="1" t="str">
        <f>Data!A293&amp;"||"&amp;Data!B293</f>
        <v>Miscellaneous/subflow/irmifrs9_enrichment_stage4.bpmn||020_00_01</v>
      </c>
      <c r="B293" s="19"/>
      <c r="C293" s="24" t="b">
        <f>AND(UPPER(Data!A293)&lt;&gt;"EMPTY",Data!B293&lt;&gt;"")</f>
        <v>1</v>
      </c>
      <c r="D293" s="1"/>
      <c r="E293" s="25" t="b">
        <f t="shared" ca="1" si="8"/>
        <v>1</v>
      </c>
      <c r="F293" s="26" t="b">
        <f ca="1">IF(UPPER(Data!C293)="SUB PROCESS",NOT(ISERROR(MATCH(RIGHT(Data!BY293,LEN(Data!BY293)-5),OFFSET(Data,0,0,ItemsCount,1),0))),TRUE)</f>
        <v>1</v>
      </c>
      <c r="G293" s="26" t="b">
        <f ca="1">IF(MID(UPPER(Data!A293),1,13)="MISCELLANEOUS",NOT(ISERROR(MATCH("path="&amp;Data!A293,OFFSET(Data,0,76,ItemsCount,1),0))),TRUE)</f>
        <v>1</v>
      </c>
      <c r="L293" s="25" t="b">
        <f t="shared" ca="1" si="9"/>
        <v>1</v>
      </c>
      <c r="M293" s="24" t="b">
        <f>IF(Checks!$C293,Data!A293&lt;&gt;"",TRUE)</f>
        <v>1</v>
      </c>
      <c r="N293" s="26" t="b">
        <f>IF(Checks!C293,Data!B293&lt;&gt;"",TRUE)</f>
        <v>1</v>
      </c>
      <c r="O293" s="26" t="b">
        <f>IF(Checks!C293,IF(AND(UPPER(Data!C293)="SERVICE TASK",UPPER(Data!BZ293)="TYPE=SAS"),NodeExists(TRIM(RIGHT(Data!CA293,LEN(Data!CA293)-FIND("=",Data!CA293)))),TRUE),TRUE)</f>
        <v>1</v>
      </c>
      <c r="P293" s="26" t="b">
        <f>IF(Checks!C293,IF(Data!C293="DATA OBJECT",OR(AND(Data!BW293&lt;&gt;"",Data!BX293=""),AND(Data!BW293="",Data!BX293&lt;&gt;"")),TRUE),TRUE)</f>
        <v>1</v>
      </c>
      <c r="Q293" s="26" t="b">
        <f>IF(Checks!C293,UPPER(RIGHT(Data!A293,5))=".BPMN",TRUE)</f>
        <v>1</v>
      </c>
      <c r="R293" s="26" t="b">
        <f>IF(Checks!C293,IF(UPPER(Data!C293)="SUB PROCESS",UPPER(RIGHT(Data!BY293,5))=".BPMN",TRUE),TRUE)</f>
        <v>1</v>
      </c>
      <c r="S293" s="26" t="b">
        <f>IF(Checks!C293,IF(UPPER(Data!C293)="SERVICE TASK",IF(UPPER(Data!BZ293)="TYPE=SAS",UPPER(RIGHT(Data!CA293,4))=".SAS",TRUE),TRUE),TRUE)</f>
        <v>1</v>
      </c>
      <c r="T293" s="26" t="b">
        <f>IF(Checks!C293,IF(Data!B293&lt;&gt;"",Data!D293&lt;&gt;"",TRUE),TRUE)</f>
        <v>1</v>
      </c>
      <c r="U293" s="26" t="b">
        <f ca="1">IF(Checks!C293,IF(UPPER(Data!C293)="DATA OBJECT",NOT(ISERROR(MATCH(Data!A293&amp;"||"&amp;Data!BW293&amp;Data!BX293,Key,0))),TRUE),TRUE)</f>
        <v>1</v>
      </c>
      <c r="V293" s="26" t="b">
        <f>IF(Checks!C293,IF(UPPER(Data!C293)="SUB PROCESS",Data!BY293&lt;&gt;"",TRUE),TRUE)</f>
        <v>1</v>
      </c>
      <c r="W293" s="26" t="b">
        <f>IF(Checks!C293,IF(UPPER(Data!C293)="SERVICE TASK",AND(Data!BZ293&lt;&gt;"",Data!CA293&lt;&gt;""),TRUE),TRUE)</f>
        <v>1</v>
      </c>
      <c r="X293" s="26" t="b">
        <f t="array" aca="1" ref="X293" ca="1">SUM((OFFSET(Data!B293,MAX(ROW(Data!$B$5)-ROW(Data!B293),-200),0,400,1)=Data!B293)*(OFFSET(Data!A293,MAX(ROW(Data!$B$5)-ROW(Data!B293),-200),0,400,1)=Data!A293))=1</f>
        <v>1</v>
      </c>
      <c r="Y293" s="26" t="b">
        <f t="array" aca="1" ref="Y293" ca="1">IF(UPPER(Data!C293)="START",SUM((OFFSET(Data!C293,MAX(ROW(Data!$C$5)-ROW(Data!C293),-200),0,400,1)="START")*(OFFSET(Data!A293,MAX(ROW(Data!$B$5)-ROW(Data!B293),-200),0,400,1)=Data!A293))=1,TRUE)</f>
        <v>1</v>
      </c>
      <c r="Z293" s="26" t="b">
        <f t="array" aca="1" ref="Z293" ca="1">IF(UPPER(Data!C293)="END",SUM((OFFSET(Data!C293,MAX(ROW(Data!$C$5)-ROW(Data!C293),-200),0,400,1)="END")*(OFFSET(Data!A293,MAX(ROW(Data!$B$5)-ROW(Data!B293),-200),0,400,1)=Data!A293))=1,TRUE)</f>
        <v>1</v>
      </c>
      <c r="AA293" s="26" t="b">
        <f>IF(Checks!C293,ISERROR(FIND("&amp;",Data!D293)),TRUE)</f>
        <v>1</v>
      </c>
      <c r="AB293" s="26" t="b">
        <f>IF(Checks!$C293,IF(AND(UPPER(Data!$C293)&lt;&gt;"START",UPPER(Data!$C293)&lt;&gt;"DATA OBJECT",Data!E293&lt;&gt;""),NOT(ISERROR(MATCH(Data!$A293&amp;"||"&amp;Data!E293,Key,0))),TRUE),TRUE)</f>
        <v>1</v>
      </c>
      <c r="AC293" s="27" t="b">
        <f>IF(Checks!C293,IF(UPPER(Data!C293)="END",Data!E293&lt;&gt;"",TRUE),TRUE)</f>
        <v>1</v>
      </c>
    </row>
    <row r="294" spans="1:29" x14ac:dyDescent="0.25">
      <c r="A294" s="1" t="str">
        <f>Data!A294&amp;"||"&amp;Data!B294</f>
        <v>Miscellaneous/subflow/irmifrs9_enrichment_stage4.bpmn||020_00_02</v>
      </c>
      <c r="B294" s="19"/>
      <c r="C294" s="24" t="b">
        <f>AND(UPPER(Data!A294)&lt;&gt;"EMPTY",Data!B294&lt;&gt;"")</f>
        <v>1</v>
      </c>
      <c r="D294" s="1"/>
      <c r="E294" s="25" t="b">
        <f t="shared" ca="1" si="8"/>
        <v>1</v>
      </c>
      <c r="F294" s="26" t="b">
        <f ca="1">IF(UPPER(Data!C294)="SUB PROCESS",NOT(ISERROR(MATCH(RIGHT(Data!BY294,LEN(Data!BY294)-5),OFFSET(Data,0,0,ItemsCount,1),0))),TRUE)</f>
        <v>1</v>
      </c>
      <c r="G294" s="26" t="b">
        <f ca="1">IF(MID(UPPER(Data!A294),1,13)="MISCELLANEOUS",NOT(ISERROR(MATCH("path="&amp;Data!A294,OFFSET(Data,0,76,ItemsCount,1),0))),TRUE)</f>
        <v>1</v>
      </c>
      <c r="L294" s="25" t="b">
        <f t="shared" ca="1" si="9"/>
        <v>1</v>
      </c>
      <c r="M294" s="24" t="b">
        <f>IF(Checks!$C294,Data!A294&lt;&gt;"",TRUE)</f>
        <v>1</v>
      </c>
      <c r="N294" s="26" t="b">
        <f>IF(Checks!C294,Data!B294&lt;&gt;"",TRUE)</f>
        <v>1</v>
      </c>
      <c r="O294" s="26" t="b">
        <f>IF(Checks!C294,IF(AND(UPPER(Data!C294)="SERVICE TASK",UPPER(Data!BZ294)="TYPE=SAS"),NodeExists(TRIM(RIGHT(Data!CA294,LEN(Data!CA294)-FIND("=",Data!CA294)))),TRUE),TRUE)</f>
        <v>1</v>
      </c>
      <c r="P294" s="26" t="b">
        <f>IF(Checks!C294,IF(Data!C294="DATA OBJECT",OR(AND(Data!BW294&lt;&gt;"",Data!BX294=""),AND(Data!BW294="",Data!BX294&lt;&gt;"")),TRUE),TRUE)</f>
        <v>1</v>
      </c>
      <c r="Q294" s="26" t="b">
        <f>IF(Checks!C294,UPPER(RIGHT(Data!A294,5))=".BPMN",TRUE)</f>
        <v>1</v>
      </c>
      <c r="R294" s="26" t="b">
        <f>IF(Checks!C294,IF(UPPER(Data!C294)="SUB PROCESS",UPPER(RIGHT(Data!BY294,5))=".BPMN",TRUE),TRUE)</f>
        <v>1</v>
      </c>
      <c r="S294" s="26" t="b">
        <f>IF(Checks!C294,IF(UPPER(Data!C294)="SERVICE TASK",IF(UPPER(Data!BZ294)="TYPE=SAS",UPPER(RIGHT(Data!CA294,4))=".SAS",TRUE),TRUE),TRUE)</f>
        <v>1</v>
      </c>
      <c r="T294" s="26" t="b">
        <f>IF(Checks!C294,IF(Data!B294&lt;&gt;"",Data!D294&lt;&gt;"",TRUE),TRUE)</f>
        <v>1</v>
      </c>
      <c r="U294" s="26" t="b">
        <f ca="1">IF(Checks!C294,IF(UPPER(Data!C294)="DATA OBJECT",NOT(ISERROR(MATCH(Data!A294&amp;"||"&amp;Data!BW294&amp;Data!BX294,Key,0))),TRUE),TRUE)</f>
        <v>1</v>
      </c>
      <c r="V294" s="26" t="b">
        <f>IF(Checks!C294,IF(UPPER(Data!C294)="SUB PROCESS",Data!BY294&lt;&gt;"",TRUE),TRUE)</f>
        <v>1</v>
      </c>
      <c r="W294" s="26" t="b">
        <f>IF(Checks!C294,IF(UPPER(Data!C294)="SERVICE TASK",AND(Data!BZ294&lt;&gt;"",Data!CA294&lt;&gt;""),TRUE),TRUE)</f>
        <v>1</v>
      </c>
      <c r="X294" s="26" t="b">
        <f t="array" aca="1" ref="X294" ca="1">SUM((OFFSET(Data!B294,MAX(ROW(Data!$B$5)-ROW(Data!B294),-200),0,400,1)=Data!B294)*(OFFSET(Data!A294,MAX(ROW(Data!$B$5)-ROW(Data!B294),-200),0,400,1)=Data!A294))=1</f>
        <v>1</v>
      </c>
      <c r="Y294" s="26" t="b">
        <f t="array" aca="1" ref="Y294" ca="1">IF(UPPER(Data!C294)="START",SUM((OFFSET(Data!C294,MAX(ROW(Data!$C$5)-ROW(Data!C294),-200),0,400,1)="START")*(OFFSET(Data!A294,MAX(ROW(Data!$B$5)-ROW(Data!B294),-200),0,400,1)=Data!A294))=1,TRUE)</f>
        <v>1</v>
      </c>
      <c r="Z294" s="26" t="b">
        <f t="array" aca="1" ref="Z294" ca="1">IF(UPPER(Data!C294)="END",SUM((OFFSET(Data!C294,MAX(ROW(Data!$C$5)-ROW(Data!C294),-200),0,400,1)="END")*(OFFSET(Data!A294,MAX(ROW(Data!$B$5)-ROW(Data!B294),-200),0,400,1)=Data!A294))=1,TRUE)</f>
        <v>1</v>
      </c>
      <c r="AA294" s="26" t="b">
        <f>IF(Checks!C294,ISERROR(FIND("&amp;",Data!D294)),TRUE)</f>
        <v>1</v>
      </c>
      <c r="AB294" s="26" t="b">
        <f>IF(Checks!$C294,IF(AND(UPPER(Data!$C294)&lt;&gt;"START",UPPER(Data!$C294)&lt;&gt;"DATA OBJECT",Data!E294&lt;&gt;""),NOT(ISERROR(MATCH(Data!$A294&amp;"||"&amp;Data!E294,Key,0))),TRUE),TRUE)</f>
        <v>1</v>
      </c>
      <c r="AC294" s="27" t="b">
        <f>IF(Checks!C294,IF(UPPER(Data!C294)="END",Data!E294&lt;&gt;"",TRUE),TRUE)</f>
        <v>1</v>
      </c>
    </row>
    <row r="295" spans="1:29" x14ac:dyDescent="0.25">
      <c r="A295" s="1" t="str">
        <f>Data!A295&amp;"||"&amp;Data!B295</f>
        <v>Miscellaneous/subflow/irmifrs9_enrichment_stage4.bpmn||020_00_03</v>
      </c>
      <c r="B295" s="19"/>
      <c r="C295" s="24" t="b">
        <f>AND(UPPER(Data!A295)&lt;&gt;"EMPTY",Data!B295&lt;&gt;"")</f>
        <v>1</v>
      </c>
      <c r="D295" s="1"/>
      <c r="E295" s="25" t="b">
        <f t="shared" ca="1" si="8"/>
        <v>1</v>
      </c>
      <c r="F295" s="26" t="b">
        <f ca="1">IF(UPPER(Data!C295)="SUB PROCESS",NOT(ISERROR(MATCH(RIGHT(Data!BY295,LEN(Data!BY295)-5),OFFSET(Data,0,0,ItemsCount,1),0))),TRUE)</f>
        <v>1</v>
      </c>
      <c r="G295" s="26" t="b">
        <f ca="1">IF(MID(UPPER(Data!A295),1,13)="MISCELLANEOUS",NOT(ISERROR(MATCH("path="&amp;Data!A295,OFFSET(Data,0,76,ItemsCount,1),0))),TRUE)</f>
        <v>1</v>
      </c>
      <c r="L295" s="25" t="b">
        <f t="shared" ca="1" si="9"/>
        <v>1</v>
      </c>
      <c r="M295" s="24" t="b">
        <f>IF(Checks!$C295,Data!A295&lt;&gt;"",TRUE)</f>
        <v>1</v>
      </c>
      <c r="N295" s="26" t="b">
        <f>IF(Checks!C295,Data!B295&lt;&gt;"",TRUE)</f>
        <v>1</v>
      </c>
      <c r="O295" s="26" t="b">
        <f>IF(Checks!C295,IF(AND(UPPER(Data!C295)="SERVICE TASK",UPPER(Data!BZ295)="TYPE=SAS"),NodeExists(TRIM(RIGHT(Data!CA295,LEN(Data!CA295)-FIND("=",Data!CA295)))),TRUE),TRUE)</f>
        <v>1</v>
      </c>
      <c r="P295" s="26" t="b">
        <f>IF(Checks!C295,IF(Data!C295="DATA OBJECT",OR(AND(Data!BW295&lt;&gt;"",Data!BX295=""),AND(Data!BW295="",Data!BX295&lt;&gt;"")),TRUE),TRUE)</f>
        <v>1</v>
      </c>
      <c r="Q295" s="26" t="b">
        <f>IF(Checks!C295,UPPER(RIGHT(Data!A295,5))=".BPMN",TRUE)</f>
        <v>1</v>
      </c>
      <c r="R295" s="26" t="b">
        <f>IF(Checks!C295,IF(UPPER(Data!C295)="SUB PROCESS",UPPER(RIGHT(Data!BY295,5))=".BPMN",TRUE),TRUE)</f>
        <v>1</v>
      </c>
      <c r="S295" s="26" t="b">
        <f>IF(Checks!C295,IF(UPPER(Data!C295)="SERVICE TASK",IF(UPPER(Data!BZ295)="TYPE=SAS",UPPER(RIGHT(Data!CA295,4))=".SAS",TRUE),TRUE),TRUE)</f>
        <v>1</v>
      </c>
      <c r="T295" s="26" t="b">
        <f>IF(Checks!C295,IF(Data!B295&lt;&gt;"",Data!D295&lt;&gt;"",TRUE),TRUE)</f>
        <v>1</v>
      </c>
      <c r="U295" s="26" t="b">
        <f ca="1">IF(Checks!C295,IF(UPPER(Data!C295)="DATA OBJECT",NOT(ISERROR(MATCH(Data!A295&amp;"||"&amp;Data!BW295&amp;Data!BX295,Key,0))),TRUE),TRUE)</f>
        <v>1</v>
      </c>
      <c r="V295" s="26" t="b">
        <f>IF(Checks!C295,IF(UPPER(Data!C295)="SUB PROCESS",Data!BY295&lt;&gt;"",TRUE),TRUE)</f>
        <v>1</v>
      </c>
      <c r="W295" s="26" t="b">
        <f>IF(Checks!C295,IF(UPPER(Data!C295)="SERVICE TASK",AND(Data!BZ295&lt;&gt;"",Data!CA295&lt;&gt;""),TRUE),TRUE)</f>
        <v>1</v>
      </c>
      <c r="X295" s="26" t="b">
        <f t="array" aca="1" ref="X295" ca="1">SUM((OFFSET(Data!B295,MAX(ROW(Data!$B$5)-ROW(Data!B295),-200),0,400,1)=Data!B295)*(OFFSET(Data!A295,MAX(ROW(Data!$B$5)-ROW(Data!B295),-200),0,400,1)=Data!A295))=1</f>
        <v>1</v>
      </c>
      <c r="Y295" s="26" t="b">
        <f t="array" aca="1" ref="Y295" ca="1">IF(UPPER(Data!C295)="START",SUM((OFFSET(Data!C295,MAX(ROW(Data!$C$5)-ROW(Data!C295),-200),0,400,1)="START")*(OFFSET(Data!A295,MAX(ROW(Data!$B$5)-ROW(Data!B295),-200),0,400,1)=Data!A295))=1,TRUE)</f>
        <v>1</v>
      </c>
      <c r="Z295" s="26" t="b">
        <f t="array" aca="1" ref="Z295" ca="1">IF(UPPER(Data!C295)="END",SUM((OFFSET(Data!C295,MAX(ROW(Data!$C$5)-ROW(Data!C295),-200),0,400,1)="END")*(OFFSET(Data!A295,MAX(ROW(Data!$B$5)-ROW(Data!B295),-200),0,400,1)=Data!A295))=1,TRUE)</f>
        <v>1</v>
      </c>
      <c r="AA295" s="26" t="b">
        <f>IF(Checks!C295,ISERROR(FIND("&amp;",Data!D295)),TRUE)</f>
        <v>1</v>
      </c>
      <c r="AB295" s="26" t="b">
        <f>IF(Checks!$C295,IF(AND(UPPER(Data!$C295)&lt;&gt;"START",UPPER(Data!$C295)&lt;&gt;"DATA OBJECT",Data!E295&lt;&gt;""),NOT(ISERROR(MATCH(Data!$A295&amp;"||"&amp;Data!E295,Key,0))),TRUE),TRUE)</f>
        <v>1</v>
      </c>
      <c r="AC295" s="27" t="b">
        <f>IF(Checks!C295,IF(UPPER(Data!C295)="END",Data!E295&lt;&gt;"",TRUE),TRUE)</f>
        <v>1</v>
      </c>
    </row>
    <row r="296" spans="1:29" x14ac:dyDescent="0.25">
      <c r="A296" s="1" t="str">
        <f>Data!A296&amp;"||"&amp;Data!B296</f>
        <v>Miscellaneous/subflow/irmifrs9_enrichment_stage4.bpmn||020_00_04</v>
      </c>
      <c r="B296" s="19"/>
      <c r="C296" s="24" t="b">
        <f>AND(UPPER(Data!A296)&lt;&gt;"EMPTY",Data!B296&lt;&gt;"")</f>
        <v>1</v>
      </c>
      <c r="D296" s="1"/>
      <c r="E296" s="25" t="b">
        <f t="shared" ca="1" si="8"/>
        <v>1</v>
      </c>
      <c r="F296" s="26" t="b">
        <f ca="1">IF(UPPER(Data!C296)="SUB PROCESS",NOT(ISERROR(MATCH(RIGHT(Data!BY296,LEN(Data!BY296)-5),OFFSET(Data,0,0,ItemsCount,1),0))),TRUE)</f>
        <v>1</v>
      </c>
      <c r="G296" s="26" t="b">
        <f ca="1">IF(MID(UPPER(Data!A296),1,13)="MISCELLANEOUS",NOT(ISERROR(MATCH("path="&amp;Data!A296,OFFSET(Data,0,76,ItemsCount,1),0))),TRUE)</f>
        <v>1</v>
      </c>
      <c r="L296" s="25" t="b">
        <f t="shared" ca="1" si="9"/>
        <v>1</v>
      </c>
      <c r="M296" s="24" t="b">
        <f>IF(Checks!$C296,Data!A296&lt;&gt;"",TRUE)</f>
        <v>1</v>
      </c>
      <c r="N296" s="26" t="b">
        <f>IF(Checks!C296,Data!B296&lt;&gt;"",TRUE)</f>
        <v>1</v>
      </c>
      <c r="O296" s="26" t="b">
        <f>IF(Checks!C296,IF(AND(UPPER(Data!C296)="SERVICE TASK",UPPER(Data!BZ296)="TYPE=SAS"),NodeExists(TRIM(RIGHT(Data!CA296,LEN(Data!CA296)-FIND("=",Data!CA296)))),TRUE),TRUE)</f>
        <v>1</v>
      </c>
      <c r="P296" s="26" t="b">
        <f>IF(Checks!C296,IF(Data!C296="DATA OBJECT",OR(AND(Data!BW296&lt;&gt;"",Data!BX296=""),AND(Data!BW296="",Data!BX296&lt;&gt;"")),TRUE),TRUE)</f>
        <v>1</v>
      </c>
      <c r="Q296" s="26" t="b">
        <f>IF(Checks!C296,UPPER(RIGHT(Data!A296,5))=".BPMN",TRUE)</f>
        <v>1</v>
      </c>
      <c r="R296" s="26" t="b">
        <f>IF(Checks!C296,IF(UPPER(Data!C296)="SUB PROCESS",UPPER(RIGHT(Data!BY296,5))=".BPMN",TRUE),TRUE)</f>
        <v>1</v>
      </c>
      <c r="S296" s="26" t="b">
        <f>IF(Checks!C296,IF(UPPER(Data!C296)="SERVICE TASK",IF(UPPER(Data!BZ296)="TYPE=SAS",UPPER(RIGHT(Data!CA296,4))=".SAS",TRUE),TRUE),TRUE)</f>
        <v>1</v>
      </c>
      <c r="T296" s="26" t="b">
        <f>IF(Checks!C296,IF(Data!B296&lt;&gt;"",Data!D296&lt;&gt;"",TRUE),TRUE)</f>
        <v>1</v>
      </c>
      <c r="U296" s="26" t="b">
        <f ca="1">IF(Checks!C296,IF(UPPER(Data!C296)="DATA OBJECT",NOT(ISERROR(MATCH(Data!A296&amp;"||"&amp;Data!BW296&amp;Data!BX296,Key,0))),TRUE),TRUE)</f>
        <v>1</v>
      </c>
      <c r="V296" s="26" t="b">
        <f>IF(Checks!C296,IF(UPPER(Data!C296)="SUB PROCESS",Data!BY296&lt;&gt;"",TRUE),TRUE)</f>
        <v>1</v>
      </c>
      <c r="W296" s="26" t="b">
        <f>IF(Checks!C296,IF(UPPER(Data!C296)="SERVICE TASK",AND(Data!BZ296&lt;&gt;"",Data!CA296&lt;&gt;""),TRUE),TRUE)</f>
        <v>1</v>
      </c>
      <c r="X296" s="26" t="b">
        <f t="array" aca="1" ref="X296" ca="1">SUM((OFFSET(Data!B296,MAX(ROW(Data!$B$5)-ROW(Data!B296),-200),0,400,1)=Data!B296)*(OFFSET(Data!A296,MAX(ROW(Data!$B$5)-ROW(Data!B296),-200),0,400,1)=Data!A296))=1</f>
        <v>1</v>
      </c>
      <c r="Y296" s="26" t="b">
        <f t="array" aca="1" ref="Y296" ca="1">IF(UPPER(Data!C296)="START",SUM((OFFSET(Data!C296,MAX(ROW(Data!$C$5)-ROW(Data!C296),-200),0,400,1)="START")*(OFFSET(Data!A296,MAX(ROW(Data!$B$5)-ROW(Data!B296),-200),0,400,1)=Data!A296))=1,TRUE)</f>
        <v>1</v>
      </c>
      <c r="Z296" s="26" t="b">
        <f t="array" aca="1" ref="Z296" ca="1">IF(UPPER(Data!C296)="END",SUM((OFFSET(Data!C296,MAX(ROW(Data!$C$5)-ROW(Data!C296),-200),0,400,1)="END")*(OFFSET(Data!A296,MAX(ROW(Data!$B$5)-ROW(Data!B296),-200),0,400,1)=Data!A296))=1,TRUE)</f>
        <v>1</v>
      </c>
      <c r="AA296" s="26" t="b">
        <f>IF(Checks!C296,ISERROR(FIND("&amp;",Data!D296)),TRUE)</f>
        <v>1</v>
      </c>
      <c r="AB296" s="26" t="b">
        <f>IF(Checks!$C296,IF(AND(UPPER(Data!$C296)&lt;&gt;"START",UPPER(Data!$C296)&lt;&gt;"DATA OBJECT",Data!E296&lt;&gt;""),NOT(ISERROR(MATCH(Data!$A296&amp;"||"&amp;Data!E296,Key,0))),TRUE),TRUE)</f>
        <v>1</v>
      </c>
      <c r="AC296" s="27" t="b">
        <f>IF(Checks!C296,IF(UPPER(Data!C296)="END",Data!E296&lt;&gt;"",TRUE),TRUE)</f>
        <v>1</v>
      </c>
    </row>
    <row r="297" spans="1:29" x14ac:dyDescent="0.25">
      <c r="A297" s="1" t="str">
        <f>Data!A297&amp;"||"&amp;Data!B297</f>
        <v>Miscellaneous/subflow/irmifrs9_enrichment_stage4.bpmn||020_00_05</v>
      </c>
      <c r="B297" s="19"/>
      <c r="C297" s="24" t="b">
        <f>AND(UPPER(Data!A297)&lt;&gt;"EMPTY",Data!B297&lt;&gt;"")</f>
        <v>1</v>
      </c>
      <c r="D297" s="1"/>
      <c r="E297" s="25" t="b">
        <f t="shared" ca="1" si="8"/>
        <v>1</v>
      </c>
      <c r="F297" s="26" t="b">
        <f ca="1">IF(UPPER(Data!C297)="SUB PROCESS",NOT(ISERROR(MATCH(RIGHT(Data!BY297,LEN(Data!BY297)-5),OFFSET(Data,0,0,ItemsCount,1),0))),TRUE)</f>
        <v>1</v>
      </c>
      <c r="G297" s="26" t="b">
        <f ca="1">IF(MID(UPPER(Data!A297),1,13)="MISCELLANEOUS",NOT(ISERROR(MATCH("path="&amp;Data!A297,OFFSET(Data,0,76,ItemsCount,1),0))),TRUE)</f>
        <v>1</v>
      </c>
      <c r="L297" s="25" t="b">
        <f t="shared" ca="1" si="9"/>
        <v>1</v>
      </c>
      <c r="M297" s="24" t="b">
        <f>IF(Checks!$C297,Data!A297&lt;&gt;"",TRUE)</f>
        <v>1</v>
      </c>
      <c r="N297" s="26" t="b">
        <f>IF(Checks!C297,Data!B297&lt;&gt;"",TRUE)</f>
        <v>1</v>
      </c>
      <c r="O297" s="26" t="b">
        <f>IF(Checks!C297,IF(AND(UPPER(Data!C297)="SERVICE TASK",UPPER(Data!BZ297)="TYPE=SAS"),NodeExists(TRIM(RIGHT(Data!CA297,LEN(Data!CA297)-FIND("=",Data!CA297)))),TRUE),TRUE)</f>
        <v>1</v>
      </c>
      <c r="P297" s="26" t="b">
        <f>IF(Checks!C297,IF(Data!C297="DATA OBJECT",OR(AND(Data!BW297&lt;&gt;"",Data!BX297=""),AND(Data!BW297="",Data!BX297&lt;&gt;"")),TRUE),TRUE)</f>
        <v>1</v>
      </c>
      <c r="Q297" s="26" t="b">
        <f>IF(Checks!C297,UPPER(RIGHT(Data!A297,5))=".BPMN",TRUE)</f>
        <v>1</v>
      </c>
      <c r="R297" s="26" t="b">
        <f>IF(Checks!C297,IF(UPPER(Data!C297)="SUB PROCESS",UPPER(RIGHT(Data!BY297,5))=".BPMN",TRUE),TRUE)</f>
        <v>1</v>
      </c>
      <c r="S297" s="26" t="b">
        <f>IF(Checks!C297,IF(UPPER(Data!C297)="SERVICE TASK",IF(UPPER(Data!BZ297)="TYPE=SAS",UPPER(RIGHT(Data!CA297,4))=".SAS",TRUE),TRUE),TRUE)</f>
        <v>1</v>
      </c>
      <c r="T297" s="26" t="b">
        <f>IF(Checks!C297,IF(Data!B297&lt;&gt;"",Data!D297&lt;&gt;"",TRUE),TRUE)</f>
        <v>1</v>
      </c>
      <c r="U297" s="26" t="b">
        <f ca="1">IF(Checks!C297,IF(UPPER(Data!C297)="DATA OBJECT",NOT(ISERROR(MATCH(Data!A297&amp;"||"&amp;Data!BW297&amp;Data!BX297,Key,0))),TRUE),TRUE)</f>
        <v>1</v>
      </c>
      <c r="V297" s="26" t="b">
        <f>IF(Checks!C297,IF(UPPER(Data!C297)="SUB PROCESS",Data!BY297&lt;&gt;"",TRUE),TRUE)</f>
        <v>1</v>
      </c>
      <c r="W297" s="26" t="b">
        <f>IF(Checks!C297,IF(UPPER(Data!C297)="SERVICE TASK",AND(Data!BZ297&lt;&gt;"",Data!CA297&lt;&gt;""),TRUE),TRUE)</f>
        <v>1</v>
      </c>
      <c r="X297" s="26" t="b">
        <f t="array" aca="1" ref="X297" ca="1">SUM((OFFSET(Data!B297,MAX(ROW(Data!$B$5)-ROW(Data!B297),-200),0,400,1)=Data!B297)*(OFFSET(Data!A297,MAX(ROW(Data!$B$5)-ROW(Data!B297),-200),0,400,1)=Data!A297))=1</f>
        <v>1</v>
      </c>
      <c r="Y297" s="26" t="b">
        <f t="array" aca="1" ref="Y297" ca="1">IF(UPPER(Data!C297)="START",SUM((OFFSET(Data!C297,MAX(ROW(Data!$C$5)-ROW(Data!C297),-200),0,400,1)="START")*(OFFSET(Data!A297,MAX(ROW(Data!$B$5)-ROW(Data!B297),-200),0,400,1)=Data!A297))=1,TRUE)</f>
        <v>1</v>
      </c>
      <c r="Z297" s="26" t="b">
        <f t="array" aca="1" ref="Z297" ca="1">IF(UPPER(Data!C297)="END",SUM((OFFSET(Data!C297,MAX(ROW(Data!$C$5)-ROW(Data!C297),-200),0,400,1)="END")*(OFFSET(Data!A297,MAX(ROW(Data!$B$5)-ROW(Data!B297),-200),0,400,1)=Data!A297))=1,TRUE)</f>
        <v>1</v>
      </c>
      <c r="AA297" s="26" t="b">
        <f>IF(Checks!C297,ISERROR(FIND("&amp;",Data!D297)),TRUE)</f>
        <v>1</v>
      </c>
      <c r="AB297" s="26" t="b">
        <f>IF(Checks!$C297,IF(AND(UPPER(Data!$C297)&lt;&gt;"START",UPPER(Data!$C297)&lt;&gt;"DATA OBJECT",Data!E297&lt;&gt;""),NOT(ISERROR(MATCH(Data!$A297&amp;"||"&amp;Data!E297,Key,0))),TRUE),TRUE)</f>
        <v>1</v>
      </c>
      <c r="AC297" s="27" t="b">
        <f>IF(Checks!C297,IF(UPPER(Data!C297)="END",Data!E297&lt;&gt;"",TRUE),TRUE)</f>
        <v>1</v>
      </c>
    </row>
    <row r="298" spans="1:29" x14ac:dyDescent="0.25">
      <c r="A298" s="1" t="str">
        <f>Data!A298&amp;"||"&amp;Data!B298</f>
        <v>Miscellaneous/subflow/irmifrs9_enrichment_stage4.bpmn||020_00_06</v>
      </c>
      <c r="B298" s="19"/>
      <c r="C298" s="24" t="b">
        <f>AND(UPPER(Data!A298)&lt;&gt;"EMPTY",Data!B298&lt;&gt;"")</f>
        <v>1</v>
      </c>
      <c r="D298" s="1"/>
      <c r="E298" s="25" t="b">
        <f t="shared" ca="1" si="8"/>
        <v>1</v>
      </c>
      <c r="F298" s="26" t="b">
        <f ca="1">IF(UPPER(Data!C298)="SUB PROCESS",NOT(ISERROR(MATCH(RIGHT(Data!BY298,LEN(Data!BY298)-5),OFFSET(Data,0,0,ItemsCount,1),0))),TRUE)</f>
        <v>1</v>
      </c>
      <c r="G298" s="26" t="b">
        <f ca="1">IF(MID(UPPER(Data!A298),1,13)="MISCELLANEOUS",NOT(ISERROR(MATCH("path="&amp;Data!A298,OFFSET(Data,0,76,ItemsCount,1),0))),TRUE)</f>
        <v>1</v>
      </c>
      <c r="L298" s="25" t="b">
        <f t="shared" ca="1" si="9"/>
        <v>1</v>
      </c>
      <c r="M298" s="24" t="b">
        <f>IF(Checks!$C298,Data!A298&lt;&gt;"",TRUE)</f>
        <v>1</v>
      </c>
      <c r="N298" s="26" t="b">
        <f>IF(Checks!C298,Data!B298&lt;&gt;"",TRUE)</f>
        <v>1</v>
      </c>
      <c r="O298" s="26" t="b">
        <f>IF(Checks!C298,IF(AND(UPPER(Data!C298)="SERVICE TASK",UPPER(Data!BZ298)="TYPE=SAS"),NodeExists(TRIM(RIGHT(Data!CA298,LEN(Data!CA298)-FIND("=",Data!CA298)))),TRUE),TRUE)</f>
        <v>1</v>
      </c>
      <c r="P298" s="26" t="b">
        <f>IF(Checks!C298,IF(Data!C298="DATA OBJECT",OR(AND(Data!BW298&lt;&gt;"",Data!BX298=""),AND(Data!BW298="",Data!BX298&lt;&gt;"")),TRUE),TRUE)</f>
        <v>1</v>
      </c>
      <c r="Q298" s="26" t="b">
        <f>IF(Checks!C298,UPPER(RIGHT(Data!A298,5))=".BPMN",TRUE)</f>
        <v>1</v>
      </c>
      <c r="R298" s="26" t="b">
        <f>IF(Checks!C298,IF(UPPER(Data!C298)="SUB PROCESS",UPPER(RIGHT(Data!BY298,5))=".BPMN",TRUE),TRUE)</f>
        <v>1</v>
      </c>
      <c r="S298" s="26" t="b">
        <f>IF(Checks!C298,IF(UPPER(Data!C298)="SERVICE TASK",IF(UPPER(Data!BZ298)="TYPE=SAS",UPPER(RIGHT(Data!CA298,4))=".SAS",TRUE),TRUE),TRUE)</f>
        <v>1</v>
      </c>
      <c r="T298" s="26" t="b">
        <f>IF(Checks!C298,IF(Data!B298&lt;&gt;"",Data!D298&lt;&gt;"",TRUE),TRUE)</f>
        <v>1</v>
      </c>
      <c r="U298" s="26" t="b">
        <f ca="1">IF(Checks!C298,IF(UPPER(Data!C298)="DATA OBJECT",NOT(ISERROR(MATCH(Data!A298&amp;"||"&amp;Data!BW298&amp;Data!BX298,Key,0))),TRUE),TRUE)</f>
        <v>1</v>
      </c>
      <c r="V298" s="26" t="b">
        <f>IF(Checks!C298,IF(UPPER(Data!C298)="SUB PROCESS",Data!BY298&lt;&gt;"",TRUE),TRUE)</f>
        <v>1</v>
      </c>
      <c r="W298" s="26" t="b">
        <f>IF(Checks!C298,IF(UPPER(Data!C298)="SERVICE TASK",AND(Data!BZ298&lt;&gt;"",Data!CA298&lt;&gt;""),TRUE),TRUE)</f>
        <v>1</v>
      </c>
      <c r="X298" s="26" t="b">
        <f t="array" aca="1" ref="X298" ca="1">SUM((OFFSET(Data!B298,MAX(ROW(Data!$B$5)-ROW(Data!B298),-200),0,400,1)=Data!B298)*(OFFSET(Data!A298,MAX(ROW(Data!$B$5)-ROW(Data!B298),-200),0,400,1)=Data!A298))=1</f>
        <v>1</v>
      </c>
      <c r="Y298" s="26" t="b">
        <f t="array" aca="1" ref="Y298" ca="1">IF(UPPER(Data!C298)="START",SUM((OFFSET(Data!C298,MAX(ROW(Data!$C$5)-ROW(Data!C298),-200),0,400,1)="START")*(OFFSET(Data!A298,MAX(ROW(Data!$B$5)-ROW(Data!B298),-200),0,400,1)=Data!A298))=1,TRUE)</f>
        <v>1</v>
      </c>
      <c r="Z298" s="26" t="b">
        <f t="array" aca="1" ref="Z298" ca="1">IF(UPPER(Data!C298)="END",SUM((OFFSET(Data!C298,MAX(ROW(Data!$C$5)-ROW(Data!C298),-200),0,400,1)="END")*(OFFSET(Data!A298,MAX(ROW(Data!$B$5)-ROW(Data!B298),-200),0,400,1)=Data!A298))=1,TRUE)</f>
        <v>1</v>
      </c>
      <c r="AA298" s="26" t="b">
        <f>IF(Checks!C298,ISERROR(FIND("&amp;",Data!D298)),TRUE)</f>
        <v>1</v>
      </c>
      <c r="AB298" s="26" t="b">
        <f>IF(Checks!$C298,IF(AND(UPPER(Data!$C298)&lt;&gt;"START",UPPER(Data!$C298)&lt;&gt;"DATA OBJECT",Data!E298&lt;&gt;""),NOT(ISERROR(MATCH(Data!$A298&amp;"||"&amp;Data!E298,Key,0))),TRUE),TRUE)</f>
        <v>1</v>
      </c>
      <c r="AC298" s="27" t="b">
        <f>IF(Checks!C298,IF(UPPER(Data!C298)="END",Data!E298&lt;&gt;"",TRUE),TRUE)</f>
        <v>1</v>
      </c>
    </row>
    <row r="299" spans="1:29" x14ac:dyDescent="0.25">
      <c r="A299" s="1" t="str">
        <f>Data!A299&amp;"||"&amp;Data!B299</f>
        <v>Miscellaneous/subflow/irmifrs9_enrichment_stage4.bpmn||020_00_07</v>
      </c>
      <c r="B299" s="19"/>
      <c r="C299" s="24" t="b">
        <f>AND(UPPER(Data!A299)&lt;&gt;"EMPTY",Data!B299&lt;&gt;"")</f>
        <v>1</v>
      </c>
      <c r="D299" s="1"/>
      <c r="E299" s="25" t="b">
        <f t="shared" ca="1" si="8"/>
        <v>1</v>
      </c>
      <c r="F299" s="26" t="b">
        <f ca="1">IF(UPPER(Data!C299)="SUB PROCESS",NOT(ISERROR(MATCH(RIGHT(Data!BY299,LEN(Data!BY299)-5),OFFSET(Data,0,0,ItemsCount,1),0))),TRUE)</f>
        <v>1</v>
      </c>
      <c r="G299" s="26" t="b">
        <f ca="1">IF(MID(UPPER(Data!A299),1,13)="MISCELLANEOUS",NOT(ISERROR(MATCH("path="&amp;Data!A299,OFFSET(Data,0,76,ItemsCount,1),0))),TRUE)</f>
        <v>1</v>
      </c>
      <c r="L299" s="25" t="b">
        <f t="shared" ca="1" si="9"/>
        <v>1</v>
      </c>
      <c r="M299" s="24" t="b">
        <f>IF(Checks!$C299,Data!A299&lt;&gt;"",TRUE)</f>
        <v>1</v>
      </c>
      <c r="N299" s="26" t="b">
        <f>IF(Checks!C299,Data!B299&lt;&gt;"",TRUE)</f>
        <v>1</v>
      </c>
      <c r="O299" s="26" t="b">
        <f>IF(Checks!C299,IF(AND(UPPER(Data!C299)="SERVICE TASK",UPPER(Data!BZ299)="TYPE=SAS"),NodeExists(TRIM(RIGHT(Data!CA299,LEN(Data!CA299)-FIND("=",Data!CA299)))),TRUE),TRUE)</f>
        <v>1</v>
      </c>
      <c r="P299" s="26" t="b">
        <f>IF(Checks!C299,IF(Data!C299="DATA OBJECT",OR(AND(Data!BW299&lt;&gt;"",Data!BX299=""),AND(Data!BW299="",Data!BX299&lt;&gt;"")),TRUE),TRUE)</f>
        <v>1</v>
      </c>
      <c r="Q299" s="26" t="b">
        <f>IF(Checks!C299,UPPER(RIGHT(Data!A299,5))=".BPMN",TRUE)</f>
        <v>1</v>
      </c>
      <c r="R299" s="26" t="b">
        <f>IF(Checks!C299,IF(UPPER(Data!C299)="SUB PROCESS",UPPER(RIGHT(Data!BY299,5))=".BPMN",TRUE),TRUE)</f>
        <v>1</v>
      </c>
      <c r="S299" s="26" t="b">
        <f>IF(Checks!C299,IF(UPPER(Data!C299)="SERVICE TASK",IF(UPPER(Data!BZ299)="TYPE=SAS",UPPER(RIGHT(Data!CA299,4))=".SAS",TRUE),TRUE),TRUE)</f>
        <v>1</v>
      </c>
      <c r="T299" s="26" t="b">
        <f>IF(Checks!C299,IF(Data!B299&lt;&gt;"",Data!D299&lt;&gt;"",TRUE),TRUE)</f>
        <v>1</v>
      </c>
      <c r="U299" s="26" t="b">
        <f ca="1">IF(Checks!C299,IF(UPPER(Data!C299)="DATA OBJECT",NOT(ISERROR(MATCH(Data!A299&amp;"||"&amp;Data!BW299&amp;Data!BX299,Key,0))),TRUE),TRUE)</f>
        <v>1</v>
      </c>
      <c r="V299" s="26" t="b">
        <f>IF(Checks!C299,IF(UPPER(Data!C299)="SUB PROCESS",Data!BY299&lt;&gt;"",TRUE),TRUE)</f>
        <v>1</v>
      </c>
      <c r="W299" s="26" t="b">
        <f>IF(Checks!C299,IF(UPPER(Data!C299)="SERVICE TASK",AND(Data!BZ299&lt;&gt;"",Data!CA299&lt;&gt;""),TRUE),TRUE)</f>
        <v>1</v>
      </c>
      <c r="X299" s="26" t="b">
        <f t="array" aca="1" ref="X299" ca="1">SUM((OFFSET(Data!B299,MAX(ROW(Data!$B$5)-ROW(Data!B299),-200),0,400,1)=Data!B299)*(OFFSET(Data!A299,MAX(ROW(Data!$B$5)-ROW(Data!B299),-200),0,400,1)=Data!A299))=1</f>
        <v>1</v>
      </c>
      <c r="Y299" s="26" t="b">
        <f t="array" aca="1" ref="Y299" ca="1">IF(UPPER(Data!C299)="START",SUM((OFFSET(Data!C299,MAX(ROW(Data!$C$5)-ROW(Data!C299),-200),0,400,1)="START")*(OFFSET(Data!A299,MAX(ROW(Data!$B$5)-ROW(Data!B299),-200),0,400,1)=Data!A299))=1,TRUE)</f>
        <v>1</v>
      </c>
      <c r="Z299" s="26" t="b">
        <f t="array" aca="1" ref="Z299" ca="1">IF(UPPER(Data!C299)="END",SUM((OFFSET(Data!C299,MAX(ROW(Data!$C$5)-ROW(Data!C299),-200),0,400,1)="END")*(OFFSET(Data!A299,MAX(ROW(Data!$B$5)-ROW(Data!B299),-200),0,400,1)=Data!A299))=1,TRUE)</f>
        <v>1</v>
      </c>
      <c r="AA299" s="26" t="b">
        <f>IF(Checks!C299,ISERROR(FIND("&amp;",Data!D299)),TRUE)</f>
        <v>1</v>
      </c>
      <c r="AB299" s="26" t="b">
        <f>IF(Checks!$C299,IF(AND(UPPER(Data!$C299)&lt;&gt;"START",UPPER(Data!$C299)&lt;&gt;"DATA OBJECT",Data!E299&lt;&gt;""),NOT(ISERROR(MATCH(Data!$A299&amp;"||"&amp;Data!E299,Key,0))),TRUE),TRUE)</f>
        <v>1</v>
      </c>
      <c r="AC299" s="27" t="b">
        <f>IF(Checks!C299,IF(UPPER(Data!C299)="END",Data!E299&lt;&gt;"",TRUE),TRUE)</f>
        <v>1</v>
      </c>
    </row>
    <row r="300" spans="1:29" x14ac:dyDescent="0.25">
      <c r="A300" s="1" t="str">
        <f>Data!A300&amp;"||"&amp;Data!B300</f>
        <v>Miscellaneous/subflow/irmifrs9_enrichment_stage4.bpmn||020_00_08</v>
      </c>
      <c r="B300" s="19"/>
      <c r="C300" s="24" t="b">
        <f>AND(UPPER(Data!A300)&lt;&gt;"EMPTY",Data!B300&lt;&gt;"")</f>
        <v>1</v>
      </c>
      <c r="D300" s="1"/>
      <c r="E300" s="25" t="b">
        <f t="shared" ca="1" si="8"/>
        <v>1</v>
      </c>
      <c r="F300" s="26" t="b">
        <f ca="1">IF(UPPER(Data!C300)="SUB PROCESS",NOT(ISERROR(MATCH(RIGHT(Data!BY300,LEN(Data!BY300)-5),OFFSET(Data,0,0,ItemsCount,1),0))),TRUE)</f>
        <v>1</v>
      </c>
      <c r="G300" s="26" t="b">
        <f ca="1">IF(MID(UPPER(Data!A300),1,13)="MISCELLANEOUS",NOT(ISERROR(MATCH("path="&amp;Data!A300,OFFSET(Data,0,76,ItemsCount,1),0))),TRUE)</f>
        <v>1</v>
      </c>
      <c r="L300" s="25" t="b">
        <f t="shared" ca="1" si="9"/>
        <v>1</v>
      </c>
      <c r="M300" s="24" t="b">
        <f>IF(Checks!$C300,Data!A300&lt;&gt;"",TRUE)</f>
        <v>1</v>
      </c>
      <c r="N300" s="26" t="b">
        <f>IF(Checks!C300,Data!B300&lt;&gt;"",TRUE)</f>
        <v>1</v>
      </c>
      <c r="O300" s="26" t="b">
        <f>IF(Checks!C300,IF(AND(UPPER(Data!C300)="SERVICE TASK",UPPER(Data!BZ300)="TYPE=SAS"),NodeExists(TRIM(RIGHT(Data!CA300,LEN(Data!CA300)-FIND("=",Data!CA300)))),TRUE),TRUE)</f>
        <v>1</v>
      </c>
      <c r="P300" s="26" t="b">
        <f>IF(Checks!C300,IF(Data!C300="DATA OBJECT",OR(AND(Data!BW300&lt;&gt;"",Data!BX300=""),AND(Data!BW300="",Data!BX300&lt;&gt;"")),TRUE),TRUE)</f>
        <v>1</v>
      </c>
      <c r="Q300" s="26" t="b">
        <f>IF(Checks!C300,UPPER(RIGHT(Data!A300,5))=".BPMN",TRUE)</f>
        <v>1</v>
      </c>
      <c r="R300" s="26" t="b">
        <f>IF(Checks!C300,IF(UPPER(Data!C300)="SUB PROCESS",UPPER(RIGHT(Data!BY300,5))=".BPMN",TRUE),TRUE)</f>
        <v>1</v>
      </c>
      <c r="S300" s="26" t="b">
        <f>IF(Checks!C300,IF(UPPER(Data!C300)="SERVICE TASK",IF(UPPER(Data!BZ300)="TYPE=SAS",UPPER(RIGHT(Data!CA300,4))=".SAS",TRUE),TRUE),TRUE)</f>
        <v>1</v>
      </c>
      <c r="T300" s="26" t="b">
        <f>IF(Checks!C300,IF(Data!B300&lt;&gt;"",Data!D300&lt;&gt;"",TRUE),TRUE)</f>
        <v>1</v>
      </c>
      <c r="U300" s="26" t="b">
        <f ca="1">IF(Checks!C300,IF(UPPER(Data!C300)="DATA OBJECT",NOT(ISERROR(MATCH(Data!A300&amp;"||"&amp;Data!BW300&amp;Data!BX300,Key,0))),TRUE),TRUE)</f>
        <v>1</v>
      </c>
      <c r="V300" s="26" t="b">
        <f>IF(Checks!C300,IF(UPPER(Data!C300)="SUB PROCESS",Data!BY300&lt;&gt;"",TRUE),TRUE)</f>
        <v>1</v>
      </c>
      <c r="W300" s="26" t="b">
        <f>IF(Checks!C300,IF(UPPER(Data!C300)="SERVICE TASK",AND(Data!BZ300&lt;&gt;"",Data!CA300&lt;&gt;""),TRUE),TRUE)</f>
        <v>1</v>
      </c>
      <c r="X300" s="26" t="b">
        <f t="array" aca="1" ref="X300" ca="1">SUM((OFFSET(Data!B300,MAX(ROW(Data!$B$5)-ROW(Data!B300),-200),0,400,1)=Data!B300)*(OFFSET(Data!A300,MAX(ROW(Data!$B$5)-ROW(Data!B300),-200),0,400,1)=Data!A300))=1</f>
        <v>1</v>
      </c>
      <c r="Y300" s="26" t="b">
        <f t="array" aca="1" ref="Y300" ca="1">IF(UPPER(Data!C300)="START",SUM((OFFSET(Data!C300,MAX(ROW(Data!$C$5)-ROW(Data!C300),-200),0,400,1)="START")*(OFFSET(Data!A300,MAX(ROW(Data!$B$5)-ROW(Data!B300),-200),0,400,1)=Data!A300))=1,TRUE)</f>
        <v>1</v>
      </c>
      <c r="Z300" s="26" t="b">
        <f t="array" aca="1" ref="Z300" ca="1">IF(UPPER(Data!C300)="END",SUM((OFFSET(Data!C300,MAX(ROW(Data!$C$5)-ROW(Data!C300),-200),0,400,1)="END")*(OFFSET(Data!A300,MAX(ROW(Data!$B$5)-ROW(Data!B300),-200),0,400,1)=Data!A300))=1,TRUE)</f>
        <v>1</v>
      </c>
      <c r="AA300" s="26" t="b">
        <f>IF(Checks!C300,ISERROR(FIND("&amp;",Data!D300)),TRUE)</f>
        <v>1</v>
      </c>
      <c r="AB300" s="26" t="b">
        <f>IF(Checks!$C300,IF(AND(UPPER(Data!$C300)&lt;&gt;"START",UPPER(Data!$C300)&lt;&gt;"DATA OBJECT",Data!E300&lt;&gt;""),NOT(ISERROR(MATCH(Data!$A300&amp;"||"&amp;Data!E300,Key,0))),TRUE),TRUE)</f>
        <v>1</v>
      </c>
      <c r="AC300" s="27" t="b">
        <f>IF(Checks!C300,IF(UPPER(Data!C300)="END",Data!E300&lt;&gt;"",TRUE),TRUE)</f>
        <v>1</v>
      </c>
    </row>
    <row r="301" spans="1:29" x14ac:dyDescent="0.25">
      <c r="A301" s="1" t="str">
        <f>Data!A301&amp;"||"&amp;Data!B301</f>
        <v>Miscellaneous/subflow/irmifrs9_enrichment_stage4.bpmn||020_00_09</v>
      </c>
      <c r="B301" s="19"/>
      <c r="C301" s="24" t="b">
        <f>AND(UPPER(Data!A301)&lt;&gt;"EMPTY",Data!B301&lt;&gt;"")</f>
        <v>1</v>
      </c>
      <c r="D301" s="1"/>
      <c r="E301" s="25" t="b">
        <f t="shared" ca="1" si="8"/>
        <v>1</v>
      </c>
      <c r="F301" s="26" t="b">
        <f ca="1">IF(UPPER(Data!C301)="SUB PROCESS",NOT(ISERROR(MATCH(RIGHT(Data!BY301,LEN(Data!BY301)-5),OFFSET(Data,0,0,ItemsCount,1),0))),TRUE)</f>
        <v>1</v>
      </c>
      <c r="G301" s="26" t="b">
        <f ca="1">IF(MID(UPPER(Data!A301),1,13)="MISCELLANEOUS",NOT(ISERROR(MATCH("path="&amp;Data!A301,OFFSET(Data,0,76,ItemsCount,1),0))),TRUE)</f>
        <v>1</v>
      </c>
      <c r="L301" s="25" t="b">
        <f t="shared" ca="1" si="9"/>
        <v>1</v>
      </c>
      <c r="M301" s="24" t="b">
        <f>IF(Checks!$C301,Data!A301&lt;&gt;"",TRUE)</f>
        <v>1</v>
      </c>
      <c r="N301" s="26" t="b">
        <f>IF(Checks!C301,Data!B301&lt;&gt;"",TRUE)</f>
        <v>1</v>
      </c>
      <c r="O301" s="26" t="b">
        <f>IF(Checks!C301,IF(AND(UPPER(Data!C301)="SERVICE TASK",UPPER(Data!BZ301)="TYPE=SAS"),NodeExists(TRIM(RIGHT(Data!CA301,LEN(Data!CA301)-FIND("=",Data!CA301)))),TRUE),TRUE)</f>
        <v>1</v>
      </c>
      <c r="P301" s="26" t="b">
        <f>IF(Checks!C301,IF(Data!C301="DATA OBJECT",OR(AND(Data!BW301&lt;&gt;"",Data!BX301=""),AND(Data!BW301="",Data!BX301&lt;&gt;"")),TRUE),TRUE)</f>
        <v>1</v>
      </c>
      <c r="Q301" s="26" t="b">
        <f>IF(Checks!C301,UPPER(RIGHT(Data!A301,5))=".BPMN",TRUE)</f>
        <v>1</v>
      </c>
      <c r="R301" s="26" t="b">
        <f>IF(Checks!C301,IF(UPPER(Data!C301)="SUB PROCESS",UPPER(RIGHT(Data!BY301,5))=".BPMN",TRUE),TRUE)</f>
        <v>1</v>
      </c>
      <c r="S301" s="26" t="b">
        <f>IF(Checks!C301,IF(UPPER(Data!C301)="SERVICE TASK",IF(UPPER(Data!BZ301)="TYPE=SAS",UPPER(RIGHT(Data!CA301,4))=".SAS",TRUE),TRUE),TRUE)</f>
        <v>1</v>
      </c>
      <c r="T301" s="26" t="b">
        <f>IF(Checks!C301,IF(Data!B301&lt;&gt;"",Data!D301&lt;&gt;"",TRUE),TRUE)</f>
        <v>1</v>
      </c>
      <c r="U301" s="26" t="b">
        <f ca="1">IF(Checks!C301,IF(UPPER(Data!C301)="DATA OBJECT",NOT(ISERROR(MATCH(Data!A301&amp;"||"&amp;Data!BW301&amp;Data!BX301,Key,0))),TRUE),TRUE)</f>
        <v>1</v>
      </c>
      <c r="V301" s="26" t="b">
        <f>IF(Checks!C301,IF(UPPER(Data!C301)="SUB PROCESS",Data!BY301&lt;&gt;"",TRUE),TRUE)</f>
        <v>1</v>
      </c>
      <c r="W301" s="26" t="b">
        <f>IF(Checks!C301,IF(UPPER(Data!C301)="SERVICE TASK",AND(Data!BZ301&lt;&gt;"",Data!CA301&lt;&gt;""),TRUE),TRUE)</f>
        <v>1</v>
      </c>
      <c r="X301" s="26" t="b">
        <f t="array" aca="1" ref="X301" ca="1">SUM((OFFSET(Data!B301,MAX(ROW(Data!$B$5)-ROW(Data!B301),-200),0,400,1)=Data!B301)*(OFFSET(Data!A301,MAX(ROW(Data!$B$5)-ROW(Data!B301),-200),0,400,1)=Data!A301))=1</f>
        <v>1</v>
      </c>
      <c r="Y301" s="26" t="b">
        <f t="array" aca="1" ref="Y301" ca="1">IF(UPPER(Data!C301)="START",SUM((OFFSET(Data!C301,MAX(ROW(Data!$C$5)-ROW(Data!C301),-200),0,400,1)="START")*(OFFSET(Data!A301,MAX(ROW(Data!$B$5)-ROW(Data!B301),-200),0,400,1)=Data!A301))=1,TRUE)</f>
        <v>1</v>
      </c>
      <c r="Z301" s="26" t="b">
        <f t="array" aca="1" ref="Z301" ca="1">IF(UPPER(Data!C301)="END",SUM((OFFSET(Data!C301,MAX(ROW(Data!$C$5)-ROW(Data!C301),-200),0,400,1)="END")*(OFFSET(Data!A301,MAX(ROW(Data!$B$5)-ROW(Data!B301),-200),0,400,1)=Data!A301))=1,TRUE)</f>
        <v>1</v>
      </c>
      <c r="AA301" s="26" t="b">
        <f>IF(Checks!C301,ISERROR(FIND("&amp;",Data!D301)),TRUE)</f>
        <v>1</v>
      </c>
      <c r="AB301" s="26" t="b">
        <f>IF(Checks!$C301,IF(AND(UPPER(Data!$C301)&lt;&gt;"START",UPPER(Data!$C301)&lt;&gt;"DATA OBJECT",Data!E301&lt;&gt;""),NOT(ISERROR(MATCH(Data!$A301&amp;"||"&amp;Data!E301,Key,0))),TRUE),TRUE)</f>
        <v>1</v>
      </c>
      <c r="AC301" s="27" t="b">
        <f>IF(Checks!C301,IF(UPPER(Data!C301)="END",Data!E301&lt;&gt;"",TRUE),TRUE)</f>
        <v>1</v>
      </c>
    </row>
    <row r="302" spans="1:29" x14ac:dyDescent="0.25">
      <c r="A302" s="1" t="str">
        <f>Data!A302&amp;"||"&amp;Data!B302</f>
        <v>Miscellaneous/subflow/irmifrs9_enrichment_stage4.bpmn||020_00_10</v>
      </c>
      <c r="B302" s="19"/>
      <c r="C302" s="24" t="b">
        <f>AND(UPPER(Data!A302)&lt;&gt;"EMPTY",Data!B302&lt;&gt;"")</f>
        <v>1</v>
      </c>
      <c r="D302" s="1"/>
      <c r="E302" s="25" t="b">
        <f t="shared" ca="1" si="8"/>
        <v>1</v>
      </c>
      <c r="F302" s="26" t="b">
        <f ca="1">IF(UPPER(Data!C302)="SUB PROCESS",NOT(ISERROR(MATCH(RIGHT(Data!BY302,LEN(Data!BY302)-5),OFFSET(Data,0,0,ItemsCount,1),0))),TRUE)</f>
        <v>1</v>
      </c>
      <c r="G302" s="26" t="b">
        <f ca="1">IF(MID(UPPER(Data!A302),1,13)="MISCELLANEOUS",NOT(ISERROR(MATCH("path="&amp;Data!A302,OFFSET(Data,0,76,ItemsCount,1),0))),TRUE)</f>
        <v>1</v>
      </c>
      <c r="L302" s="25" t="b">
        <f t="shared" ca="1" si="9"/>
        <v>1</v>
      </c>
      <c r="M302" s="24" t="b">
        <f>IF(Checks!$C302,Data!A302&lt;&gt;"",TRUE)</f>
        <v>1</v>
      </c>
      <c r="N302" s="26" t="b">
        <f>IF(Checks!C302,Data!B302&lt;&gt;"",TRUE)</f>
        <v>1</v>
      </c>
      <c r="O302" s="26" t="b">
        <f>IF(Checks!C302,IF(AND(UPPER(Data!C302)="SERVICE TASK",UPPER(Data!BZ302)="TYPE=SAS"),NodeExists(TRIM(RIGHT(Data!CA302,LEN(Data!CA302)-FIND("=",Data!CA302)))),TRUE),TRUE)</f>
        <v>1</v>
      </c>
      <c r="P302" s="26" t="b">
        <f>IF(Checks!C302,IF(Data!C302="DATA OBJECT",OR(AND(Data!BW302&lt;&gt;"",Data!BX302=""),AND(Data!BW302="",Data!BX302&lt;&gt;"")),TRUE),TRUE)</f>
        <v>1</v>
      </c>
      <c r="Q302" s="26" t="b">
        <f>IF(Checks!C302,UPPER(RIGHT(Data!A302,5))=".BPMN",TRUE)</f>
        <v>1</v>
      </c>
      <c r="R302" s="26" t="b">
        <f>IF(Checks!C302,IF(UPPER(Data!C302)="SUB PROCESS",UPPER(RIGHT(Data!BY302,5))=".BPMN",TRUE),TRUE)</f>
        <v>1</v>
      </c>
      <c r="S302" s="26" t="b">
        <f>IF(Checks!C302,IF(UPPER(Data!C302)="SERVICE TASK",IF(UPPER(Data!BZ302)="TYPE=SAS",UPPER(RIGHT(Data!CA302,4))=".SAS",TRUE),TRUE),TRUE)</f>
        <v>1</v>
      </c>
      <c r="T302" s="26" t="b">
        <f>IF(Checks!C302,IF(Data!B302&lt;&gt;"",Data!D302&lt;&gt;"",TRUE),TRUE)</f>
        <v>1</v>
      </c>
      <c r="U302" s="26" t="b">
        <f ca="1">IF(Checks!C302,IF(UPPER(Data!C302)="DATA OBJECT",NOT(ISERROR(MATCH(Data!A302&amp;"||"&amp;Data!BW302&amp;Data!BX302,Key,0))),TRUE),TRUE)</f>
        <v>1</v>
      </c>
      <c r="V302" s="26" t="b">
        <f>IF(Checks!C302,IF(UPPER(Data!C302)="SUB PROCESS",Data!BY302&lt;&gt;"",TRUE),TRUE)</f>
        <v>1</v>
      </c>
      <c r="W302" s="26" t="b">
        <f>IF(Checks!C302,IF(UPPER(Data!C302)="SERVICE TASK",AND(Data!BZ302&lt;&gt;"",Data!CA302&lt;&gt;""),TRUE),TRUE)</f>
        <v>1</v>
      </c>
      <c r="X302" s="26" t="b">
        <f t="array" aca="1" ref="X302" ca="1">SUM((OFFSET(Data!B302,MAX(ROW(Data!$B$5)-ROW(Data!B302),-200),0,400,1)=Data!B302)*(OFFSET(Data!A302,MAX(ROW(Data!$B$5)-ROW(Data!B302),-200),0,400,1)=Data!A302))=1</f>
        <v>1</v>
      </c>
      <c r="Y302" s="26" t="b">
        <f t="array" aca="1" ref="Y302" ca="1">IF(UPPER(Data!C302)="START",SUM((OFFSET(Data!C302,MAX(ROW(Data!$C$5)-ROW(Data!C302),-200),0,400,1)="START")*(OFFSET(Data!A302,MAX(ROW(Data!$B$5)-ROW(Data!B302),-200),0,400,1)=Data!A302))=1,TRUE)</f>
        <v>1</v>
      </c>
      <c r="Z302" s="26" t="b">
        <f t="array" aca="1" ref="Z302" ca="1">IF(UPPER(Data!C302)="END",SUM((OFFSET(Data!C302,MAX(ROW(Data!$C$5)-ROW(Data!C302),-200),0,400,1)="END")*(OFFSET(Data!A302,MAX(ROW(Data!$B$5)-ROW(Data!B302),-200),0,400,1)=Data!A302))=1,TRUE)</f>
        <v>1</v>
      </c>
      <c r="AA302" s="26" t="b">
        <f>IF(Checks!C302,ISERROR(FIND("&amp;",Data!D302)),TRUE)</f>
        <v>1</v>
      </c>
      <c r="AB302" s="26" t="b">
        <f>IF(Checks!$C302,IF(AND(UPPER(Data!$C302)&lt;&gt;"START",UPPER(Data!$C302)&lt;&gt;"DATA OBJECT",Data!E302&lt;&gt;""),NOT(ISERROR(MATCH(Data!$A302&amp;"||"&amp;Data!E302,Key,0))),TRUE),TRUE)</f>
        <v>1</v>
      </c>
      <c r="AC302" s="27" t="b">
        <f>IF(Checks!C302,IF(UPPER(Data!C302)="END",Data!E302&lt;&gt;"",TRUE),TRUE)</f>
        <v>1</v>
      </c>
    </row>
    <row r="303" spans="1:29" x14ac:dyDescent="0.25">
      <c r="A303" s="1" t="str">
        <f>Data!A303&amp;"||"&amp;Data!B303</f>
        <v>Miscellaneous/subflow/irmifrs9_enrichment_stage4.bpmn||020_01_00</v>
      </c>
      <c r="B303" s="19"/>
      <c r="C303" s="24" t="b">
        <f>AND(UPPER(Data!A303)&lt;&gt;"EMPTY",Data!B303&lt;&gt;"")</f>
        <v>1</v>
      </c>
      <c r="D303" s="1"/>
      <c r="E303" s="25" t="b">
        <f t="shared" ca="1" si="8"/>
        <v>1</v>
      </c>
      <c r="F303" s="26" t="b">
        <f ca="1">IF(UPPER(Data!C303)="SUB PROCESS",NOT(ISERROR(MATCH(RIGHT(Data!BY303,LEN(Data!BY303)-5),OFFSET(Data,0,0,ItemsCount,1),0))),TRUE)</f>
        <v>1</v>
      </c>
      <c r="G303" s="26" t="b">
        <f ca="1">IF(MID(UPPER(Data!A303),1,13)="MISCELLANEOUS",NOT(ISERROR(MATCH("path="&amp;Data!A303,OFFSET(Data,0,76,ItemsCount,1),0))),TRUE)</f>
        <v>1</v>
      </c>
      <c r="L303" s="25" t="b">
        <f t="shared" ca="1" si="9"/>
        <v>1</v>
      </c>
      <c r="M303" s="24" t="b">
        <f>IF(Checks!$C303,Data!A303&lt;&gt;"",TRUE)</f>
        <v>1</v>
      </c>
      <c r="N303" s="26" t="b">
        <f>IF(Checks!C303,Data!B303&lt;&gt;"",TRUE)</f>
        <v>1</v>
      </c>
      <c r="O303" s="26" t="b">
        <f>IF(Checks!C303,IF(AND(UPPER(Data!C303)="SERVICE TASK",UPPER(Data!BZ303)="TYPE=SAS"),NodeExists(TRIM(RIGHT(Data!CA303,LEN(Data!CA303)-FIND("=",Data!CA303)))),TRUE),TRUE)</f>
        <v>1</v>
      </c>
      <c r="P303" s="26" t="b">
        <f>IF(Checks!C303,IF(Data!C303="DATA OBJECT",OR(AND(Data!BW303&lt;&gt;"",Data!BX303=""),AND(Data!BW303="",Data!BX303&lt;&gt;"")),TRUE),TRUE)</f>
        <v>1</v>
      </c>
      <c r="Q303" s="26" t="b">
        <f>IF(Checks!C303,UPPER(RIGHT(Data!A303,5))=".BPMN",TRUE)</f>
        <v>1</v>
      </c>
      <c r="R303" s="26" t="b">
        <f>IF(Checks!C303,IF(UPPER(Data!C303)="SUB PROCESS",UPPER(RIGHT(Data!BY303,5))=".BPMN",TRUE),TRUE)</f>
        <v>1</v>
      </c>
      <c r="S303" s="26" t="b">
        <f>IF(Checks!C303,IF(UPPER(Data!C303)="SERVICE TASK",IF(UPPER(Data!BZ303)="TYPE=SAS",UPPER(RIGHT(Data!CA303,4))=".SAS",TRUE),TRUE),TRUE)</f>
        <v>1</v>
      </c>
      <c r="T303" s="26" t="b">
        <f>IF(Checks!C303,IF(Data!B303&lt;&gt;"",Data!D303&lt;&gt;"",TRUE),TRUE)</f>
        <v>1</v>
      </c>
      <c r="U303" s="26" t="b">
        <f ca="1">IF(Checks!C303,IF(UPPER(Data!C303)="DATA OBJECT",NOT(ISERROR(MATCH(Data!A303&amp;"||"&amp;Data!BW303&amp;Data!BX303,Key,0))),TRUE),TRUE)</f>
        <v>1</v>
      </c>
      <c r="V303" s="26" t="b">
        <f>IF(Checks!C303,IF(UPPER(Data!C303)="SUB PROCESS",Data!BY303&lt;&gt;"",TRUE),TRUE)</f>
        <v>1</v>
      </c>
      <c r="W303" s="26" t="b">
        <f>IF(Checks!C303,IF(UPPER(Data!C303)="SERVICE TASK",AND(Data!BZ303&lt;&gt;"",Data!CA303&lt;&gt;""),TRUE),TRUE)</f>
        <v>1</v>
      </c>
      <c r="X303" s="26" t="b">
        <f t="array" aca="1" ref="X303" ca="1">SUM((OFFSET(Data!B303,MAX(ROW(Data!$B$5)-ROW(Data!B303),-200),0,400,1)=Data!B303)*(OFFSET(Data!A303,MAX(ROW(Data!$B$5)-ROW(Data!B303),-200),0,400,1)=Data!A303))=1</f>
        <v>1</v>
      </c>
      <c r="Y303" s="26" t="b">
        <f t="array" aca="1" ref="Y303" ca="1">IF(UPPER(Data!C303)="START",SUM((OFFSET(Data!C303,MAX(ROW(Data!$C$5)-ROW(Data!C303),-200),0,400,1)="START")*(OFFSET(Data!A303,MAX(ROW(Data!$B$5)-ROW(Data!B303),-200),0,400,1)=Data!A303))=1,TRUE)</f>
        <v>1</v>
      </c>
      <c r="Z303" s="26" t="b">
        <f t="array" aca="1" ref="Z303" ca="1">IF(UPPER(Data!C303)="END",SUM((OFFSET(Data!C303,MAX(ROW(Data!$C$5)-ROW(Data!C303),-200),0,400,1)="END")*(OFFSET(Data!A303,MAX(ROW(Data!$B$5)-ROW(Data!B303),-200),0,400,1)=Data!A303))=1,TRUE)</f>
        <v>1</v>
      </c>
      <c r="AA303" s="26" t="b">
        <f>IF(Checks!C303,ISERROR(FIND("&amp;",Data!D303)),TRUE)</f>
        <v>1</v>
      </c>
      <c r="AB303" s="26" t="b">
        <f>IF(Checks!$C303,IF(AND(UPPER(Data!$C303)&lt;&gt;"START",UPPER(Data!$C303)&lt;&gt;"DATA OBJECT",Data!E303&lt;&gt;""),NOT(ISERROR(MATCH(Data!$A303&amp;"||"&amp;Data!E303,Key,0))),TRUE),TRUE)</f>
        <v>1</v>
      </c>
      <c r="AC303" s="27" t="b">
        <f>IF(Checks!C303,IF(UPPER(Data!C303)="END",Data!E303&lt;&gt;"",TRUE),TRUE)</f>
        <v>1</v>
      </c>
    </row>
    <row r="304" spans="1:29" x14ac:dyDescent="0.25">
      <c r="A304" s="1" t="str">
        <f>Data!A304&amp;"||"&amp;Data!B304</f>
        <v>Miscellaneous/subflow/irmifrs9_enrichment_stage4.bpmn||030_00_00</v>
      </c>
      <c r="B304" s="19"/>
      <c r="C304" s="24" t="b">
        <f>AND(UPPER(Data!A304)&lt;&gt;"EMPTY",Data!B304&lt;&gt;"")</f>
        <v>1</v>
      </c>
      <c r="D304" s="1"/>
      <c r="E304" s="25" t="b">
        <f t="shared" ca="1" si="8"/>
        <v>1</v>
      </c>
      <c r="F304" s="26" t="b">
        <f ca="1">IF(UPPER(Data!C304)="SUB PROCESS",NOT(ISERROR(MATCH(RIGHT(Data!BY304,LEN(Data!BY304)-5),OFFSET(Data,0,0,ItemsCount,1),0))),TRUE)</f>
        <v>1</v>
      </c>
      <c r="G304" s="26" t="b">
        <f ca="1">IF(MID(UPPER(Data!A304),1,13)="MISCELLANEOUS",NOT(ISERROR(MATCH("path="&amp;Data!A304,OFFSET(Data,0,76,ItemsCount,1),0))),TRUE)</f>
        <v>1</v>
      </c>
      <c r="L304" s="25" t="b">
        <f t="shared" ca="1" si="9"/>
        <v>1</v>
      </c>
      <c r="M304" s="24" t="b">
        <f>IF(Checks!$C304,Data!A304&lt;&gt;"",TRUE)</f>
        <v>1</v>
      </c>
      <c r="N304" s="26" t="b">
        <f>IF(Checks!C304,Data!B304&lt;&gt;"",TRUE)</f>
        <v>1</v>
      </c>
      <c r="O304" s="26" t="b">
        <f>IF(Checks!C304,IF(AND(UPPER(Data!C304)="SERVICE TASK",UPPER(Data!BZ304)="TYPE=SAS"),NodeExists(TRIM(RIGHT(Data!CA304,LEN(Data!CA304)-FIND("=",Data!CA304)))),TRUE),TRUE)</f>
        <v>1</v>
      </c>
      <c r="P304" s="26" t="b">
        <f>IF(Checks!C304,IF(Data!C304="DATA OBJECT",OR(AND(Data!BW304&lt;&gt;"",Data!BX304=""),AND(Data!BW304="",Data!BX304&lt;&gt;"")),TRUE),TRUE)</f>
        <v>1</v>
      </c>
      <c r="Q304" s="26" t="b">
        <f>IF(Checks!C304,UPPER(RIGHT(Data!A304,5))=".BPMN",TRUE)</f>
        <v>1</v>
      </c>
      <c r="R304" s="26" t="b">
        <f>IF(Checks!C304,IF(UPPER(Data!C304)="SUB PROCESS",UPPER(RIGHT(Data!BY304,5))=".BPMN",TRUE),TRUE)</f>
        <v>1</v>
      </c>
      <c r="S304" s="26" t="b">
        <f>IF(Checks!C304,IF(UPPER(Data!C304)="SERVICE TASK",IF(UPPER(Data!BZ304)="TYPE=SAS",UPPER(RIGHT(Data!CA304,4))=".SAS",TRUE),TRUE),TRUE)</f>
        <v>1</v>
      </c>
      <c r="T304" s="26" t="b">
        <f>IF(Checks!C304,IF(Data!B304&lt;&gt;"",Data!D304&lt;&gt;"",TRUE),TRUE)</f>
        <v>1</v>
      </c>
      <c r="U304" s="26" t="b">
        <f>IF(Checks!C304,IF(UPPER(Data!C304)="DATA OBJECT",NOT(ISERROR(MATCH(Data!A304&amp;"||"&amp;Data!BW304&amp;Data!BX304,Key,0))),TRUE),TRUE)</f>
        <v>1</v>
      </c>
      <c r="V304" s="26" t="b">
        <f>IF(Checks!C304,IF(UPPER(Data!C304)="SUB PROCESS",Data!BY304&lt;&gt;"",TRUE),TRUE)</f>
        <v>1</v>
      </c>
      <c r="W304" s="26" t="b">
        <f>IF(Checks!C304,IF(UPPER(Data!C304)="SERVICE TASK",AND(Data!BZ304&lt;&gt;"",Data!CA304&lt;&gt;""),TRUE),TRUE)</f>
        <v>1</v>
      </c>
      <c r="X304" s="26" t="b">
        <f t="array" aca="1" ref="X304" ca="1">SUM((OFFSET(Data!B304,MAX(ROW(Data!$B$5)-ROW(Data!B304),-200),0,400,1)=Data!B304)*(OFFSET(Data!A304,MAX(ROW(Data!$B$5)-ROW(Data!B304),-200),0,400,1)=Data!A304))=1</f>
        <v>1</v>
      </c>
      <c r="Y304" s="26" t="b">
        <f t="array" aca="1" ref="Y304" ca="1">IF(UPPER(Data!C304)="START",SUM((OFFSET(Data!C304,MAX(ROW(Data!$C$5)-ROW(Data!C304),-200),0,400,1)="START")*(OFFSET(Data!A304,MAX(ROW(Data!$B$5)-ROW(Data!B304),-200),0,400,1)=Data!A304))=1,TRUE)</f>
        <v>1</v>
      </c>
      <c r="Z304" s="26" t="b">
        <f t="array" aca="1" ref="Z304" ca="1">IF(UPPER(Data!C304)="END",SUM((OFFSET(Data!C304,MAX(ROW(Data!$C$5)-ROW(Data!C304),-200),0,400,1)="END")*(OFFSET(Data!A304,MAX(ROW(Data!$B$5)-ROW(Data!B304),-200),0,400,1)=Data!A304))=1,TRUE)</f>
        <v>1</v>
      </c>
      <c r="AA304" s="26" t="b">
        <f>IF(Checks!C304,ISERROR(FIND("&amp;",Data!D304)),TRUE)</f>
        <v>1</v>
      </c>
      <c r="AB304" s="26" t="b">
        <f ca="1">IF(Checks!$C304,IF(AND(UPPER(Data!$C304)&lt;&gt;"START",UPPER(Data!$C304)&lt;&gt;"DATA OBJECT",Data!E304&lt;&gt;""),NOT(ISERROR(MATCH(Data!$A304&amp;"||"&amp;Data!E304,Key,0))),TRUE),TRUE)</f>
        <v>1</v>
      </c>
      <c r="AC304" s="27" t="b">
        <f>IF(Checks!C304,IF(UPPER(Data!C304)="END",Data!E304&lt;&gt;"",TRUE),TRUE)</f>
        <v>1</v>
      </c>
    </row>
    <row r="305" spans="1:29" x14ac:dyDescent="0.25">
      <c r="A305" s="1" t="str">
        <f>Data!A305&amp;"||"&amp;Data!B305</f>
        <v>Miscellaneous/subflow/irmifrs9_enrichment_stage4.bpmn||030_00_01</v>
      </c>
      <c r="B305" s="19"/>
      <c r="C305" s="24" t="b">
        <f>AND(UPPER(Data!A305)&lt;&gt;"EMPTY",Data!B305&lt;&gt;"")</f>
        <v>1</v>
      </c>
      <c r="D305" s="1"/>
      <c r="E305" s="25" t="b">
        <f t="shared" ca="1" si="8"/>
        <v>1</v>
      </c>
      <c r="F305" s="26" t="b">
        <f ca="1">IF(UPPER(Data!C305)="SUB PROCESS",NOT(ISERROR(MATCH(RIGHT(Data!BY305,LEN(Data!BY305)-5),OFFSET(Data,0,0,ItemsCount,1),0))),TRUE)</f>
        <v>1</v>
      </c>
      <c r="G305" s="26" t="b">
        <f ca="1">IF(MID(UPPER(Data!A305),1,13)="MISCELLANEOUS",NOT(ISERROR(MATCH("path="&amp;Data!A305,OFFSET(Data,0,76,ItemsCount,1),0))),TRUE)</f>
        <v>1</v>
      </c>
      <c r="L305" s="25" t="b">
        <f t="shared" ca="1" si="9"/>
        <v>1</v>
      </c>
      <c r="M305" s="24" t="b">
        <f>IF(Checks!$C305,Data!A305&lt;&gt;"",TRUE)</f>
        <v>1</v>
      </c>
      <c r="N305" s="26" t="b">
        <f>IF(Checks!C305,Data!B305&lt;&gt;"",TRUE)</f>
        <v>1</v>
      </c>
      <c r="O305" s="26" t="b">
        <f>IF(Checks!C305,IF(AND(UPPER(Data!C305)="SERVICE TASK",UPPER(Data!BZ305)="TYPE=SAS"),NodeExists(TRIM(RIGHT(Data!CA305,LEN(Data!CA305)-FIND("=",Data!CA305)))),TRUE),TRUE)</f>
        <v>1</v>
      </c>
      <c r="P305" s="26" t="b">
        <f>IF(Checks!C305,IF(Data!C305="DATA OBJECT",OR(AND(Data!BW305&lt;&gt;"",Data!BX305=""),AND(Data!BW305="",Data!BX305&lt;&gt;"")),TRUE),TRUE)</f>
        <v>1</v>
      </c>
      <c r="Q305" s="26" t="b">
        <f>IF(Checks!C305,UPPER(RIGHT(Data!A305,5))=".BPMN",TRUE)</f>
        <v>1</v>
      </c>
      <c r="R305" s="26" t="b">
        <f>IF(Checks!C305,IF(UPPER(Data!C305)="SUB PROCESS",UPPER(RIGHT(Data!BY305,5))=".BPMN",TRUE),TRUE)</f>
        <v>1</v>
      </c>
      <c r="S305" s="26" t="b">
        <f>IF(Checks!C305,IF(UPPER(Data!C305)="SERVICE TASK",IF(UPPER(Data!BZ305)="TYPE=SAS",UPPER(RIGHT(Data!CA305,4))=".SAS",TRUE),TRUE),TRUE)</f>
        <v>1</v>
      </c>
      <c r="T305" s="26" t="b">
        <f>IF(Checks!C305,IF(Data!B305&lt;&gt;"",Data!D305&lt;&gt;"",TRUE),TRUE)</f>
        <v>1</v>
      </c>
      <c r="U305" s="26" t="b">
        <f ca="1">IF(Checks!C305,IF(UPPER(Data!C305)="DATA OBJECT",NOT(ISERROR(MATCH(Data!A305&amp;"||"&amp;Data!BW305&amp;Data!BX305,Key,0))),TRUE),TRUE)</f>
        <v>1</v>
      </c>
      <c r="V305" s="26" t="b">
        <f>IF(Checks!C305,IF(UPPER(Data!C305)="SUB PROCESS",Data!BY305&lt;&gt;"",TRUE),TRUE)</f>
        <v>1</v>
      </c>
      <c r="W305" s="26" t="b">
        <f>IF(Checks!C305,IF(UPPER(Data!C305)="SERVICE TASK",AND(Data!BZ305&lt;&gt;"",Data!CA305&lt;&gt;""),TRUE),TRUE)</f>
        <v>1</v>
      </c>
      <c r="X305" s="26" t="b">
        <f t="array" aca="1" ref="X305" ca="1">SUM((OFFSET(Data!B305,MAX(ROW(Data!$B$5)-ROW(Data!B305),-200),0,400,1)=Data!B305)*(OFFSET(Data!A305,MAX(ROW(Data!$B$5)-ROW(Data!B305),-200),0,400,1)=Data!A305))=1</f>
        <v>1</v>
      </c>
      <c r="Y305" s="26" t="b">
        <f t="array" aca="1" ref="Y305" ca="1">IF(UPPER(Data!C305)="START",SUM((OFFSET(Data!C305,MAX(ROW(Data!$C$5)-ROW(Data!C305),-200),0,400,1)="START")*(OFFSET(Data!A305,MAX(ROW(Data!$B$5)-ROW(Data!B305),-200),0,400,1)=Data!A305))=1,TRUE)</f>
        <v>1</v>
      </c>
      <c r="Z305" s="26" t="b">
        <f t="array" aca="1" ref="Z305" ca="1">IF(UPPER(Data!C305)="END",SUM((OFFSET(Data!C305,MAX(ROW(Data!$C$5)-ROW(Data!C305),-200),0,400,1)="END")*(OFFSET(Data!A305,MAX(ROW(Data!$B$5)-ROW(Data!B305),-200),0,400,1)=Data!A305))=1,TRUE)</f>
        <v>1</v>
      </c>
      <c r="AA305" s="26" t="b">
        <f>IF(Checks!C305,ISERROR(FIND("&amp;",Data!D305)),TRUE)</f>
        <v>1</v>
      </c>
      <c r="AB305" s="26" t="b">
        <f>IF(Checks!$C305,IF(AND(UPPER(Data!$C305)&lt;&gt;"START",UPPER(Data!$C305)&lt;&gt;"DATA OBJECT",Data!E305&lt;&gt;""),NOT(ISERROR(MATCH(Data!$A305&amp;"||"&amp;Data!E305,Key,0))),TRUE),TRUE)</f>
        <v>1</v>
      </c>
      <c r="AC305" s="27" t="b">
        <f>IF(Checks!C305,IF(UPPER(Data!C305)="END",Data!E305&lt;&gt;"",TRUE),TRUE)</f>
        <v>1</v>
      </c>
    </row>
    <row r="306" spans="1:29" x14ac:dyDescent="0.25">
      <c r="A306" s="1" t="str">
        <f>Data!A306&amp;"||"&amp;Data!B306</f>
        <v>Miscellaneous/subflow/irmifrs9_enrichment_stage4.bpmn||030_00_02</v>
      </c>
      <c r="B306" s="19"/>
      <c r="C306" s="24" t="b">
        <f>AND(UPPER(Data!A306)&lt;&gt;"EMPTY",Data!B306&lt;&gt;"")</f>
        <v>1</v>
      </c>
      <c r="D306" s="1"/>
      <c r="E306" s="25" t="b">
        <f t="shared" ca="1" si="8"/>
        <v>1</v>
      </c>
      <c r="F306" s="26" t="b">
        <f ca="1">IF(UPPER(Data!C306)="SUB PROCESS",NOT(ISERROR(MATCH(RIGHT(Data!BY306,LEN(Data!BY306)-5),OFFSET(Data,0,0,ItemsCount,1),0))),TRUE)</f>
        <v>1</v>
      </c>
      <c r="G306" s="26" t="b">
        <f ca="1">IF(MID(UPPER(Data!A306),1,13)="MISCELLANEOUS",NOT(ISERROR(MATCH("path="&amp;Data!A306,OFFSET(Data,0,76,ItemsCount,1),0))),TRUE)</f>
        <v>1</v>
      </c>
      <c r="L306" s="25" t="b">
        <f t="shared" ca="1" si="9"/>
        <v>1</v>
      </c>
      <c r="M306" s="24" t="b">
        <f>IF(Checks!$C306,Data!A306&lt;&gt;"",TRUE)</f>
        <v>1</v>
      </c>
      <c r="N306" s="26" t="b">
        <f>IF(Checks!C306,Data!B306&lt;&gt;"",TRUE)</f>
        <v>1</v>
      </c>
      <c r="O306" s="26" t="b">
        <f>IF(Checks!C306,IF(AND(UPPER(Data!C306)="SERVICE TASK",UPPER(Data!BZ306)="TYPE=SAS"),NodeExists(TRIM(RIGHT(Data!CA306,LEN(Data!CA306)-FIND("=",Data!CA306)))),TRUE),TRUE)</f>
        <v>1</v>
      </c>
      <c r="P306" s="26" t="b">
        <f>IF(Checks!C306,IF(Data!C306="DATA OBJECT",OR(AND(Data!BW306&lt;&gt;"",Data!BX306=""),AND(Data!BW306="",Data!BX306&lt;&gt;"")),TRUE),TRUE)</f>
        <v>1</v>
      </c>
      <c r="Q306" s="26" t="b">
        <f>IF(Checks!C306,UPPER(RIGHT(Data!A306,5))=".BPMN",TRUE)</f>
        <v>1</v>
      </c>
      <c r="R306" s="26" t="b">
        <f>IF(Checks!C306,IF(UPPER(Data!C306)="SUB PROCESS",UPPER(RIGHT(Data!BY306,5))=".BPMN",TRUE),TRUE)</f>
        <v>1</v>
      </c>
      <c r="S306" s="26" t="b">
        <f>IF(Checks!C306,IF(UPPER(Data!C306)="SERVICE TASK",IF(UPPER(Data!BZ306)="TYPE=SAS",UPPER(RIGHT(Data!CA306,4))=".SAS",TRUE),TRUE),TRUE)</f>
        <v>1</v>
      </c>
      <c r="T306" s="26" t="b">
        <f>IF(Checks!C306,IF(Data!B306&lt;&gt;"",Data!D306&lt;&gt;"",TRUE),TRUE)</f>
        <v>1</v>
      </c>
      <c r="U306" s="26" t="b">
        <f ca="1">IF(Checks!C306,IF(UPPER(Data!C306)="DATA OBJECT",NOT(ISERROR(MATCH(Data!A306&amp;"||"&amp;Data!BW306&amp;Data!BX306,Key,0))),TRUE),TRUE)</f>
        <v>1</v>
      </c>
      <c r="V306" s="26" t="b">
        <f>IF(Checks!C306,IF(UPPER(Data!C306)="SUB PROCESS",Data!BY306&lt;&gt;"",TRUE),TRUE)</f>
        <v>1</v>
      </c>
      <c r="W306" s="26" t="b">
        <f>IF(Checks!C306,IF(UPPER(Data!C306)="SERVICE TASK",AND(Data!BZ306&lt;&gt;"",Data!CA306&lt;&gt;""),TRUE),TRUE)</f>
        <v>1</v>
      </c>
      <c r="X306" s="26" t="b">
        <f t="array" aca="1" ref="X306" ca="1">SUM((OFFSET(Data!B306,MAX(ROW(Data!$B$5)-ROW(Data!B306),-200),0,400,1)=Data!B306)*(OFFSET(Data!A306,MAX(ROW(Data!$B$5)-ROW(Data!B306),-200),0,400,1)=Data!A306))=1</f>
        <v>1</v>
      </c>
      <c r="Y306" s="26" t="b">
        <f t="array" aca="1" ref="Y306" ca="1">IF(UPPER(Data!C306)="START",SUM((OFFSET(Data!C306,MAX(ROW(Data!$C$5)-ROW(Data!C306),-200),0,400,1)="START")*(OFFSET(Data!A306,MAX(ROW(Data!$B$5)-ROW(Data!B306),-200),0,400,1)=Data!A306))=1,TRUE)</f>
        <v>1</v>
      </c>
      <c r="Z306" s="26" t="b">
        <f t="array" aca="1" ref="Z306" ca="1">IF(UPPER(Data!C306)="END",SUM((OFFSET(Data!C306,MAX(ROW(Data!$C$5)-ROW(Data!C306),-200),0,400,1)="END")*(OFFSET(Data!A306,MAX(ROW(Data!$B$5)-ROW(Data!B306),-200),0,400,1)=Data!A306))=1,TRUE)</f>
        <v>1</v>
      </c>
      <c r="AA306" s="26" t="b">
        <f>IF(Checks!C306,ISERROR(FIND("&amp;",Data!D306)),TRUE)</f>
        <v>1</v>
      </c>
      <c r="AB306" s="26" t="b">
        <f>IF(Checks!$C306,IF(AND(UPPER(Data!$C306)&lt;&gt;"START",UPPER(Data!$C306)&lt;&gt;"DATA OBJECT",Data!E306&lt;&gt;""),NOT(ISERROR(MATCH(Data!$A306&amp;"||"&amp;Data!E306,Key,0))),TRUE),TRUE)</f>
        <v>1</v>
      </c>
      <c r="AC306" s="27" t="b">
        <f>IF(Checks!C306,IF(UPPER(Data!C306)="END",Data!E306&lt;&gt;"",TRUE),TRUE)</f>
        <v>1</v>
      </c>
    </row>
    <row r="307" spans="1:29" x14ac:dyDescent="0.25">
      <c r="A307" s="1" t="str">
        <f>Data!A307&amp;"||"&amp;Data!B307</f>
        <v>Miscellaneous/subflow/irmifrs9_enrichment_stage4.bpmn||030_01_00</v>
      </c>
      <c r="B307" s="19"/>
      <c r="C307" s="24" t="b">
        <f>AND(UPPER(Data!A307)&lt;&gt;"EMPTY",Data!B307&lt;&gt;"")</f>
        <v>1</v>
      </c>
      <c r="D307" s="1"/>
      <c r="E307" s="25" t="b">
        <f t="shared" ca="1" si="8"/>
        <v>1</v>
      </c>
      <c r="F307" s="26" t="b">
        <f ca="1">IF(UPPER(Data!C307)="SUB PROCESS",NOT(ISERROR(MATCH(RIGHT(Data!BY307,LEN(Data!BY307)-5),OFFSET(Data,0,0,ItemsCount,1),0))),TRUE)</f>
        <v>1</v>
      </c>
      <c r="G307" s="26" t="b">
        <f ca="1">IF(MID(UPPER(Data!A307),1,13)="MISCELLANEOUS",NOT(ISERROR(MATCH("path="&amp;Data!A307,OFFSET(Data,0,76,ItemsCount,1),0))),TRUE)</f>
        <v>1</v>
      </c>
      <c r="L307" s="25" t="b">
        <f t="shared" ca="1" si="9"/>
        <v>1</v>
      </c>
      <c r="M307" s="24" t="b">
        <f>IF(Checks!$C307,Data!A307&lt;&gt;"",TRUE)</f>
        <v>1</v>
      </c>
      <c r="N307" s="26" t="b">
        <f>IF(Checks!C307,Data!B307&lt;&gt;"",TRUE)</f>
        <v>1</v>
      </c>
      <c r="O307" s="26" t="b">
        <f>IF(Checks!C307,IF(AND(UPPER(Data!C307)="SERVICE TASK",UPPER(Data!BZ307)="TYPE=SAS"),NodeExists(TRIM(RIGHT(Data!CA307,LEN(Data!CA307)-FIND("=",Data!CA307)))),TRUE),TRUE)</f>
        <v>1</v>
      </c>
      <c r="P307" s="26" t="b">
        <f>IF(Checks!C307,IF(Data!C307="DATA OBJECT",OR(AND(Data!BW307&lt;&gt;"",Data!BX307=""),AND(Data!BW307="",Data!BX307&lt;&gt;"")),TRUE),TRUE)</f>
        <v>1</v>
      </c>
      <c r="Q307" s="26" t="b">
        <f>IF(Checks!C307,UPPER(RIGHT(Data!A307,5))=".BPMN",TRUE)</f>
        <v>1</v>
      </c>
      <c r="R307" s="26" t="b">
        <f>IF(Checks!C307,IF(UPPER(Data!C307)="SUB PROCESS",UPPER(RIGHT(Data!BY307,5))=".BPMN",TRUE),TRUE)</f>
        <v>1</v>
      </c>
      <c r="S307" s="26" t="b">
        <f>IF(Checks!C307,IF(UPPER(Data!C307)="SERVICE TASK",IF(UPPER(Data!BZ307)="TYPE=SAS",UPPER(RIGHT(Data!CA307,4))=".SAS",TRUE),TRUE),TRUE)</f>
        <v>1</v>
      </c>
      <c r="T307" s="26" t="b">
        <f>IF(Checks!C307,IF(Data!B307&lt;&gt;"",Data!D307&lt;&gt;"",TRUE),TRUE)</f>
        <v>1</v>
      </c>
      <c r="U307" s="26" t="b">
        <f ca="1">IF(Checks!C307,IF(UPPER(Data!C307)="DATA OBJECT",NOT(ISERROR(MATCH(Data!A307&amp;"||"&amp;Data!BW307&amp;Data!BX307,Key,0))),TRUE),TRUE)</f>
        <v>1</v>
      </c>
      <c r="V307" s="26" t="b">
        <f>IF(Checks!C307,IF(UPPER(Data!C307)="SUB PROCESS",Data!BY307&lt;&gt;"",TRUE),TRUE)</f>
        <v>1</v>
      </c>
      <c r="W307" s="26" t="b">
        <f>IF(Checks!C307,IF(UPPER(Data!C307)="SERVICE TASK",AND(Data!BZ307&lt;&gt;"",Data!CA307&lt;&gt;""),TRUE),TRUE)</f>
        <v>1</v>
      </c>
      <c r="X307" s="26" t="b">
        <f t="array" aca="1" ref="X307" ca="1">SUM((OFFSET(Data!B307,MAX(ROW(Data!$B$5)-ROW(Data!B307),-200),0,400,1)=Data!B307)*(OFFSET(Data!A307,MAX(ROW(Data!$B$5)-ROW(Data!B307),-200),0,400,1)=Data!A307))=1</f>
        <v>1</v>
      </c>
      <c r="Y307" s="26" t="b">
        <f t="array" aca="1" ref="Y307" ca="1">IF(UPPER(Data!C307)="START",SUM((OFFSET(Data!C307,MAX(ROW(Data!$C$5)-ROW(Data!C307),-200),0,400,1)="START")*(OFFSET(Data!A307,MAX(ROW(Data!$B$5)-ROW(Data!B307),-200),0,400,1)=Data!A307))=1,TRUE)</f>
        <v>1</v>
      </c>
      <c r="Z307" s="26" t="b">
        <f t="array" aca="1" ref="Z307" ca="1">IF(UPPER(Data!C307)="END",SUM((OFFSET(Data!C307,MAX(ROW(Data!$C$5)-ROW(Data!C307),-200),0,400,1)="END")*(OFFSET(Data!A307,MAX(ROW(Data!$B$5)-ROW(Data!B307),-200),0,400,1)=Data!A307))=1,TRUE)</f>
        <v>1</v>
      </c>
      <c r="AA307" s="26" t="b">
        <f>IF(Checks!C307,ISERROR(FIND("&amp;",Data!D307)),TRUE)</f>
        <v>1</v>
      </c>
      <c r="AB307" s="26" t="b">
        <f>IF(Checks!$C307,IF(AND(UPPER(Data!$C307)&lt;&gt;"START",UPPER(Data!$C307)&lt;&gt;"DATA OBJECT",Data!E307&lt;&gt;""),NOT(ISERROR(MATCH(Data!$A307&amp;"||"&amp;Data!E307,Key,0))),TRUE),TRUE)</f>
        <v>1</v>
      </c>
      <c r="AC307" s="27" t="b">
        <f>IF(Checks!C307,IF(UPPER(Data!C307)="END",Data!E307&lt;&gt;"",TRUE),TRUE)</f>
        <v>1</v>
      </c>
    </row>
    <row r="308" spans="1:29" x14ac:dyDescent="0.25">
      <c r="A308" s="1" t="str">
        <f>Data!A308&amp;"||"&amp;Data!B308</f>
        <v>Miscellaneous/subflow/irmifrs9_enrichment_stage4.bpmn||999_00_00</v>
      </c>
      <c r="B308" s="19"/>
      <c r="C308" s="24" t="b">
        <f>AND(UPPER(Data!A308)&lt;&gt;"EMPTY",Data!B308&lt;&gt;"")</f>
        <v>1</v>
      </c>
      <c r="D308" s="1"/>
      <c r="E308" s="25" t="b">
        <f t="shared" ca="1" si="8"/>
        <v>1</v>
      </c>
      <c r="F308" s="26" t="b">
        <f ca="1">IF(UPPER(Data!C308)="SUB PROCESS",NOT(ISERROR(MATCH(RIGHT(Data!BY308,LEN(Data!BY308)-5),OFFSET(Data,0,0,ItemsCount,1),0))),TRUE)</f>
        <v>1</v>
      </c>
      <c r="G308" s="26" t="b">
        <f ca="1">IF(MID(UPPER(Data!A308),1,13)="MISCELLANEOUS",NOT(ISERROR(MATCH("path="&amp;Data!A308,OFFSET(Data,0,76,ItemsCount,1),0))),TRUE)</f>
        <v>1</v>
      </c>
      <c r="L308" s="25" t="b">
        <f t="shared" ca="1" si="9"/>
        <v>1</v>
      </c>
      <c r="M308" s="24" t="b">
        <f>IF(Checks!$C308,Data!A308&lt;&gt;"",TRUE)</f>
        <v>1</v>
      </c>
      <c r="N308" s="26" t="b">
        <f>IF(Checks!C308,Data!B308&lt;&gt;"",TRUE)</f>
        <v>1</v>
      </c>
      <c r="O308" s="26" t="b">
        <f>IF(Checks!C308,IF(AND(UPPER(Data!C308)="SERVICE TASK",UPPER(Data!BZ308)="TYPE=SAS"),NodeExists(TRIM(RIGHT(Data!CA308,LEN(Data!CA308)-FIND("=",Data!CA308)))),TRUE),TRUE)</f>
        <v>1</v>
      </c>
      <c r="P308" s="26" t="b">
        <f>IF(Checks!C308,IF(Data!C308="DATA OBJECT",OR(AND(Data!BW308&lt;&gt;"",Data!BX308=""),AND(Data!BW308="",Data!BX308&lt;&gt;"")),TRUE),TRUE)</f>
        <v>1</v>
      </c>
      <c r="Q308" s="26" t="b">
        <f>IF(Checks!C308,UPPER(RIGHT(Data!A308,5))=".BPMN",TRUE)</f>
        <v>1</v>
      </c>
      <c r="R308" s="26" t="b">
        <f>IF(Checks!C308,IF(UPPER(Data!C308)="SUB PROCESS",UPPER(RIGHT(Data!BY308,5))=".BPMN",TRUE),TRUE)</f>
        <v>1</v>
      </c>
      <c r="S308" s="26" t="b">
        <f>IF(Checks!C308,IF(UPPER(Data!C308)="SERVICE TASK",IF(UPPER(Data!BZ308)="TYPE=SAS",UPPER(RIGHT(Data!CA308,4))=".SAS",TRUE),TRUE),TRUE)</f>
        <v>1</v>
      </c>
      <c r="T308" s="26" t="b">
        <f>IF(Checks!C308,IF(Data!B308&lt;&gt;"",Data!D308&lt;&gt;"",TRUE),TRUE)</f>
        <v>1</v>
      </c>
      <c r="U308" s="26" t="b">
        <f>IF(Checks!C308,IF(UPPER(Data!C308)="DATA OBJECT",NOT(ISERROR(MATCH(Data!A308&amp;"||"&amp;Data!BW308&amp;Data!BX308,Key,0))),TRUE),TRUE)</f>
        <v>1</v>
      </c>
      <c r="V308" s="26" t="b">
        <f>IF(Checks!C308,IF(UPPER(Data!C308)="SUB PROCESS",Data!BY308&lt;&gt;"",TRUE),TRUE)</f>
        <v>1</v>
      </c>
      <c r="W308" s="26" t="b">
        <f>IF(Checks!C308,IF(UPPER(Data!C308)="SERVICE TASK",AND(Data!BZ308&lt;&gt;"",Data!CA308&lt;&gt;""),TRUE),TRUE)</f>
        <v>1</v>
      </c>
      <c r="X308" s="26" t="b">
        <f t="array" aca="1" ref="X308" ca="1">SUM((OFFSET(Data!B308,MAX(ROW(Data!$B$5)-ROW(Data!B308),-200),0,400,1)=Data!B308)*(OFFSET(Data!A308,MAX(ROW(Data!$B$5)-ROW(Data!B308),-200),0,400,1)=Data!A308))=1</f>
        <v>1</v>
      </c>
      <c r="Y308" s="26" t="b">
        <f t="array" aca="1" ref="Y308" ca="1">IF(UPPER(Data!C308)="START",SUM((OFFSET(Data!C308,MAX(ROW(Data!$C$5)-ROW(Data!C308),-200),0,400,1)="START")*(OFFSET(Data!A308,MAX(ROW(Data!$B$5)-ROW(Data!B308),-200),0,400,1)=Data!A308))=1,TRUE)</f>
        <v>1</v>
      </c>
      <c r="Z308" s="26" t="b">
        <f t="array" aca="1" ref="Z308" ca="1">IF(UPPER(Data!C308)="END",SUM((OFFSET(Data!C308,MAX(ROW(Data!$C$5)-ROW(Data!C308),-200),0,400,1)="END")*(OFFSET(Data!A308,MAX(ROW(Data!$B$5)-ROW(Data!B308),-200),0,400,1)=Data!A308))=1,TRUE)</f>
        <v>1</v>
      </c>
      <c r="AA308" s="26" t="b">
        <f>IF(Checks!C308,ISERROR(FIND("&amp;",Data!D308)),TRUE)</f>
        <v>1</v>
      </c>
      <c r="AB308" s="26" t="b">
        <f ca="1">IF(Checks!$C308,IF(AND(UPPER(Data!$C308)&lt;&gt;"START",UPPER(Data!$C308)&lt;&gt;"DATA OBJECT",Data!E308&lt;&gt;""),NOT(ISERROR(MATCH(Data!$A308&amp;"||"&amp;Data!E308,Key,0))),TRUE),TRUE)</f>
        <v>1</v>
      </c>
      <c r="AC308" s="27" t="b">
        <f>IF(Checks!C308,IF(UPPER(Data!C308)="END",Data!E308&lt;&gt;"",TRUE),TRUE)</f>
        <v>1</v>
      </c>
    </row>
    <row r="309" spans="1:29" x14ac:dyDescent="0.25">
      <c r="A309" s="1" t="str">
        <f>Data!A309&amp;"||"&amp;Data!B309</f>
        <v>Miscellaneous/subflow/irmifrs9_enrichment_stage5.bpmn||000_00_00</v>
      </c>
      <c r="B309" s="19"/>
      <c r="C309" s="24" t="b">
        <f>AND(UPPER(Data!A309)&lt;&gt;"EMPTY",Data!B309&lt;&gt;"")</f>
        <v>1</v>
      </c>
      <c r="D309" s="1"/>
      <c r="E309" s="25" t="b">
        <f t="shared" ca="1" si="8"/>
        <v>1</v>
      </c>
      <c r="F309" s="26" t="b">
        <f ca="1">IF(UPPER(Data!C309)="SUB PROCESS",NOT(ISERROR(MATCH(RIGHT(Data!BY309,LEN(Data!BY309)-5),OFFSET(Data,0,0,ItemsCount,1),0))),TRUE)</f>
        <v>1</v>
      </c>
      <c r="G309" s="26" t="b">
        <f ca="1">IF(MID(UPPER(Data!A309),1,13)="MISCELLANEOUS",NOT(ISERROR(MATCH("path="&amp;Data!A309,OFFSET(Data,0,76,ItemsCount,1),0))),TRUE)</f>
        <v>1</v>
      </c>
      <c r="L309" s="25" t="b">
        <f t="shared" ca="1" si="9"/>
        <v>1</v>
      </c>
      <c r="M309" s="24" t="b">
        <f>IF(Checks!$C309,Data!A309&lt;&gt;"",TRUE)</f>
        <v>1</v>
      </c>
      <c r="N309" s="26" t="b">
        <f>IF(Checks!C309,Data!B309&lt;&gt;"",TRUE)</f>
        <v>1</v>
      </c>
      <c r="O309" s="26" t="b">
        <f>IF(Checks!C309,IF(AND(UPPER(Data!C309)="SERVICE TASK",UPPER(Data!BZ309)="TYPE=SAS"),NodeExists(TRIM(RIGHT(Data!CA309,LEN(Data!CA309)-FIND("=",Data!CA309)))),TRUE),TRUE)</f>
        <v>1</v>
      </c>
      <c r="P309" s="26" t="b">
        <f>IF(Checks!C309,IF(Data!C309="DATA OBJECT",OR(AND(Data!BW309&lt;&gt;"",Data!BX309=""),AND(Data!BW309="",Data!BX309&lt;&gt;"")),TRUE),TRUE)</f>
        <v>1</v>
      </c>
      <c r="Q309" s="26" t="b">
        <f>IF(Checks!C309,UPPER(RIGHT(Data!A309,5))=".BPMN",TRUE)</f>
        <v>1</v>
      </c>
      <c r="R309" s="26" t="b">
        <f>IF(Checks!C309,IF(UPPER(Data!C309)="SUB PROCESS",UPPER(RIGHT(Data!BY309,5))=".BPMN",TRUE),TRUE)</f>
        <v>1</v>
      </c>
      <c r="S309" s="26" t="b">
        <f>IF(Checks!C309,IF(UPPER(Data!C309)="SERVICE TASK",IF(UPPER(Data!BZ309)="TYPE=SAS",UPPER(RIGHT(Data!CA309,4))=".SAS",TRUE),TRUE),TRUE)</f>
        <v>1</v>
      </c>
      <c r="T309" s="26" t="b">
        <f>IF(Checks!C309,IF(Data!B309&lt;&gt;"",Data!D309&lt;&gt;"",TRUE),TRUE)</f>
        <v>1</v>
      </c>
      <c r="U309" s="26" t="b">
        <f>IF(Checks!C309,IF(UPPER(Data!C309)="DATA OBJECT",NOT(ISERROR(MATCH(Data!A309&amp;"||"&amp;Data!BW309&amp;Data!BX309,Key,0))),TRUE),TRUE)</f>
        <v>1</v>
      </c>
      <c r="V309" s="26" t="b">
        <f>IF(Checks!C309,IF(UPPER(Data!C309)="SUB PROCESS",Data!BY309&lt;&gt;"",TRUE),TRUE)</f>
        <v>1</v>
      </c>
      <c r="W309" s="26" t="b">
        <f>IF(Checks!C309,IF(UPPER(Data!C309)="SERVICE TASK",AND(Data!BZ309&lt;&gt;"",Data!CA309&lt;&gt;""),TRUE),TRUE)</f>
        <v>1</v>
      </c>
      <c r="X309" s="26" t="b">
        <f t="array" aca="1" ref="X309" ca="1">SUM((OFFSET(Data!B309,MAX(ROW(Data!$B$5)-ROW(Data!B309),-200),0,400,1)=Data!B309)*(OFFSET(Data!A309,MAX(ROW(Data!$B$5)-ROW(Data!B309),-200),0,400,1)=Data!A309))=1</f>
        <v>1</v>
      </c>
      <c r="Y309" s="26" t="b">
        <f t="array" aca="1" ref="Y309" ca="1">IF(UPPER(Data!C309)="START",SUM((OFFSET(Data!C309,MAX(ROW(Data!$C$5)-ROW(Data!C309),-200),0,400,1)="START")*(OFFSET(Data!A309,MAX(ROW(Data!$B$5)-ROW(Data!B309),-200),0,400,1)=Data!A309))=1,TRUE)</f>
        <v>1</v>
      </c>
      <c r="Z309" s="26" t="b">
        <f t="array" aca="1" ref="Z309" ca="1">IF(UPPER(Data!C309)="END",SUM((OFFSET(Data!C309,MAX(ROW(Data!$C$5)-ROW(Data!C309),-200),0,400,1)="END")*(OFFSET(Data!A309,MAX(ROW(Data!$B$5)-ROW(Data!B309),-200),0,400,1)=Data!A309))=1,TRUE)</f>
        <v>1</v>
      </c>
      <c r="AA309" s="26" t="b">
        <f>IF(Checks!C309,ISERROR(FIND("&amp;",Data!D309)),TRUE)</f>
        <v>1</v>
      </c>
      <c r="AB309" s="26" t="b">
        <f>IF(Checks!$C309,IF(AND(UPPER(Data!$C309)&lt;&gt;"START",UPPER(Data!$C309)&lt;&gt;"DATA OBJECT",Data!E309&lt;&gt;""),NOT(ISERROR(MATCH(Data!$A309&amp;"||"&amp;Data!E309,Key,0))),TRUE),TRUE)</f>
        <v>1</v>
      </c>
      <c r="AC309" s="27" t="b">
        <f>IF(Checks!C309,IF(UPPER(Data!C309)="END",Data!E309&lt;&gt;"",TRUE),TRUE)</f>
        <v>1</v>
      </c>
    </row>
    <row r="310" spans="1:29" x14ac:dyDescent="0.25">
      <c r="A310" s="1" t="str">
        <f>Data!A310&amp;"||"&amp;Data!B310</f>
        <v>Miscellaneous/subflow/irmifrs9_enrichment_stage5.bpmn||010_00_00</v>
      </c>
      <c r="B310" s="19"/>
      <c r="C310" s="24" t="b">
        <f>AND(UPPER(Data!A310)&lt;&gt;"EMPTY",Data!B310&lt;&gt;"")</f>
        <v>1</v>
      </c>
      <c r="D310" s="1"/>
      <c r="E310" s="25" t="b">
        <f t="shared" ca="1" si="8"/>
        <v>1</v>
      </c>
      <c r="F310" s="26" t="b">
        <f ca="1">IF(UPPER(Data!C310)="SUB PROCESS",NOT(ISERROR(MATCH(RIGHT(Data!BY310,LEN(Data!BY310)-5),OFFSET(Data,0,0,ItemsCount,1),0))),TRUE)</f>
        <v>1</v>
      </c>
      <c r="G310" s="26" t="b">
        <f ca="1">IF(MID(UPPER(Data!A310),1,13)="MISCELLANEOUS",NOT(ISERROR(MATCH("path="&amp;Data!A310,OFFSET(Data,0,76,ItemsCount,1),0))),TRUE)</f>
        <v>1</v>
      </c>
      <c r="L310" s="25" t="b">
        <f t="shared" ca="1" si="9"/>
        <v>1</v>
      </c>
      <c r="M310" s="24" t="b">
        <f>IF(Checks!$C310,Data!A310&lt;&gt;"",TRUE)</f>
        <v>1</v>
      </c>
      <c r="N310" s="26" t="b">
        <f>IF(Checks!C310,Data!B310&lt;&gt;"",TRUE)</f>
        <v>1</v>
      </c>
      <c r="O310" s="26" t="b">
        <f>IF(Checks!C310,IF(AND(UPPER(Data!C310)="SERVICE TASK",UPPER(Data!BZ310)="TYPE=SAS"),NodeExists(TRIM(RIGHT(Data!CA310,LEN(Data!CA310)-FIND("=",Data!CA310)))),TRUE),TRUE)</f>
        <v>1</v>
      </c>
      <c r="P310" s="26" t="b">
        <f>IF(Checks!C310,IF(Data!C310="DATA OBJECT",OR(AND(Data!BW310&lt;&gt;"",Data!BX310=""),AND(Data!BW310="",Data!BX310&lt;&gt;"")),TRUE),TRUE)</f>
        <v>1</v>
      </c>
      <c r="Q310" s="26" t="b">
        <f>IF(Checks!C310,UPPER(RIGHT(Data!A310,5))=".BPMN",TRUE)</f>
        <v>1</v>
      </c>
      <c r="R310" s="26" t="b">
        <f>IF(Checks!C310,IF(UPPER(Data!C310)="SUB PROCESS",UPPER(RIGHT(Data!BY310,5))=".BPMN",TRUE),TRUE)</f>
        <v>1</v>
      </c>
      <c r="S310" s="26" t="b">
        <f>IF(Checks!C310,IF(UPPER(Data!C310)="SERVICE TASK",IF(UPPER(Data!BZ310)="TYPE=SAS",UPPER(RIGHT(Data!CA310,4))=".SAS",TRUE),TRUE),TRUE)</f>
        <v>1</v>
      </c>
      <c r="T310" s="26" t="b">
        <f>IF(Checks!C310,IF(Data!B310&lt;&gt;"",Data!D310&lt;&gt;"",TRUE),TRUE)</f>
        <v>1</v>
      </c>
      <c r="U310" s="26" t="b">
        <f>IF(Checks!C310,IF(UPPER(Data!C310)="DATA OBJECT",NOT(ISERROR(MATCH(Data!A310&amp;"||"&amp;Data!BW310&amp;Data!BX310,Key,0))),TRUE),TRUE)</f>
        <v>1</v>
      </c>
      <c r="V310" s="26" t="b">
        <f>IF(Checks!C310,IF(UPPER(Data!C310)="SUB PROCESS",Data!BY310&lt;&gt;"",TRUE),TRUE)</f>
        <v>1</v>
      </c>
      <c r="W310" s="26" t="b">
        <f>IF(Checks!C310,IF(UPPER(Data!C310)="SERVICE TASK",AND(Data!BZ310&lt;&gt;"",Data!CA310&lt;&gt;""),TRUE),TRUE)</f>
        <v>1</v>
      </c>
      <c r="X310" s="26" t="b">
        <f t="array" aca="1" ref="X310" ca="1">SUM((OFFSET(Data!B310,MAX(ROW(Data!$B$5)-ROW(Data!B310),-200),0,400,1)=Data!B310)*(OFFSET(Data!A310,MAX(ROW(Data!$B$5)-ROW(Data!B310),-200),0,400,1)=Data!A310))=1</f>
        <v>1</v>
      </c>
      <c r="Y310" s="26" t="b">
        <f t="array" aca="1" ref="Y310" ca="1">IF(UPPER(Data!C310)="START",SUM((OFFSET(Data!C310,MAX(ROW(Data!$C$5)-ROW(Data!C310),-200),0,400,1)="START")*(OFFSET(Data!A310,MAX(ROW(Data!$B$5)-ROW(Data!B310),-200),0,400,1)=Data!A310))=1,TRUE)</f>
        <v>1</v>
      </c>
      <c r="Z310" s="26" t="b">
        <f t="array" aca="1" ref="Z310" ca="1">IF(UPPER(Data!C310)="END",SUM((OFFSET(Data!C310,MAX(ROW(Data!$C$5)-ROW(Data!C310),-200),0,400,1)="END")*(OFFSET(Data!A310,MAX(ROW(Data!$B$5)-ROW(Data!B310),-200),0,400,1)=Data!A310))=1,TRUE)</f>
        <v>1</v>
      </c>
      <c r="AA310" s="26" t="b">
        <f>IF(Checks!C310,ISERROR(FIND("&amp;",Data!D310)),TRUE)</f>
        <v>1</v>
      </c>
      <c r="AB310" s="26" t="b">
        <f ca="1">IF(Checks!$C310,IF(AND(UPPER(Data!$C310)&lt;&gt;"START",UPPER(Data!$C310)&lt;&gt;"DATA OBJECT",Data!E310&lt;&gt;""),NOT(ISERROR(MATCH(Data!$A310&amp;"||"&amp;Data!E310,Key,0))),TRUE),TRUE)</f>
        <v>1</v>
      </c>
      <c r="AC310" s="27" t="b">
        <f>IF(Checks!C310,IF(UPPER(Data!C310)="END",Data!E310&lt;&gt;"",TRUE),TRUE)</f>
        <v>1</v>
      </c>
    </row>
    <row r="311" spans="1:29" x14ac:dyDescent="0.25">
      <c r="A311" s="1" t="str">
        <f>Data!A311&amp;"||"&amp;Data!B311</f>
        <v>Miscellaneous/subflow/irmifrs9_enrichment_stage5.bpmn||010_00_01</v>
      </c>
      <c r="B311" s="19"/>
      <c r="C311" s="24" t="b">
        <f>AND(UPPER(Data!A311)&lt;&gt;"EMPTY",Data!B311&lt;&gt;"")</f>
        <v>1</v>
      </c>
      <c r="D311" s="1"/>
      <c r="E311" s="25" t="b">
        <f t="shared" ca="1" si="8"/>
        <v>1</v>
      </c>
      <c r="F311" s="26" t="b">
        <f ca="1">IF(UPPER(Data!C311)="SUB PROCESS",NOT(ISERROR(MATCH(RIGHT(Data!BY311,LEN(Data!BY311)-5),OFFSET(Data,0,0,ItemsCount,1),0))),TRUE)</f>
        <v>1</v>
      </c>
      <c r="G311" s="26" t="b">
        <f ca="1">IF(MID(UPPER(Data!A311),1,13)="MISCELLANEOUS",NOT(ISERROR(MATCH("path="&amp;Data!A311,OFFSET(Data,0,76,ItemsCount,1),0))),TRUE)</f>
        <v>1</v>
      </c>
      <c r="L311" s="25" t="b">
        <f t="shared" ca="1" si="9"/>
        <v>1</v>
      </c>
      <c r="M311" s="24" t="b">
        <f>IF(Checks!$C311,Data!A311&lt;&gt;"",TRUE)</f>
        <v>1</v>
      </c>
      <c r="N311" s="26" t="b">
        <f>IF(Checks!C311,Data!B311&lt;&gt;"",TRUE)</f>
        <v>1</v>
      </c>
      <c r="O311" s="26" t="b">
        <f>IF(Checks!C311,IF(AND(UPPER(Data!C311)="SERVICE TASK",UPPER(Data!BZ311)="TYPE=SAS"),NodeExists(TRIM(RIGHT(Data!CA311,LEN(Data!CA311)-FIND("=",Data!CA311)))),TRUE),TRUE)</f>
        <v>1</v>
      </c>
      <c r="P311" s="26" t="b">
        <f>IF(Checks!C311,IF(Data!C311="DATA OBJECT",OR(AND(Data!BW311&lt;&gt;"",Data!BX311=""),AND(Data!BW311="",Data!BX311&lt;&gt;"")),TRUE),TRUE)</f>
        <v>1</v>
      </c>
      <c r="Q311" s="26" t="b">
        <f>IF(Checks!C311,UPPER(RIGHT(Data!A311,5))=".BPMN",TRUE)</f>
        <v>1</v>
      </c>
      <c r="R311" s="26" t="b">
        <f>IF(Checks!C311,IF(UPPER(Data!C311)="SUB PROCESS",UPPER(RIGHT(Data!BY311,5))=".BPMN",TRUE),TRUE)</f>
        <v>1</v>
      </c>
      <c r="S311" s="26" t="b">
        <f>IF(Checks!C311,IF(UPPER(Data!C311)="SERVICE TASK",IF(UPPER(Data!BZ311)="TYPE=SAS",UPPER(RIGHT(Data!CA311,4))=".SAS",TRUE),TRUE),TRUE)</f>
        <v>1</v>
      </c>
      <c r="T311" s="26" t="b">
        <f>IF(Checks!C311,IF(Data!B311&lt;&gt;"",Data!D311&lt;&gt;"",TRUE),TRUE)</f>
        <v>1</v>
      </c>
      <c r="U311" s="26" t="b">
        <f ca="1">IF(Checks!C311,IF(UPPER(Data!C311)="DATA OBJECT",NOT(ISERROR(MATCH(Data!A311&amp;"||"&amp;Data!BW311&amp;Data!BX311,Key,0))),TRUE),TRUE)</f>
        <v>1</v>
      </c>
      <c r="V311" s="26" t="b">
        <f>IF(Checks!C311,IF(UPPER(Data!C311)="SUB PROCESS",Data!BY311&lt;&gt;"",TRUE),TRUE)</f>
        <v>1</v>
      </c>
      <c r="W311" s="26" t="b">
        <f>IF(Checks!C311,IF(UPPER(Data!C311)="SERVICE TASK",AND(Data!BZ311&lt;&gt;"",Data!CA311&lt;&gt;""),TRUE),TRUE)</f>
        <v>1</v>
      </c>
      <c r="X311" s="26" t="b">
        <f t="array" aca="1" ref="X311" ca="1">SUM((OFFSET(Data!B311,MAX(ROW(Data!$B$5)-ROW(Data!B311),-200),0,400,1)=Data!B311)*(OFFSET(Data!A311,MAX(ROW(Data!$B$5)-ROW(Data!B311),-200),0,400,1)=Data!A311))=1</f>
        <v>1</v>
      </c>
      <c r="Y311" s="26" t="b">
        <f t="array" aca="1" ref="Y311" ca="1">IF(UPPER(Data!C311)="START",SUM((OFFSET(Data!C311,MAX(ROW(Data!$C$5)-ROW(Data!C311),-200),0,400,1)="START")*(OFFSET(Data!A311,MAX(ROW(Data!$B$5)-ROW(Data!B311),-200),0,400,1)=Data!A311))=1,TRUE)</f>
        <v>1</v>
      </c>
      <c r="Z311" s="26" t="b">
        <f t="array" aca="1" ref="Z311" ca="1">IF(UPPER(Data!C311)="END",SUM((OFFSET(Data!C311,MAX(ROW(Data!$C$5)-ROW(Data!C311),-200),0,400,1)="END")*(OFFSET(Data!A311,MAX(ROW(Data!$B$5)-ROW(Data!B311),-200),0,400,1)=Data!A311))=1,TRUE)</f>
        <v>1</v>
      </c>
      <c r="AA311" s="26" t="b">
        <f>IF(Checks!C311,ISERROR(FIND("&amp;",Data!D311)),TRUE)</f>
        <v>1</v>
      </c>
      <c r="AB311" s="26" t="b">
        <f>IF(Checks!$C311,IF(AND(UPPER(Data!$C311)&lt;&gt;"START",UPPER(Data!$C311)&lt;&gt;"DATA OBJECT",Data!E311&lt;&gt;""),NOT(ISERROR(MATCH(Data!$A311&amp;"||"&amp;Data!E311,Key,0))),TRUE),TRUE)</f>
        <v>1</v>
      </c>
      <c r="AC311" s="27" t="b">
        <f>IF(Checks!C311,IF(UPPER(Data!C311)="END",Data!E311&lt;&gt;"",TRUE),TRUE)</f>
        <v>1</v>
      </c>
    </row>
    <row r="312" spans="1:29" x14ac:dyDescent="0.25">
      <c r="A312" s="1" t="str">
        <f>Data!A312&amp;"||"&amp;Data!B312</f>
        <v>Miscellaneous/subflow/irmifrs9_enrichment_stage5.bpmn||010_00_02</v>
      </c>
      <c r="B312" s="19"/>
      <c r="C312" s="24" t="b">
        <f>AND(UPPER(Data!A312)&lt;&gt;"EMPTY",Data!B312&lt;&gt;"")</f>
        <v>1</v>
      </c>
      <c r="D312" s="1"/>
      <c r="E312" s="25" t="b">
        <f t="shared" ca="1" si="8"/>
        <v>1</v>
      </c>
      <c r="F312" s="26" t="b">
        <f ca="1">IF(UPPER(Data!C312)="SUB PROCESS",NOT(ISERROR(MATCH(RIGHT(Data!BY312,LEN(Data!BY312)-5),OFFSET(Data,0,0,ItemsCount,1),0))),TRUE)</f>
        <v>1</v>
      </c>
      <c r="G312" s="26" t="b">
        <f ca="1">IF(MID(UPPER(Data!A312),1,13)="MISCELLANEOUS",NOT(ISERROR(MATCH("path="&amp;Data!A312,OFFSET(Data,0,76,ItemsCount,1),0))),TRUE)</f>
        <v>1</v>
      </c>
      <c r="L312" s="25" t="b">
        <f t="shared" ca="1" si="9"/>
        <v>1</v>
      </c>
      <c r="M312" s="24" t="b">
        <f>IF(Checks!$C312,Data!A312&lt;&gt;"",TRUE)</f>
        <v>1</v>
      </c>
      <c r="N312" s="26" t="b">
        <f>IF(Checks!C312,Data!B312&lt;&gt;"",TRUE)</f>
        <v>1</v>
      </c>
      <c r="O312" s="26" t="b">
        <f>IF(Checks!C312,IF(AND(UPPER(Data!C312)="SERVICE TASK",UPPER(Data!BZ312)="TYPE=SAS"),NodeExists(TRIM(RIGHT(Data!CA312,LEN(Data!CA312)-FIND("=",Data!CA312)))),TRUE),TRUE)</f>
        <v>1</v>
      </c>
      <c r="P312" s="26" t="b">
        <f>IF(Checks!C312,IF(Data!C312="DATA OBJECT",OR(AND(Data!BW312&lt;&gt;"",Data!BX312=""),AND(Data!BW312="",Data!BX312&lt;&gt;"")),TRUE),TRUE)</f>
        <v>1</v>
      </c>
      <c r="Q312" s="26" t="b">
        <f>IF(Checks!C312,UPPER(RIGHT(Data!A312,5))=".BPMN",TRUE)</f>
        <v>1</v>
      </c>
      <c r="R312" s="26" t="b">
        <f>IF(Checks!C312,IF(UPPER(Data!C312)="SUB PROCESS",UPPER(RIGHT(Data!BY312,5))=".BPMN",TRUE),TRUE)</f>
        <v>1</v>
      </c>
      <c r="S312" s="26" t="b">
        <f>IF(Checks!C312,IF(UPPER(Data!C312)="SERVICE TASK",IF(UPPER(Data!BZ312)="TYPE=SAS",UPPER(RIGHT(Data!CA312,4))=".SAS",TRUE),TRUE),TRUE)</f>
        <v>1</v>
      </c>
      <c r="T312" s="26" t="b">
        <f>IF(Checks!C312,IF(Data!B312&lt;&gt;"",Data!D312&lt;&gt;"",TRUE),TRUE)</f>
        <v>1</v>
      </c>
      <c r="U312" s="26" t="b">
        <f ca="1">IF(Checks!C312,IF(UPPER(Data!C312)="DATA OBJECT",NOT(ISERROR(MATCH(Data!A312&amp;"||"&amp;Data!BW312&amp;Data!BX312,Key,0))),TRUE),TRUE)</f>
        <v>1</v>
      </c>
      <c r="V312" s="26" t="b">
        <f>IF(Checks!C312,IF(UPPER(Data!C312)="SUB PROCESS",Data!BY312&lt;&gt;"",TRUE),TRUE)</f>
        <v>1</v>
      </c>
      <c r="W312" s="26" t="b">
        <f>IF(Checks!C312,IF(UPPER(Data!C312)="SERVICE TASK",AND(Data!BZ312&lt;&gt;"",Data!CA312&lt;&gt;""),TRUE),TRUE)</f>
        <v>1</v>
      </c>
      <c r="X312" s="26" t="b">
        <f t="array" aca="1" ref="X312" ca="1">SUM((OFFSET(Data!B312,MAX(ROW(Data!$B$5)-ROW(Data!B312),-200),0,400,1)=Data!B312)*(OFFSET(Data!A312,MAX(ROW(Data!$B$5)-ROW(Data!B312),-200),0,400,1)=Data!A312))=1</f>
        <v>1</v>
      </c>
      <c r="Y312" s="26" t="b">
        <f t="array" aca="1" ref="Y312" ca="1">IF(UPPER(Data!C312)="START",SUM((OFFSET(Data!C312,MAX(ROW(Data!$C$5)-ROW(Data!C312),-200),0,400,1)="START")*(OFFSET(Data!A312,MAX(ROW(Data!$B$5)-ROW(Data!B312),-200),0,400,1)=Data!A312))=1,TRUE)</f>
        <v>1</v>
      </c>
      <c r="Z312" s="26" t="b">
        <f t="array" aca="1" ref="Z312" ca="1">IF(UPPER(Data!C312)="END",SUM((OFFSET(Data!C312,MAX(ROW(Data!$C$5)-ROW(Data!C312),-200),0,400,1)="END")*(OFFSET(Data!A312,MAX(ROW(Data!$B$5)-ROW(Data!B312),-200),0,400,1)=Data!A312))=1,TRUE)</f>
        <v>1</v>
      </c>
      <c r="AA312" s="26" t="b">
        <f>IF(Checks!C312,ISERROR(FIND("&amp;",Data!D312)),TRUE)</f>
        <v>1</v>
      </c>
      <c r="AB312" s="26" t="b">
        <f>IF(Checks!$C312,IF(AND(UPPER(Data!$C312)&lt;&gt;"START",UPPER(Data!$C312)&lt;&gt;"DATA OBJECT",Data!E312&lt;&gt;""),NOT(ISERROR(MATCH(Data!$A312&amp;"||"&amp;Data!E312,Key,0))),TRUE),TRUE)</f>
        <v>1</v>
      </c>
      <c r="AC312" s="27" t="b">
        <f>IF(Checks!C312,IF(UPPER(Data!C312)="END",Data!E312&lt;&gt;"",TRUE),TRUE)</f>
        <v>1</v>
      </c>
    </row>
    <row r="313" spans="1:29" x14ac:dyDescent="0.25">
      <c r="A313" s="1" t="str">
        <f>Data!A313&amp;"||"&amp;Data!B313</f>
        <v>Miscellaneous/subflow/irmifrs9_enrichment_stage5.bpmn||010_00_03</v>
      </c>
      <c r="B313" s="19"/>
      <c r="C313" s="24" t="b">
        <f>AND(UPPER(Data!A313)&lt;&gt;"EMPTY",Data!B313&lt;&gt;"")</f>
        <v>1</v>
      </c>
      <c r="D313" s="1"/>
      <c r="E313" s="25" t="b">
        <f t="shared" ca="1" si="8"/>
        <v>1</v>
      </c>
      <c r="F313" s="26" t="b">
        <f ca="1">IF(UPPER(Data!C313)="SUB PROCESS",NOT(ISERROR(MATCH(RIGHT(Data!BY313,LEN(Data!BY313)-5),OFFSET(Data,0,0,ItemsCount,1),0))),TRUE)</f>
        <v>1</v>
      </c>
      <c r="G313" s="26" t="b">
        <f ca="1">IF(MID(UPPER(Data!A313),1,13)="MISCELLANEOUS",NOT(ISERROR(MATCH("path="&amp;Data!A313,OFFSET(Data,0,76,ItemsCount,1),0))),TRUE)</f>
        <v>1</v>
      </c>
      <c r="L313" s="25" t="b">
        <f t="shared" ca="1" si="9"/>
        <v>1</v>
      </c>
      <c r="M313" s="24" t="b">
        <f>IF(Checks!$C313,Data!A313&lt;&gt;"",TRUE)</f>
        <v>1</v>
      </c>
      <c r="N313" s="26" t="b">
        <f>IF(Checks!C313,Data!B313&lt;&gt;"",TRUE)</f>
        <v>1</v>
      </c>
      <c r="O313" s="26" t="b">
        <f>IF(Checks!C313,IF(AND(UPPER(Data!C313)="SERVICE TASK",UPPER(Data!BZ313)="TYPE=SAS"),NodeExists(TRIM(RIGHT(Data!CA313,LEN(Data!CA313)-FIND("=",Data!CA313)))),TRUE),TRUE)</f>
        <v>1</v>
      </c>
      <c r="P313" s="26" t="b">
        <f>IF(Checks!C313,IF(Data!C313="DATA OBJECT",OR(AND(Data!BW313&lt;&gt;"",Data!BX313=""),AND(Data!BW313="",Data!BX313&lt;&gt;"")),TRUE),TRUE)</f>
        <v>1</v>
      </c>
      <c r="Q313" s="26" t="b">
        <f>IF(Checks!C313,UPPER(RIGHT(Data!A313,5))=".BPMN",TRUE)</f>
        <v>1</v>
      </c>
      <c r="R313" s="26" t="b">
        <f>IF(Checks!C313,IF(UPPER(Data!C313)="SUB PROCESS",UPPER(RIGHT(Data!BY313,5))=".BPMN",TRUE),TRUE)</f>
        <v>1</v>
      </c>
      <c r="S313" s="26" t="b">
        <f>IF(Checks!C313,IF(UPPER(Data!C313)="SERVICE TASK",IF(UPPER(Data!BZ313)="TYPE=SAS",UPPER(RIGHT(Data!CA313,4))=".SAS",TRUE),TRUE),TRUE)</f>
        <v>1</v>
      </c>
      <c r="T313" s="26" t="b">
        <f>IF(Checks!C313,IF(Data!B313&lt;&gt;"",Data!D313&lt;&gt;"",TRUE),TRUE)</f>
        <v>1</v>
      </c>
      <c r="U313" s="26" t="b">
        <f ca="1">IF(Checks!C313,IF(UPPER(Data!C313)="DATA OBJECT",NOT(ISERROR(MATCH(Data!A313&amp;"||"&amp;Data!BW313&amp;Data!BX313,Key,0))),TRUE),TRUE)</f>
        <v>1</v>
      </c>
      <c r="V313" s="26" t="b">
        <f>IF(Checks!C313,IF(UPPER(Data!C313)="SUB PROCESS",Data!BY313&lt;&gt;"",TRUE),TRUE)</f>
        <v>1</v>
      </c>
      <c r="W313" s="26" t="b">
        <f>IF(Checks!C313,IF(UPPER(Data!C313)="SERVICE TASK",AND(Data!BZ313&lt;&gt;"",Data!CA313&lt;&gt;""),TRUE),TRUE)</f>
        <v>1</v>
      </c>
      <c r="X313" s="26" t="b">
        <f t="array" aca="1" ref="X313" ca="1">SUM((OFFSET(Data!B313,MAX(ROW(Data!$B$5)-ROW(Data!B313),-200),0,400,1)=Data!B313)*(OFFSET(Data!A313,MAX(ROW(Data!$B$5)-ROW(Data!B313),-200),0,400,1)=Data!A313))=1</f>
        <v>1</v>
      </c>
      <c r="Y313" s="26" t="b">
        <f t="array" aca="1" ref="Y313" ca="1">IF(UPPER(Data!C313)="START",SUM((OFFSET(Data!C313,MAX(ROW(Data!$C$5)-ROW(Data!C313),-200),0,400,1)="START")*(OFFSET(Data!A313,MAX(ROW(Data!$B$5)-ROW(Data!B313),-200),0,400,1)=Data!A313))=1,TRUE)</f>
        <v>1</v>
      </c>
      <c r="Z313" s="26" t="b">
        <f t="array" aca="1" ref="Z313" ca="1">IF(UPPER(Data!C313)="END",SUM((OFFSET(Data!C313,MAX(ROW(Data!$C$5)-ROW(Data!C313),-200),0,400,1)="END")*(OFFSET(Data!A313,MAX(ROW(Data!$B$5)-ROW(Data!B313),-200),0,400,1)=Data!A313))=1,TRUE)</f>
        <v>1</v>
      </c>
      <c r="AA313" s="26" t="b">
        <f>IF(Checks!C313,ISERROR(FIND("&amp;",Data!D313)),TRUE)</f>
        <v>1</v>
      </c>
      <c r="AB313" s="26" t="b">
        <f>IF(Checks!$C313,IF(AND(UPPER(Data!$C313)&lt;&gt;"START",UPPER(Data!$C313)&lt;&gt;"DATA OBJECT",Data!E313&lt;&gt;""),NOT(ISERROR(MATCH(Data!$A313&amp;"||"&amp;Data!E313,Key,0))),TRUE),TRUE)</f>
        <v>1</v>
      </c>
      <c r="AC313" s="27" t="b">
        <f>IF(Checks!C313,IF(UPPER(Data!C313)="END",Data!E313&lt;&gt;"",TRUE),TRUE)</f>
        <v>1</v>
      </c>
    </row>
    <row r="314" spans="1:29" x14ac:dyDescent="0.25">
      <c r="A314" s="1" t="str">
        <f>Data!A314&amp;"||"&amp;Data!B314</f>
        <v>Miscellaneous/subflow/irmifrs9_enrichment_stage5.bpmn||010_01_00</v>
      </c>
      <c r="B314" s="19"/>
      <c r="C314" s="24" t="b">
        <f>AND(UPPER(Data!A314)&lt;&gt;"EMPTY",Data!B314&lt;&gt;"")</f>
        <v>1</v>
      </c>
      <c r="D314" s="1"/>
      <c r="E314" s="25" t="b">
        <f t="shared" ca="1" si="8"/>
        <v>1</v>
      </c>
      <c r="F314" s="26" t="b">
        <f ca="1">IF(UPPER(Data!C314)="SUB PROCESS",NOT(ISERROR(MATCH(RIGHT(Data!BY314,LEN(Data!BY314)-5),OFFSET(Data,0,0,ItemsCount,1),0))),TRUE)</f>
        <v>1</v>
      </c>
      <c r="G314" s="26" t="b">
        <f ca="1">IF(MID(UPPER(Data!A314),1,13)="MISCELLANEOUS",NOT(ISERROR(MATCH("path="&amp;Data!A314,OFFSET(Data,0,76,ItemsCount,1),0))),TRUE)</f>
        <v>1</v>
      </c>
      <c r="L314" s="25" t="b">
        <f t="shared" ca="1" si="9"/>
        <v>1</v>
      </c>
      <c r="M314" s="24" t="b">
        <f>IF(Checks!$C314,Data!A314&lt;&gt;"",TRUE)</f>
        <v>1</v>
      </c>
      <c r="N314" s="26" t="b">
        <f>IF(Checks!C314,Data!B314&lt;&gt;"",TRUE)</f>
        <v>1</v>
      </c>
      <c r="O314" s="26" t="b">
        <f>IF(Checks!C314,IF(AND(UPPER(Data!C314)="SERVICE TASK",UPPER(Data!BZ314)="TYPE=SAS"),NodeExists(TRIM(RIGHT(Data!CA314,LEN(Data!CA314)-FIND("=",Data!CA314)))),TRUE),TRUE)</f>
        <v>1</v>
      </c>
      <c r="P314" s="26" t="b">
        <f>IF(Checks!C314,IF(Data!C314="DATA OBJECT",OR(AND(Data!BW314&lt;&gt;"",Data!BX314=""),AND(Data!BW314="",Data!BX314&lt;&gt;"")),TRUE),TRUE)</f>
        <v>1</v>
      </c>
      <c r="Q314" s="26" t="b">
        <f>IF(Checks!C314,UPPER(RIGHT(Data!A314,5))=".BPMN",TRUE)</f>
        <v>1</v>
      </c>
      <c r="R314" s="26" t="b">
        <f>IF(Checks!C314,IF(UPPER(Data!C314)="SUB PROCESS",UPPER(RIGHT(Data!BY314,5))=".BPMN",TRUE),TRUE)</f>
        <v>1</v>
      </c>
      <c r="S314" s="26" t="b">
        <f>IF(Checks!C314,IF(UPPER(Data!C314)="SERVICE TASK",IF(UPPER(Data!BZ314)="TYPE=SAS",UPPER(RIGHT(Data!CA314,4))=".SAS",TRUE),TRUE),TRUE)</f>
        <v>1</v>
      </c>
      <c r="T314" s="26" t="b">
        <f>IF(Checks!C314,IF(Data!B314&lt;&gt;"",Data!D314&lt;&gt;"",TRUE),TRUE)</f>
        <v>1</v>
      </c>
      <c r="U314" s="26" t="b">
        <f ca="1">IF(Checks!C314,IF(UPPER(Data!C314)="DATA OBJECT",NOT(ISERROR(MATCH(Data!A314&amp;"||"&amp;Data!BW314&amp;Data!BX314,Key,0))),TRUE),TRUE)</f>
        <v>1</v>
      </c>
      <c r="V314" s="26" t="b">
        <f>IF(Checks!C314,IF(UPPER(Data!C314)="SUB PROCESS",Data!BY314&lt;&gt;"",TRUE),TRUE)</f>
        <v>1</v>
      </c>
      <c r="W314" s="26" t="b">
        <f>IF(Checks!C314,IF(UPPER(Data!C314)="SERVICE TASK",AND(Data!BZ314&lt;&gt;"",Data!CA314&lt;&gt;""),TRUE),TRUE)</f>
        <v>1</v>
      </c>
      <c r="X314" s="26" t="b">
        <f t="array" aca="1" ref="X314" ca="1">SUM((OFFSET(Data!B314,MAX(ROW(Data!$B$5)-ROW(Data!B314),-200),0,400,1)=Data!B314)*(OFFSET(Data!A314,MAX(ROW(Data!$B$5)-ROW(Data!B314),-200),0,400,1)=Data!A314))=1</f>
        <v>1</v>
      </c>
      <c r="Y314" s="26" t="b">
        <f t="array" aca="1" ref="Y314" ca="1">IF(UPPER(Data!C314)="START",SUM((OFFSET(Data!C314,MAX(ROW(Data!$C$5)-ROW(Data!C314),-200),0,400,1)="START")*(OFFSET(Data!A314,MAX(ROW(Data!$B$5)-ROW(Data!B314),-200),0,400,1)=Data!A314))=1,TRUE)</f>
        <v>1</v>
      </c>
      <c r="Z314" s="26" t="b">
        <f t="array" aca="1" ref="Z314" ca="1">IF(UPPER(Data!C314)="END",SUM((OFFSET(Data!C314,MAX(ROW(Data!$C$5)-ROW(Data!C314),-200),0,400,1)="END")*(OFFSET(Data!A314,MAX(ROW(Data!$B$5)-ROW(Data!B314),-200),0,400,1)=Data!A314))=1,TRUE)</f>
        <v>1</v>
      </c>
      <c r="AA314" s="26" t="b">
        <f>IF(Checks!C314,ISERROR(FIND("&amp;",Data!D314)),TRUE)</f>
        <v>1</v>
      </c>
      <c r="AB314" s="26" t="b">
        <f>IF(Checks!$C314,IF(AND(UPPER(Data!$C314)&lt;&gt;"START",UPPER(Data!$C314)&lt;&gt;"DATA OBJECT",Data!E314&lt;&gt;""),NOT(ISERROR(MATCH(Data!$A314&amp;"||"&amp;Data!E314,Key,0))),TRUE),TRUE)</f>
        <v>1</v>
      </c>
      <c r="AC314" s="27" t="b">
        <f>IF(Checks!C314,IF(UPPER(Data!C314)="END",Data!E314&lt;&gt;"",TRUE),TRUE)</f>
        <v>1</v>
      </c>
    </row>
    <row r="315" spans="1:29" x14ac:dyDescent="0.25">
      <c r="A315" s="1" t="str">
        <f>Data!A315&amp;"||"&amp;Data!B315</f>
        <v>Miscellaneous/subflow/irmifrs9_enrichment_stage5.bpmn||020_00_00</v>
      </c>
      <c r="B315" s="19"/>
      <c r="C315" s="24" t="b">
        <f>AND(UPPER(Data!A315)&lt;&gt;"EMPTY",Data!B315&lt;&gt;"")</f>
        <v>1</v>
      </c>
      <c r="D315" s="1"/>
      <c r="E315" s="25" t="b">
        <f t="shared" ca="1" si="8"/>
        <v>1</v>
      </c>
      <c r="F315" s="26" t="b">
        <f ca="1">IF(UPPER(Data!C315)="SUB PROCESS",NOT(ISERROR(MATCH(RIGHT(Data!BY315,LEN(Data!BY315)-5),OFFSET(Data,0,0,ItemsCount,1),0))),TRUE)</f>
        <v>1</v>
      </c>
      <c r="G315" s="26" t="b">
        <f ca="1">IF(MID(UPPER(Data!A315),1,13)="MISCELLANEOUS",NOT(ISERROR(MATCH("path="&amp;Data!A315,OFFSET(Data,0,76,ItemsCount,1),0))),TRUE)</f>
        <v>1</v>
      </c>
      <c r="L315" s="25" t="b">
        <f t="shared" ca="1" si="9"/>
        <v>1</v>
      </c>
      <c r="M315" s="24" t="b">
        <f>IF(Checks!$C315,Data!A315&lt;&gt;"",TRUE)</f>
        <v>1</v>
      </c>
      <c r="N315" s="26" t="b">
        <f>IF(Checks!C315,Data!B315&lt;&gt;"",TRUE)</f>
        <v>1</v>
      </c>
      <c r="O315" s="26" t="b">
        <f>IF(Checks!C315,IF(AND(UPPER(Data!C315)="SERVICE TASK",UPPER(Data!BZ315)="TYPE=SAS"),NodeExists(TRIM(RIGHT(Data!CA315,LEN(Data!CA315)-FIND("=",Data!CA315)))),TRUE),TRUE)</f>
        <v>1</v>
      </c>
      <c r="P315" s="26" t="b">
        <f>IF(Checks!C315,IF(Data!C315="DATA OBJECT",OR(AND(Data!BW315&lt;&gt;"",Data!BX315=""),AND(Data!BW315="",Data!BX315&lt;&gt;"")),TRUE),TRUE)</f>
        <v>1</v>
      </c>
      <c r="Q315" s="26" t="b">
        <f>IF(Checks!C315,UPPER(RIGHT(Data!A315,5))=".BPMN",TRUE)</f>
        <v>1</v>
      </c>
      <c r="R315" s="26" t="b">
        <f>IF(Checks!C315,IF(UPPER(Data!C315)="SUB PROCESS",UPPER(RIGHT(Data!BY315,5))=".BPMN",TRUE),TRUE)</f>
        <v>1</v>
      </c>
      <c r="S315" s="26" t="b">
        <f>IF(Checks!C315,IF(UPPER(Data!C315)="SERVICE TASK",IF(UPPER(Data!BZ315)="TYPE=SAS",UPPER(RIGHT(Data!CA315,4))=".SAS",TRUE),TRUE),TRUE)</f>
        <v>1</v>
      </c>
      <c r="T315" s="26" t="b">
        <f>IF(Checks!C315,IF(Data!B315&lt;&gt;"",Data!D315&lt;&gt;"",TRUE),TRUE)</f>
        <v>1</v>
      </c>
      <c r="U315" s="26" t="b">
        <f>IF(Checks!C315,IF(UPPER(Data!C315)="DATA OBJECT",NOT(ISERROR(MATCH(Data!A315&amp;"||"&amp;Data!BW315&amp;Data!BX315,Key,0))),TRUE),TRUE)</f>
        <v>1</v>
      </c>
      <c r="V315" s="26" t="b">
        <f>IF(Checks!C315,IF(UPPER(Data!C315)="SUB PROCESS",Data!BY315&lt;&gt;"",TRUE),TRUE)</f>
        <v>1</v>
      </c>
      <c r="W315" s="26" t="b">
        <f>IF(Checks!C315,IF(UPPER(Data!C315)="SERVICE TASK",AND(Data!BZ315&lt;&gt;"",Data!CA315&lt;&gt;""),TRUE),TRUE)</f>
        <v>1</v>
      </c>
      <c r="X315" s="26" t="b">
        <f t="array" aca="1" ref="X315" ca="1">SUM((OFFSET(Data!B315,MAX(ROW(Data!$B$5)-ROW(Data!B315),-200),0,400,1)=Data!B315)*(OFFSET(Data!A315,MAX(ROW(Data!$B$5)-ROW(Data!B315),-200),0,400,1)=Data!A315))=1</f>
        <v>1</v>
      </c>
      <c r="Y315" s="26" t="b">
        <f t="array" aca="1" ref="Y315" ca="1">IF(UPPER(Data!C315)="START",SUM((OFFSET(Data!C315,MAX(ROW(Data!$C$5)-ROW(Data!C315),-200),0,400,1)="START")*(OFFSET(Data!A315,MAX(ROW(Data!$B$5)-ROW(Data!B315),-200),0,400,1)=Data!A315))=1,TRUE)</f>
        <v>1</v>
      </c>
      <c r="Z315" s="26" t="b">
        <f t="array" aca="1" ref="Z315" ca="1">IF(UPPER(Data!C315)="END",SUM((OFFSET(Data!C315,MAX(ROW(Data!$C$5)-ROW(Data!C315),-200),0,400,1)="END")*(OFFSET(Data!A315,MAX(ROW(Data!$B$5)-ROW(Data!B315),-200),0,400,1)=Data!A315))=1,TRUE)</f>
        <v>1</v>
      </c>
      <c r="AA315" s="26" t="b">
        <f>IF(Checks!C315,ISERROR(FIND("&amp;",Data!D315)),TRUE)</f>
        <v>1</v>
      </c>
      <c r="AB315" s="26" t="b">
        <f ca="1">IF(Checks!$C315,IF(AND(UPPER(Data!$C315)&lt;&gt;"START",UPPER(Data!$C315)&lt;&gt;"DATA OBJECT",Data!E315&lt;&gt;""),NOT(ISERROR(MATCH(Data!$A315&amp;"||"&amp;Data!E315,Key,0))),TRUE),TRUE)</f>
        <v>1</v>
      </c>
      <c r="AC315" s="27" t="b">
        <f>IF(Checks!C315,IF(UPPER(Data!C315)="END",Data!E315&lt;&gt;"",TRUE),TRUE)</f>
        <v>1</v>
      </c>
    </row>
    <row r="316" spans="1:29" x14ac:dyDescent="0.25">
      <c r="A316" s="1" t="str">
        <f>Data!A316&amp;"||"&amp;Data!B316</f>
        <v>Miscellaneous/subflow/irmifrs9_enrichment_stage5.bpmn||020_00_01</v>
      </c>
      <c r="B316" s="19"/>
      <c r="C316" s="24" t="b">
        <f>AND(UPPER(Data!A316)&lt;&gt;"EMPTY",Data!B316&lt;&gt;"")</f>
        <v>1</v>
      </c>
      <c r="D316" s="1"/>
      <c r="E316" s="25" t="b">
        <f t="shared" ca="1" si="8"/>
        <v>1</v>
      </c>
      <c r="F316" s="26" t="b">
        <f ca="1">IF(UPPER(Data!C316)="SUB PROCESS",NOT(ISERROR(MATCH(RIGHT(Data!BY316,LEN(Data!BY316)-5),OFFSET(Data,0,0,ItemsCount,1),0))),TRUE)</f>
        <v>1</v>
      </c>
      <c r="G316" s="26" t="b">
        <f ca="1">IF(MID(UPPER(Data!A316),1,13)="MISCELLANEOUS",NOT(ISERROR(MATCH("path="&amp;Data!A316,OFFSET(Data,0,76,ItemsCount,1),0))),TRUE)</f>
        <v>1</v>
      </c>
      <c r="L316" s="25" t="b">
        <f t="shared" ca="1" si="9"/>
        <v>1</v>
      </c>
      <c r="M316" s="24" t="b">
        <f>IF(Checks!$C316,Data!A316&lt;&gt;"",TRUE)</f>
        <v>1</v>
      </c>
      <c r="N316" s="26" t="b">
        <f>IF(Checks!C316,Data!B316&lt;&gt;"",TRUE)</f>
        <v>1</v>
      </c>
      <c r="O316" s="26" t="b">
        <f>IF(Checks!C316,IF(AND(UPPER(Data!C316)="SERVICE TASK",UPPER(Data!BZ316)="TYPE=SAS"),NodeExists(TRIM(RIGHT(Data!CA316,LEN(Data!CA316)-FIND("=",Data!CA316)))),TRUE),TRUE)</f>
        <v>1</v>
      </c>
      <c r="P316" s="26" t="b">
        <f>IF(Checks!C316,IF(Data!C316="DATA OBJECT",OR(AND(Data!BW316&lt;&gt;"",Data!BX316=""),AND(Data!BW316="",Data!BX316&lt;&gt;"")),TRUE),TRUE)</f>
        <v>1</v>
      </c>
      <c r="Q316" s="26" t="b">
        <f>IF(Checks!C316,UPPER(RIGHT(Data!A316,5))=".BPMN",TRUE)</f>
        <v>1</v>
      </c>
      <c r="R316" s="26" t="b">
        <f>IF(Checks!C316,IF(UPPER(Data!C316)="SUB PROCESS",UPPER(RIGHT(Data!BY316,5))=".BPMN",TRUE),TRUE)</f>
        <v>1</v>
      </c>
      <c r="S316" s="26" t="b">
        <f>IF(Checks!C316,IF(UPPER(Data!C316)="SERVICE TASK",IF(UPPER(Data!BZ316)="TYPE=SAS",UPPER(RIGHT(Data!CA316,4))=".SAS",TRUE),TRUE),TRUE)</f>
        <v>1</v>
      </c>
      <c r="T316" s="26" t="b">
        <f>IF(Checks!C316,IF(Data!B316&lt;&gt;"",Data!D316&lt;&gt;"",TRUE),TRUE)</f>
        <v>1</v>
      </c>
      <c r="U316" s="26" t="b">
        <f ca="1">IF(Checks!C316,IF(UPPER(Data!C316)="DATA OBJECT",NOT(ISERROR(MATCH(Data!A316&amp;"||"&amp;Data!BW316&amp;Data!BX316,Key,0))),TRUE),TRUE)</f>
        <v>1</v>
      </c>
      <c r="V316" s="26" t="b">
        <f>IF(Checks!C316,IF(UPPER(Data!C316)="SUB PROCESS",Data!BY316&lt;&gt;"",TRUE),TRUE)</f>
        <v>1</v>
      </c>
      <c r="W316" s="26" t="b">
        <f>IF(Checks!C316,IF(UPPER(Data!C316)="SERVICE TASK",AND(Data!BZ316&lt;&gt;"",Data!CA316&lt;&gt;""),TRUE),TRUE)</f>
        <v>1</v>
      </c>
      <c r="X316" s="26" t="b">
        <f t="array" aca="1" ref="X316" ca="1">SUM((OFFSET(Data!B316,MAX(ROW(Data!$B$5)-ROW(Data!B316),-200),0,400,1)=Data!B316)*(OFFSET(Data!A316,MAX(ROW(Data!$B$5)-ROW(Data!B316),-200),0,400,1)=Data!A316))=1</f>
        <v>1</v>
      </c>
      <c r="Y316" s="26" t="b">
        <f t="array" aca="1" ref="Y316" ca="1">IF(UPPER(Data!C316)="START",SUM((OFFSET(Data!C316,MAX(ROW(Data!$C$5)-ROW(Data!C316),-200),0,400,1)="START")*(OFFSET(Data!A316,MAX(ROW(Data!$B$5)-ROW(Data!B316),-200),0,400,1)=Data!A316))=1,TRUE)</f>
        <v>1</v>
      </c>
      <c r="Z316" s="26" t="b">
        <f t="array" aca="1" ref="Z316" ca="1">IF(UPPER(Data!C316)="END",SUM((OFFSET(Data!C316,MAX(ROW(Data!$C$5)-ROW(Data!C316),-200),0,400,1)="END")*(OFFSET(Data!A316,MAX(ROW(Data!$B$5)-ROW(Data!B316),-200),0,400,1)=Data!A316))=1,TRUE)</f>
        <v>1</v>
      </c>
      <c r="AA316" s="26" t="b">
        <f>IF(Checks!C316,ISERROR(FIND("&amp;",Data!D316)),TRUE)</f>
        <v>1</v>
      </c>
      <c r="AB316" s="26" t="b">
        <f>IF(Checks!$C316,IF(AND(UPPER(Data!$C316)&lt;&gt;"START",UPPER(Data!$C316)&lt;&gt;"DATA OBJECT",Data!E316&lt;&gt;""),NOT(ISERROR(MATCH(Data!$A316&amp;"||"&amp;Data!E316,Key,0))),TRUE),TRUE)</f>
        <v>1</v>
      </c>
      <c r="AC316" s="27" t="b">
        <f>IF(Checks!C316,IF(UPPER(Data!C316)="END",Data!E316&lt;&gt;"",TRUE),TRUE)</f>
        <v>1</v>
      </c>
    </row>
    <row r="317" spans="1:29" x14ac:dyDescent="0.25">
      <c r="A317" s="1" t="str">
        <f>Data!A317&amp;"||"&amp;Data!B317</f>
        <v>Miscellaneous/subflow/irmifrs9_enrichment_stage5.bpmn||020_00_02</v>
      </c>
      <c r="B317" s="19"/>
      <c r="C317" s="24" t="b">
        <f>AND(UPPER(Data!A317)&lt;&gt;"EMPTY",Data!B317&lt;&gt;"")</f>
        <v>1</v>
      </c>
      <c r="D317" s="1"/>
      <c r="E317" s="25" t="b">
        <f t="shared" ca="1" si="8"/>
        <v>1</v>
      </c>
      <c r="F317" s="26" t="b">
        <f ca="1">IF(UPPER(Data!C317)="SUB PROCESS",NOT(ISERROR(MATCH(RIGHT(Data!BY317,LEN(Data!BY317)-5),OFFSET(Data,0,0,ItemsCount,1),0))),TRUE)</f>
        <v>1</v>
      </c>
      <c r="G317" s="26" t="b">
        <f ca="1">IF(MID(UPPER(Data!A317),1,13)="MISCELLANEOUS",NOT(ISERROR(MATCH("path="&amp;Data!A317,OFFSET(Data,0,76,ItemsCount,1),0))),TRUE)</f>
        <v>1</v>
      </c>
      <c r="L317" s="25" t="b">
        <f t="shared" ca="1" si="9"/>
        <v>1</v>
      </c>
      <c r="M317" s="24" t="b">
        <f>IF(Checks!$C317,Data!A317&lt;&gt;"",TRUE)</f>
        <v>1</v>
      </c>
      <c r="N317" s="26" t="b">
        <f>IF(Checks!C317,Data!B317&lt;&gt;"",TRUE)</f>
        <v>1</v>
      </c>
      <c r="O317" s="26" t="b">
        <f>IF(Checks!C317,IF(AND(UPPER(Data!C317)="SERVICE TASK",UPPER(Data!BZ317)="TYPE=SAS"),NodeExists(TRIM(RIGHT(Data!CA317,LEN(Data!CA317)-FIND("=",Data!CA317)))),TRUE),TRUE)</f>
        <v>1</v>
      </c>
      <c r="P317" s="26" t="b">
        <f>IF(Checks!C317,IF(Data!C317="DATA OBJECT",OR(AND(Data!BW317&lt;&gt;"",Data!BX317=""),AND(Data!BW317="",Data!BX317&lt;&gt;"")),TRUE),TRUE)</f>
        <v>1</v>
      </c>
      <c r="Q317" s="26" t="b">
        <f>IF(Checks!C317,UPPER(RIGHT(Data!A317,5))=".BPMN",TRUE)</f>
        <v>1</v>
      </c>
      <c r="R317" s="26" t="b">
        <f>IF(Checks!C317,IF(UPPER(Data!C317)="SUB PROCESS",UPPER(RIGHT(Data!BY317,5))=".BPMN",TRUE),TRUE)</f>
        <v>1</v>
      </c>
      <c r="S317" s="26" t="b">
        <f>IF(Checks!C317,IF(UPPER(Data!C317)="SERVICE TASK",IF(UPPER(Data!BZ317)="TYPE=SAS",UPPER(RIGHT(Data!CA317,4))=".SAS",TRUE),TRUE),TRUE)</f>
        <v>1</v>
      </c>
      <c r="T317" s="26" t="b">
        <f>IF(Checks!C317,IF(Data!B317&lt;&gt;"",Data!D317&lt;&gt;"",TRUE),TRUE)</f>
        <v>1</v>
      </c>
      <c r="U317" s="26" t="b">
        <f ca="1">IF(Checks!C317,IF(UPPER(Data!C317)="DATA OBJECT",NOT(ISERROR(MATCH(Data!A317&amp;"||"&amp;Data!BW317&amp;Data!BX317,Key,0))),TRUE),TRUE)</f>
        <v>1</v>
      </c>
      <c r="V317" s="26" t="b">
        <f>IF(Checks!C317,IF(UPPER(Data!C317)="SUB PROCESS",Data!BY317&lt;&gt;"",TRUE),TRUE)</f>
        <v>1</v>
      </c>
      <c r="W317" s="26" t="b">
        <f>IF(Checks!C317,IF(UPPER(Data!C317)="SERVICE TASK",AND(Data!BZ317&lt;&gt;"",Data!CA317&lt;&gt;""),TRUE),TRUE)</f>
        <v>1</v>
      </c>
      <c r="X317" s="26" t="b">
        <f t="array" aca="1" ref="X317" ca="1">SUM((OFFSET(Data!B317,MAX(ROW(Data!$B$5)-ROW(Data!B317),-200),0,400,1)=Data!B317)*(OFFSET(Data!A317,MAX(ROW(Data!$B$5)-ROW(Data!B317),-200),0,400,1)=Data!A317))=1</f>
        <v>1</v>
      </c>
      <c r="Y317" s="26" t="b">
        <f t="array" aca="1" ref="Y317" ca="1">IF(UPPER(Data!C317)="START",SUM((OFFSET(Data!C317,MAX(ROW(Data!$C$5)-ROW(Data!C317),-200),0,400,1)="START")*(OFFSET(Data!A317,MAX(ROW(Data!$B$5)-ROW(Data!B317),-200),0,400,1)=Data!A317))=1,TRUE)</f>
        <v>1</v>
      </c>
      <c r="Z317" s="26" t="b">
        <f t="array" aca="1" ref="Z317" ca="1">IF(UPPER(Data!C317)="END",SUM((OFFSET(Data!C317,MAX(ROW(Data!$C$5)-ROW(Data!C317),-200),0,400,1)="END")*(OFFSET(Data!A317,MAX(ROW(Data!$B$5)-ROW(Data!B317),-200),0,400,1)=Data!A317))=1,TRUE)</f>
        <v>1</v>
      </c>
      <c r="AA317" s="26" t="b">
        <f>IF(Checks!C317,ISERROR(FIND("&amp;",Data!D317)),TRUE)</f>
        <v>1</v>
      </c>
      <c r="AB317" s="26" t="b">
        <f>IF(Checks!$C317,IF(AND(UPPER(Data!$C317)&lt;&gt;"START",UPPER(Data!$C317)&lt;&gt;"DATA OBJECT",Data!E317&lt;&gt;""),NOT(ISERROR(MATCH(Data!$A317&amp;"||"&amp;Data!E317,Key,0))),TRUE),TRUE)</f>
        <v>1</v>
      </c>
      <c r="AC317" s="27" t="b">
        <f>IF(Checks!C317,IF(UPPER(Data!C317)="END",Data!E317&lt;&gt;"",TRUE),TRUE)</f>
        <v>1</v>
      </c>
    </row>
    <row r="318" spans="1:29" x14ac:dyDescent="0.25">
      <c r="A318" s="1" t="str">
        <f>Data!A318&amp;"||"&amp;Data!B318</f>
        <v>Miscellaneous/subflow/irmifrs9_enrichment_stage5.bpmn||020_00_03</v>
      </c>
      <c r="B318" s="19"/>
      <c r="C318" s="24" t="b">
        <f>AND(UPPER(Data!A318)&lt;&gt;"EMPTY",Data!B318&lt;&gt;"")</f>
        <v>1</v>
      </c>
      <c r="D318" s="1"/>
      <c r="E318" s="25" t="b">
        <f t="shared" ca="1" si="8"/>
        <v>1</v>
      </c>
      <c r="F318" s="26" t="b">
        <f ca="1">IF(UPPER(Data!C318)="SUB PROCESS",NOT(ISERROR(MATCH(RIGHT(Data!BY318,LEN(Data!BY318)-5),OFFSET(Data,0,0,ItemsCount,1),0))),TRUE)</f>
        <v>1</v>
      </c>
      <c r="G318" s="26" t="b">
        <f ca="1">IF(MID(UPPER(Data!A318),1,13)="MISCELLANEOUS",NOT(ISERROR(MATCH("path="&amp;Data!A318,OFFSET(Data,0,76,ItemsCount,1),0))),TRUE)</f>
        <v>1</v>
      </c>
      <c r="L318" s="25" t="b">
        <f t="shared" ca="1" si="9"/>
        <v>1</v>
      </c>
      <c r="M318" s="24" t="b">
        <f>IF(Checks!$C318,Data!A318&lt;&gt;"",TRUE)</f>
        <v>1</v>
      </c>
      <c r="N318" s="26" t="b">
        <f>IF(Checks!C318,Data!B318&lt;&gt;"",TRUE)</f>
        <v>1</v>
      </c>
      <c r="O318" s="26" t="b">
        <f>IF(Checks!C318,IF(AND(UPPER(Data!C318)="SERVICE TASK",UPPER(Data!BZ318)="TYPE=SAS"),NodeExists(TRIM(RIGHT(Data!CA318,LEN(Data!CA318)-FIND("=",Data!CA318)))),TRUE),TRUE)</f>
        <v>1</v>
      </c>
      <c r="P318" s="26" t="b">
        <f>IF(Checks!C318,IF(Data!C318="DATA OBJECT",OR(AND(Data!BW318&lt;&gt;"",Data!BX318=""),AND(Data!BW318="",Data!BX318&lt;&gt;"")),TRUE),TRUE)</f>
        <v>1</v>
      </c>
      <c r="Q318" s="26" t="b">
        <f>IF(Checks!C318,UPPER(RIGHT(Data!A318,5))=".BPMN",TRUE)</f>
        <v>1</v>
      </c>
      <c r="R318" s="26" t="b">
        <f>IF(Checks!C318,IF(UPPER(Data!C318)="SUB PROCESS",UPPER(RIGHT(Data!BY318,5))=".BPMN",TRUE),TRUE)</f>
        <v>1</v>
      </c>
      <c r="S318" s="26" t="b">
        <f>IF(Checks!C318,IF(UPPER(Data!C318)="SERVICE TASK",IF(UPPER(Data!BZ318)="TYPE=SAS",UPPER(RIGHT(Data!CA318,4))=".SAS",TRUE),TRUE),TRUE)</f>
        <v>1</v>
      </c>
      <c r="T318" s="26" t="b">
        <f>IF(Checks!C318,IF(Data!B318&lt;&gt;"",Data!D318&lt;&gt;"",TRUE),TRUE)</f>
        <v>1</v>
      </c>
      <c r="U318" s="26" t="b">
        <f ca="1">IF(Checks!C318,IF(UPPER(Data!C318)="DATA OBJECT",NOT(ISERROR(MATCH(Data!A318&amp;"||"&amp;Data!BW318&amp;Data!BX318,Key,0))),TRUE),TRUE)</f>
        <v>1</v>
      </c>
      <c r="V318" s="26" t="b">
        <f>IF(Checks!C318,IF(UPPER(Data!C318)="SUB PROCESS",Data!BY318&lt;&gt;"",TRUE),TRUE)</f>
        <v>1</v>
      </c>
      <c r="W318" s="26" t="b">
        <f>IF(Checks!C318,IF(UPPER(Data!C318)="SERVICE TASK",AND(Data!BZ318&lt;&gt;"",Data!CA318&lt;&gt;""),TRUE),TRUE)</f>
        <v>1</v>
      </c>
      <c r="X318" s="26" t="b">
        <f t="array" aca="1" ref="X318" ca="1">SUM((OFFSET(Data!B318,MAX(ROW(Data!$B$5)-ROW(Data!B318),-200),0,400,1)=Data!B318)*(OFFSET(Data!A318,MAX(ROW(Data!$B$5)-ROW(Data!B318),-200),0,400,1)=Data!A318))=1</f>
        <v>1</v>
      </c>
      <c r="Y318" s="26" t="b">
        <f t="array" aca="1" ref="Y318" ca="1">IF(UPPER(Data!C318)="START",SUM((OFFSET(Data!C318,MAX(ROW(Data!$C$5)-ROW(Data!C318),-200),0,400,1)="START")*(OFFSET(Data!A318,MAX(ROW(Data!$B$5)-ROW(Data!B318),-200),0,400,1)=Data!A318))=1,TRUE)</f>
        <v>1</v>
      </c>
      <c r="Z318" s="26" t="b">
        <f t="array" aca="1" ref="Z318" ca="1">IF(UPPER(Data!C318)="END",SUM((OFFSET(Data!C318,MAX(ROW(Data!$C$5)-ROW(Data!C318),-200),0,400,1)="END")*(OFFSET(Data!A318,MAX(ROW(Data!$B$5)-ROW(Data!B318),-200),0,400,1)=Data!A318))=1,TRUE)</f>
        <v>1</v>
      </c>
      <c r="AA318" s="26" t="b">
        <f>IF(Checks!C318,ISERROR(FIND("&amp;",Data!D318)),TRUE)</f>
        <v>1</v>
      </c>
      <c r="AB318" s="26" t="b">
        <f>IF(Checks!$C318,IF(AND(UPPER(Data!$C318)&lt;&gt;"START",UPPER(Data!$C318)&lt;&gt;"DATA OBJECT",Data!E318&lt;&gt;""),NOT(ISERROR(MATCH(Data!$A318&amp;"||"&amp;Data!E318,Key,0))),TRUE),TRUE)</f>
        <v>1</v>
      </c>
      <c r="AC318" s="27" t="b">
        <f>IF(Checks!C318,IF(UPPER(Data!C318)="END",Data!E318&lt;&gt;"",TRUE),TRUE)</f>
        <v>1</v>
      </c>
    </row>
    <row r="319" spans="1:29" x14ac:dyDescent="0.25">
      <c r="A319" s="1" t="str">
        <f>Data!A319&amp;"||"&amp;Data!B319</f>
        <v>Miscellaneous/subflow/irmifrs9_enrichment_stage5.bpmn||020_00_04</v>
      </c>
      <c r="B319" s="19"/>
      <c r="C319" s="24" t="b">
        <f>AND(UPPER(Data!A319)&lt;&gt;"EMPTY",Data!B319&lt;&gt;"")</f>
        <v>1</v>
      </c>
      <c r="D319" s="1"/>
      <c r="E319" s="25" t="b">
        <f t="shared" ca="1" si="8"/>
        <v>1</v>
      </c>
      <c r="F319" s="26" t="b">
        <f ca="1">IF(UPPER(Data!C319)="SUB PROCESS",NOT(ISERROR(MATCH(RIGHT(Data!BY319,LEN(Data!BY319)-5),OFFSET(Data,0,0,ItemsCount,1),0))),TRUE)</f>
        <v>1</v>
      </c>
      <c r="G319" s="26" t="b">
        <f ca="1">IF(MID(UPPER(Data!A319),1,13)="MISCELLANEOUS",NOT(ISERROR(MATCH("path="&amp;Data!A319,OFFSET(Data,0,76,ItemsCount,1),0))),TRUE)</f>
        <v>1</v>
      </c>
      <c r="L319" s="25" t="b">
        <f t="shared" ca="1" si="9"/>
        <v>1</v>
      </c>
      <c r="M319" s="24" t="b">
        <f>IF(Checks!$C319,Data!A319&lt;&gt;"",TRUE)</f>
        <v>1</v>
      </c>
      <c r="N319" s="26" t="b">
        <f>IF(Checks!C319,Data!B319&lt;&gt;"",TRUE)</f>
        <v>1</v>
      </c>
      <c r="O319" s="26" t="b">
        <f>IF(Checks!C319,IF(AND(UPPER(Data!C319)="SERVICE TASK",UPPER(Data!BZ319)="TYPE=SAS"),NodeExists(TRIM(RIGHT(Data!CA319,LEN(Data!CA319)-FIND("=",Data!CA319)))),TRUE),TRUE)</f>
        <v>1</v>
      </c>
      <c r="P319" s="26" t="b">
        <f>IF(Checks!C319,IF(Data!C319="DATA OBJECT",OR(AND(Data!BW319&lt;&gt;"",Data!BX319=""),AND(Data!BW319="",Data!BX319&lt;&gt;"")),TRUE),TRUE)</f>
        <v>1</v>
      </c>
      <c r="Q319" s="26" t="b">
        <f>IF(Checks!C319,UPPER(RIGHT(Data!A319,5))=".BPMN",TRUE)</f>
        <v>1</v>
      </c>
      <c r="R319" s="26" t="b">
        <f>IF(Checks!C319,IF(UPPER(Data!C319)="SUB PROCESS",UPPER(RIGHT(Data!BY319,5))=".BPMN",TRUE),TRUE)</f>
        <v>1</v>
      </c>
      <c r="S319" s="26" t="b">
        <f>IF(Checks!C319,IF(UPPER(Data!C319)="SERVICE TASK",IF(UPPER(Data!BZ319)="TYPE=SAS",UPPER(RIGHT(Data!CA319,4))=".SAS",TRUE),TRUE),TRUE)</f>
        <v>1</v>
      </c>
      <c r="T319" s="26" t="b">
        <f>IF(Checks!C319,IF(Data!B319&lt;&gt;"",Data!D319&lt;&gt;"",TRUE),TRUE)</f>
        <v>1</v>
      </c>
      <c r="U319" s="26" t="b">
        <f ca="1">IF(Checks!C319,IF(UPPER(Data!C319)="DATA OBJECT",NOT(ISERROR(MATCH(Data!A319&amp;"||"&amp;Data!BW319&amp;Data!BX319,Key,0))),TRUE),TRUE)</f>
        <v>1</v>
      </c>
      <c r="V319" s="26" t="b">
        <f>IF(Checks!C319,IF(UPPER(Data!C319)="SUB PROCESS",Data!BY319&lt;&gt;"",TRUE),TRUE)</f>
        <v>1</v>
      </c>
      <c r="W319" s="26" t="b">
        <f>IF(Checks!C319,IF(UPPER(Data!C319)="SERVICE TASK",AND(Data!BZ319&lt;&gt;"",Data!CA319&lt;&gt;""),TRUE),TRUE)</f>
        <v>1</v>
      </c>
      <c r="X319" s="26" t="b">
        <f t="array" aca="1" ref="X319" ca="1">SUM((OFFSET(Data!B319,MAX(ROW(Data!$B$5)-ROW(Data!B319),-200),0,400,1)=Data!B319)*(OFFSET(Data!A319,MAX(ROW(Data!$B$5)-ROW(Data!B319),-200),0,400,1)=Data!A319))=1</f>
        <v>1</v>
      </c>
      <c r="Y319" s="26" t="b">
        <f t="array" aca="1" ref="Y319" ca="1">IF(UPPER(Data!C319)="START",SUM((OFFSET(Data!C319,MAX(ROW(Data!$C$5)-ROW(Data!C319),-200),0,400,1)="START")*(OFFSET(Data!A319,MAX(ROW(Data!$B$5)-ROW(Data!B319),-200),0,400,1)=Data!A319))=1,TRUE)</f>
        <v>1</v>
      </c>
      <c r="Z319" s="26" t="b">
        <f t="array" aca="1" ref="Z319" ca="1">IF(UPPER(Data!C319)="END",SUM((OFFSET(Data!C319,MAX(ROW(Data!$C$5)-ROW(Data!C319),-200),0,400,1)="END")*(OFFSET(Data!A319,MAX(ROW(Data!$B$5)-ROW(Data!B319),-200),0,400,1)=Data!A319))=1,TRUE)</f>
        <v>1</v>
      </c>
      <c r="AA319" s="26" t="b">
        <f>IF(Checks!C319,ISERROR(FIND("&amp;",Data!D319)),TRUE)</f>
        <v>1</v>
      </c>
      <c r="AB319" s="26" t="b">
        <f>IF(Checks!$C319,IF(AND(UPPER(Data!$C319)&lt;&gt;"START",UPPER(Data!$C319)&lt;&gt;"DATA OBJECT",Data!E319&lt;&gt;""),NOT(ISERROR(MATCH(Data!$A319&amp;"||"&amp;Data!E319,Key,0))),TRUE),TRUE)</f>
        <v>1</v>
      </c>
      <c r="AC319" s="27" t="b">
        <f>IF(Checks!C319,IF(UPPER(Data!C319)="END",Data!E319&lt;&gt;"",TRUE),TRUE)</f>
        <v>1</v>
      </c>
    </row>
    <row r="320" spans="1:29" x14ac:dyDescent="0.25">
      <c r="A320" s="1" t="str">
        <f>Data!A320&amp;"||"&amp;Data!B320</f>
        <v>Miscellaneous/subflow/irmifrs9_enrichment_stage5.bpmn||020_00_05</v>
      </c>
      <c r="B320" s="19"/>
      <c r="C320" s="24" t="b">
        <f>AND(UPPER(Data!A320)&lt;&gt;"EMPTY",Data!B320&lt;&gt;"")</f>
        <v>1</v>
      </c>
      <c r="D320" s="1"/>
      <c r="E320" s="25" t="b">
        <f t="shared" ca="1" si="8"/>
        <v>1</v>
      </c>
      <c r="F320" s="26" t="b">
        <f ca="1">IF(UPPER(Data!C320)="SUB PROCESS",NOT(ISERROR(MATCH(RIGHT(Data!BY320,LEN(Data!BY320)-5),OFFSET(Data,0,0,ItemsCount,1),0))),TRUE)</f>
        <v>1</v>
      </c>
      <c r="G320" s="26" t="b">
        <f ca="1">IF(MID(UPPER(Data!A320),1,13)="MISCELLANEOUS",NOT(ISERROR(MATCH("path="&amp;Data!A320,OFFSET(Data,0,76,ItemsCount,1),0))),TRUE)</f>
        <v>1</v>
      </c>
      <c r="L320" s="25" t="b">
        <f t="shared" ca="1" si="9"/>
        <v>1</v>
      </c>
      <c r="M320" s="24" t="b">
        <f>IF(Checks!$C320,Data!A320&lt;&gt;"",TRUE)</f>
        <v>1</v>
      </c>
      <c r="N320" s="26" t="b">
        <f>IF(Checks!C320,Data!B320&lt;&gt;"",TRUE)</f>
        <v>1</v>
      </c>
      <c r="O320" s="26" t="b">
        <f>IF(Checks!C320,IF(AND(UPPER(Data!C320)="SERVICE TASK",UPPER(Data!BZ320)="TYPE=SAS"),NodeExists(TRIM(RIGHT(Data!CA320,LEN(Data!CA320)-FIND("=",Data!CA320)))),TRUE),TRUE)</f>
        <v>1</v>
      </c>
      <c r="P320" s="26" t="b">
        <f>IF(Checks!C320,IF(Data!C320="DATA OBJECT",OR(AND(Data!BW320&lt;&gt;"",Data!BX320=""),AND(Data!BW320="",Data!BX320&lt;&gt;"")),TRUE),TRUE)</f>
        <v>1</v>
      </c>
      <c r="Q320" s="26" t="b">
        <f>IF(Checks!C320,UPPER(RIGHT(Data!A320,5))=".BPMN",TRUE)</f>
        <v>1</v>
      </c>
      <c r="R320" s="26" t="b">
        <f>IF(Checks!C320,IF(UPPER(Data!C320)="SUB PROCESS",UPPER(RIGHT(Data!BY320,5))=".BPMN",TRUE),TRUE)</f>
        <v>1</v>
      </c>
      <c r="S320" s="26" t="b">
        <f>IF(Checks!C320,IF(UPPER(Data!C320)="SERVICE TASK",IF(UPPER(Data!BZ320)="TYPE=SAS",UPPER(RIGHT(Data!CA320,4))=".SAS",TRUE),TRUE),TRUE)</f>
        <v>1</v>
      </c>
      <c r="T320" s="26" t="b">
        <f>IF(Checks!C320,IF(Data!B320&lt;&gt;"",Data!D320&lt;&gt;"",TRUE),TRUE)</f>
        <v>1</v>
      </c>
      <c r="U320" s="26" t="b">
        <f ca="1">IF(Checks!C320,IF(UPPER(Data!C320)="DATA OBJECT",NOT(ISERROR(MATCH(Data!A320&amp;"||"&amp;Data!BW320&amp;Data!BX320,Key,0))),TRUE),TRUE)</f>
        <v>1</v>
      </c>
      <c r="V320" s="26" t="b">
        <f>IF(Checks!C320,IF(UPPER(Data!C320)="SUB PROCESS",Data!BY320&lt;&gt;"",TRUE),TRUE)</f>
        <v>1</v>
      </c>
      <c r="W320" s="26" t="b">
        <f>IF(Checks!C320,IF(UPPER(Data!C320)="SERVICE TASK",AND(Data!BZ320&lt;&gt;"",Data!CA320&lt;&gt;""),TRUE),TRUE)</f>
        <v>1</v>
      </c>
      <c r="X320" s="26" t="b">
        <f t="array" aca="1" ref="X320" ca="1">SUM((OFFSET(Data!B320,MAX(ROW(Data!$B$5)-ROW(Data!B320),-200),0,400,1)=Data!B320)*(OFFSET(Data!A320,MAX(ROW(Data!$B$5)-ROW(Data!B320),-200),0,400,1)=Data!A320))=1</f>
        <v>1</v>
      </c>
      <c r="Y320" s="26" t="b">
        <f t="array" aca="1" ref="Y320" ca="1">IF(UPPER(Data!C320)="START",SUM((OFFSET(Data!C320,MAX(ROW(Data!$C$5)-ROW(Data!C320),-200),0,400,1)="START")*(OFFSET(Data!A320,MAX(ROW(Data!$B$5)-ROW(Data!B320),-200),0,400,1)=Data!A320))=1,TRUE)</f>
        <v>1</v>
      </c>
      <c r="Z320" s="26" t="b">
        <f t="array" aca="1" ref="Z320" ca="1">IF(UPPER(Data!C320)="END",SUM((OFFSET(Data!C320,MAX(ROW(Data!$C$5)-ROW(Data!C320),-200),0,400,1)="END")*(OFFSET(Data!A320,MAX(ROW(Data!$B$5)-ROW(Data!B320),-200),0,400,1)=Data!A320))=1,TRUE)</f>
        <v>1</v>
      </c>
      <c r="AA320" s="26" t="b">
        <f>IF(Checks!C320,ISERROR(FIND("&amp;",Data!D320)),TRUE)</f>
        <v>1</v>
      </c>
      <c r="AB320" s="26" t="b">
        <f>IF(Checks!$C320,IF(AND(UPPER(Data!$C320)&lt;&gt;"START",UPPER(Data!$C320)&lt;&gt;"DATA OBJECT",Data!E320&lt;&gt;""),NOT(ISERROR(MATCH(Data!$A320&amp;"||"&amp;Data!E320,Key,0))),TRUE),TRUE)</f>
        <v>1</v>
      </c>
      <c r="AC320" s="27" t="b">
        <f>IF(Checks!C320,IF(UPPER(Data!C320)="END",Data!E320&lt;&gt;"",TRUE),TRUE)</f>
        <v>1</v>
      </c>
    </row>
    <row r="321" spans="1:29" x14ac:dyDescent="0.25">
      <c r="A321" s="1" t="str">
        <f>Data!A321&amp;"||"&amp;Data!B321</f>
        <v>Miscellaneous/subflow/irmifrs9_enrichment_stage5.bpmn||020_00_06</v>
      </c>
      <c r="B321" s="19"/>
      <c r="C321" s="24" t="b">
        <f>AND(UPPER(Data!A321)&lt;&gt;"EMPTY",Data!B321&lt;&gt;"")</f>
        <v>1</v>
      </c>
      <c r="D321" s="1"/>
      <c r="E321" s="25" t="b">
        <f t="shared" ca="1" si="8"/>
        <v>1</v>
      </c>
      <c r="F321" s="26" t="b">
        <f ca="1">IF(UPPER(Data!C321)="SUB PROCESS",NOT(ISERROR(MATCH(RIGHT(Data!BY321,LEN(Data!BY321)-5),OFFSET(Data,0,0,ItemsCount,1),0))),TRUE)</f>
        <v>1</v>
      </c>
      <c r="G321" s="26" t="b">
        <f ca="1">IF(MID(UPPER(Data!A321),1,13)="MISCELLANEOUS",NOT(ISERROR(MATCH("path="&amp;Data!A321,OFFSET(Data,0,76,ItemsCount,1),0))),TRUE)</f>
        <v>1</v>
      </c>
      <c r="L321" s="25" t="b">
        <f t="shared" ca="1" si="9"/>
        <v>1</v>
      </c>
      <c r="M321" s="24" t="b">
        <f>IF(Checks!$C321,Data!A321&lt;&gt;"",TRUE)</f>
        <v>1</v>
      </c>
      <c r="N321" s="26" t="b">
        <f>IF(Checks!C321,Data!B321&lt;&gt;"",TRUE)</f>
        <v>1</v>
      </c>
      <c r="O321" s="26" t="b">
        <f>IF(Checks!C321,IF(AND(UPPER(Data!C321)="SERVICE TASK",UPPER(Data!BZ321)="TYPE=SAS"),NodeExists(TRIM(RIGHT(Data!CA321,LEN(Data!CA321)-FIND("=",Data!CA321)))),TRUE),TRUE)</f>
        <v>1</v>
      </c>
      <c r="P321" s="26" t="b">
        <f>IF(Checks!C321,IF(Data!C321="DATA OBJECT",OR(AND(Data!BW321&lt;&gt;"",Data!BX321=""),AND(Data!BW321="",Data!BX321&lt;&gt;"")),TRUE),TRUE)</f>
        <v>1</v>
      </c>
      <c r="Q321" s="26" t="b">
        <f>IF(Checks!C321,UPPER(RIGHT(Data!A321,5))=".BPMN",TRUE)</f>
        <v>1</v>
      </c>
      <c r="R321" s="26" t="b">
        <f>IF(Checks!C321,IF(UPPER(Data!C321)="SUB PROCESS",UPPER(RIGHT(Data!BY321,5))=".BPMN",TRUE),TRUE)</f>
        <v>1</v>
      </c>
      <c r="S321" s="26" t="b">
        <f>IF(Checks!C321,IF(UPPER(Data!C321)="SERVICE TASK",IF(UPPER(Data!BZ321)="TYPE=SAS",UPPER(RIGHT(Data!CA321,4))=".SAS",TRUE),TRUE),TRUE)</f>
        <v>1</v>
      </c>
      <c r="T321" s="26" t="b">
        <f>IF(Checks!C321,IF(Data!B321&lt;&gt;"",Data!D321&lt;&gt;"",TRUE),TRUE)</f>
        <v>1</v>
      </c>
      <c r="U321" s="26" t="b">
        <f ca="1">IF(Checks!C321,IF(UPPER(Data!C321)="DATA OBJECT",NOT(ISERROR(MATCH(Data!A321&amp;"||"&amp;Data!BW321&amp;Data!BX321,Key,0))),TRUE),TRUE)</f>
        <v>1</v>
      </c>
      <c r="V321" s="26" t="b">
        <f>IF(Checks!C321,IF(UPPER(Data!C321)="SUB PROCESS",Data!BY321&lt;&gt;"",TRUE),TRUE)</f>
        <v>1</v>
      </c>
      <c r="W321" s="26" t="b">
        <f>IF(Checks!C321,IF(UPPER(Data!C321)="SERVICE TASK",AND(Data!BZ321&lt;&gt;"",Data!CA321&lt;&gt;""),TRUE),TRUE)</f>
        <v>1</v>
      </c>
      <c r="X321" s="26" t="b">
        <f t="array" aca="1" ref="X321" ca="1">SUM((OFFSET(Data!B321,MAX(ROW(Data!$B$5)-ROW(Data!B321),-200),0,400,1)=Data!B321)*(OFFSET(Data!A321,MAX(ROW(Data!$B$5)-ROW(Data!B321),-200),0,400,1)=Data!A321))=1</f>
        <v>1</v>
      </c>
      <c r="Y321" s="26" t="b">
        <f t="array" aca="1" ref="Y321" ca="1">IF(UPPER(Data!C321)="START",SUM((OFFSET(Data!C321,MAX(ROW(Data!$C$5)-ROW(Data!C321),-200),0,400,1)="START")*(OFFSET(Data!A321,MAX(ROW(Data!$B$5)-ROW(Data!B321),-200),0,400,1)=Data!A321))=1,TRUE)</f>
        <v>1</v>
      </c>
      <c r="Z321" s="26" t="b">
        <f t="array" aca="1" ref="Z321" ca="1">IF(UPPER(Data!C321)="END",SUM((OFFSET(Data!C321,MAX(ROW(Data!$C$5)-ROW(Data!C321),-200),0,400,1)="END")*(OFFSET(Data!A321,MAX(ROW(Data!$B$5)-ROW(Data!B321),-200),0,400,1)=Data!A321))=1,TRUE)</f>
        <v>1</v>
      </c>
      <c r="AA321" s="26" t="b">
        <f>IF(Checks!C321,ISERROR(FIND("&amp;",Data!D321)),TRUE)</f>
        <v>1</v>
      </c>
      <c r="AB321" s="26" t="b">
        <f>IF(Checks!$C321,IF(AND(UPPER(Data!$C321)&lt;&gt;"START",UPPER(Data!$C321)&lt;&gt;"DATA OBJECT",Data!E321&lt;&gt;""),NOT(ISERROR(MATCH(Data!$A321&amp;"||"&amp;Data!E321,Key,0))),TRUE),TRUE)</f>
        <v>1</v>
      </c>
      <c r="AC321" s="27" t="b">
        <f>IF(Checks!C321,IF(UPPER(Data!C321)="END",Data!E321&lt;&gt;"",TRUE),TRUE)</f>
        <v>1</v>
      </c>
    </row>
    <row r="322" spans="1:29" x14ac:dyDescent="0.25">
      <c r="A322" s="1" t="str">
        <f>Data!A322&amp;"||"&amp;Data!B322</f>
        <v>Miscellaneous/subflow/irmifrs9_enrichment_stage5.bpmn||020_00_07</v>
      </c>
      <c r="B322" s="19"/>
      <c r="C322" s="24" t="b">
        <f>AND(UPPER(Data!A322)&lt;&gt;"EMPTY",Data!B322&lt;&gt;"")</f>
        <v>1</v>
      </c>
      <c r="D322" s="1"/>
      <c r="E322" s="25" t="b">
        <f t="shared" ca="1" si="8"/>
        <v>1</v>
      </c>
      <c r="F322" s="26" t="b">
        <f ca="1">IF(UPPER(Data!C322)="SUB PROCESS",NOT(ISERROR(MATCH(RIGHT(Data!BY322,LEN(Data!BY322)-5),OFFSET(Data,0,0,ItemsCount,1),0))),TRUE)</f>
        <v>1</v>
      </c>
      <c r="G322" s="26" t="b">
        <f ca="1">IF(MID(UPPER(Data!A322),1,13)="MISCELLANEOUS",NOT(ISERROR(MATCH("path="&amp;Data!A322,OFFSET(Data,0,76,ItemsCount,1),0))),TRUE)</f>
        <v>1</v>
      </c>
      <c r="L322" s="25" t="b">
        <f t="shared" ca="1" si="9"/>
        <v>1</v>
      </c>
      <c r="M322" s="24" t="b">
        <f>IF(Checks!$C322,Data!A322&lt;&gt;"",TRUE)</f>
        <v>1</v>
      </c>
      <c r="N322" s="26" t="b">
        <f>IF(Checks!C322,Data!B322&lt;&gt;"",TRUE)</f>
        <v>1</v>
      </c>
      <c r="O322" s="26" t="b">
        <f>IF(Checks!C322,IF(AND(UPPER(Data!C322)="SERVICE TASK",UPPER(Data!BZ322)="TYPE=SAS"),NodeExists(TRIM(RIGHT(Data!CA322,LEN(Data!CA322)-FIND("=",Data!CA322)))),TRUE),TRUE)</f>
        <v>1</v>
      </c>
      <c r="P322" s="26" t="b">
        <f>IF(Checks!C322,IF(Data!C322="DATA OBJECT",OR(AND(Data!BW322&lt;&gt;"",Data!BX322=""),AND(Data!BW322="",Data!BX322&lt;&gt;"")),TRUE),TRUE)</f>
        <v>1</v>
      </c>
      <c r="Q322" s="26" t="b">
        <f>IF(Checks!C322,UPPER(RIGHT(Data!A322,5))=".BPMN",TRUE)</f>
        <v>1</v>
      </c>
      <c r="R322" s="26" t="b">
        <f>IF(Checks!C322,IF(UPPER(Data!C322)="SUB PROCESS",UPPER(RIGHT(Data!BY322,5))=".BPMN",TRUE),TRUE)</f>
        <v>1</v>
      </c>
      <c r="S322" s="26" t="b">
        <f>IF(Checks!C322,IF(UPPER(Data!C322)="SERVICE TASK",IF(UPPER(Data!BZ322)="TYPE=SAS",UPPER(RIGHT(Data!CA322,4))=".SAS",TRUE),TRUE),TRUE)</f>
        <v>1</v>
      </c>
      <c r="T322" s="26" t="b">
        <f>IF(Checks!C322,IF(Data!B322&lt;&gt;"",Data!D322&lt;&gt;"",TRUE),TRUE)</f>
        <v>1</v>
      </c>
      <c r="U322" s="26" t="b">
        <f ca="1">IF(Checks!C322,IF(UPPER(Data!C322)="DATA OBJECT",NOT(ISERROR(MATCH(Data!A322&amp;"||"&amp;Data!BW322&amp;Data!BX322,Key,0))),TRUE),TRUE)</f>
        <v>1</v>
      </c>
      <c r="V322" s="26" t="b">
        <f>IF(Checks!C322,IF(UPPER(Data!C322)="SUB PROCESS",Data!BY322&lt;&gt;"",TRUE),TRUE)</f>
        <v>1</v>
      </c>
      <c r="W322" s="26" t="b">
        <f>IF(Checks!C322,IF(UPPER(Data!C322)="SERVICE TASK",AND(Data!BZ322&lt;&gt;"",Data!CA322&lt;&gt;""),TRUE),TRUE)</f>
        <v>1</v>
      </c>
      <c r="X322" s="26" t="b">
        <f t="array" aca="1" ref="X322" ca="1">SUM((OFFSET(Data!B322,MAX(ROW(Data!$B$5)-ROW(Data!B322),-200),0,400,1)=Data!B322)*(OFFSET(Data!A322,MAX(ROW(Data!$B$5)-ROW(Data!B322),-200),0,400,1)=Data!A322))=1</f>
        <v>1</v>
      </c>
      <c r="Y322" s="26" t="b">
        <f t="array" aca="1" ref="Y322" ca="1">IF(UPPER(Data!C322)="START",SUM((OFFSET(Data!C322,MAX(ROW(Data!$C$5)-ROW(Data!C322),-200),0,400,1)="START")*(OFFSET(Data!A322,MAX(ROW(Data!$B$5)-ROW(Data!B322),-200),0,400,1)=Data!A322))=1,TRUE)</f>
        <v>1</v>
      </c>
      <c r="Z322" s="26" t="b">
        <f t="array" aca="1" ref="Z322" ca="1">IF(UPPER(Data!C322)="END",SUM((OFFSET(Data!C322,MAX(ROW(Data!$C$5)-ROW(Data!C322),-200),0,400,1)="END")*(OFFSET(Data!A322,MAX(ROW(Data!$B$5)-ROW(Data!B322),-200),0,400,1)=Data!A322))=1,TRUE)</f>
        <v>1</v>
      </c>
      <c r="AA322" s="26" t="b">
        <f>IF(Checks!C322,ISERROR(FIND("&amp;",Data!D322)),TRUE)</f>
        <v>1</v>
      </c>
      <c r="AB322" s="26" t="b">
        <f>IF(Checks!$C322,IF(AND(UPPER(Data!$C322)&lt;&gt;"START",UPPER(Data!$C322)&lt;&gt;"DATA OBJECT",Data!E322&lt;&gt;""),NOT(ISERROR(MATCH(Data!$A322&amp;"||"&amp;Data!E322,Key,0))),TRUE),TRUE)</f>
        <v>1</v>
      </c>
      <c r="AC322" s="27" t="b">
        <f>IF(Checks!C322,IF(UPPER(Data!C322)="END",Data!E322&lt;&gt;"",TRUE),TRUE)</f>
        <v>1</v>
      </c>
    </row>
    <row r="323" spans="1:29" x14ac:dyDescent="0.25">
      <c r="A323" s="1" t="str">
        <f>Data!A323&amp;"||"&amp;Data!B323</f>
        <v>Miscellaneous/subflow/irmifrs9_enrichment_stage5.bpmn||020_00_08</v>
      </c>
      <c r="B323" s="19"/>
      <c r="C323" s="24" t="b">
        <f>AND(UPPER(Data!A323)&lt;&gt;"EMPTY",Data!B323&lt;&gt;"")</f>
        <v>1</v>
      </c>
      <c r="D323" s="1"/>
      <c r="E323" s="25" t="b">
        <f t="shared" ca="1" si="8"/>
        <v>1</v>
      </c>
      <c r="F323" s="26" t="b">
        <f ca="1">IF(UPPER(Data!C323)="SUB PROCESS",NOT(ISERROR(MATCH(RIGHT(Data!BY323,LEN(Data!BY323)-5),OFFSET(Data,0,0,ItemsCount,1),0))),TRUE)</f>
        <v>1</v>
      </c>
      <c r="G323" s="26" t="b">
        <f ca="1">IF(MID(UPPER(Data!A323),1,13)="MISCELLANEOUS",NOT(ISERROR(MATCH("path="&amp;Data!A323,OFFSET(Data,0,76,ItemsCount,1),0))),TRUE)</f>
        <v>1</v>
      </c>
      <c r="L323" s="25" t="b">
        <f t="shared" ca="1" si="9"/>
        <v>1</v>
      </c>
      <c r="M323" s="24" t="b">
        <f>IF(Checks!$C323,Data!A323&lt;&gt;"",TRUE)</f>
        <v>1</v>
      </c>
      <c r="N323" s="26" t="b">
        <f>IF(Checks!C323,Data!B323&lt;&gt;"",TRUE)</f>
        <v>1</v>
      </c>
      <c r="O323" s="26" t="b">
        <f>IF(Checks!C323,IF(AND(UPPER(Data!C323)="SERVICE TASK",UPPER(Data!BZ323)="TYPE=SAS"),NodeExists(TRIM(RIGHT(Data!CA323,LEN(Data!CA323)-FIND("=",Data!CA323)))),TRUE),TRUE)</f>
        <v>1</v>
      </c>
      <c r="P323" s="26" t="b">
        <f>IF(Checks!C323,IF(Data!C323="DATA OBJECT",OR(AND(Data!BW323&lt;&gt;"",Data!BX323=""),AND(Data!BW323="",Data!BX323&lt;&gt;"")),TRUE),TRUE)</f>
        <v>1</v>
      </c>
      <c r="Q323" s="26" t="b">
        <f>IF(Checks!C323,UPPER(RIGHT(Data!A323,5))=".BPMN",TRUE)</f>
        <v>1</v>
      </c>
      <c r="R323" s="26" t="b">
        <f>IF(Checks!C323,IF(UPPER(Data!C323)="SUB PROCESS",UPPER(RIGHT(Data!BY323,5))=".BPMN",TRUE),TRUE)</f>
        <v>1</v>
      </c>
      <c r="S323" s="26" t="b">
        <f>IF(Checks!C323,IF(UPPER(Data!C323)="SERVICE TASK",IF(UPPER(Data!BZ323)="TYPE=SAS",UPPER(RIGHT(Data!CA323,4))=".SAS",TRUE),TRUE),TRUE)</f>
        <v>1</v>
      </c>
      <c r="T323" s="26" t="b">
        <f>IF(Checks!C323,IF(Data!B323&lt;&gt;"",Data!D323&lt;&gt;"",TRUE),TRUE)</f>
        <v>1</v>
      </c>
      <c r="U323" s="26" t="b">
        <f ca="1">IF(Checks!C323,IF(UPPER(Data!C323)="DATA OBJECT",NOT(ISERROR(MATCH(Data!A323&amp;"||"&amp;Data!BW323&amp;Data!BX323,Key,0))),TRUE),TRUE)</f>
        <v>1</v>
      </c>
      <c r="V323" s="26" t="b">
        <f>IF(Checks!C323,IF(UPPER(Data!C323)="SUB PROCESS",Data!BY323&lt;&gt;"",TRUE),TRUE)</f>
        <v>1</v>
      </c>
      <c r="W323" s="26" t="b">
        <f>IF(Checks!C323,IF(UPPER(Data!C323)="SERVICE TASK",AND(Data!BZ323&lt;&gt;"",Data!CA323&lt;&gt;""),TRUE),TRUE)</f>
        <v>1</v>
      </c>
      <c r="X323" s="26" t="b">
        <f t="array" aca="1" ref="X323" ca="1">SUM((OFFSET(Data!B323,MAX(ROW(Data!$B$5)-ROW(Data!B323),-200),0,400,1)=Data!B323)*(OFFSET(Data!A323,MAX(ROW(Data!$B$5)-ROW(Data!B323),-200),0,400,1)=Data!A323))=1</f>
        <v>1</v>
      </c>
      <c r="Y323" s="26" t="b">
        <f t="array" aca="1" ref="Y323" ca="1">IF(UPPER(Data!C323)="START",SUM((OFFSET(Data!C323,MAX(ROW(Data!$C$5)-ROW(Data!C323),-200),0,400,1)="START")*(OFFSET(Data!A323,MAX(ROW(Data!$B$5)-ROW(Data!B323),-200),0,400,1)=Data!A323))=1,TRUE)</f>
        <v>1</v>
      </c>
      <c r="Z323" s="26" t="b">
        <f t="array" aca="1" ref="Z323" ca="1">IF(UPPER(Data!C323)="END",SUM((OFFSET(Data!C323,MAX(ROW(Data!$C$5)-ROW(Data!C323),-200),0,400,1)="END")*(OFFSET(Data!A323,MAX(ROW(Data!$B$5)-ROW(Data!B323),-200),0,400,1)=Data!A323))=1,TRUE)</f>
        <v>1</v>
      </c>
      <c r="AA323" s="26" t="b">
        <f>IF(Checks!C323,ISERROR(FIND("&amp;",Data!D323)),TRUE)</f>
        <v>1</v>
      </c>
      <c r="AB323" s="26" t="b">
        <f>IF(Checks!$C323,IF(AND(UPPER(Data!$C323)&lt;&gt;"START",UPPER(Data!$C323)&lt;&gt;"DATA OBJECT",Data!E323&lt;&gt;""),NOT(ISERROR(MATCH(Data!$A323&amp;"||"&amp;Data!E323,Key,0))),TRUE),TRUE)</f>
        <v>1</v>
      </c>
      <c r="AC323" s="27" t="b">
        <f>IF(Checks!C323,IF(UPPER(Data!C323)="END",Data!E323&lt;&gt;"",TRUE),TRUE)</f>
        <v>1</v>
      </c>
    </row>
    <row r="324" spans="1:29" x14ac:dyDescent="0.25">
      <c r="A324" s="1" t="str">
        <f>Data!A324&amp;"||"&amp;Data!B324</f>
        <v>Miscellaneous/subflow/irmifrs9_enrichment_stage5.bpmn||020_00_09</v>
      </c>
      <c r="B324" s="19"/>
      <c r="C324" s="24" t="b">
        <f>AND(UPPER(Data!A324)&lt;&gt;"EMPTY",Data!B324&lt;&gt;"")</f>
        <v>1</v>
      </c>
      <c r="D324" s="1"/>
      <c r="E324" s="25" t="b">
        <f t="shared" ca="1" si="8"/>
        <v>1</v>
      </c>
      <c r="F324" s="26" t="b">
        <f ca="1">IF(UPPER(Data!C324)="SUB PROCESS",NOT(ISERROR(MATCH(RIGHT(Data!BY324,LEN(Data!BY324)-5),OFFSET(Data,0,0,ItemsCount,1),0))),TRUE)</f>
        <v>1</v>
      </c>
      <c r="G324" s="26" t="b">
        <f ca="1">IF(MID(UPPER(Data!A324),1,13)="MISCELLANEOUS",NOT(ISERROR(MATCH("path="&amp;Data!A324,OFFSET(Data,0,76,ItemsCount,1),0))),TRUE)</f>
        <v>1</v>
      </c>
      <c r="L324" s="25" t="b">
        <f t="shared" ca="1" si="9"/>
        <v>1</v>
      </c>
      <c r="M324" s="24" t="b">
        <f>IF(Checks!$C324,Data!A324&lt;&gt;"",TRUE)</f>
        <v>1</v>
      </c>
      <c r="N324" s="26" t="b">
        <f>IF(Checks!C324,Data!B324&lt;&gt;"",TRUE)</f>
        <v>1</v>
      </c>
      <c r="O324" s="26" t="b">
        <f>IF(Checks!C324,IF(AND(UPPER(Data!C324)="SERVICE TASK",UPPER(Data!BZ324)="TYPE=SAS"),NodeExists(TRIM(RIGHT(Data!CA324,LEN(Data!CA324)-FIND("=",Data!CA324)))),TRUE),TRUE)</f>
        <v>1</v>
      </c>
      <c r="P324" s="26" t="b">
        <f>IF(Checks!C324,IF(Data!C324="DATA OBJECT",OR(AND(Data!BW324&lt;&gt;"",Data!BX324=""),AND(Data!BW324="",Data!BX324&lt;&gt;"")),TRUE),TRUE)</f>
        <v>1</v>
      </c>
      <c r="Q324" s="26" t="b">
        <f>IF(Checks!C324,UPPER(RIGHT(Data!A324,5))=".BPMN",TRUE)</f>
        <v>1</v>
      </c>
      <c r="R324" s="26" t="b">
        <f>IF(Checks!C324,IF(UPPER(Data!C324)="SUB PROCESS",UPPER(RIGHT(Data!BY324,5))=".BPMN",TRUE),TRUE)</f>
        <v>1</v>
      </c>
      <c r="S324" s="26" t="b">
        <f>IF(Checks!C324,IF(UPPER(Data!C324)="SERVICE TASK",IF(UPPER(Data!BZ324)="TYPE=SAS",UPPER(RIGHT(Data!CA324,4))=".SAS",TRUE),TRUE),TRUE)</f>
        <v>1</v>
      </c>
      <c r="T324" s="26" t="b">
        <f>IF(Checks!C324,IF(Data!B324&lt;&gt;"",Data!D324&lt;&gt;"",TRUE),TRUE)</f>
        <v>1</v>
      </c>
      <c r="U324" s="26" t="b">
        <f ca="1">IF(Checks!C324,IF(UPPER(Data!C324)="DATA OBJECT",NOT(ISERROR(MATCH(Data!A324&amp;"||"&amp;Data!BW324&amp;Data!BX324,Key,0))),TRUE),TRUE)</f>
        <v>1</v>
      </c>
      <c r="V324" s="26" t="b">
        <f>IF(Checks!C324,IF(UPPER(Data!C324)="SUB PROCESS",Data!BY324&lt;&gt;"",TRUE),TRUE)</f>
        <v>1</v>
      </c>
      <c r="W324" s="26" t="b">
        <f>IF(Checks!C324,IF(UPPER(Data!C324)="SERVICE TASK",AND(Data!BZ324&lt;&gt;"",Data!CA324&lt;&gt;""),TRUE),TRUE)</f>
        <v>1</v>
      </c>
      <c r="X324" s="26" t="b">
        <f t="array" aca="1" ref="X324" ca="1">SUM((OFFSET(Data!B324,MAX(ROW(Data!$B$5)-ROW(Data!B324),-200),0,400,1)=Data!B324)*(OFFSET(Data!A324,MAX(ROW(Data!$B$5)-ROW(Data!B324),-200),0,400,1)=Data!A324))=1</f>
        <v>1</v>
      </c>
      <c r="Y324" s="26" t="b">
        <f t="array" aca="1" ref="Y324" ca="1">IF(UPPER(Data!C324)="START",SUM((OFFSET(Data!C324,MAX(ROW(Data!$C$5)-ROW(Data!C324),-200),0,400,1)="START")*(OFFSET(Data!A324,MAX(ROW(Data!$B$5)-ROW(Data!B324),-200),0,400,1)=Data!A324))=1,TRUE)</f>
        <v>1</v>
      </c>
      <c r="Z324" s="26" t="b">
        <f t="array" aca="1" ref="Z324" ca="1">IF(UPPER(Data!C324)="END",SUM((OFFSET(Data!C324,MAX(ROW(Data!$C$5)-ROW(Data!C324),-200),0,400,1)="END")*(OFFSET(Data!A324,MAX(ROW(Data!$B$5)-ROW(Data!B324),-200),0,400,1)=Data!A324))=1,TRUE)</f>
        <v>1</v>
      </c>
      <c r="AA324" s="26" t="b">
        <f>IF(Checks!C324,ISERROR(FIND("&amp;",Data!D324)),TRUE)</f>
        <v>1</v>
      </c>
      <c r="AB324" s="26" t="b">
        <f>IF(Checks!$C324,IF(AND(UPPER(Data!$C324)&lt;&gt;"START",UPPER(Data!$C324)&lt;&gt;"DATA OBJECT",Data!E324&lt;&gt;""),NOT(ISERROR(MATCH(Data!$A324&amp;"||"&amp;Data!E324,Key,0))),TRUE),TRUE)</f>
        <v>1</v>
      </c>
      <c r="AC324" s="27" t="b">
        <f>IF(Checks!C324,IF(UPPER(Data!C324)="END",Data!E324&lt;&gt;"",TRUE),TRUE)</f>
        <v>1</v>
      </c>
    </row>
    <row r="325" spans="1:29" x14ac:dyDescent="0.25">
      <c r="A325" s="1" t="str">
        <f>Data!A325&amp;"||"&amp;Data!B325</f>
        <v>Miscellaneous/subflow/irmifrs9_enrichment_stage5.bpmn||020_00_10</v>
      </c>
      <c r="B325" s="19"/>
      <c r="C325" s="24" t="b">
        <f>AND(UPPER(Data!A325)&lt;&gt;"EMPTY",Data!B325&lt;&gt;"")</f>
        <v>1</v>
      </c>
      <c r="D325" s="1"/>
      <c r="E325" s="25" t="b">
        <f t="shared" ca="1" si="8"/>
        <v>1</v>
      </c>
      <c r="F325" s="26" t="b">
        <f ca="1">IF(UPPER(Data!C325)="SUB PROCESS",NOT(ISERROR(MATCH(RIGHT(Data!BY325,LEN(Data!BY325)-5),OFFSET(Data,0,0,ItemsCount,1),0))),TRUE)</f>
        <v>1</v>
      </c>
      <c r="G325" s="26" t="b">
        <f ca="1">IF(MID(UPPER(Data!A325),1,13)="MISCELLANEOUS",NOT(ISERROR(MATCH("path="&amp;Data!A325,OFFSET(Data,0,76,ItemsCount,1),0))),TRUE)</f>
        <v>1</v>
      </c>
      <c r="L325" s="25" t="b">
        <f t="shared" ca="1" si="9"/>
        <v>1</v>
      </c>
      <c r="M325" s="24" t="b">
        <f>IF(Checks!$C325,Data!A325&lt;&gt;"",TRUE)</f>
        <v>1</v>
      </c>
      <c r="N325" s="26" t="b">
        <f>IF(Checks!C325,Data!B325&lt;&gt;"",TRUE)</f>
        <v>1</v>
      </c>
      <c r="O325" s="26" t="b">
        <f>IF(Checks!C325,IF(AND(UPPER(Data!C325)="SERVICE TASK",UPPER(Data!BZ325)="TYPE=SAS"),NodeExists(TRIM(RIGHT(Data!CA325,LEN(Data!CA325)-FIND("=",Data!CA325)))),TRUE),TRUE)</f>
        <v>1</v>
      </c>
      <c r="P325" s="26" t="b">
        <f>IF(Checks!C325,IF(Data!C325="DATA OBJECT",OR(AND(Data!BW325&lt;&gt;"",Data!BX325=""),AND(Data!BW325="",Data!BX325&lt;&gt;"")),TRUE),TRUE)</f>
        <v>1</v>
      </c>
      <c r="Q325" s="26" t="b">
        <f>IF(Checks!C325,UPPER(RIGHT(Data!A325,5))=".BPMN",TRUE)</f>
        <v>1</v>
      </c>
      <c r="R325" s="26" t="b">
        <f>IF(Checks!C325,IF(UPPER(Data!C325)="SUB PROCESS",UPPER(RIGHT(Data!BY325,5))=".BPMN",TRUE),TRUE)</f>
        <v>1</v>
      </c>
      <c r="S325" s="26" t="b">
        <f>IF(Checks!C325,IF(UPPER(Data!C325)="SERVICE TASK",IF(UPPER(Data!BZ325)="TYPE=SAS",UPPER(RIGHT(Data!CA325,4))=".SAS",TRUE),TRUE),TRUE)</f>
        <v>1</v>
      </c>
      <c r="T325" s="26" t="b">
        <f>IF(Checks!C325,IF(Data!B325&lt;&gt;"",Data!D325&lt;&gt;"",TRUE),TRUE)</f>
        <v>1</v>
      </c>
      <c r="U325" s="26" t="b">
        <f ca="1">IF(Checks!C325,IF(UPPER(Data!C325)="DATA OBJECT",NOT(ISERROR(MATCH(Data!A325&amp;"||"&amp;Data!BW325&amp;Data!BX325,Key,0))),TRUE),TRUE)</f>
        <v>1</v>
      </c>
      <c r="V325" s="26" t="b">
        <f>IF(Checks!C325,IF(UPPER(Data!C325)="SUB PROCESS",Data!BY325&lt;&gt;"",TRUE),TRUE)</f>
        <v>1</v>
      </c>
      <c r="W325" s="26" t="b">
        <f>IF(Checks!C325,IF(UPPER(Data!C325)="SERVICE TASK",AND(Data!BZ325&lt;&gt;"",Data!CA325&lt;&gt;""),TRUE),TRUE)</f>
        <v>1</v>
      </c>
      <c r="X325" s="26" t="b">
        <f t="array" aca="1" ref="X325" ca="1">SUM((OFFSET(Data!B325,MAX(ROW(Data!$B$5)-ROW(Data!B325),-200),0,400,1)=Data!B325)*(OFFSET(Data!A325,MAX(ROW(Data!$B$5)-ROW(Data!B325),-200),0,400,1)=Data!A325))=1</f>
        <v>1</v>
      </c>
      <c r="Y325" s="26" t="b">
        <f t="array" aca="1" ref="Y325" ca="1">IF(UPPER(Data!C325)="START",SUM((OFFSET(Data!C325,MAX(ROW(Data!$C$5)-ROW(Data!C325),-200),0,400,1)="START")*(OFFSET(Data!A325,MAX(ROW(Data!$B$5)-ROW(Data!B325),-200),0,400,1)=Data!A325))=1,TRUE)</f>
        <v>1</v>
      </c>
      <c r="Z325" s="26" t="b">
        <f t="array" aca="1" ref="Z325" ca="1">IF(UPPER(Data!C325)="END",SUM((OFFSET(Data!C325,MAX(ROW(Data!$C$5)-ROW(Data!C325),-200),0,400,1)="END")*(OFFSET(Data!A325,MAX(ROW(Data!$B$5)-ROW(Data!B325),-200),0,400,1)=Data!A325))=1,TRUE)</f>
        <v>1</v>
      </c>
      <c r="AA325" s="26" t="b">
        <f>IF(Checks!C325,ISERROR(FIND("&amp;",Data!D325)),TRUE)</f>
        <v>1</v>
      </c>
      <c r="AB325" s="26" t="b">
        <f>IF(Checks!$C325,IF(AND(UPPER(Data!$C325)&lt;&gt;"START",UPPER(Data!$C325)&lt;&gt;"DATA OBJECT",Data!E325&lt;&gt;""),NOT(ISERROR(MATCH(Data!$A325&amp;"||"&amp;Data!E325,Key,0))),TRUE),TRUE)</f>
        <v>1</v>
      </c>
      <c r="AC325" s="27" t="b">
        <f>IF(Checks!C325,IF(UPPER(Data!C325)="END",Data!E325&lt;&gt;"",TRUE),TRUE)</f>
        <v>1</v>
      </c>
    </row>
    <row r="326" spans="1:29" x14ac:dyDescent="0.25">
      <c r="A326" s="1" t="str">
        <f>Data!A326&amp;"||"&amp;Data!B326</f>
        <v>Miscellaneous/subflow/irmifrs9_enrichment_stage5.bpmn||020_01_00</v>
      </c>
      <c r="B326" s="19"/>
      <c r="C326" s="24" t="b">
        <f>AND(UPPER(Data!A326)&lt;&gt;"EMPTY",Data!B326&lt;&gt;"")</f>
        <v>1</v>
      </c>
      <c r="D326" s="1"/>
      <c r="E326" s="25" t="b">
        <f t="shared" ref="E326:E389" ca="1" si="10">IF(C326,AND(F326:G326),TRUE)</f>
        <v>1</v>
      </c>
      <c r="F326" s="26" t="b">
        <f ca="1">IF(UPPER(Data!C326)="SUB PROCESS",NOT(ISERROR(MATCH(RIGHT(Data!BY326,LEN(Data!BY326)-5),OFFSET(Data,0,0,ItemsCount,1),0))),TRUE)</f>
        <v>1</v>
      </c>
      <c r="G326" s="26" t="b">
        <f ca="1">IF(MID(UPPER(Data!A326),1,13)="MISCELLANEOUS",NOT(ISERROR(MATCH("path="&amp;Data!A326,OFFSET(Data,0,76,ItemsCount,1),0))),TRUE)</f>
        <v>1</v>
      </c>
      <c r="L326" s="25" t="b">
        <f t="shared" ref="L326:L389" ca="1" si="11">IF(C326,AND(M326:AC326),TRUE)</f>
        <v>1</v>
      </c>
      <c r="M326" s="24" t="b">
        <f>IF(Checks!$C326,Data!A326&lt;&gt;"",TRUE)</f>
        <v>1</v>
      </c>
      <c r="N326" s="26" t="b">
        <f>IF(Checks!C326,Data!B326&lt;&gt;"",TRUE)</f>
        <v>1</v>
      </c>
      <c r="O326" s="26" t="b">
        <f>IF(Checks!C326,IF(AND(UPPER(Data!C326)="SERVICE TASK",UPPER(Data!BZ326)="TYPE=SAS"),NodeExists(TRIM(RIGHT(Data!CA326,LEN(Data!CA326)-FIND("=",Data!CA326)))),TRUE),TRUE)</f>
        <v>1</v>
      </c>
      <c r="P326" s="26" t="b">
        <f>IF(Checks!C326,IF(Data!C326="DATA OBJECT",OR(AND(Data!BW326&lt;&gt;"",Data!BX326=""),AND(Data!BW326="",Data!BX326&lt;&gt;"")),TRUE),TRUE)</f>
        <v>1</v>
      </c>
      <c r="Q326" s="26" t="b">
        <f>IF(Checks!C326,UPPER(RIGHT(Data!A326,5))=".BPMN",TRUE)</f>
        <v>1</v>
      </c>
      <c r="R326" s="26" t="b">
        <f>IF(Checks!C326,IF(UPPER(Data!C326)="SUB PROCESS",UPPER(RIGHT(Data!BY326,5))=".BPMN",TRUE),TRUE)</f>
        <v>1</v>
      </c>
      <c r="S326" s="26" t="b">
        <f>IF(Checks!C326,IF(UPPER(Data!C326)="SERVICE TASK",IF(UPPER(Data!BZ326)="TYPE=SAS",UPPER(RIGHT(Data!CA326,4))=".SAS",TRUE),TRUE),TRUE)</f>
        <v>1</v>
      </c>
      <c r="T326" s="26" t="b">
        <f>IF(Checks!C326,IF(Data!B326&lt;&gt;"",Data!D326&lt;&gt;"",TRUE),TRUE)</f>
        <v>1</v>
      </c>
      <c r="U326" s="26" t="b">
        <f ca="1">IF(Checks!C326,IF(UPPER(Data!C326)="DATA OBJECT",NOT(ISERROR(MATCH(Data!A326&amp;"||"&amp;Data!BW326&amp;Data!BX326,Key,0))),TRUE),TRUE)</f>
        <v>1</v>
      </c>
      <c r="V326" s="26" t="b">
        <f>IF(Checks!C326,IF(UPPER(Data!C326)="SUB PROCESS",Data!BY326&lt;&gt;"",TRUE),TRUE)</f>
        <v>1</v>
      </c>
      <c r="W326" s="26" t="b">
        <f>IF(Checks!C326,IF(UPPER(Data!C326)="SERVICE TASK",AND(Data!BZ326&lt;&gt;"",Data!CA326&lt;&gt;""),TRUE),TRUE)</f>
        <v>1</v>
      </c>
      <c r="X326" s="26" t="b">
        <f t="array" aca="1" ref="X326" ca="1">SUM((OFFSET(Data!B326,MAX(ROW(Data!$B$5)-ROW(Data!B326),-200),0,400,1)=Data!B326)*(OFFSET(Data!A326,MAX(ROW(Data!$B$5)-ROW(Data!B326),-200),0,400,1)=Data!A326))=1</f>
        <v>1</v>
      </c>
      <c r="Y326" s="26" t="b">
        <f t="array" aca="1" ref="Y326" ca="1">IF(UPPER(Data!C326)="START",SUM((OFFSET(Data!C326,MAX(ROW(Data!$C$5)-ROW(Data!C326),-200),0,400,1)="START")*(OFFSET(Data!A326,MAX(ROW(Data!$B$5)-ROW(Data!B326),-200),0,400,1)=Data!A326))=1,TRUE)</f>
        <v>1</v>
      </c>
      <c r="Z326" s="26" t="b">
        <f t="array" aca="1" ref="Z326" ca="1">IF(UPPER(Data!C326)="END",SUM((OFFSET(Data!C326,MAX(ROW(Data!$C$5)-ROW(Data!C326),-200),0,400,1)="END")*(OFFSET(Data!A326,MAX(ROW(Data!$B$5)-ROW(Data!B326),-200),0,400,1)=Data!A326))=1,TRUE)</f>
        <v>1</v>
      </c>
      <c r="AA326" s="26" t="b">
        <f>IF(Checks!C326,ISERROR(FIND("&amp;",Data!D326)),TRUE)</f>
        <v>1</v>
      </c>
      <c r="AB326" s="26" t="b">
        <f>IF(Checks!$C326,IF(AND(UPPER(Data!$C326)&lt;&gt;"START",UPPER(Data!$C326)&lt;&gt;"DATA OBJECT",Data!E326&lt;&gt;""),NOT(ISERROR(MATCH(Data!$A326&amp;"||"&amp;Data!E326,Key,0))),TRUE),TRUE)</f>
        <v>1</v>
      </c>
      <c r="AC326" s="27" t="b">
        <f>IF(Checks!C326,IF(UPPER(Data!C326)="END",Data!E326&lt;&gt;"",TRUE),TRUE)</f>
        <v>1</v>
      </c>
    </row>
    <row r="327" spans="1:29" x14ac:dyDescent="0.25">
      <c r="A327" s="1" t="str">
        <f>Data!A327&amp;"||"&amp;Data!B327</f>
        <v>Miscellaneous/subflow/irmifrs9_enrichment_stage5.bpmn||030_00_00</v>
      </c>
      <c r="B327" s="19"/>
      <c r="C327" s="24" t="b">
        <f>AND(UPPER(Data!A327)&lt;&gt;"EMPTY",Data!B327&lt;&gt;"")</f>
        <v>1</v>
      </c>
      <c r="D327" s="1"/>
      <c r="E327" s="25" t="b">
        <f t="shared" ca="1" si="10"/>
        <v>1</v>
      </c>
      <c r="F327" s="26" t="b">
        <f ca="1">IF(UPPER(Data!C327)="SUB PROCESS",NOT(ISERROR(MATCH(RIGHT(Data!BY327,LEN(Data!BY327)-5),OFFSET(Data,0,0,ItemsCount,1),0))),TRUE)</f>
        <v>1</v>
      </c>
      <c r="G327" s="26" t="b">
        <f ca="1">IF(MID(UPPER(Data!A327),1,13)="MISCELLANEOUS",NOT(ISERROR(MATCH("path="&amp;Data!A327,OFFSET(Data,0,76,ItemsCount,1),0))),TRUE)</f>
        <v>1</v>
      </c>
      <c r="L327" s="25" t="b">
        <f t="shared" ca="1" si="11"/>
        <v>1</v>
      </c>
      <c r="M327" s="24" t="b">
        <f>IF(Checks!$C327,Data!A327&lt;&gt;"",TRUE)</f>
        <v>1</v>
      </c>
      <c r="N327" s="26" t="b">
        <f>IF(Checks!C327,Data!B327&lt;&gt;"",TRUE)</f>
        <v>1</v>
      </c>
      <c r="O327" s="26" t="b">
        <f>IF(Checks!C327,IF(AND(UPPER(Data!C327)="SERVICE TASK",UPPER(Data!BZ327)="TYPE=SAS"),NodeExists(TRIM(RIGHT(Data!CA327,LEN(Data!CA327)-FIND("=",Data!CA327)))),TRUE),TRUE)</f>
        <v>1</v>
      </c>
      <c r="P327" s="26" t="b">
        <f>IF(Checks!C327,IF(Data!C327="DATA OBJECT",OR(AND(Data!BW327&lt;&gt;"",Data!BX327=""),AND(Data!BW327="",Data!BX327&lt;&gt;"")),TRUE),TRUE)</f>
        <v>1</v>
      </c>
      <c r="Q327" s="26" t="b">
        <f>IF(Checks!C327,UPPER(RIGHT(Data!A327,5))=".BPMN",TRUE)</f>
        <v>1</v>
      </c>
      <c r="R327" s="26" t="b">
        <f>IF(Checks!C327,IF(UPPER(Data!C327)="SUB PROCESS",UPPER(RIGHT(Data!BY327,5))=".BPMN",TRUE),TRUE)</f>
        <v>1</v>
      </c>
      <c r="S327" s="26" t="b">
        <f>IF(Checks!C327,IF(UPPER(Data!C327)="SERVICE TASK",IF(UPPER(Data!BZ327)="TYPE=SAS",UPPER(RIGHT(Data!CA327,4))=".SAS",TRUE),TRUE),TRUE)</f>
        <v>1</v>
      </c>
      <c r="T327" s="26" t="b">
        <f>IF(Checks!C327,IF(Data!B327&lt;&gt;"",Data!D327&lt;&gt;"",TRUE),TRUE)</f>
        <v>1</v>
      </c>
      <c r="U327" s="26" t="b">
        <f>IF(Checks!C327,IF(UPPER(Data!C327)="DATA OBJECT",NOT(ISERROR(MATCH(Data!A327&amp;"||"&amp;Data!BW327&amp;Data!BX327,Key,0))),TRUE),TRUE)</f>
        <v>1</v>
      </c>
      <c r="V327" s="26" t="b">
        <f>IF(Checks!C327,IF(UPPER(Data!C327)="SUB PROCESS",Data!BY327&lt;&gt;"",TRUE),TRUE)</f>
        <v>1</v>
      </c>
      <c r="W327" s="26" t="b">
        <f>IF(Checks!C327,IF(UPPER(Data!C327)="SERVICE TASK",AND(Data!BZ327&lt;&gt;"",Data!CA327&lt;&gt;""),TRUE),TRUE)</f>
        <v>1</v>
      </c>
      <c r="X327" s="26" t="b">
        <f t="array" aca="1" ref="X327" ca="1">SUM((OFFSET(Data!B327,MAX(ROW(Data!$B$5)-ROW(Data!B327),-200),0,400,1)=Data!B327)*(OFFSET(Data!A327,MAX(ROW(Data!$B$5)-ROW(Data!B327),-200),0,400,1)=Data!A327))=1</f>
        <v>1</v>
      </c>
      <c r="Y327" s="26" t="b">
        <f t="array" aca="1" ref="Y327" ca="1">IF(UPPER(Data!C327)="START",SUM((OFFSET(Data!C327,MAX(ROW(Data!$C$5)-ROW(Data!C327),-200),0,400,1)="START")*(OFFSET(Data!A327,MAX(ROW(Data!$B$5)-ROW(Data!B327),-200),0,400,1)=Data!A327))=1,TRUE)</f>
        <v>1</v>
      </c>
      <c r="Z327" s="26" t="b">
        <f t="array" aca="1" ref="Z327" ca="1">IF(UPPER(Data!C327)="END",SUM((OFFSET(Data!C327,MAX(ROW(Data!$C$5)-ROW(Data!C327),-200),0,400,1)="END")*(OFFSET(Data!A327,MAX(ROW(Data!$B$5)-ROW(Data!B327),-200),0,400,1)=Data!A327))=1,TRUE)</f>
        <v>1</v>
      </c>
      <c r="AA327" s="26" t="b">
        <f>IF(Checks!C327,ISERROR(FIND("&amp;",Data!D327)),TRUE)</f>
        <v>1</v>
      </c>
      <c r="AB327" s="26" t="b">
        <f ca="1">IF(Checks!$C327,IF(AND(UPPER(Data!$C327)&lt;&gt;"START",UPPER(Data!$C327)&lt;&gt;"DATA OBJECT",Data!E327&lt;&gt;""),NOT(ISERROR(MATCH(Data!$A327&amp;"||"&amp;Data!E327,Key,0))),TRUE),TRUE)</f>
        <v>1</v>
      </c>
      <c r="AC327" s="27" t="b">
        <f>IF(Checks!C327,IF(UPPER(Data!C327)="END",Data!E327&lt;&gt;"",TRUE),TRUE)</f>
        <v>1</v>
      </c>
    </row>
    <row r="328" spans="1:29" x14ac:dyDescent="0.25">
      <c r="A328" s="1" t="str">
        <f>Data!A328&amp;"||"&amp;Data!B328</f>
        <v>Miscellaneous/subflow/irmifrs9_enrichment_stage5.bpmn||030_00_01</v>
      </c>
      <c r="B328" s="19"/>
      <c r="C328" s="24" t="b">
        <f>AND(UPPER(Data!A328)&lt;&gt;"EMPTY",Data!B328&lt;&gt;"")</f>
        <v>1</v>
      </c>
      <c r="D328" s="1"/>
      <c r="E328" s="25" t="b">
        <f t="shared" ca="1" si="10"/>
        <v>1</v>
      </c>
      <c r="F328" s="26" t="b">
        <f ca="1">IF(UPPER(Data!C328)="SUB PROCESS",NOT(ISERROR(MATCH(RIGHT(Data!BY328,LEN(Data!BY328)-5),OFFSET(Data,0,0,ItemsCount,1),0))),TRUE)</f>
        <v>1</v>
      </c>
      <c r="G328" s="26" t="b">
        <f ca="1">IF(MID(UPPER(Data!A328),1,13)="MISCELLANEOUS",NOT(ISERROR(MATCH("path="&amp;Data!A328,OFFSET(Data,0,76,ItemsCount,1),0))),TRUE)</f>
        <v>1</v>
      </c>
      <c r="L328" s="25" t="b">
        <f t="shared" ca="1" si="11"/>
        <v>1</v>
      </c>
      <c r="M328" s="24" t="b">
        <f>IF(Checks!$C328,Data!A328&lt;&gt;"",TRUE)</f>
        <v>1</v>
      </c>
      <c r="N328" s="26" t="b">
        <f>IF(Checks!C328,Data!B328&lt;&gt;"",TRUE)</f>
        <v>1</v>
      </c>
      <c r="O328" s="26" t="b">
        <f>IF(Checks!C328,IF(AND(UPPER(Data!C328)="SERVICE TASK",UPPER(Data!BZ328)="TYPE=SAS"),NodeExists(TRIM(RIGHT(Data!CA328,LEN(Data!CA328)-FIND("=",Data!CA328)))),TRUE),TRUE)</f>
        <v>1</v>
      </c>
      <c r="P328" s="26" t="b">
        <f>IF(Checks!C328,IF(Data!C328="DATA OBJECT",OR(AND(Data!BW328&lt;&gt;"",Data!BX328=""),AND(Data!BW328="",Data!BX328&lt;&gt;"")),TRUE),TRUE)</f>
        <v>1</v>
      </c>
      <c r="Q328" s="26" t="b">
        <f>IF(Checks!C328,UPPER(RIGHT(Data!A328,5))=".BPMN",TRUE)</f>
        <v>1</v>
      </c>
      <c r="R328" s="26" t="b">
        <f>IF(Checks!C328,IF(UPPER(Data!C328)="SUB PROCESS",UPPER(RIGHT(Data!BY328,5))=".BPMN",TRUE),TRUE)</f>
        <v>1</v>
      </c>
      <c r="S328" s="26" t="b">
        <f>IF(Checks!C328,IF(UPPER(Data!C328)="SERVICE TASK",IF(UPPER(Data!BZ328)="TYPE=SAS",UPPER(RIGHT(Data!CA328,4))=".SAS",TRUE),TRUE),TRUE)</f>
        <v>1</v>
      </c>
      <c r="T328" s="26" t="b">
        <f>IF(Checks!C328,IF(Data!B328&lt;&gt;"",Data!D328&lt;&gt;"",TRUE),TRUE)</f>
        <v>1</v>
      </c>
      <c r="U328" s="26" t="b">
        <f ca="1">IF(Checks!C328,IF(UPPER(Data!C328)="DATA OBJECT",NOT(ISERROR(MATCH(Data!A328&amp;"||"&amp;Data!BW328&amp;Data!BX328,Key,0))),TRUE),TRUE)</f>
        <v>1</v>
      </c>
      <c r="V328" s="26" t="b">
        <f>IF(Checks!C328,IF(UPPER(Data!C328)="SUB PROCESS",Data!BY328&lt;&gt;"",TRUE),TRUE)</f>
        <v>1</v>
      </c>
      <c r="W328" s="26" t="b">
        <f>IF(Checks!C328,IF(UPPER(Data!C328)="SERVICE TASK",AND(Data!BZ328&lt;&gt;"",Data!CA328&lt;&gt;""),TRUE),TRUE)</f>
        <v>1</v>
      </c>
      <c r="X328" s="26" t="b">
        <f t="array" aca="1" ref="X328" ca="1">SUM((OFFSET(Data!B328,MAX(ROW(Data!$B$5)-ROW(Data!B328),-200),0,400,1)=Data!B328)*(OFFSET(Data!A328,MAX(ROW(Data!$B$5)-ROW(Data!B328),-200),0,400,1)=Data!A328))=1</f>
        <v>1</v>
      </c>
      <c r="Y328" s="26" t="b">
        <f t="array" aca="1" ref="Y328" ca="1">IF(UPPER(Data!C328)="START",SUM((OFFSET(Data!C328,MAX(ROW(Data!$C$5)-ROW(Data!C328),-200),0,400,1)="START")*(OFFSET(Data!A328,MAX(ROW(Data!$B$5)-ROW(Data!B328),-200),0,400,1)=Data!A328))=1,TRUE)</f>
        <v>1</v>
      </c>
      <c r="Z328" s="26" t="b">
        <f t="array" aca="1" ref="Z328" ca="1">IF(UPPER(Data!C328)="END",SUM((OFFSET(Data!C328,MAX(ROW(Data!$C$5)-ROW(Data!C328),-200),0,400,1)="END")*(OFFSET(Data!A328,MAX(ROW(Data!$B$5)-ROW(Data!B328),-200),0,400,1)=Data!A328))=1,TRUE)</f>
        <v>1</v>
      </c>
      <c r="AA328" s="26" t="b">
        <f>IF(Checks!C328,ISERROR(FIND("&amp;",Data!D328)),TRUE)</f>
        <v>1</v>
      </c>
      <c r="AB328" s="26" t="b">
        <f>IF(Checks!$C328,IF(AND(UPPER(Data!$C328)&lt;&gt;"START",UPPER(Data!$C328)&lt;&gt;"DATA OBJECT",Data!E328&lt;&gt;""),NOT(ISERROR(MATCH(Data!$A328&amp;"||"&amp;Data!E328,Key,0))),TRUE),TRUE)</f>
        <v>1</v>
      </c>
      <c r="AC328" s="27" t="b">
        <f>IF(Checks!C328,IF(UPPER(Data!C328)="END",Data!E328&lt;&gt;"",TRUE),TRUE)</f>
        <v>1</v>
      </c>
    </row>
    <row r="329" spans="1:29" x14ac:dyDescent="0.25">
      <c r="A329" s="1" t="str">
        <f>Data!A329&amp;"||"&amp;Data!B329</f>
        <v>Miscellaneous/subflow/irmifrs9_enrichment_stage5.bpmn||030_00_02</v>
      </c>
      <c r="B329" s="19"/>
      <c r="C329" s="24" t="b">
        <f>AND(UPPER(Data!A329)&lt;&gt;"EMPTY",Data!B329&lt;&gt;"")</f>
        <v>1</v>
      </c>
      <c r="D329" s="1"/>
      <c r="E329" s="25" t="b">
        <f t="shared" ca="1" si="10"/>
        <v>1</v>
      </c>
      <c r="F329" s="26" t="b">
        <f ca="1">IF(UPPER(Data!C329)="SUB PROCESS",NOT(ISERROR(MATCH(RIGHT(Data!BY329,LEN(Data!BY329)-5),OFFSET(Data,0,0,ItemsCount,1),0))),TRUE)</f>
        <v>1</v>
      </c>
      <c r="G329" s="26" t="b">
        <f ca="1">IF(MID(UPPER(Data!A329),1,13)="MISCELLANEOUS",NOT(ISERROR(MATCH("path="&amp;Data!A329,OFFSET(Data,0,76,ItemsCount,1),0))),TRUE)</f>
        <v>1</v>
      </c>
      <c r="L329" s="25" t="b">
        <f t="shared" ca="1" si="11"/>
        <v>1</v>
      </c>
      <c r="M329" s="24" t="b">
        <f>IF(Checks!$C329,Data!A329&lt;&gt;"",TRUE)</f>
        <v>1</v>
      </c>
      <c r="N329" s="26" t="b">
        <f>IF(Checks!C329,Data!B329&lt;&gt;"",TRUE)</f>
        <v>1</v>
      </c>
      <c r="O329" s="26" t="b">
        <f>IF(Checks!C329,IF(AND(UPPER(Data!C329)="SERVICE TASK",UPPER(Data!BZ329)="TYPE=SAS"),NodeExists(TRIM(RIGHT(Data!CA329,LEN(Data!CA329)-FIND("=",Data!CA329)))),TRUE),TRUE)</f>
        <v>1</v>
      </c>
      <c r="P329" s="26" t="b">
        <f>IF(Checks!C329,IF(Data!C329="DATA OBJECT",OR(AND(Data!BW329&lt;&gt;"",Data!BX329=""),AND(Data!BW329="",Data!BX329&lt;&gt;"")),TRUE),TRUE)</f>
        <v>1</v>
      </c>
      <c r="Q329" s="26" t="b">
        <f>IF(Checks!C329,UPPER(RIGHT(Data!A329,5))=".BPMN",TRUE)</f>
        <v>1</v>
      </c>
      <c r="R329" s="26" t="b">
        <f>IF(Checks!C329,IF(UPPER(Data!C329)="SUB PROCESS",UPPER(RIGHT(Data!BY329,5))=".BPMN",TRUE),TRUE)</f>
        <v>1</v>
      </c>
      <c r="S329" s="26" t="b">
        <f>IF(Checks!C329,IF(UPPER(Data!C329)="SERVICE TASK",IF(UPPER(Data!BZ329)="TYPE=SAS",UPPER(RIGHT(Data!CA329,4))=".SAS",TRUE),TRUE),TRUE)</f>
        <v>1</v>
      </c>
      <c r="T329" s="26" t="b">
        <f>IF(Checks!C329,IF(Data!B329&lt;&gt;"",Data!D329&lt;&gt;"",TRUE),TRUE)</f>
        <v>1</v>
      </c>
      <c r="U329" s="26" t="b">
        <f ca="1">IF(Checks!C329,IF(UPPER(Data!C329)="DATA OBJECT",NOT(ISERROR(MATCH(Data!A329&amp;"||"&amp;Data!BW329&amp;Data!BX329,Key,0))),TRUE),TRUE)</f>
        <v>1</v>
      </c>
      <c r="V329" s="26" t="b">
        <f>IF(Checks!C329,IF(UPPER(Data!C329)="SUB PROCESS",Data!BY329&lt;&gt;"",TRUE),TRUE)</f>
        <v>1</v>
      </c>
      <c r="W329" s="26" t="b">
        <f>IF(Checks!C329,IF(UPPER(Data!C329)="SERVICE TASK",AND(Data!BZ329&lt;&gt;"",Data!CA329&lt;&gt;""),TRUE),TRUE)</f>
        <v>1</v>
      </c>
      <c r="X329" s="26" t="b">
        <f t="array" aca="1" ref="X329" ca="1">SUM((OFFSET(Data!B329,MAX(ROW(Data!$B$5)-ROW(Data!B329),-200),0,400,1)=Data!B329)*(OFFSET(Data!A329,MAX(ROW(Data!$B$5)-ROW(Data!B329),-200),0,400,1)=Data!A329))=1</f>
        <v>1</v>
      </c>
      <c r="Y329" s="26" t="b">
        <f t="array" aca="1" ref="Y329" ca="1">IF(UPPER(Data!C329)="START",SUM((OFFSET(Data!C329,MAX(ROW(Data!$C$5)-ROW(Data!C329),-200),0,400,1)="START")*(OFFSET(Data!A329,MAX(ROW(Data!$B$5)-ROW(Data!B329),-200),0,400,1)=Data!A329))=1,TRUE)</f>
        <v>1</v>
      </c>
      <c r="Z329" s="26" t="b">
        <f t="array" aca="1" ref="Z329" ca="1">IF(UPPER(Data!C329)="END",SUM((OFFSET(Data!C329,MAX(ROW(Data!$C$5)-ROW(Data!C329),-200),0,400,1)="END")*(OFFSET(Data!A329,MAX(ROW(Data!$B$5)-ROW(Data!B329),-200),0,400,1)=Data!A329))=1,TRUE)</f>
        <v>1</v>
      </c>
      <c r="AA329" s="26" t="b">
        <f>IF(Checks!C329,ISERROR(FIND("&amp;",Data!D329)),TRUE)</f>
        <v>1</v>
      </c>
      <c r="AB329" s="26" t="b">
        <f>IF(Checks!$C329,IF(AND(UPPER(Data!$C329)&lt;&gt;"START",UPPER(Data!$C329)&lt;&gt;"DATA OBJECT",Data!E329&lt;&gt;""),NOT(ISERROR(MATCH(Data!$A329&amp;"||"&amp;Data!E329,Key,0))),TRUE),TRUE)</f>
        <v>1</v>
      </c>
      <c r="AC329" s="27" t="b">
        <f>IF(Checks!C329,IF(UPPER(Data!C329)="END",Data!E329&lt;&gt;"",TRUE),TRUE)</f>
        <v>1</v>
      </c>
    </row>
    <row r="330" spans="1:29" x14ac:dyDescent="0.25">
      <c r="A330" s="1" t="str">
        <f>Data!A330&amp;"||"&amp;Data!B330</f>
        <v>Miscellaneous/subflow/irmifrs9_enrichment_stage5.bpmn||030_01_00</v>
      </c>
      <c r="B330" s="19"/>
      <c r="C330" s="24" t="b">
        <f>AND(UPPER(Data!A330)&lt;&gt;"EMPTY",Data!B330&lt;&gt;"")</f>
        <v>1</v>
      </c>
      <c r="D330" s="1"/>
      <c r="E330" s="25" t="b">
        <f t="shared" ca="1" si="10"/>
        <v>1</v>
      </c>
      <c r="F330" s="26" t="b">
        <f ca="1">IF(UPPER(Data!C330)="SUB PROCESS",NOT(ISERROR(MATCH(RIGHT(Data!BY330,LEN(Data!BY330)-5),OFFSET(Data,0,0,ItemsCount,1),0))),TRUE)</f>
        <v>1</v>
      </c>
      <c r="G330" s="26" t="b">
        <f ca="1">IF(MID(UPPER(Data!A330),1,13)="MISCELLANEOUS",NOT(ISERROR(MATCH("path="&amp;Data!A330,OFFSET(Data,0,76,ItemsCount,1),0))),TRUE)</f>
        <v>1</v>
      </c>
      <c r="L330" s="25" t="b">
        <f t="shared" ca="1" si="11"/>
        <v>1</v>
      </c>
      <c r="M330" s="24" t="b">
        <f>IF(Checks!$C330,Data!A330&lt;&gt;"",TRUE)</f>
        <v>1</v>
      </c>
      <c r="N330" s="26" t="b">
        <f>IF(Checks!C330,Data!B330&lt;&gt;"",TRUE)</f>
        <v>1</v>
      </c>
      <c r="O330" s="26" t="b">
        <f>IF(Checks!C330,IF(AND(UPPER(Data!C330)="SERVICE TASK",UPPER(Data!BZ330)="TYPE=SAS"),NodeExists(TRIM(RIGHT(Data!CA330,LEN(Data!CA330)-FIND("=",Data!CA330)))),TRUE),TRUE)</f>
        <v>1</v>
      </c>
      <c r="P330" s="26" t="b">
        <f>IF(Checks!C330,IF(Data!C330="DATA OBJECT",OR(AND(Data!BW330&lt;&gt;"",Data!BX330=""),AND(Data!BW330="",Data!BX330&lt;&gt;"")),TRUE),TRUE)</f>
        <v>1</v>
      </c>
      <c r="Q330" s="26" t="b">
        <f>IF(Checks!C330,UPPER(RIGHT(Data!A330,5))=".BPMN",TRUE)</f>
        <v>1</v>
      </c>
      <c r="R330" s="26" t="b">
        <f>IF(Checks!C330,IF(UPPER(Data!C330)="SUB PROCESS",UPPER(RIGHT(Data!BY330,5))=".BPMN",TRUE),TRUE)</f>
        <v>1</v>
      </c>
      <c r="S330" s="26" t="b">
        <f>IF(Checks!C330,IF(UPPER(Data!C330)="SERVICE TASK",IF(UPPER(Data!BZ330)="TYPE=SAS",UPPER(RIGHT(Data!CA330,4))=".SAS",TRUE),TRUE),TRUE)</f>
        <v>1</v>
      </c>
      <c r="T330" s="26" t="b">
        <f>IF(Checks!C330,IF(Data!B330&lt;&gt;"",Data!D330&lt;&gt;"",TRUE),TRUE)</f>
        <v>1</v>
      </c>
      <c r="U330" s="26" t="b">
        <f ca="1">IF(Checks!C330,IF(UPPER(Data!C330)="DATA OBJECT",NOT(ISERROR(MATCH(Data!A330&amp;"||"&amp;Data!BW330&amp;Data!BX330,Key,0))),TRUE),TRUE)</f>
        <v>1</v>
      </c>
      <c r="V330" s="26" t="b">
        <f>IF(Checks!C330,IF(UPPER(Data!C330)="SUB PROCESS",Data!BY330&lt;&gt;"",TRUE),TRUE)</f>
        <v>1</v>
      </c>
      <c r="W330" s="26" t="b">
        <f>IF(Checks!C330,IF(UPPER(Data!C330)="SERVICE TASK",AND(Data!BZ330&lt;&gt;"",Data!CA330&lt;&gt;""),TRUE),TRUE)</f>
        <v>1</v>
      </c>
      <c r="X330" s="26" t="b">
        <f t="array" aca="1" ref="X330" ca="1">SUM((OFFSET(Data!B330,MAX(ROW(Data!$B$5)-ROW(Data!B330),-200),0,400,1)=Data!B330)*(OFFSET(Data!A330,MAX(ROW(Data!$B$5)-ROW(Data!B330),-200),0,400,1)=Data!A330))=1</f>
        <v>1</v>
      </c>
      <c r="Y330" s="26" t="b">
        <f t="array" aca="1" ref="Y330" ca="1">IF(UPPER(Data!C330)="START",SUM((OFFSET(Data!C330,MAX(ROW(Data!$C$5)-ROW(Data!C330),-200),0,400,1)="START")*(OFFSET(Data!A330,MAX(ROW(Data!$B$5)-ROW(Data!B330),-200),0,400,1)=Data!A330))=1,TRUE)</f>
        <v>1</v>
      </c>
      <c r="Z330" s="26" t="b">
        <f t="array" aca="1" ref="Z330" ca="1">IF(UPPER(Data!C330)="END",SUM((OFFSET(Data!C330,MAX(ROW(Data!$C$5)-ROW(Data!C330),-200),0,400,1)="END")*(OFFSET(Data!A330,MAX(ROW(Data!$B$5)-ROW(Data!B330),-200),0,400,1)=Data!A330))=1,TRUE)</f>
        <v>1</v>
      </c>
      <c r="AA330" s="26" t="b">
        <f>IF(Checks!C330,ISERROR(FIND("&amp;",Data!D330)),TRUE)</f>
        <v>1</v>
      </c>
      <c r="AB330" s="26" t="b">
        <f>IF(Checks!$C330,IF(AND(UPPER(Data!$C330)&lt;&gt;"START",UPPER(Data!$C330)&lt;&gt;"DATA OBJECT",Data!E330&lt;&gt;""),NOT(ISERROR(MATCH(Data!$A330&amp;"||"&amp;Data!E330,Key,0))),TRUE),TRUE)</f>
        <v>1</v>
      </c>
      <c r="AC330" s="27" t="b">
        <f>IF(Checks!C330,IF(UPPER(Data!C330)="END",Data!E330&lt;&gt;"",TRUE),TRUE)</f>
        <v>1</v>
      </c>
    </row>
    <row r="331" spans="1:29" x14ac:dyDescent="0.25">
      <c r="A331" s="1" t="str">
        <f>Data!A331&amp;"||"&amp;Data!B331</f>
        <v>Miscellaneous/subflow/irmifrs9_enrichment_stage5.bpmn||999_00_00</v>
      </c>
      <c r="B331" s="19"/>
      <c r="C331" s="24" t="b">
        <f>AND(UPPER(Data!A331)&lt;&gt;"EMPTY",Data!B331&lt;&gt;"")</f>
        <v>1</v>
      </c>
      <c r="D331" s="1"/>
      <c r="E331" s="25" t="b">
        <f t="shared" ca="1" si="10"/>
        <v>1</v>
      </c>
      <c r="F331" s="26" t="b">
        <f ca="1">IF(UPPER(Data!C331)="SUB PROCESS",NOT(ISERROR(MATCH(RIGHT(Data!BY331,LEN(Data!BY331)-5),OFFSET(Data,0,0,ItemsCount,1),0))),TRUE)</f>
        <v>1</v>
      </c>
      <c r="G331" s="26" t="b">
        <f ca="1">IF(MID(UPPER(Data!A331),1,13)="MISCELLANEOUS",NOT(ISERROR(MATCH("path="&amp;Data!A331,OFFSET(Data,0,76,ItemsCount,1),0))),TRUE)</f>
        <v>1</v>
      </c>
      <c r="L331" s="25" t="b">
        <f t="shared" ca="1" si="11"/>
        <v>1</v>
      </c>
      <c r="M331" s="24" t="b">
        <f>IF(Checks!$C331,Data!A331&lt;&gt;"",TRUE)</f>
        <v>1</v>
      </c>
      <c r="N331" s="26" t="b">
        <f>IF(Checks!C331,Data!B331&lt;&gt;"",TRUE)</f>
        <v>1</v>
      </c>
      <c r="O331" s="26" t="b">
        <f>IF(Checks!C331,IF(AND(UPPER(Data!C331)="SERVICE TASK",UPPER(Data!BZ331)="TYPE=SAS"),NodeExists(TRIM(RIGHT(Data!CA331,LEN(Data!CA331)-FIND("=",Data!CA331)))),TRUE),TRUE)</f>
        <v>1</v>
      </c>
      <c r="P331" s="26" t="b">
        <f>IF(Checks!C331,IF(Data!C331="DATA OBJECT",OR(AND(Data!BW331&lt;&gt;"",Data!BX331=""),AND(Data!BW331="",Data!BX331&lt;&gt;"")),TRUE),TRUE)</f>
        <v>1</v>
      </c>
      <c r="Q331" s="26" t="b">
        <f>IF(Checks!C331,UPPER(RIGHT(Data!A331,5))=".BPMN",TRUE)</f>
        <v>1</v>
      </c>
      <c r="R331" s="26" t="b">
        <f>IF(Checks!C331,IF(UPPER(Data!C331)="SUB PROCESS",UPPER(RIGHT(Data!BY331,5))=".BPMN",TRUE),TRUE)</f>
        <v>1</v>
      </c>
      <c r="S331" s="26" t="b">
        <f>IF(Checks!C331,IF(UPPER(Data!C331)="SERVICE TASK",IF(UPPER(Data!BZ331)="TYPE=SAS",UPPER(RIGHT(Data!CA331,4))=".SAS",TRUE),TRUE),TRUE)</f>
        <v>1</v>
      </c>
      <c r="T331" s="26" t="b">
        <f>IF(Checks!C331,IF(Data!B331&lt;&gt;"",Data!D331&lt;&gt;"",TRUE),TRUE)</f>
        <v>1</v>
      </c>
      <c r="U331" s="26" t="b">
        <f>IF(Checks!C331,IF(UPPER(Data!C331)="DATA OBJECT",NOT(ISERROR(MATCH(Data!A331&amp;"||"&amp;Data!BW331&amp;Data!BX331,Key,0))),TRUE),TRUE)</f>
        <v>1</v>
      </c>
      <c r="V331" s="26" t="b">
        <f>IF(Checks!C331,IF(UPPER(Data!C331)="SUB PROCESS",Data!BY331&lt;&gt;"",TRUE),TRUE)</f>
        <v>1</v>
      </c>
      <c r="W331" s="26" t="b">
        <f>IF(Checks!C331,IF(UPPER(Data!C331)="SERVICE TASK",AND(Data!BZ331&lt;&gt;"",Data!CA331&lt;&gt;""),TRUE),TRUE)</f>
        <v>1</v>
      </c>
      <c r="X331" s="26" t="b">
        <f t="array" aca="1" ref="X331" ca="1">SUM((OFFSET(Data!B331,MAX(ROW(Data!$B$5)-ROW(Data!B331),-200),0,400,1)=Data!B331)*(OFFSET(Data!A331,MAX(ROW(Data!$B$5)-ROW(Data!B331),-200),0,400,1)=Data!A331))=1</f>
        <v>1</v>
      </c>
      <c r="Y331" s="26" t="b">
        <f t="array" aca="1" ref="Y331" ca="1">IF(UPPER(Data!C331)="START",SUM((OFFSET(Data!C331,MAX(ROW(Data!$C$5)-ROW(Data!C331),-200),0,400,1)="START")*(OFFSET(Data!A331,MAX(ROW(Data!$B$5)-ROW(Data!B331),-200),0,400,1)=Data!A331))=1,TRUE)</f>
        <v>1</v>
      </c>
      <c r="Z331" s="26" t="b">
        <f t="array" aca="1" ref="Z331" ca="1">IF(UPPER(Data!C331)="END",SUM((OFFSET(Data!C331,MAX(ROW(Data!$C$5)-ROW(Data!C331),-200),0,400,1)="END")*(OFFSET(Data!A331,MAX(ROW(Data!$B$5)-ROW(Data!B331),-200),0,400,1)=Data!A331))=1,TRUE)</f>
        <v>1</v>
      </c>
      <c r="AA331" s="26" t="b">
        <f>IF(Checks!C331,ISERROR(FIND("&amp;",Data!D331)),TRUE)</f>
        <v>1</v>
      </c>
      <c r="AB331" s="26" t="b">
        <f ca="1">IF(Checks!$C331,IF(AND(UPPER(Data!$C331)&lt;&gt;"START",UPPER(Data!$C331)&lt;&gt;"DATA OBJECT",Data!E331&lt;&gt;""),NOT(ISERROR(MATCH(Data!$A331&amp;"||"&amp;Data!E331,Key,0))),TRUE),TRUE)</f>
        <v>1</v>
      </c>
      <c r="AC331" s="27" t="b">
        <f>IF(Checks!C331,IF(UPPER(Data!C331)="END",Data!E331&lt;&gt;"",TRUE),TRUE)</f>
        <v>1</v>
      </c>
    </row>
    <row r="332" spans="1:29" x14ac:dyDescent="0.25">
      <c r="A332" s="1" t="str">
        <f>Data!A332&amp;"||"&amp;Data!B332</f>
        <v>Miscellaneous/subflow/irmifrs9_data_enrichment.bpmn||000_00_00</v>
      </c>
      <c r="B332" s="19"/>
      <c r="C332" s="24" t="b">
        <f>AND(UPPER(Data!A332)&lt;&gt;"EMPTY",Data!B332&lt;&gt;"")</f>
        <v>1</v>
      </c>
      <c r="D332" s="1"/>
      <c r="E332" s="25" t="b">
        <f t="shared" ca="1" si="10"/>
        <v>1</v>
      </c>
      <c r="F332" s="26" t="b">
        <f ca="1">IF(UPPER(Data!C332)="SUB PROCESS",NOT(ISERROR(MATCH(RIGHT(Data!BY332,LEN(Data!BY332)-5),OFFSET(Data,0,0,ItemsCount,1),0))),TRUE)</f>
        <v>1</v>
      </c>
      <c r="G332" s="26" t="b">
        <f ca="1">IF(MID(UPPER(Data!A332),1,13)="MISCELLANEOUS",NOT(ISERROR(MATCH("path="&amp;Data!A332,OFFSET(Data,0,76,ItemsCount,1),0))),TRUE)</f>
        <v>1</v>
      </c>
      <c r="L332" s="25" t="b">
        <f t="shared" ca="1" si="11"/>
        <v>1</v>
      </c>
      <c r="M332" s="24" t="b">
        <f>IF(Checks!$C332,Data!A332&lt;&gt;"",TRUE)</f>
        <v>1</v>
      </c>
      <c r="N332" s="26" t="b">
        <f>IF(Checks!C332,Data!B332&lt;&gt;"",TRUE)</f>
        <v>1</v>
      </c>
      <c r="O332" s="26" t="b">
        <f>IF(Checks!C332,IF(AND(UPPER(Data!C332)="SERVICE TASK",UPPER(Data!BZ332)="TYPE=SAS"),NodeExists(TRIM(RIGHT(Data!CA332,LEN(Data!CA332)-FIND("=",Data!CA332)))),TRUE),TRUE)</f>
        <v>1</v>
      </c>
      <c r="P332" s="26" t="b">
        <f>IF(Checks!C332,IF(Data!C332="DATA OBJECT",OR(AND(Data!BW332&lt;&gt;"",Data!BX332=""),AND(Data!BW332="",Data!BX332&lt;&gt;"")),TRUE),TRUE)</f>
        <v>1</v>
      </c>
      <c r="Q332" s="26" t="b">
        <f>IF(Checks!C332,UPPER(RIGHT(Data!A332,5))=".BPMN",TRUE)</f>
        <v>1</v>
      </c>
      <c r="R332" s="26" t="b">
        <f>IF(Checks!C332,IF(UPPER(Data!C332)="SUB PROCESS",UPPER(RIGHT(Data!BY332,5))=".BPMN",TRUE),TRUE)</f>
        <v>1</v>
      </c>
      <c r="S332" s="26" t="b">
        <f>IF(Checks!C332,IF(UPPER(Data!C332)="SERVICE TASK",IF(UPPER(Data!BZ332)="TYPE=SAS",UPPER(RIGHT(Data!CA332,4))=".SAS",TRUE),TRUE),TRUE)</f>
        <v>1</v>
      </c>
      <c r="T332" s="26" t="b">
        <f>IF(Checks!C332,IF(Data!B332&lt;&gt;"",Data!D332&lt;&gt;"",TRUE),TRUE)</f>
        <v>1</v>
      </c>
      <c r="U332" s="26" t="b">
        <f>IF(Checks!C332,IF(UPPER(Data!C332)="DATA OBJECT",NOT(ISERROR(MATCH(Data!A332&amp;"||"&amp;Data!BW332&amp;Data!BX332,Key,0))),TRUE),TRUE)</f>
        <v>1</v>
      </c>
      <c r="V332" s="26" t="b">
        <f>IF(Checks!C332,IF(UPPER(Data!C332)="SUB PROCESS",Data!BY332&lt;&gt;"",TRUE),TRUE)</f>
        <v>1</v>
      </c>
      <c r="W332" s="26" t="b">
        <f>IF(Checks!C332,IF(UPPER(Data!C332)="SERVICE TASK",AND(Data!BZ332&lt;&gt;"",Data!CA332&lt;&gt;""),TRUE),TRUE)</f>
        <v>1</v>
      </c>
      <c r="X332" s="26" t="b">
        <f t="array" aca="1" ref="X332" ca="1">SUM((OFFSET(Data!B332,MAX(ROW(Data!$B$5)-ROW(Data!B332),-200),0,400,1)=Data!B332)*(OFFSET(Data!A332,MAX(ROW(Data!$B$5)-ROW(Data!B332),-200),0,400,1)=Data!A332))=1</f>
        <v>1</v>
      </c>
      <c r="Y332" s="26" t="b">
        <f t="array" aca="1" ref="Y332" ca="1">IF(UPPER(Data!C332)="START",SUM((OFFSET(Data!C332,MAX(ROW(Data!$C$5)-ROW(Data!C332),-200),0,400,1)="START")*(OFFSET(Data!A332,MAX(ROW(Data!$B$5)-ROW(Data!B332),-200),0,400,1)=Data!A332))=1,TRUE)</f>
        <v>1</v>
      </c>
      <c r="Z332" s="26" t="b">
        <f t="array" aca="1" ref="Z332" ca="1">IF(UPPER(Data!C332)="END",SUM((OFFSET(Data!C332,MAX(ROW(Data!$C$5)-ROW(Data!C332),-200),0,400,1)="END")*(OFFSET(Data!A332,MAX(ROW(Data!$B$5)-ROW(Data!B332),-200),0,400,1)=Data!A332))=1,TRUE)</f>
        <v>1</v>
      </c>
      <c r="AA332" s="26" t="b">
        <f>IF(Checks!C332,ISERROR(FIND("&amp;",Data!D332)),TRUE)</f>
        <v>1</v>
      </c>
      <c r="AB332" s="26" t="b">
        <f>IF(Checks!$C332,IF(AND(UPPER(Data!$C332)&lt;&gt;"START",UPPER(Data!$C332)&lt;&gt;"DATA OBJECT",Data!E332&lt;&gt;""),NOT(ISERROR(MATCH(Data!$A332&amp;"||"&amp;Data!E332,Key,0))),TRUE),TRUE)</f>
        <v>1</v>
      </c>
      <c r="AC332" s="27" t="b">
        <f>IF(Checks!C332,IF(UPPER(Data!C332)="END",Data!E332&lt;&gt;"",TRUE),TRUE)</f>
        <v>1</v>
      </c>
    </row>
    <row r="333" spans="1:29" x14ac:dyDescent="0.25">
      <c r="A333" s="1" t="str">
        <f>Data!A333&amp;"||"&amp;Data!B333</f>
        <v>Miscellaneous/subflow/irmifrs9_data_enrichment.bpmn||010_00_00</v>
      </c>
      <c r="B333" s="19"/>
      <c r="C333" s="24" t="b">
        <f>AND(UPPER(Data!A333)&lt;&gt;"EMPTY",Data!B333&lt;&gt;"")</f>
        <v>1</v>
      </c>
      <c r="D333" s="1"/>
      <c r="E333" s="25" t="b">
        <f t="shared" ca="1" si="10"/>
        <v>1</v>
      </c>
      <c r="F333" s="26" t="b">
        <f ca="1">IF(UPPER(Data!C333)="SUB PROCESS",NOT(ISERROR(MATCH(RIGHT(Data!BY333,LEN(Data!BY333)-5),OFFSET(Data,0,0,ItemsCount,1),0))),TRUE)</f>
        <v>1</v>
      </c>
      <c r="G333" s="26" t="b">
        <f ca="1">IF(MID(UPPER(Data!A333),1,13)="MISCELLANEOUS",NOT(ISERROR(MATCH("path="&amp;Data!A333,OFFSET(Data,0,76,ItemsCount,1),0))),TRUE)</f>
        <v>1</v>
      </c>
      <c r="L333" s="25" t="b">
        <f t="shared" ca="1" si="11"/>
        <v>1</v>
      </c>
      <c r="M333" s="24" t="b">
        <f>IF(Checks!$C333,Data!A333&lt;&gt;"",TRUE)</f>
        <v>1</v>
      </c>
      <c r="N333" s="26" t="b">
        <f>IF(Checks!C333,Data!B333&lt;&gt;"",TRUE)</f>
        <v>1</v>
      </c>
      <c r="O333" s="26" t="b">
        <f>IF(Checks!C333,IF(AND(UPPER(Data!C333)="SERVICE TASK",UPPER(Data!BZ333)="TYPE=SAS"),NodeExists(TRIM(RIGHT(Data!CA333,LEN(Data!CA333)-FIND("=",Data!CA333)))),TRUE),TRUE)</f>
        <v>1</v>
      </c>
      <c r="P333" s="26" t="b">
        <f>IF(Checks!C333,IF(Data!C333="DATA OBJECT",OR(AND(Data!BW333&lt;&gt;"",Data!BX333=""),AND(Data!BW333="",Data!BX333&lt;&gt;"")),TRUE),TRUE)</f>
        <v>1</v>
      </c>
      <c r="Q333" s="26" t="b">
        <f>IF(Checks!C333,UPPER(RIGHT(Data!A333,5))=".BPMN",TRUE)</f>
        <v>1</v>
      </c>
      <c r="R333" s="26" t="b">
        <f>IF(Checks!C333,IF(UPPER(Data!C333)="SUB PROCESS",UPPER(RIGHT(Data!BY333,5))=".BPMN",TRUE),TRUE)</f>
        <v>1</v>
      </c>
      <c r="S333" s="26" t="b">
        <f>IF(Checks!C333,IF(UPPER(Data!C333)="SERVICE TASK",IF(UPPER(Data!BZ333)="TYPE=SAS",UPPER(RIGHT(Data!CA333,4))=".SAS",TRUE),TRUE),TRUE)</f>
        <v>1</v>
      </c>
      <c r="T333" s="26" t="b">
        <f>IF(Checks!C333,IF(Data!B333&lt;&gt;"",Data!D333&lt;&gt;"",TRUE),TRUE)</f>
        <v>1</v>
      </c>
      <c r="U333" s="26" t="b">
        <f>IF(Checks!C333,IF(UPPER(Data!C333)="DATA OBJECT",NOT(ISERROR(MATCH(Data!A333&amp;"||"&amp;Data!BW333&amp;Data!BX333,Key,0))),TRUE),TRUE)</f>
        <v>1</v>
      </c>
      <c r="V333" s="26" t="b">
        <f>IF(Checks!C333,IF(UPPER(Data!C333)="SUB PROCESS",Data!BY333&lt;&gt;"",TRUE),TRUE)</f>
        <v>1</v>
      </c>
      <c r="W333" s="26" t="b">
        <f>IF(Checks!C333,IF(UPPER(Data!C333)="SERVICE TASK",AND(Data!BZ333&lt;&gt;"",Data!CA333&lt;&gt;""),TRUE),TRUE)</f>
        <v>1</v>
      </c>
      <c r="X333" s="26" t="b">
        <f t="array" aca="1" ref="X333" ca="1">SUM((OFFSET(Data!B333,MAX(ROW(Data!$B$5)-ROW(Data!B333),-200),0,400,1)=Data!B333)*(OFFSET(Data!A333,MAX(ROW(Data!$B$5)-ROW(Data!B333),-200),0,400,1)=Data!A333))=1</f>
        <v>1</v>
      </c>
      <c r="Y333" s="26" t="b">
        <f t="array" aca="1" ref="Y333" ca="1">IF(UPPER(Data!C333)="START",SUM((OFFSET(Data!C333,MAX(ROW(Data!$C$5)-ROW(Data!C333),-200),0,400,1)="START")*(OFFSET(Data!A333,MAX(ROW(Data!$B$5)-ROW(Data!B333),-200),0,400,1)=Data!A333))=1,TRUE)</f>
        <v>1</v>
      </c>
      <c r="Z333" s="26" t="b">
        <f t="array" aca="1" ref="Z333" ca="1">IF(UPPER(Data!C333)="END",SUM((OFFSET(Data!C333,MAX(ROW(Data!$C$5)-ROW(Data!C333),-200),0,400,1)="END")*(OFFSET(Data!A333,MAX(ROW(Data!$B$5)-ROW(Data!B333),-200),0,400,1)=Data!A333))=1,TRUE)</f>
        <v>1</v>
      </c>
      <c r="AA333" s="26" t="b">
        <f>IF(Checks!C333,ISERROR(FIND("&amp;",Data!D333)),TRUE)</f>
        <v>1</v>
      </c>
      <c r="AB333" s="26" t="b">
        <f ca="1">IF(Checks!$C333,IF(AND(UPPER(Data!$C333)&lt;&gt;"START",UPPER(Data!$C333)&lt;&gt;"DATA OBJECT",Data!E333&lt;&gt;""),NOT(ISERROR(MATCH(Data!$A333&amp;"||"&amp;Data!E333,Key,0))),TRUE),TRUE)</f>
        <v>1</v>
      </c>
      <c r="AC333" s="27" t="b">
        <f>IF(Checks!C333,IF(UPPER(Data!C333)="END",Data!E333&lt;&gt;"",TRUE),TRUE)</f>
        <v>1</v>
      </c>
    </row>
    <row r="334" spans="1:29" x14ac:dyDescent="0.25">
      <c r="A334" s="1" t="str">
        <f>Data!A334&amp;"||"&amp;Data!B334</f>
        <v>Miscellaneous/subflow/irmifrs9_data_enrichment.bpmn||010_00_01</v>
      </c>
      <c r="B334" s="19"/>
      <c r="C334" s="24" t="b">
        <f>AND(UPPER(Data!A334)&lt;&gt;"EMPTY",Data!B334&lt;&gt;"")</f>
        <v>1</v>
      </c>
      <c r="D334" s="1"/>
      <c r="E334" s="25" t="b">
        <f t="shared" ca="1" si="10"/>
        <v>1</v>
      </c>
      <c r="F334" s="26" t="b">
        <f ca="1">IF(UPPER(Data!C334)="SUB PROCESS",NOT(ISERROR(MATCH(RIGHT(Data!BY334,LEN(Data!BY334)-5),OFFSET(Data,0,0,ItemsCount,1),0))),TRUE)</f>
        <v>1</v>
      </c>
      <c r="G334" s="26" t="b">
        <f ca="1">IF(MID(UPPER(Data!A334),1,13)="MISCELLANEOUS",NOT(ISERROR(MATCH("path="&amp;Data!A334,OFFSET(Data,0,76,ItemsCount,1),0))),TRUE)</f>
        <v>1</v>
      </c>
      <c r="L334" s="25" t="b">
        <f t="shared" ca="1" si="11"/>
        <v>1</v>
      </c>
      <c r="M334" s="24" t="b">
        <f>IF(Checks!$C334,Data!A334&lt;&gt;"",TRUE)</f>
        <v>1</v>
      </c>
      <c r="N334" s="26" t="b">
        <f>IF(Checks!C334,Data!B334&lt;&gt;"",TRUE)</f>
        <v>1</v>
      </c>
      <c r="O334" s="26" t="b">
        <f>IF(Checks!C334,IF(AND(UPPER(Data!C334)="SERVICE TASK",UPPER(Data!BZ334)="TYPE=SAS"),NodeExists(TRIM(RIGHT(Data!CA334,LEN(Data!CA334)-FIND("=",Data!CA334)))),TRUE),TRUE)</f>
        <v>1</v>
      </c>
      <c r="P334" s="26" t="b">
        <f>IF(Checks!C334,IF(Data!C334="DATA OBJECT",OR(AND(Data!BW334&lt;&gt;"",Data!BX334=""),AND(Data!BW334="",Data!BX334&lt;&gt;"")),TRUE),TRUE)</f>
        <v>1</v>
      </c>
      <c r="Q334" s="26" t="b">
        <f>IF(Checks!C334,UPPER(RIGHT(Data!A334,5))=".BPMN",TRUE)</f>
        <v>1</v>
      </c>
      <c r="R334" s="26" t="b">
        <f>IF(Checks!C334,IF(UPPER(Data!C334)="SUB PROCESS",UPPER(RIGHT(Data!BY334,5))=".BPMN",TRUE),TRUE)</f>
        <v>1</v>
      </c>
      <c r="S334" s="26" t="b">
        <f>IF(Checks!C334,IF(UPPER(Data!C334)="SERVICE TASK",IF(UPPER(Data!BZ334)="TYPE=SAS",UPPER(RIGHT(Data!CA334,4))=".SAS",TRUE),TRUE),TRUE)</f>
        <v>1</v>
      </c>
      <c r="T334" s="26" t="b">
        <f>IF(Checks!C334,IF(Data!B334&lt;&gt;"",Data!D334&lt;&gt;"",TRUE),TRUE)</f>
        <v>1</v>
      </c>
      <c r="U334" s="26" t="b">
        <f ca="1">IF(Checks!C334,IF(UPPER(Data!C334)="DATA OBJECT",NOT(ISERROR(MATCH(Data!A334&amp;"||"&amp;Data!BW334&amp;Data!BX334,Key,0))),TRUE),TRUE)</f>
        <v>1</v>
      </c>
      <c r="V334" s="26" t="b">
        <f>IF(Checks!C334,IF(UPPER(Data!C334)="SUB PROCESS",Data!BY334&lt;&gt;"",TRUE),TRUE)</f>
        <v>1</v>
      </c>
      <c r="W334" s="26" t="b">
        <f>IF(Checks!C334,IF(UPPER(Data!C334)="SERVICE TASK",AND(Data!BZ334&lt;&gt;"",Data!CA334&lt;&gt;""),TRUE),TRUE)</f>
        <v>1</v>
      </c>
      <c r="X334" s="26" t="b">
        <f t="array" aca="1" ref="X334" ca="1">SUM((OFFSET(Data!B334,MAX(ROW(Data!$B$5)-ROW(Data!B334),-200),0,400,1)=Data!B334)*(OFFSET(Data!A334,MAX(ROW(Data!$B$5)-ROW(Data!B334),-200),0,400,1)=Data!A334))=1</f>
        <v>1</v>
      </c>
      <c r="Y334" s="26" t="b">
        <f t="array" aca="1" ref="Y334" ca="1">IF(UPPER(Data!C334)="START",SUM((OFFSET(Data!C334,MAX(ROW(Data!$C$5)-ROW(Data!C334),-200),0,400,1)="START")*(OFFSET(Data!A334,MAX(ROW(Data!$B$5)-ROW(Data!B334),-200),0,400,1)=Data!A334))=1,TRUE)</f>
        <v>1</v>
      </c>
      <c r="Z334" s="26" t="b">
        <f t="array" aca="1" ref="Z334" ca="1">IF(UPPER(Data!C334)="END",SUM((OFFSET(Data!C334,MAX(ROW(Data!$C$5)-ROW(Data!C334),-200),0,400,1)="END")*(OFFSET(Data!A334,MAX(ROW(Data!$B$5)-ROW(Data!B334),-200),0,400,1)=Data!A334))=1,TRUE)</f>
        <v>1</v>
      </c>
      <c r="AA334" s="26" t="b">
        <f>IF(Checks!C334,ISERROR(FIND("&amp;",Data!D334)),TRUE)</f>
        <v>1</v>
      </c>
      <c r="AB334" s="26" t="b">
        <f>IF(Checks!$C334,IF(AND(UPPER(Data!$C334)&lt;&gt;"START",UPPER(Data!$C334)&lt;&gt;"DATA OBJECT",Data!E334&lt;&gt;""),NOT(ISERROR(MATCH(Data!$A334&amp;"||"&amp;Data!E334,Key,0))),TRUE),TRUE)</f>
        <v>1</v>
      </c>
      <c r="AC334" s="27" t="b">
        <f>IF(Checks!C334,IF(UPPER(Data!C334)="END",Data!E334&lt;&gt;"",TRUE),TRUE)</f>
        <v>1</v>
      </c>
    </row>
    <row r="335" spans="1:29" x14ac:dyDescent="0.25">
      <c r="A335" s="1" t="str">
        <f>Data!A335&amp;"||"&amp;Data!B335</f>
        <v>Miscellaneous/subflow/irmifrs9_data_enrichment.bpmn||010_00_02</v>
      </c>
      <c r="B335" s="19"/>
      <c r="C335" s="24" t="b">
        <f>AND(UPPER(Data!A335)&lt;&gt;"EMPTY",Data!B335&lt;&gt;"")</f>
        <v>1</v>
      </c>
      <c r="D335" s="1"/>
      <c r="E335" s="25" t="b">
        <f t="shared" ca="1" si="10"/>
        <v>1</v>
      </c>
      <c r="F335" s="26" t="b">
        <f ca="1">IF(UPPER(Data!C335)="SUB PROCESS",NOT(ISERROR(MATCH(RIGHT(Data!BY335,LEN(Data!BY335)-5),OFFSET(Data,0,0,ItemsCount,1),0))),TRUE)</f>
        <v>1</v>
      </c>
      <c r="G335" s="26" t="b">
        <f ca="1">IF(MID(UPPER(Data!A335),1,13)="MISCELLANEOUS",NOT(ISERROR(MATCH("path="&amp;Data!A335,OFFSET(Data,0,76,ItemsCount,1),0))),TRUE)</f>
        <v>1</v>
      </c>
      <c r="L335" s="25" t="b">
        <f t="shared" ca="1" si="11"/>
        <v>1</v>
      </c>
      <c r="M335" s="24" t="b">
        <f>IF(Checks!$C335,Data!A335&lt;&gt;"",TRUE)</f>
        <v>1</v>
      </c>
      <c r="N335" s="26" t="b">
        <f>IF(Checks!C335,Data!B335&lt;&gt;"",TRUE)</f>
        <v>1</v>
      </c>
      <c r="O335" s="26" t="b">
        <f>IF(Checks!C335,IF(AND(UPPER(Data!C335)="SERVICE TASK",UPPER(Data!BZ335)="TYPE=SAS"),NodeExists(TRIM(RIGHT(Data!CA335,LEN(Data!CA335)-FIND("=",Data!CA335)))),TRUE),TRUE)</f>
        <v>1</v>
      </c>
      <c r="P335" s="26" t="b">
        <f>IF(Checks!C335,IF(Data!C335="DATA OBJECT",OR(AND(Data!BW335&lt;&gt;"",Data!BX335=""),AND(Data!BW335="",Data!BX335&lt;&gt;"")),TRUE),TRUE)</f>
        <v>1</v>
      </c>
      <c r="Q335" s="26" t="b">
        <f>IF(Checks!C335,UPPER(RIGHT(Data!A335,5))=".BPMN",TRUE)</f>
        <v>1</v>
      </c>
      <c r="R335" s="26" t="b">
        <f>IF(Checks!C335,IF(UPPER(Data!C335)="SUB PROCESS",UPPER(RIGHT(Data!BY335,5))=".BPMN",TRUE),TRUE)</f>
        <v>1</v>
      </c>
      <c r="S335" s="26" t="b">
        <f>IF(Checks!C335,IF(UPPER(Data!C335)="SERVICE TASK",IF(UPPER(Data!BZ335)="TYPE=SAS",UPPER(RIGHT(Data!CA335,4))=".SAS",TRUE),TRUE),TRUE)</f>
        <v>1</v>
      </c>
      <c r="T335" s="26" t="b">
        <f>IF(Checks!C335,IF(Data!B335&lt;&gt;"",Data!D335&lt;&gt;"",TRUE),TRUE)</f>
        <v>1</v>
      </c>
      <c r="U335" s="26" t="b">
        <f ca="1">IF(Checks!C335,IF(UPPER(Data!C335)="DATA OBJECT",NOT(ISERROR(MATCH(Data!A335&amp;"||"&amp;Data!BW335&amp;Data!BX335,Key,0))),TRUE),TRUE)</f>
        <v>1</v>
      </c>
      <c r="V335" s="26" t="b">
        <f>IF(Checks!C335,IF(UPPER(Data!C335)="SUB PROCESS",Data!BY335&lt;&gt;"",TRUE),TRUE)</f>
        <v>1</v>
      </c>
      <c r="W335" s="26" t="b">
        <f>IF(Checks!C335,IF(UPPER(Data!C335)="SERVICE TASK",AND(Data!BZ335&lt;&gt;"",Data!CA335&lt;&gt;""),TRUE),TRUE)</f>
        <v>1</v>
      </c>
      <c r="X335" s="26" t="b">
        <f t="array" aca="1" ref="X335" ca="1">SUM((OFFSET(Data!B335,MAX(ROW(Data!$B$5)-ROW(Data!B335),-200),0,400,1)=Data!B335)*(OFFSET(Data!A335,MAX(ROW(Data!$B$5)-ROW(Data!B335),-200),0,400,1)=Data!A335))=1</f>
        <v>1</v>
      </c>
      <c r="Y335" s="26" t="b">
        <f t="array" aca="1" ref="Y335" ca="1">IF(UPPER(Data!C335)="START",SUM((OFFSET(Data!C335,MAX(ROW(Data!$C$5)-ROW(Data!C335),-200),0,400,1)="START")*(OFFSET(Data!A335,MAX(ROW(Data!$B$5)-ROW(Data!B335),-200),0,400,1)=Data!A335))=1,TRUE)</f>
        <v>1</v>
      </c>
      <c r="Z335" s="26" t="b">
        <f t="array" aca="1" ref="Z335" ca="1">IF(UPPER(Data!C335)="END",SUM((OFFSET(Data!C335,MAX(ROW(Data!$C$5)-ROW(Data!C335),-200),0,400,1)="END")*(OFFSET(Data!A335,MAX(ROW(Data!$B$5)-ROW(Data!B335),-200),0,400,1)=Data!A335))=1,TRUE)</f>
        <v>1</v>
      </c>
      <c r="AA335" s="26" t="b">
        <f>IF(Checks!C335,ISERROR(FIND("&amp;",Data!D335)),TRUE)</f>
        <v>1</v>
      </c>
      <c r="AB335" s="26" t="b">
        <f>IF(Checks!$C335,IF(AND(UPPER(Data!$C335)&lt;&gt;"START",UPPER(Data!$C335)&lt;&gt;"DATA OBJECT",Data!E335&lt;&gt;""),NOT(ISERROR(MATCH(Data!$A335&amp;"||"&amp;Data!E335,Key,0))),TRUE),TRUE)</f>
        <v>1</v>
      </c>
      <c r="AC335" s="27" t="b">
        <f>IF(Checks!C335,IF(UPPER(Data!C335)="END",Data!E335&lt;&gt;"",TRUE),TRUE)</f>
        <v>1</v>
      </c>
    </row>
    <row r="336" spans="1:29" x14ac:dyDescent="0.25">
      <c r="A336" s="1" t="str">
        <f>Data!A336&amp;"||"&amp;Data!B336</f>
        <v>Miscellaneous/subflow/irmifrs9_data_enrichment.bpmn||010_01_00</v>
      </c>
      <c r="B336" s="19"/>
      <c r="C336" s="24" t="b">
        <f>AND(UPPER(Data!A336)&lt;&gt;"EMPTY",Data!B336&lt;&gt;"")</f>
        <v>1</v>
      </c>
      <c r="D336" s="1"/>
      <c r="E336" s="25" t="b">
        <f t="shared" ca="1" si="10"/>
        <v>1</v>
      </c>
      <c r="F336" s="26" t="b">
        <f ca="1">IF(UPPER(Data!C336)="SUB PROCESS",NOT(ISERROR(MATCH(RIGHT(Data!BY336,LEN(Data!BY336)-5),OFFSET(Data,0,0,ItemsCount,1),0))),TRUE)</f>
        <v>1</v>
      </c>
      <c r="G336" s="26" t="b">
        <f ca="1">IF(MID(UPPER(Data!A336),1,13)="MISCELLANEOUS",NOT(ISERROR(MATCH("path="&amp;Data!A336,OFFSET(Data,0,76,ItemsCount,1),0))),TRUE)</f>
        <v>1</v>
      </c>
      <c r="L336" s="25" t="b">
        <f t="shared" ca="1" si="11"/>
        <v>1</v>
      </c>
      <c r="M336" s="24" t="b">
        <f>IF(Checks!$C336,Data!A336&lt;&gt;"",TRUE)</f>
        <v>1</v>
      </c>
      <c r="N336" s="26" t="b">
        <f>IF(Checks!C336,Data!B336&lt;&gt;"",TRUE)</f>
        <v>1</v>
      </c>
      <c r="O336" s="26" t="b">
        <f>IF(Checks!C336,IF(AND(UPPER(Data!C336)="SERVICE TASK",UPPER(Data!BZ336)="TYPE=SAS"),NodeExists(TRIM(RIGHT(Data!CA336,LEN(Data!CA336)-FIND("=",Data!CA336)))),TRUE),TRUE)</f>
        <v>1</v>
      </c>
      <c r="P336" s="26" t="b">
        <f>IF(Checks!C336,IF(Data!C336="DATA OBJECT",OR(AND(Data!BW336&lt;&gt;"",Data!BX336=""),AND(Data!BW336="",Data!BX336&lt;&gt;"")),TRUE),TRUE)</f>
        <v>1</v>
      </c>
      <c r="Q336" s="26" t="b">
        <f>IF(Checks!C336,UPPER(RIGHT(Data!A336,5))=".BPMN",TRUE)</f>
        <v>1</v>
      </c>
      <c r="R336" s="26" t="b">
        <f>IF(Checks!C336,IF(UPPER(Data!C336)="SUB PROCESS",UPPER(RIGHT(Data!BY336,5))=".BPMN",TRUE),TRUE)</f>
        <v>1</v>
      </c>
      <c r="S336" s="26" t="b">
        <f>IF(Checks!C336,IF(UPPER(Data!C336)="SERVICE TASK",IF(UPPER(Data!BZ336)="TYPE=SAS",UPPER(RIGHT(Data!CA336,4))=".SAS",TRUE),TRUE),TRUE)</f>
        <v>1</v>
      </c>
      <c r="T336" s="26" t="b">
        <f>IF(Checks!C336,IF(Data!B336&lt;&gt;"",Data!D336&lt;&gt;"",TRUE),TRUE)</f>
        <v>1</v>
      </c>
      <c r="U336" s="26" t="b">
        <f ca="1">IF(Checks!C336,IF(UPPER(Data!C336)="DATA OBJECT",NOT(ISERROR(MATCH(Data!A336&amp;"||"&amp;Data!BW336&amp;Data!BX336,Key,0))),TRUE),TRUE)</f>
        <v>1</v>
      </c>
      <c r="V336" s="26" t="b">
        <f>IF(Checks!C336,IF(UPPER(Data!C336)="SUB PROCESS",Data!BY336&lt;&gt;"",TRUE),TRUE)</f>
        <v>1</v>
      </c>
      <c r="W336" s="26" t="b">
        <f>IF(Checks!C336,IF(UPPER(Data!C336)="SERVICE TASK",AND(Data!BZ336&lt;&gt;"",Data!CA336&lt;&gt;""),TRUE),TRUE)</f>
        <v>1</v>
      </c>
      <c r="X336" s="26" t="b">
        <f t="array" aca="1" ref="X336" ca="1">SUM((OFFSET(Data!B336,MAX(ROW(Data!$B$5)-ROW(Data!B336),-200),0,400,1)=Data!B336)*(OFFSET(Data!A336,MAX(ROW(Data!$B$5)-ROW(Data!B336),-200),0,400,1)=Data!A336))=1</f>
        <v>1</v>
      </c>
      <c r="Y336" s="26" t="b">
        <f t="array" aca="1" ref="Y336" ca="1">IF(UPPER(Data!C336)="START",SUM((OFFSET(Data!C336,MAX(ROW(Data!$C$5)-ROW(Data!C336),-200),0,400,1)="START")*(OFFSET(Data!A336,MAX(ROW(Data!$B$5)-ROW(Data!B336),-200),0,400,1)=Data!A336))=1,TRUE)</f>
        <v>1</v>
      </c>
      <c r="Z336" s="26" t="b">
        <f t="array" aca="1" ref="Z336" ca="1">IF(UPPER(Data!C336)="END",SUM((OFFSET(Data!C336,MAX(ROW(Data!$C$5)-ROW(Data!C336),-200),0,400,1)="END")*(OFFSET(Data!A336,MAX(ROW(Data!$B$5)-ROW(Data!B336),-200),0,400,1)=Data!A336))=1,TRUE)</f>
        <v>1</v>
      </c>
      <c r="AA336" s="26" t="b">
        <f>IF(Checks!C336,ISERROR(FIND("&amp;",Data!D336)),TRUE)</f>
        <v>1</v>
      </c>
      <c r="AB336" s="26" t="b">
        <f>IF(Checks!$C336,IF(AND(UPPER(Data!$C336)&lt;&gt;"START",UPPER(Data!$C336)&lt;&gt;"DATA OBJECT",Data!E336&lt;&gt;""),NOT(ISERROR(MATCH(Data!$A336&amp;"||"&amp;Data!E336,Key,0))),TRUE),TRUE)</f>
        <v>1</v>
      </c>
      <c r="AC336" s="27" t="b">
        <f>IF(Checks!C336,IF(UPPER(Data!C336)="END",Data!E336&lt;&gt;"",TRUE),TRUE)</f>
        <v>1</v>
      </c>
    </row>
    <row r="337" spans="1:29" x14ac:dyDescent="0.25">
      <c r="A337" s="1" t="str">
        <f>Data!A337&amp;"||"&amp;Data!B337</f>
        <v>Miscellaneous/subflow/irmifrs9_data_enrichment.bpmn||020_00_00</v>
      </c>
      <c r="B337" s="19"/>
      <c r="C337" s="24" t="b">
        <f>AND(UPPER(Data!A337)&lt;&gt;"EMPTY",Data!B337&lt;&gt;"")</f>
        <v>1</v>
      </c>
      <c r="D337" s="1"/>
      <c r="E337" s="25" t="b">
        <f t="shared" ca="1" si="10"/>
        <v>1</v>
      </c>
      <c r="F337" s="26" t="b">
        <f ca="1">IF(UPPER(Data!C337)="SUB PROCESS",NOT(ISERROR(MATCH(RIGHT(Data!BY337,LEN(Data!BY337)-5),OFFSET(Data,0,0,ItemsCount,1),0))),TRUE)</f>
        <v>1</v>
      </c>
      <c r="G337" s="26" t="b">
        <f ca="1">IF(MID(UPPER(Data!A337),1,13)="MISCELLANEOUS",NOT(ISERROR(MATCH("path="&amp;Data!A337,OFFSET(Data,0,76,ItemsCount,1),0))),TRUE)</f>
        <v>1</v>
      </c>
      <c r="L337" s="25" t="b">
        <f t="shared" ca="1" si="11"/>
        <v>1</v>
      </c>
      <c r="M337" s="24" t="b">
        <f>IF(Checks!$C337,Data!A337&lt;&gt;"",TRUE)</f>
        <v>1</v>
      </c>
      <c r="N337" s="26" t="b">
        <f>IF(Checks!C337,Data!B337&lt;&gt;"",TRUE)</f>
        <v>1</v>
      </c>
      <c r="O337" s="26" t="b">
        <f>IF(Checks!C337,IF(AND(UPPER(Data!C337)="SERVICE TASK",UPPER(Data!BZ337)="TYPE=SAS"),NodeExists(TRIM(RIGHT(Data!CA337,LEN(Data!CA337)-FIND("=",Data!CA337)))),TRUE),TRUE)</f>
        <v>1</v>
      </c>
      <c r="P337" s="26" t="b">
        <f>IF(Checks!C337,IF(Data!C337="DATA OBJECT",OR(AND(Data!BW337&lt;&gt;"",Data!BX337=""),AND(Data!BW337="",Data!BX337&lt;&gt;"")),TRUE),TRUE)</f>
        <v>1</v>
      </c>
      <c r="Q337" s="26" t="b">
        <f>IF(Checks!C337,UPPER(RIGHT(Data!A337,5))=".BPMN",TRUE)</f>
        <v>1</v>
      </c>
      <c r="R337" s="26" t="b">
        <f>IF(Checks!C337,IF(UPPER(Data!C337)="SUB PROCESS",UPPER(RIGHT(Data!BY337,5))=".BPMN",TRUE),TRUE)</f>
        <v>1</v>
      </c>
      <c r="S337" s="26" t="b">
        <f>IF(Checks!C337,IF(UPPER(Data!C337)="SERVICE TASK",IF(UPPER(Data!BZ337)="TYPE=SAS",UPPER(RIGHT(Data!CA337,4))=".SAS",TRUE),TRUE),TRUE)</f>
        <v>1</v>
      </c>
      <c r="T337" s="26" t="b">
        <f>IF(Checks!C337,IF(Data!B337&lt;&gt;"",Data!D337&lt;&gt;"",TRUE),TRUE)</f>
        <v>1</v>
      </c>
      <c r="U337" s="26" t="b">
        <f>IF(Checks!C337,IF(UPPER(Data!C337)="DATA OBJECT",NOT(ISERROR(MATCH(Data!A337&amp;"||"&amp;Data!BW337&amp;Data!BX337,Key,0))),TRUE),TRUE)</f>
        <v>1</v>
      </c>
      <c r="V337" s="26" t="b">
        <f>IF(Checks!C337,IF(UPPER(Data!C337)="SUB PROCESS",Data!BY337&lt;&gt;"",TRUE),TRUE)</f>
        <v>1</v>
      </c>
      <c r="W337" s="26" t="b">
        <f>IF(Checks!C337,IF(UPPER(Data!C337)="SERVICE TASK",AND(Data!BZ337&lt;&gt;"",Data!CA337&lt;&gt;""),TRUE),TRUE)</f>
        <v>1</v>
      </c>
      <c r="X337" s="26" t="b">
        <f t="array" aca="1" ref="X337" ca="1">SUM((OFFSET(Data!B337,MAX(ROW(Data!$B$5)-ROW(Data!B337),-200),0,400,1)=Data!B337)*(OFFSET(Data!A337,MAX(ROW(Data!$B$5)-ROW(Data!B337),-200),0,400,1)=Data!A337))=1</f>
        <v>1</v>
      </c>
      <c r="Y337" s="26" t="b">
        <f t="array" aca="1" ref="Y337" ca="1">IF(UPPER(Data!C337)="START",SUM((OFFSET(Data!C337,MAX(ROW(Data!$C$5)-ROW(Data!C337),-200),0,400,1)="START")*(OFFSET(Data!A337,MAX(ROW(Data!$B$5)-ROW(Data!B337),-200),0,400,1)=Data!A337))=1,TRUE)</f>
        <v>1</v>
      </c>
      <c r="Z337" s="26" t="b">
        <f t="array" aca="1" ref="Z337" ca="1">IF(UPPER(Data!C337)="END",SUM((OFFSET(Data!C337,MAX(ROW(Data!$C$5)-ROW(Data!C337),-200),0,400,1)="END")*(OFFSET(Data!A337,MAX(ROW(Data!$B$5)-ROW(Data!B337),-200),0,400,1)=Data!A337))=1,TRUE)</f>
        <v>1</v>
      </c>
      <c r="AA337" s="26" t="b">
        <f>IF(Checks!C337,ISERROR(FIND("&amp;",Data!D337)),TRUE)</f>
        <v>1</v>
      </c>
      <c r="AB337" s="26" t="b">
        <f ca="1">IF(Checks!$C337,IF(AND(UPPER(Data!$C337)&lt;&gt;"START",UPPER(Data!$C337)&lt;&gt;"DATA OBJECT",Data!E337&lt;&gt;""),NOT(ISERROR(MATCH(Data!$A337&amp;"||"&amp;Data!E337,Key,0))),TRUE),TRUE)</f>
        <v>1</v>
      </c>
      <c r="AC337" s="27" t="b">
        <f>IF(Checks!C337,IF(UPPER(Data!C337)="END",Data!E337&lt;&gt;"",TRUE),TRUE)</f>
        <v>1</v>
      </c>
    </row>
    <row r="338" spans="1:29" x14ac:dyDescent="0.25">
      <c r="A338" s="1" t="str">
        <f>Data!A338&amp;"||"&amp;Data!B338</f>
        <v>Miscellaneous/subflow/irmifrs9_data_enrichment.bpmn||020_00_01</v>
      </c>
      <c r="B338" s="19"/>
      <c r="C338" s="24" t="b">
        <f>AND(UPPER(Data!A338)&lt;&gt;"EMPTY",Data!B338&lt;&gt;"")</f>
        <v>1</v>
      </c>
      <c r="D338" s="1"/>
      <c r="E338" s="25" t="b">
        <f t="shared" ca="1" si="10"/>
        <v>1</v>
      </c>
      <c r="F338" s="26" t="b">
        <f ca="1">IF(UPPER(Data!C338)="SUB PROCESS",NOT(ISERROR(MATCH(RIGHT(Data!BY338,LEN(Data!BY338)-5),OFFSET(Data,0,0,ItemsCount,1),0))),TRUE)</f>
        <v>1</v>
      </c>
      <c r="G338" s="26" t="b">
        <f ca="1">IF(MID(UPPER(Data!A338),1,13)="MISCELLANEOUS",NOT(ISERROR(MATCH("path="&amp;Data!A338,OFFSET(Data,0,76,ItemsCount,1),0))),TRUE)</f>
        <v>1</v>
      </c>
      <c r="L338" s="25" t="b">
        <f t="shared" ca="1" si="11"/>
        <v>1</v>
      </c>
      <c r="M338" s="24" t="b">
        <f>IF(Checks!$C338,Data!A338&lt;&gt;"",TRUE)</f>
        <v>1</v>
      </c>
      <c r="N338" s="26" t="b">
        <f>IF(Checks!C338,Data!B338&lt;&gt;"",TRUE)</f>
        <v>1</v>
      </c>
      <c r="O338" s="26" t="b">
        <f>IF(Checks!C338,IF(AND(UPPER(Data!C338)="SERVICE TASK",UPPER(Data!BZ338)="TYPE=SAS"),NodeExists(TRIM(RIGHT(Data!CA338,LEN(Data!CA338)-FIND("=",Data!CA338)))),TRUE),TRUE)</f>
        <v>1</v>
      </c>
      <c r="P338" s="26" t="b">
        <f>IF(Checks!C338,IF(Data!C338="DATA OBJECT",OR(AND(Data!BW338&lt;&gt;"",Data!BX338=""),AND(Data!BW338="",Data!BX338&lt;&gt;"")),TRUE),TRUE)</f>
        <v>1</v>
      </c>
      <c r="Q338" s="26" t="b">
        <f>IF(Checks!C338,UPPER(RIGHT(Data!A338,5))=".BPMN",TRUE)</f>
        <v>1</v>
      </c>
      <c r="R338" s="26" t="b">
        <f>IF(Checks!C338,IF(UPPER(Data!C338)="SUB PROCESS",UPPER(RIGHT(Data!BY338,5))=".BPMN",TRUE),TRUE)</f>
        <v>1</v>
      </c>
      <c r="S338" s="26" t="b">
        <f>IF(Checks!C338,IF(UPPER(Data!C338)="SERVICE TASK",IF(UPPER(Data!BZ338)="TYPE=SAS",UPPER(RIGHT(Data!CA338,4))=".SAS",TRUE),TRUE),TRUE)</f>
        <v>1</v>
      </c>
      <c r="T338" s="26" t="b">
        <f>IF(Checks!C338,IF(Data!B338&lt;&gt;"",Data!D338&lt;&gt;"",TRUE),TRUE)</f>
        <v>1</v>
      </c>
      <c r="U338" s="26" t="b">
        <f ca="1">IF(Checks!C338,IF(UPPER(Data!C338)="DATA OBJECT",NOT(ISERROR(MATCH(Data!A338&amp;"||"&amp;Data!BW338&amp;Data!BX338,Key,0))),TRUE),TRUE)</f>
        <v>1</v>
      </c>
      <c r="V338" s="26" t="b">
        <f>IF(Checks!C338,IF(UPPER(Data!C338)="SUB PROCESS",Data!BY338&lt;&gt;"",TRUE),TRUE)</f>
        <v>1</v>
      </c>
      <c r="W338" s="26" t="b">
        <f>IF(Checks!C338,IF(UPPER(Data!C338)="SERVICE TASK",AND(Data!BZ338&lt;&gt;"",Data!CA338&lt;&gt;""),TRUE),TRUE)</f>
        <v>1</v>
      </c>
      <c r="X338" s="26" t="b">
        <f t="array" aca="1" ref="X338" ca="1">SUM((OFFSET(Data!B338,MAX(ROW(Data!$B$5)-ROW(Data!B338),-200),0,400,1)=Data!B338)*(OFFSET(Data!A338,MAX(ROW(Data!$B$5)-ROW(Data!B338),-200),0,400,1)=Data!A338))=1</f>
        <v>1</v>
      </c>
      <c r="Y338" s="26" t="b">
        <f t="array" aca="1" ref="Y338" ca="1">IF(UPPER(Data!C338)="START",SUM((OFFSET(Data!C338,MAX(ROW(Data!$C$5)-ROW(Data!C338),-200),0,400,1)="START")*(OFFSET(Data!A338,MAX(ROW(Data!$B$5)-ROW(Data!B338),-200),0,400,1)=Data!A338))=1,TRUE)</f>
        <v>1</v>
      </c>
      <c r="Z338" s="26" t="b">
        <f t="array" aca="1" ref="Z338" ca="1">IF(UPPER(Data!C338)="END",SUM((OFFSET(Data!C338,MAX(ROW(Data!$C$5)-ROW(Data!C338),-200),0,400,1)="END")*(OFFSET(Data!A338,MAX(ROW(Data!$B$5)-ROW(Data!B338),-200),0,400,1)=Data!A338))=1,TRUE)</f>
        <v>1</v>
      </c>
      <c r="AA338" s="26" t="b">
        <f>IF(Checks!C338,ISERROR(FIND("&amp;",Data!D338)),TRUE)</f>
        <v>1</v>
      </c>
      <c r="AB338" s="26" t="b">
        <f>IF(Checks!$C338,IF(AND(UPPER(Data!$C338)&lt;&gt;"START",UPPER(Data!$C338)&lt;&gt;"DATA OBJECT",Data!E338&lt;&gt;""),NOT(ISERROR(MATCH(Data!$A338&amp;"||"&amp;Data!E338,Key,0))),TRUE),TRUE)</f>
        <v>1</v>
      </c>
      <c r="AC338" s="27" t="b">
        <f>IF(Checks!C338,IF(UPPER(Data!C338)="END",Data!E338&lt;&gt;"",TRUE),TRUE)</f>
        <v>1</v>
      </c>
    </row>
    <row r="339" spans="1:29" x14ac:dyDescent="0.25">
      <c r="A339" s="1" t="str">
        <f>Data!A339&amp;"||"&amp;Data!B339</f>
        <v>Miscellaneous/subflow/irmifrs9_data_enrichment.bpmn||020_00_02</v>
      </c>
      <c r="B339" s="19"/>
      <c r="C339" s="24" t="b">
        <f>AND(UPPER(Data!A339)&lt;&gt;"EMPTY",Data!B339&lt;&gt;"")</f>
        <v>1</v>
      </c>
      <c r="D339" s="1"/>
      <c r="E339" s="25" t="b">
        <f t="shared" ca="1" si="10"/>
        <v>1</v>
      </c>
      <c r="F339" s="26" t="b">
        <f ca="1">IF(UPPER(Data!C339)="SUB PROCESS",NOT(ISERROR(MATCH(RIGHT(Data!BY339,LEN(Data!BY339)-5),OFFSET(Data,0,0,ItemsCount,1),0))),TRUE)</f>
        <v>1</v>
      </c>
      <c r="G339" s="26" t="b">
        <f ca="1">IF(MID(UPPER(Data!A339),1,13)="MISCELLANEOUS",NOT(ISERROR(MATCH("path="&amp;Data!A339,OFFSET(Data,0,76,ItemsCount,1),0))),TRUE)</f>
        <v>1</v>
      </c>
      <c r="L339" s="25" t="b">
        <f t="shared" ca="1" si="11"/>
        <v>1</v>
      </c>
      <c r="M339" s="24" t="b">
        <f>IF(Checks!$C339,Data!A339&lt;&gt;"",TRUE)</f>
        <v>1</v>
      </c>
      <c r="N339" s="26" t="b">
        <f>IF(Checks!C339,Data!B339&lt;&gt;"",TRUE)</f>
        <v>1</v>
      </c>
      <c r="O339" s="26" t="b">
        <f>IF(Checks!C339,IF(AND(UPPER(Data!C339)="SERVICE TASK",UPPER(Data!BZ339)="TYPE=SAS"),NodeExists(TRIM(RIGHT(Data!CA339,LEN(Data!CA339)-FIND("=",Data!CA339)))),TRUE),TRUE)</f>
        <v>1</v>
      </c>
      <c r="P339" s="26" t="b">
        <f>IF(Checks!C339,IF(Data!C339="DATA OBJECT",OR(AND(Data!BW339&lt;&gt;"",Data!BX339=""),AND(Data!BW339="",Data!BX339&lt;&gt;"")),TRUE),TRUE)</f>
        <v>1</v>
      </c>
      <c r="Q339" s="26" t="b">
        <f>IF(Checks!C339,UPPER(RIGHT(Data!A339,5))=".BPMN",TRUE)</f>
        <v>1</v>
      </c>
      <c r="R339" s="26" t="b">
        <f>IF(Checks!C339,IF(UPPER(Data!C339)="SUB PROCESS",UPPER(RIGHT(Data!BY339,5))=".BPMN",TRUE),TRUE)</f>
        <v>1</v>
      </c>
      <c r="S339" s="26" t="b">
        <f>IF(Checks!C339,IF(UPPER(Data!C339)="SERVICE TASK",IF(UPPER(Data!BZ339)="TYPE=SAS",UPPER(RIGHT(Data!CA339,4))=".SAS",TRUE),TRUE),TRUE)</f>
        <v>1</v>
      </c>
      <c r="T339" s="26" t="b">
        <f>IF(Checks!C339,IF(Data!B339&lt;&gt;"",Data!D339&lt;&gt;"",TRUE),TRUE)</f>
        <v>1</v>
      </c>
      <c r="U339" s="26" t="b">
        <f ca="1">IF(Checks!C339,IF(UPPER(Data!C339)="DATA OBJECT",NOT(ISERROR(MATCH(Data!A339&amp;"||"&amp;Data!BW339&amp;Data!BX339,Key,0))),TRUE),TRUE)</f>
        <v>1</v>
      </c>
      <c r="V339" s="26" t="b">
        <f>IF(Checks!C339,IF(UPPER(Data!C339)="SUB PROCESS",Data!BY339&lt;&gt;"",TRUE),TRUE)</f>
        <v>1</v>
      </c>
      <c r="W339" s="26" t="b">
        <f>IF(Checks!C339,IF(UPPER(Data!C339)="SERVICE TASK",AND(Data!BZ339&lt;&gt;"",Data!CA339&lt;&gt;""),TRUE),TRUE)</f>
        <v>1</v>
      </c>
      <c r="X339" s="26" t="b">
        <f t="array" aca="1" ref="X339" ca="1">SUM((OFFSET(Data!B339,MAX(ROW(Data!$B$5)-ROW(Data!B339),-200),0,400,1)=Data!B339)*(OFFSET(Data!A339,MAX(ROW(Data!$B$5)-ROW(Data!B339),-200),0,400,1)=Data!A339))=1</f>
        <v>1</v>
      </c>
      <c r="Y339" s="26" t="b">
        <f t="array" aca="1" ref="Y339" ca="1">IF(UPPER(Data!C339)="START",SUM((OFFSET(Data!C339,MAX(ROW(Data!$C$5)-ROW(Data!C339),-200),0,400,1)="START")*(OFFSET(Data!A339,MAX(ROW(Data!$B$5)-ROW(Data!B339),-200),0,400,1)=Data!A339))=1,TRUE)</f>
        <v>1</v>
      </c>
      <c r="Z339" s="26" t="b">
        <f t="array" aca="1" ref="Z339" ca="1">IF(UPPER(Data!C339)="END",SUM((OFFSET(Data!C339,MAX(ROW(Data!$C$5)-ROW(Data!C339),-200),0,400,1)="END")*(OFFSET(Data!A339,MAX(ROW(Data!$B$5)-ROW(Data!B339),-200),0,400,1)=Data!A339))=1,TRUE)</f>
        <v>1</v>
      </c>
      <c r="AA339" s="26" t="b">
        <f>IF(Checks!C339,ISERROR(FIND("&amp;",Data!D339)),TRUE)</f>
        <v>1</v>
      </c>
      <c r="AB339" s="26" t="b">
        <f>IF(Checks!$C339,IF(AND(UPPER(Data!$C339)&lt;&gt;"START",UPPER(Data!$C339)&lt;&gt;"DATA OBJECT",Data!E339&lt;&gt;""),NOT(ISERROR(MATCH(Data!$A339&amp;"||"&amp;Data!E339,Key,0))),TRUE),TRUE)</f>
        <v>1</v>
      </c>
      <c r="AC339" s="27" t="b">
        <f>IF(Checks!C339,IF(UPPER(Data!C339)="END",Data!E339&lt;&gt;"",TRUE),TRUE)</f>
        <v>1</v>
      </c>
    </row>
    <row r="340" spans="1:29" x14ac:dyDescent="0.25">
      <c r="A340" s="1" t="str">
        <f>Data!A340&amp;"||"&amp;Data!B340</f>
        <v>Miscellaneous/subflow/irmifrs9_data_enrichment.bpmn||020_01_00</v>
      </c>
      <c r="B340" s="19"/>
      <c r="C340" s="24" t="b">
        <f>AND(UPPER(Data!A340)&lt;&gt;"EMPTY",Data!B340&lt;&gt;"")</f>
        <v>1</v>
      </c>
      <c r="D340" s="1"/>
      <c r="E340" s="25" t="b">
        <f t="shared" ca="1" si="10"/>
        <v>1</v>
      </c>
      <c r="F340" s="26" t="b">
        <f ca="1">IF(UPPER(Data!C340)="SUB PROCESS",NOT(ISERROR(MATCH(RIGHT(Data!BY340,LEN(Data!BY340)-5),OFFSET(Data,0,0,ItemsCount,1),0))),TRUE)</f>
        <v>1</v>
      </c>
      <c r="G340" s="26" t="b">
        <f ca="1">IF(MID(UPPER(Data!A340),1,13)="MISCELLANEOUS",NOT(ISERROR(MATCH("path="&amp;Data!A340,OFFSET(Data,0,76,ItemsCount,1),0))),TRUE)</f>
        <v>1</v>
      </c>
      <c r="L340" s="25" t="b">
        <f t="shared" ca="1" si="11"/>
        <v>1</v>
      </c>
      <c r="M340" s="24" t="b">
        <f>IF(Checks!$C340,Data!A340&lt;&gt;"",TRUE)</f>
        <v>1</v>
      </c>
      <c r="N340" s="26" t="b">
        <f>IF(Checks!C340,Data!B340&lt;&gt;"",TRUE)</f>
        <v>1</v>
      </c>
      <c r="O340" s="26" t="b">
        <f>IF(Checks!C340,IF(AND(UPPER(Data!C340)="SERVICE TASK",UPPER(Data!BZ340)="TYPE=SAS"),NodeExists(TRIM(RIGHT(Data!CA340,LEN(Data!CA340)-FIND("=",Data!CA340)))),TRUE),TRUE)</f>
        <v>1</v>
      </c>
      <c r="P340" s="26" t="b">
        <f>IF(Checks!C340,IF(Data!C340="DATA OBJECT",OR(AND(Data!BW340&lt;&gt;"",Data!BX340=""),AND(Data!BW340="",Data!BX340&lt;&gt;"")),TRUE),TRUE)</f>
        <v>1</v>
      </c>
      <c r="Q340" s="26" t="b">
        <f>IF(Checks!C340,UPPER(RIGHT(Data!A340,5))=".BPMN",TRUE)</f>
        <v>1</v>
      </c>
      <c r="R340" s="26" t="b">
        <f>IF(Checks!C340,IF(UPPER(Data!C340)="SUB PROCESS",UPPER(RIGHT(Data!BY340,5))=".BPMN",TRUE),TRUE)</f>
        <v>1</v>
      </c>
      <c r="S340" s="26" t="b">
        <f>IF(Checks!C340,IF(UPPER(Data!C340)="SERVICE TASK",IF(UPPER(Data!BZ340)="TYPE=SAS",UPPER(RIGHT(Data!CA340,4))=".SAS",TRUE),TRUE),TRUE)</f>
        <v>1</v>
      </c>
      <c r="T340" s="26" t="b">
        <f>IF(Checks!C340,IF(Data!B340&lt;&gt;"",Data!D340&lt;&gt;"",TRUE),TRUE)</f>
        <v>1</v>
      </c>
      <c r="U340" s="26" t="b">
        <f ca="1">IF(Checks!C340,IF(UPPER(Data!C340)="DATA OBJECT",NOT(ISERROR(MATCH(Data!A340&amp;"||"&amp;Data!BW340&amp;Data!BX340,Key,0))),TRUE),TRUE)</f>
        <v>1</v>
      </c>
      <c r="V340" s="26" t="b">
        <f>IF(Checks!C340,IF(UPPER(Data!C340)="SUB PROCESS",Data!BY340&lt;&gt;"",TRUE),TRUE)</f>
        <v>1</v>
      </c>
      <c r="W340" s="26" t="b">
        <f>IF(Checks!C340,IF(UPPER(Data!C340)="SERVICE TASK",AND(Data!BZ340&lt;&gt;"",Data!CA340&lt;&gt;""),TRUE),TRUE)</f>
        <v>1</v>
      </c>
      <c r="X340" s="26" t="b">
        <f t="array" aca="1" ref="X340" ca="1">SUM((OFFSET(Data!B340,MAX(ROW(Data!$B$5)-ROW(Data!B340),-200),0,400,1)=Data!B340)*(OFFSET(Data!A340,MAX(ROW(Data!$B$5)-ROW(Data!B340),-200),0,400,1)=Data!A340))=1</f>
        <v>1</v>
      </c>
      <c r="Y340" s="26" t="b">
        <f t="array" aca="1" ref="Y340" ca="1">IF(UPPER(Data!C340)="START",SUM((OFFSET(Data!C340,MAX(ROW(Data!$C$5)-ROW(Data!C340),-200),0,400,1)="START")*(OFFSET(Data!A340,MAX(ROW(Data!$B$5)-ROW(Data!B340),-200),0,400,1)=Data!A340))=1,TRUE)</f>
        <v>1</v>
      </c>
      <c r="Z340" s="26" t="b">
        <f t="array" aca="1" ref="Z340" ca="1">IF(UPPER(Data!C340)="END",SUM((OFFSET(Data!C340,MAX(ROW(Data!$C$5)-ROW(Data!C340),-200),0,400,1)="END")*(OFFSET(Data!A340,MAX(ROW(Data!$B$5)-ROW(Data!B340),-200),0,400,1)=Data!A340))=1,TRUE)</f>
        <v>1</v>
      </c>
      <c r="AA340" s="26" t="b">
        <f>IF(Checks!C340,ISERROR(FIND("&amp;",Data!D340)),TRUE)</f>
        <v>1</v>
      </c>
      <c r="AB340" s="26" t="b">
        <f>IF(Checks!$C340,IF(AND(UPPER(Data!$C340)&lt;&gt;"START",UPPER(Data!$C340)&lt;&gt;"DATA OBJECT",Data!E340&lt;&gt;""),NOT(ISERROR(MATCH(Data!$A340&amp;"||"&amp;Data!E340,Key,0))),TRUE),TRUE)</f>
        <v>1</v>
      </c>
      <c r="AC340" s="27" t="b">
        <f>IF(Checks!C340,IF(UPPER(Data!C340)="END",Data!E340&lt;&gt;"",TRUE),TRUE)</f>
        <v>1</v>
      </c>
    </row>
    <row r="341" spans="1:29" x14ac:dyDescent="0.25">
      <c r="A341" s="1" t="str">
        <f>Data!A341&amp;"||"&amp;Data!B341</f>
        <v>Miscellaneous/subflow/irmifrs9_data_enrichment.bpmn||020_02_00</v>
      </c>
      <c r="B341" s="19"/>
      <c r="C341" s="24" t="b">
        <f>AND(UPPER(Data!A341)&lt;&gt;"EMPTY",Data!B341&lt;&gt;"")</f>
        <v>1</v>
      </c>
      <c r="D341" s="1"/>
      <c r="E341" s="25" t="b">
        <f t="shared" ca="1" si="10"/>
        <v>1</v>
      </c>
      <c r="F341" s="26" t="b">
        <f ca="1">IF(UPPER(Data!C341)="SUB PROCESS",NOT(ISERROR(MATCH(RIGHT(Data!BY341,LEN(Data!BY341)-5),OFFSET(Data,0,0,ItemsCount,1),0))),TRUE)</f>
        <v>1</v>
      </c>
      <c r="G341" s="26" t="b">
        <f ca="1">IF(MID(UPPER(Data!A341),1,13)="MISCELLANEOUS",NOT(ISERROR(MATCH("path="&amp;Data!A341,OFFSET(Data,0,76,ItemsCount,1),0))),TRUE)</f>
        <v>1</v>
      </c>
      <c r="L341" s="25" t="b">
        <f t="shared" ca="1" si="11"/>
        <v>1</v>
      </c>
      <c r="M341" s="24" t="b">
        <f>IF(Checks!$C341,Data!A341&lt;&gt;"",TRUE)</f>
        <v>1</v>
      </c>
      <c r="N341" s="26" t="b">
        <f>IF(Checks!C341,Data!B341&lt;&gt;"",TRUE)</f>
        <v>1</v>
      </c>
      <c r="O341" s="26" t="b">
        <f>IF(Checks!C341,IF(AND(UPPER(Data!C341)="SERVICE TASK",UPPER(Data!BZ341)="TYPE=SAS"),NodeExists(TRIM(RIGHT(Data!CA341,LEN(Data!CA341)-FIND("=",Data!CA341)))),TRUE),TRUE)</f>
        <v>1</v>
      </c>
      <c r="P341" s="26" t="b">
        <f>IF(Checks!C341,IF(Data!C341="DATA OBJECT",OR(AND(Data!BW341&lt;&gt;"",Data!BX341=""),AND(Data!BW341="",Data!BX341&lt;&gt;"")),TRUE),TRUE)</f>
        <v>1</v>
      </c>
      <c r="Q341" s="26" t="b">
        <f>IF(Checks!C341,UPPER(RIGHT(Data!A341,5))=".BPMN",TRUE)</f>
        <v>1</v>
      </c>
      <c r="R341" s="26" t="b">
        <f>IF(Checks!C341,IF(UPPER(Data!C341)="SUB PROCESS",UPPER(RIGHT(Data!BY341,5))=".BPMN",TRUE),TRUE)</f>
        <v>1</v>
      </c>
      <c r="S341" s="26" t="b">
        <f>IF(Checks!C341,IF(UPPER(Data!C341)="SERVICE TASK",IF(UPPER(Data!BZ341)="TYPE=SAS",UPPER(RIGHT(Data!CA341,4))=".SAS",TRUE),TRUE),TRUE)</f>
        <v>1</v>
      </c>
      <c r="T341" s="26" t="b">
        <f>IF(Checks!C341,IF(Data!B341&lt;&gt;"",Data!D341&lt;&gt;"",TRUE),TRUE)</f>
        <v>1</v>
      </c>
      <c r="U341" s="26" t="b">
        <f ca="1">IF(Checks!C341,IF(UPPER(Data!C341)="DATA OBJECT",NOT(ISERROR(MATCH(Data!A341&amp;"||"&amp;Data!BW341&amp;Data!BX341,Key,0))),TRUE),TRUE)</f>
        <v>1</v>
      </c>
      <c r="V341" s="26" t="b">
        <f>IF(Checks!C341,IF(UPPER(Data!C341)="SUB PROCESS",Data!BY341&lt;&gt;"",TRUE),TRUE)</f>
        <v>1</v>
      </c>
      <c r="W341" s="26" t="b">
        <f>IF(Checks!C341,IF(UPPER(Data!C341)="SERVICE TASK",AND(Data!BZ341&lt;&gt;"",Data!CA341&lt;&gt;""),TRUE),TRUE)</f>
        <v>1</v>
      </c>
      <c r="X341" s="26" t="b">
        <f t="array" aca="1" ref="X341" ca="1">SUM((OFFSET(Data!B341,MAX(ROW(Data!$B$5)-ROW(Data!B341),-200),0,400,1)=Data!B341)*(OFFSET(Data!A341,MAX(ROW(Data!$B$5)-ROW(Data!B341),-200),0,400,1)=Data!A341))=1</f>
        <v>1</v>
      </c>
      <c r="Y341" s="26" t="b">
        <f t="array" aca="1" ref="Y341" ca="1">IF(UPPER(Data!C341)="START",SUM((OFFSET(Data!C341,MAX(ROW(Data!$C$5)-ROW(Data!C341),-200),0,400,1)="START")*(OFFSET(Data!A341,MAX(ROW(Data!$B$5)-ROW(Data!B341),-200),0,400,1)=Data!A341))=1,TRUE)</f>
        <v>1</v>
      </c>
      <c r="Z341" s="26" t="b">
        <f t="array" aca="1" ref="Z341" ca="1">IF(UPPER(Data!C341)="END",SUM((OFFSET(Data!C341,MAX(ROW(Data!$C$5)-ROW(Data!C341),-200),0,400,1)="END")*(OFFSET(Data!A341,MAX(ROW(Data!$B$5)-ROW(Data!B341),-200),0,400,1)=Data!A341))=1,TRUE)</f>
        <v>1</v>
      </c>
      <c r="AA341" s="26" t="b">
        <f>IF(Checks!C341,ISERROR(FIND("&amp;",Data!D341)),TRUE)</f>
        <v>1</v>
      </c>
      <c r="AB341" s="26" t="b">
        <f>IF(Checks!$C341,IF(AND(UPPER(Data!$C341)&lt;&gt;"START",UPPER(Data!$C341)&lt;&gt;"DATA OBJECT",Data!E341&lt;&gt;""),NOT(ISERROR(MATCH(Data!$A341&amp;"||"&amp;Data!E341,Key,0))),TRUE),TRUE)</f>
        <v>1</v>
      </c>
      <c r="AC341" s="27" t="b">
        <f>IF(Checks!C341,IF(UPPER(Data!C341)="END",Data!E341&lt;&gt;"",TRUE),TRUE)</f>
        <v>1</v>
      </c>
    </row>
    <row r="342" spans="1:29" x14ac:dyDescent="0.25">
      <c r="A342" s="1" t="str">
        <f>Data!A342&amp;"||"&amp;Data!B342</f>
        <v>Miscellaneous/subflow/irmifrs9_data_enrichment.bpmn||020_03_00</v>
      </c>
      <c r="B342" s="19"/>
      <c r="C342" s="24" t="b">
        <f>AND(UPPER(Data!A342)&lt;&gt;"EMPTY",Data!B342&lt;&gt;"")</f>
        <v>1</v>
      </c>
      <c r="D342" s="1"/>
      <c r="E342" s="25" t="b">
        <f t="shared" ca="1" si="10"/>
        <v>1</v>
      </c>
      <c r="F342" s="26" t="b">
        <f ca="1">IF(UPPER(Data!C342)="SUB PROCESS",NOT(ISERROR(MATCH(RIGHT(Data!BY342,LEN(Data!BY342)-5),OFFSET(Data,0,0,ItemsCount,1),0))),TRUE)</f>
        <v>1</v>
      </c>
      <c r="G342" s="26" t="b">
        <f ca="1">IF(MID(UPPER(Data!A342),1,13)="MISCELLANEOUS",NOT(ISERROR(MATCH("path="&amp;Data!A342,OFFSET(Data,0,76,ItemsCount,1),0))),TRUE)</f>
        <v>1</v>
      </c>
      <c r="L342" s="25" t="b">
        <f t="shared" ca="1" si="11"/>
        <v>1</v>
      </c>
      <c r="M342" s="24" t="b">
        <f>IF(Checks!$C342,Data!A342&lt;&gt;"",TRUE)</f>
        <v>1</v>
      </c>
      <c r="N342" s="26" t="b">
        <f>IF(Checks!C342,Data!B342&lt;&gt;"",TRUE)</f>
        <v>1</v>
      </c>
      <c r="O342" s="26" t="b">
        <f>IF(Checks!C342,IF(AND(UPPER(Data!C342)="SERVICE TASK",UPPER(Data!BZ342)="TYPE=SAS"),NodeExists(TRIM(RIGHT(Data!CA342,LEN(Data!CA342)-FIND("=",Data!CA342)))),TRUE),TRUE)</f>
        <v>1</v>
      </c>
      <c r="P342" s="26" t="b">
        <f>IF(Checks!C342,IF(Data!C342="DATA OBJECT",OR(AND(Data!BW342&lt;&gt;"",Data!BX342=""),AND(Data!BW342="",Data!BX342&lt;&gt;"")),TRUE),TRUE)</f>
        <v>1</v>
      </c>
      <c r="Q342" s="26" t="b">
        <f>IF(Checks!C342,UPPER(RIGHT(Data!A342,5))=".BPMN",TRUE)</f>
        <v>1</v>
      </c>
      <c r="R342" s="26" t="b">
        <f>IF(Checks!C342,IF(UPPER(Data!C342)="SUB PROCESS",UPPER(RIGHT(Data!BY342,5))=".BPMN",TRUE),TRUE)</f>
        <v>1</v>
      </c>
      <c r="S342" s="26" t="b">
        <f>IF(Checks!C342,IF(UPPER(Data!C342)="SERVICE TASK",IF(UPPER(Data!BZ342)="TYPE=SAS",UPPER(RIGHT(Data!CA342,4))=".SAS",TRUE),TRUE),TRUE)</f>
        <v>1</v>
      </c>
      <c r="T342" s="26" t="b">
        <f>IF(Checks!C342,IF(Data!B342&lt;&gt;"",Data!D342&lt;&gt;"",TRUE),TRUE)</f>
        <v>1</v>
      </c>
      <c r="U342" s="26" t="b">
        <f ca="1">IF(Checks!C342,IF(UPPER(Data!C342)="DATA OBJECT",NOT(ISERROR(MATCH(Data!A342&amp;"||"&amp;Data!BW342&amp;Data!BX342,Key,0))),TRUE),TRUE)</f>
        <v>1</v>
      </c>
      <c r="V342" s="26" t="b">
        <f>IF(Checks!C342,IF(UPPER(Data!C342)="SUB PROCESS",Data!BY342&lt;&gt;"",TRUE),TRUE)</f>
        <v>1</v>
      </c>
      <c r="W342" s="26" t="b">
        <f>IF(Checks!C342,IF(UPPER(Data!C342)="SERVICE TASK",AND(Data!BZ342&lt;&gt;"",Data!CA342&lt;&gt;""),TRUE),TRUE)</f>
        <v>1</v>
      </c>
      <c r="X342" s="26" t="b">
        <f t="array" aca="1" ref="X342" ca="1">SUM((OFFSET(Data!B342,MAX(ROW(Data!$B$5)-ROW(Data!B342),-200),0,400,1)=Data!B342)*(OFFSET(Data!A342,MAX(ROW(Data!$B$5)-ROW(Data!B342),-200),0,400,1)=Data!A342))=1</f>
        <v>1</v>
      </c>
      <c r="Y342" s="26" t="b">
        <f t="array" aca="1" ref="Y342" ca="1">IF(UPPER(Data!C342)="START",SUM((OFFSET(Data!C342,MAX(ROW(Data!$C$5)-ROW(Data!C342),-200),0,400,1)="START")*(OFFSET(Data!A342,MAX(ROW(Data!$B$5)-ROW(Data!B342),-200),0,400,1)=Data!A342))=1,TRUE)</f>
        <v>1</v>
      </c>
      <c r="Z342" s="26" t="b">
        <f t="array" aca="1" ref="Z342" ca="1">IF(UPPER(Data!C342)="END",SUM((OFFSET(Data!C342,MAX(ROW(Data!$C$5)-ROW(Data!C342),-200),0,400,1)="END")*(OFFSET(Data!A342,MAX(ROW(Data!$B$5)-ROW(Data!B342),-200),0,400,1)=Data!A342))=1,TRUE)</f>
        <v>1</v>
      </c>
      <c r="AA342" s="26" t="b">
        <f>IF(Checks!C342,ISERROR(FIND("&amp;",Data!D342)),TRUE)</f>
        <v>1</v>
      </c>
      <c r="AB342" s="26" t="b">
        <f>IF(Checks!$C342,IF(AND(UPPER(Data!$C342)&lt;&gt;"START",UPPER(Data!$C342)&lt;&gt;"DATA OBJECT",Data!E342&lt;&gt;""),NOT(ISERROR(MATCH(Data!$A342&amp;"||"&amp;Data!E342,Key,0))),TRUE),TRUE)</f>
        <v>1</v>
      </c>
      <c r="AC342" s="27" t="b">
        <f>IF(Checks!C342,IF(UPPER(Data!C342)="END",Data!E342&lt;&gt;"",TRUE),TRUE)</f>
        <v>1</v>
      </c>
    </row>
    <row r="343" spans="1:29" x14ac:dyDescent="0.25">
      <c r="A343" s="1" t="str">
        <f>Data!A343&amp;"||"&amp;Data!B343</f>
        <v>Miscellaneous/subflow/irmifrs9_data_enrichment.bpmn||020_04_00</v>
      </c>
      <c r="B343" s="19"/>
      <c r="C343" s="24" t="b">
        <f>AND(UPPER(Data!A343)&lt;&gt;"EMPTY",Data!B343&lt;&gt;"")</f>
        <v>1</v>
      </c>
      <c r="D343" s="1"/>
      <c r="E343" s="25" t="b">
        <f t="shared" ca="1" si="10"/>
        <v>1</v>
      </c>
      <c r="F343" s="26" t="b">
        <f ca="1">IF(UPPER(Data!C343)="SUB PROCESS",NOT(ISERROR(MATCH(RIGHT(Data!BY343,LEN(Data!BY343)-5),OFFSET(Data,0,0,ItemsCount,1),0))),TRUE)</f>
        <v>1</v>
      </c>
      <c r="G343" s="26" t="b">
        <f ca="1">IF(MID(UPPER(Data!A343),1,13)="MISCELLANEOUS",NOT(ISERROR(MATCH("path="&amp;Data!A343,OFFSET(Data,0,76,ItemsCount,1),0))),TRUE)</f>
        <v>1</v>
      </c>
      <c r="L343" s="25" t="b">
        <f t="shared" ca="1" si="11"/>
        <v>1</v>
      </c>
      <c r="M343" s="24" t="b">
        <f>IF(Checks!$C343,Data!A343&lt;&gt;"",TRUE)</f>
        <v>1</v>
      </c>
      <c r="N343" s="26" t="b">
        <f>IF(Checks!C343,Data!B343&lt;&gt;"",TRUE)</f>
        <v>1</v>
      </c>
      <c r="O343" s="26" t="b">
        <f>IF(Checks!C343,IF(AND(UPPER(Data!C343)="SERVICE TASK",UPPER(Data!BZ343)="TYPE=SAS"),NodeExists(TRIM(RIGHT(Data!CA343,LEN(Data!CA343)-FIND("=",Data!CA343)))),TRUE),TRUE)</f>
        <v>1</v>
      </c>
      <c r="P343" s="26" t="b">
        <f>IF(Checks!C343,IF(Data!C343="DATA OBJECT",OR(AND(Data!BW343&lt;&gt;"",Data!BX343=""),AND(Data!BW343="",Data!BX343&lt;&gt;"")),TRUE),TRUE)</f>
        <v>1</v>
      </c>
      <c r="Q343" s="26" t="b">
        <f>IF(Checks!C343,UPPER(RIGHT(Data!A343,5))=".BPMN",TRUE)</f>
        <v>1</v>
      </c>
      <c r="R343" s="26" t="b">
        <f>IF(Checks!C343,IF(UPPER(Data!C343)="SUB PROCESS",UPPER(RIGHT(Data!BY343,5))=".BPMN",TRUE),TRUE)</f>
        <v>1</v>
      </c>
      <c r="S343" s="26" t="b">
        <f>IF(Checks!C343,IF(UPPER(Data!C343)="SERVICE TASK",IF(UPPER(Data!BZ343)="TYPE=SAS",UPPER(RIGHT(Data!CA343,4))=".SAS",TRUE),TRUE),TRUE)</f>
        <v>1</v>
      </c>
      <c r="T343" s="26" t="b">
        <f>IF(Checks!C343,IF(Data!B343&lt;&gt;"",Data!D343&lt;&gt;"",TRUE),TRUE)</f>
        <v>1</v>
      </c>
      <c r="U343" s="26" t="b">
        <f ca="1">IF(Checks!C343,IF(UPPER(Data!C343)="DATA OBJECT",NOT(ISERROR(MATCH(Data!A343&amp;"||"&amp;Data!BW343&amp;Data!BX343,Key,0))),TRUE),TRUE)</f>
        <v>1</v>
      </c>
      <c r="V343" s="26" t="b">
        <f>IF(Checks!C343,IF(UPPER(Data!C343)="SUB PROCESS",Data!BY343&lt;&gt;"",TRUE),TRUE)</f>
        <v>1</v>
      </c>
      <c r="W343" s="26" t="b">
        <f>IF(Checks!C343,IF(UPPER(Data!C343)="SERVICE TASK",AND(Data!BZ343&lt;&gt;"",Data!CA343&lt;&gt;""),TRUE),TRUE)</f>
        <v>1</v>
      </c>
      <c r="X343" s="26" t="b">
        <f t="array" aca="1" ref="X343" ca="1">SUM((OFFSET(Data!B343,MAX(ROW(Data!$B$5)-ROW(Data!B343),-200),0,400,1)=Data!B343)*(OFFSET(Data!A343,MAX(ROW(Data!$B$5)-ROW(Data!B343),-200),0,400,1)=Data!A343))=1</f>
        <v>1</v>
      </c>
      <c r="Y343" s="26" t="b">
        <f t="array" aca="1" ref="Y343" ca="1">IF(UPPER(Data!C343)="START",SUM((OFFSET(Data!C343,MAX(ROW(Data!$C$5)-ROW(Data!C343),-200),0,400,1)="START")*(OFFSET(Data!A343,MAX(ROW(Data!$B$5)-ROW(Data!B343),-200),0,400,1)=Data!A343))=1,TRUE)</f>
        <v>1</v>
      </c>
      <c r="Z343" s="26" t="b">
        <f t="array" aca="1" ref="Z343" ca="1">IF(UPPER(Data!C343)="END",SUM((OFFSET(Data!C343,MAX(ROW(Data!$C$5)-ROW(Data!C343),-200),0,400,1)="END")*(OFFSET(Data!A343,MAX(ROW(Data!$B$5)-ROW(Data!B343),-200),0,400,1)=Data!A343))=1,TRUE)</f>
        <v>1</v>
      </c>
      <c r="AA343" s="26" t="b">
        <f>IF(Checks!C343,ISERROR(FIND("&amp;",Data!D343)),TRUE)</f>
        <v>1</v>
      </c>
      <c r="AB343" s="26" t="b">
        <f>IF(Checks!$C343,IF(AND(UPPER(Data!$C343)&lt;&gt;"START",UPPER(Data!$C343)&lt;&gt;"DATA OBJECT",Data!E343&lt;&gt;""),NOT(ISERROR(MATCH(Data!$A343&amp;"||"&amp;Data!E343,Key,0))),TRUE),TRUE)</f>
        <v>1</v>
      </c>
      <c r="AC343" s="27" t="b">
        <f>IF(Checks!C343,IF(UPPER(Data!C343)="END",Data!E343&lt;&gt;"",TRUE),TRUE)</f>
        <v>1</v>
      </c>
    </row>
    <row r="344" spans="1:29" x14ac:dyDescent="0.25">
      <c r="A344" s="1" t="str">
        <f>Data!A344&amp;"||"&amp;Data!B344</f>
        <v>Miscellaneous/subflow/irmifrs9_data_enrichment.bpmn||020_05_00</v>
      </c>
      <c r="B344" s="19"/>
      <c r="C344" s="24" t="b">
        <f>AND(UPPER(Data!A344)&lt;&gt;"EMPTY",Data!B344&lt;&gt;"")</f>
        <v>1</v>
      </c>
      <c r="D344" s="1"/>
      <c r="E344" s="25" t="b">
        <f t="shared" ca="1" si="10"/>
        <v>1</v>
      </c>
      <c r="F344" s="26" t="b">
        <f ca="1">IF(UPPER(Data!C344)="SUB PROCESS",NOT(ISERROR(MATCH(RIGHT(Data!BY344,LEN(Data!BY344)-5),OFFSET(Data,0,0,ItemsCount,1),0))),TRUE)</f>
        <v>1</v>
      </c>
      <c r="G344" s="26" t="b">
        <f ca="1">IF(MID(UPPER(Data!A344),1,13)="MISCELLANEOUS",NOT(ISERROR(MATCH("path="&amp;Data!A344,OFFSET(Data,0,76,ItemsCount,1),0))),TRUE)</f>
        <v>1</v>
      </c>
      <c r="L344" s="25" t="b">
        <f t="shared" ca="1" si="11"/>
        <v>1</v>
      </c>
      <c r="M344" s="24" t="b">
        <f>IF(Checks!$C344,Data!A344&lt;&gt;"",TRUE)</f>
        <v>1</v>
      </c>
      <c r="N344" s="26" t="b">
        <f>IF(Checks!C344,Data!B344&lt;&gt;"",TRUE)</f>
        <v>1</v>
      </c>
      <c r="O344" s="26" t="b">
        <f>IF(Checks!C344,IF(AND(UPPER(Data!C344)="SERVICE TASK",UPPER(Data!BZ344)="TYPE=SAS"),NodeExists(TRIM(RIGHT(Data!CA344,LEN(Data!CA344)-FIND("=",Data!CA344)))),TRUE),TRUE)</f>
        <v>1</v>
      </c>
      <c r="P344" s="26" t="b">
        <f>IF(Checks!C344,IF(Data!C344="DATA OBJECT",OR(AND(Data!BW344&lt;&gt;"",Data!BX344=""),AND(Data!BW344="",Data!BX344&lt;&gt;"")),TRUE),TRUE)</f>
        <v>1</v>
      </c>
      <c r="Q344" s="26" t="b">
        <f>IF(Checks!C344,UPPER(RIGHT(Data!A344,5))=".BPMN",TRUE)</f>
        <v>1</v>
      </c>
      <c r="R344" s="26" t="b">
        <f>IF(Checks!C344,IF(UPPER(Data!C344)="SUB PROCESS",UPPER(RIGHT(Data!BY344,5))=".BPMN",TRUE),TRUE)</f>
        <v>1</v>
      </c>
      <c r="S344" s="26" t="b">
        <f>IF(Checks!C344,IF(UPPER(Data!C344)="SERVICE TASK",IF(UPPER(Data!BZ344)="TYPE=SAS",UPPER(RIGHT(Data!CA344,4))=".SAS",TRUE),TRUE),TRUE)</f>
        <v>1</v>
      </c>
      <c r="T344" s="26" t="b">
        <f>IF(Checks!C344,IF(Data!B344&lt;&gt;"",Data!D344&lt;&gt;"",TRUE),TRUE)</f>
        <v>1</v>
      </c>
      <c r="U344" s="26" t="b">
        <f ca="1">IF(Checks!C344,IF(UPPER(Data!C344)="DATA OBJECT",NOT(ISERROR(MATCH(Data!A344&amp;"||"&amp;Data!BW344&amp;Data!BX344,Key,0))),TRUE),TRUE)</f>
        <v>1</v>
      </c>
      <c r="V344" s="26" t="b">
        <f>IF(Checks!C344,IF(UPPER(Data!C344)="SUB PROCESS",Data!BY344&lt;&gt;"",TRUE),TRUE)</f>
        <v>1</v>
      </c>
      <c r="W344" s="26" t="b">
        <f>IF(Checks!C344,IF(UPPER(Data!C344)="SERVICE TASK",AND(Data!BZ344&lt;&gt;"",Data!CA344&lt;&gt;""),TRUE),TRUE)</f>
        <v>1</v>
      </c>
      <c r="X344" s="26" t="b">
        <f t="array" aca="1" ref="X344" ca="1">SUM((OFFSET(Data!B344,MAX(ROW(Data!$B$5)-ROW(Data!B344),-200),0,400,1)=Data!B344)*(OFFSET(Data!A344,MAX(ROW(Data!$B$5)-ROW(Data!B344),-200),0,400,1)=Data!A344))=1</f>
        <v>1</v>
      </c>
      <c r="Y344" s="26" t="b">
        <f t="array" aca="1" ref="Y344" ca="1">IF(UPPER(Data!C344)="START",SUM((OFFSET(Data!C344,MAX(ROW(Data!$C$5)-ROW(Data!C344),-200),0,400,1)="START")*(OFFSET(Data!A344,MAX(ROW(Data!$B$5)-ROW(Data!B344),-200),0,400,1)=Data!A344))=1,TRUE)</f>
        <v>1</v>
      </c>
      <c r="Z344" s="26" t="b">
        <f t="array" aca="1" ref="Z344" ca="1">IF(UPPER(Data!C344)="END",SUM((OFFSET(Data!C344,MAX(ROW(Data!$C$5)-ROW(Data!C344),-200),0,400,1)="END")*(OFFSET(Data!A344,MAX(ROW(Data!$B$5)-ROW(Data!B344),-200),0,400,1)=Data!A344))=1,TRUE)</f>
        <v>1</v>
      </c>
      <c r="AA344" s="26" t="b">
        <f>IF(Checks!C344,ISERROR(FIND("&amp;",Data!D344)),TRUE)</f>
        <v>1</v>
      </c>
      <c r="AB344" s="26" t="b">
        <f>IF(Checks!$C344,IF(AND(UPPER(Data!$C344)&lt;&gt;"START",UPPER(Data!$C344)&lt;&gt;"DATA OBJECT",Data!E344&lt;&gt;""),NOT(ISERROR(MATCH(Data!$A344&amp;"||"&amp;Data!E344,Key,0))),TRUE),TRUE)</f>
        <v>1</v>
      </c>
      <c r="AC344" s="27" t="b">
        <f>IF(Checks!C344,IF(UPPER(Data!C344)="END",Data!E344&lt;&gt;"",TRUE),TRUE)</f>
        <v>1</v>
      </c>
    </row>
    <row r="345" spans="1:29" x14ac:dyDescent="0.25">
      <c r="A345" s="1" t="str">
        <f>Data!A345&amp;"||"&amp;Data!B345</f>
        <v>Miscellaneous/subflow/irmifrs9_data_enrichment.bpmn||030_00_00</v>
      </c>
      <c r="B345" s="19"/>
      <c r="C345" s="24" t="b">
        <f>AND(UPPER(Data!A345)&lt;&gt;"EMPTY",Data!B345&lt;&gt;"")</f>
        <v>1</v>
      </c>
      <c r="D345" s="1"/>
      <c r="E345" s="25" t="b">
        <f t="shared" ca="1" si="10"/>
        <v>1</v>
      </c>
      <c r="F345" s="26" t="b">
        <f ca="1">IF(UPPER(Data!C345)="SUB PROCESS",NOT(ISERROR(MATCH(RIGHT(Data!BY345,LEN(Data!BY345)-5),OFFSET(Data,0,0,ItemsCount,1),0))),TRUE)</f>
        <v>1</v>
      </c>
      <c r="G345" s="26" t="b">
        <f ca="1">IF(MID(UPPER(Data!A345),1,13)="MISCELLANEOUS",NOT(ISERROR(MATCH("path="&amp;Data!A345,OFFSET(Data,0,76,ItemsCount,1),0))),TRUE)</f>
        <v>1</v>
      </c>
      <c r="L345" s="25" t="b">
        <f t="shared" ca="1" si="11"/>
        <v>1</v>
      </c>
      <c r="M345" s="24" t="b">
        <f>IF(Checks!$C345,Data!A345&lt;&gt;"",TRUE)</f>
        <v>1</v>
      </c>
      <c r="N345" s="26" t="b">
        <f>IF(Checks!C345,Data!B345&lt;&gt;"",TRUE)</f>
        <v>1</v>
      </c>
      <c r="O345" s="26" t="b">
        <f>IF(Checks!C345,IF(AND(UPPER(Data!C345)="SERVICE TASK",UPPER(Data!BZ345)="TYPE=SAS"),NodeExists(TRIM(RIGHT(Data!CA345,LEN(Data!CA345)-FIND("=",Data!CA345)))),TRUE),TRUE)</f>
        <v>1</v>
      </c>
      <c r="P345" s="26" t="b">
        <f>IF(Checks!C345,IF(Data!C345="DATA OBJECT",OR(AND(Data!BW345&lt;&gt;"",Data!BX345=""),AND(Data!BW345="",Data!BX345&lt;&gt;"")),TRUE),TRUE)</f>
        <v>1</v>
      </c>
      <c r="Q345" s="26" t="b">
        <f>IF(Checks!C345,UPPER(RIGHT(Data!A345,5))=".BPMN",TRUE)</f>
        <v>1</v>
      </c>
      <c r="R345" s="26" t="b">
        <f>IF(Checks!C345,IF(UPPER(Data!C345)="SUB PROCESS",UPPER(RIGHT(Data!BY345,5))=".BPMN",TRUE),TRUE)</f>
        <v>1</v>
      </c>
      <c r="S345" s="26" t="b">
        <f>IF(Checks!C345,IF(UPPER(Data!C345)="SERVICE TASK",IF(UPPER(Data!BZ345)="TYPE=SAS",UPPER(RIGHT(Data!CA345,4))=".SAS",TRUE),TRUE),TRUE)</f>
        <v>1</v>
      </c>
      <c r="T345" s="26" t="b">
        <f>IF(Checks!C345,IF(Data!B345&lt;&gt;"",Data!D345&lt;&gt;"",TRUE),TRUE)</f>
        <v>1</v>
      </c>
      <c r="U345" s="26" t="b">
        <f>IF(Checks!C345,IF(UPPER(Data!C345)="DATA OBJECT",NOT(ISERROR(MATCH(Data!A345&amp;"||"&amp;Data!BW345&amp;Data!BX345,Key,0))),TRUE),TRUE)</f>
        <v>1</v>
      </c>
      <c r="V345" s="26" t="b">
        <f>IF(Checks!C345,IF(UPPER(Data!C345)="SUB PROCESS",Data!BY345&lt;&gt;"",TRUE),TRUE)</f>
        <v>1</v>
      </c>
      <c r="W345" s="26" t="b">
        <f>IF(Checks!C345,IF(UPPER(Data!C345)="SERVICE TASK",AND(Data!BZ345&lt;&gt;"",Data!CA345&lt;&gt;""),TRUE),TRUE)</f>
        <v>1</v>
      </c>
      <c r="X345" s="26" t="b">
        <f t="array" aca="1" ref="X345" ca="1">SUM((OFFSET(Data!B345,MAX(ROW(Data!$B$5)-ROW(Data!B345),-200),0,400,1)=Data!B345)*(OFFSET(Data!A345,MAX(ROW(Data!$B$5)-ROW(Data!B345),-200),0,400,1)=Data!A345))=1</f>
        <v>1</v>
      </c>
      <c r="Y345" s="26" t="b">
        <f t="array" aca="1" ref="Y345" ca="1">IF(UPPER(Data!C345)="START",SUM((OFFSET(Data!C345,MAX(ROW(Data!$C$5)-ROW(Data!C345),-200),0,400,1)="START")*(OFFSET(Data!A345,MAX(ROW(Data!$B$5)-ROW(Data!B345),-200),0,400,1)=Data!A345))=1,TRUE)</f>
        <v>1</v>
      </c>
      <c r="Z345" s="26" t="b">
        <f t="array" aca="1" ref="Z345" ca="1">IF(UPPER(Data!C345)="END",SUM((OFFSET(Data!C345,MAX(ROW(Data!$C$5)-ROW(Data!C345),-200),0,400,1)="END")*(OFFSET(Data!A345,MAX(ROW(Data!$B$5)-ROW(Data!B345),-200),0,400,1)=Data!A345))=1,TRUE)</f>
        <v>1</v>
      </c>
      <c r="AA345" s="26" t="b">
        <f>IF(Checks!C345,ISERROR(FIND("&amp;",Data!D345)),TRUE)</f>
        <v>1</v>
      </c>
      <c r="AB345" s="26" t="b">
        <f ca="1">IF(Checks!$C345,IF(AND(UPPER(Data!$C345)&lt;&gt;"START",UPPER(Data!$C345)&lt;&gt;"DATA OBJECT",Data!E345&lt;&gt;""),NOT(ISERROR(MATCH(Data!$A345&amp;"||"&amp;Data!E345,Key,0))),TRUE),TRUE)</f>
        <v>1</v>
      </c>
      <c r="AC345" s="27" t="b">
        <f>IF(Checks!C345,IF(UPPER(Data!C345)="END",Data!E345&lt;&gt;"",TRUE),TRUE)</f>
        <v>1</v>
      </c>
    </row>
    <row r="346" spans="1:29" x14ac:dyDescent="0.25">
      <c r="A346" s="1" t="str">
        <f>Data!A346&amp;"||"&amp;Data!B346</f>
        <v>Miscellaneous/subflow/irmifrs9_data_enrichment.bpmn||030_00_01</v>
      </c>
      <c r="B346" s="19"/>
      <c r="C346" s="24" t="b">
        <f>AND(UPPER(Data!A346)&lt;&gt;"EMPTY",Data!B346&lt;&gt;"")</f>
        <v>1</v>
      </c>
      <c r="D346" s="1"/>
      <c r="E346" s="25" t="b">
        <f t="shared" ca="1" si="10"/>
        <v>1</v>
      </c>
      <c r="F346" s="26" t="b">
        <f ca="1">IF(UPPER(Data!C346)="SUB PROCESS",NOT(ISERROR(MATCH(RIGHT(Data!BY346,LEN(Data!BY346)-5),OFFSET(Data,0,0,ItemsCount,1),0))),TRUE)</f>
        <v>1</v>
      </c>
      <c r="G346" s="26" t="b">
        <f ca="1">IF(MID(UPPER(Data!A346),1,13)="MISCELLANEOUS",NOT(ISERROR(MATCH("path="&amp;Data!A346,OFFSET(Data,0,76,ItemsCount,1),0))),TRUE)</f>
        <v>1</v>
      </c>
      <c r="L346" s="25" t="b">
        <f t="shared" ca="1" si="11"/>
        <v>1</v>
      </c>
      <c r="M346" s="24" t="b">
        <f>IF(Checks!$C346,Data!A346&lt;&gt;"",TRUE)</f>
        <v>1</v>
      </c>
      <c r="N346" s="26" t="b">
        <f>IF(Checks!C346,Data!B346&lt;&gt;"",TRUE)</f>
        <v>1</v>
      </c>
      <c r="O346" s="26" t="b">
        <f>IF(Checks!C346,IF(AND(UPPER(Data!C346)="SERVICE TASK",UPPER(Data!BZ346)="TYPE=SAS"),NodeExists(TRIM(RIGHT(Data!CA346,LEN(Data!CA346)-FIND("=",Data!CA346)))),TRUE),TRUE)</f>
        <v>1</v>
      </c>
      <c r="P346" s="26" t="b">
        <f>IF(Checks!C346,IF(Data!C346="DATA OBJECT",OR(AND(Data!BW346&lt;&gt;"",Data!BX346=""),AND(Data!BW346="",Data!BX346&lt;&gt;"")),TRUE),TRUE)</f>
        <v>1</v>
      </c>
      <c r="Q346" s="26" t="b">
        <f>IF(Checks!C346,UPPER(RIGHT(Data!A346,5))=".BPMN",TRUE)</f>
        <v>1</v>
      </c>
      <c r="R346" s="26" t="b">
        <f>IF(Checks!C346,IF(UPPER(Data!C346)="SUB PROCESS",UPPER(RIGHT(Data!BY346,5))=".BPMN",TRUE),TRUE)</f>
        <v>1</v>
      </c>
      <c r="S346" s="26" t="b">
        <f>IF(Checks!C346,IF(UPPER(Data!C346)="SERVICE TASK",IF(UPPER(Data!BZ346)="TYPE=SAS",UPPER(RIGHT(Data!CA346,4))=".SAS",TRUE),TRUE),TRUE)</f>
        <v>1</v>
      </c>
      <c r="T346" s="26" t="b">
        <f>IF(Checks!C346,IF(Data!B346&lt;&gt;"",Data!D346&lt;&gt;"",TRUE),TRUE)</f>
        <v>1</v>
      </c>
      <c r="U346" s="26" t="b">
        <f ca="1">IF(Checks!C346,IF(UPPER(Data!C346)="DATA OBJECT",NOT(ISERROR(MATCH(Data!A346&amp;"||"&amp;Data!BW346&amp;Data!BX346,Key,0))),TRUE),TRUE)</f>
        <v>1</v>
      </c>
      <c r="V346" s="26" t="b">
        <f>IF(Checks!C346,IF(UPPER(Data!C346)="SUB PROCESS",Data!BY346&lt;&gt;"",TRUE),TRUE)</f>
        <v>1</v>
      </c>
      <c r="W346" s="26" t="b">
        <f>IF(Checks!C346,IF(UPPER(Data!C346)="SERVICE TASK",AND(Data!BZ346&lt;&gt;"",Data!CA346&lt;&gt;""),TRUE),TRUE)</f>
        <v>1</v>
      </c>
      <c r="X346" s="26" t="b">
        <f t="array" aca="1" ref="X346" ca="1">SUM((OFFSET(Data!B346,MAX(ROW(Data!$B$5)-ROW(Data!B346),-200),0,400,1)=Data!B346)*(OFFSET(Data!A346,MAX(ROW(Data!$B$5)-ROW(Data!B346),-200),0,400,1)=Data!A346))=1</f>
        <v>1</v>
      </c>
      <c r="Y346" s="26" t="b">
        <f t="array" aca="1" ref="Y346" ca="1">IF(UPPER(Data!C346)="START",SUM((OFFSET(Data!C346,MAX(ROW(Data!$C$5)-ROW(Data!C346),-200),0,400,1)="START")*(OFFSET(Data!A346,MAX(ROW(Data!$B$5)-ROW(Data!B346),-200),0,400,1)=Data!A346))=1,TRUE)</f>
        <v>1</v>
      </c>
      <c r="Z346" s="26" t="b">
        <f t="array" aca="1" ref="Z346" ca="1">IF(UPPER(Data!C346)="END",SUM((OFFSET(Data!C346,MAX(ROW(Data!$C$5)-ROW(Data!C346),-200),0,400,1)="END")*(OFFSET(Data!A346,MAX(ROW(Data!$B$5)-ROW(Data!B346),-200),0,400,1)=Data!A346))=1,TRUE)</f>
        <v>1</v>
      </c>
      <c r="AA346" s="26" t="b">
        <f>IF(Checks!C346,ISERROR(FIND("&amp;",Data!D346)),TRUE)</f>
        <v>1</v>
      </c>
      <c r="AB346" s="26" t="b">
        <f>IF(Checks!$C346,IF(AND(UPPER(Data!$C346)&lt;&gt;"START",UPPER(Data!$C346)&lt;&gt;"DATA OBJECT",Data!E346&lt;&gt;""),NOT(ISERROR(MATCH(Data!$A346&amp;"||"&amp;Data!E346,Key,0))),TRUE),TRUE)</f>
        <v>1</v>
      </c>
      <c r="AC346" s="27" t="b">
        <f>IF(Checks!C346,IF(UPPER(Data!C346)="END",Data!E346&lt;&gt;"",TRUE),TRUE)</f>
        <v>1</v>
      </c>
    </row>
    <row r="347" spans="1:29" x14ac:dyDescent="0.25">
      <c r="A347" s="1" t="str">
        <f>Data!A347&amp;"||"&amp;Data!B347</f>
        <v>Miscellaneous/subflow/irmifrs9_data_enrichment.bpmn||030_01_00</v>
      </c>
      <c r="B347" s="19"/>
      <c r="C347" s="24" t="b">
        <f>AND(UPPER(Data!A347)&lt;&gt;"EMPTY",Data!B347&lt;&gt;"")</f>
        <v>1</v>
      </c>
      <c r="D347" s="1"/>
      <c r="E347" s="25" t="b">
        <f t="shared" ca="1" si="10"/>
        <v>1</v>
      </c>
      <c r="F347" s="26" t="b">
        <f ca="1">IF(UPPER(Data!C347)="SUB PROCESS",NOT(ISERROR(MATCH(RIGHT(Data!BY347,LEN(Data!BY347)-5),OFFSET(Data,0,0,ItemsCount,1),0))),TRUE)</f>
        <v>1</v>
      </c>
      <c r="G347" s="26" t="b">
        <f ca="1">IF(MID(UPPER(Data!A347),1,13)="MISCELLANEOUS",NOT(ISERROR(MATCH("path="&amp;Data!A347,OFFSET(Data,0,76,ItemsCount,1),0))),TRUE)</f>
        <v>1</v>
      </c>
      <c r="L347" s="25" t="b">
        <f t="shared" ca="1" si="11"/>
        <v>1</v>
      </c>
      <c r="M347" s="24" t="b">
        <f>IF(Checks!$C347,Data!A347&lt;&gt;"",TRUE)</f>
        <v>1</v>
      </c>
      <c r="N347" s="26" t="b">
        <f>IF(Checks!C347,Data!B347&lt;&gt;"",TRUE)</f>
        <v>1</v>
      </c>
      <c r="O347" s="26" t="b">
        <f>IF(Checks!C347,IF(AND(UPPER(Data!C347)="SERVICE TASK",UPPER(Data!BZ347)="TYPE=SAS"),NodeExists(TRIM(RIGHT(Data!CA347,LEN(Data!CA347)-FIND("=",Data!CA347)))),TRUE),TRUE)</f>
        <v>1</v>
      </c>
      <c r="P347" s="26" t="b">
        <f>IF(Checks!C347,IF(Data!C347="DATA OBJECT",OR(AND(Data!BW347&lt;&gt;"",Data!BX347=""),AND(Data!BW347="",Data!BX347&lt;&gt;"")),TRUE),TRUE)</f>
        <v>1</v>
      </c>
      <c r="Q347" s="26" t="b">
        <f>IF(Checks!C347,UPPER(RIGHT(Data!A347,5))=".BPMN",TRUE)</f>
        <v>1</v>
      </c>
      <c r="R347" s="26" t="b">
        <f>IF(Checks!C347,IF(UPPER(Data!C347)="SUB PROCESS",UPPER(RIGHT(Data!BY347,5))=".BPMN",TRUE),TRUE)</f>
        <v>1</v>
      </c>
      <c r="S347" s="26" t="b">
        <f>IF(Checks!C347,IF(UPPER(Data!C347)="SERVICE TASK",IF(UPPER(Data!BZ347)="TYPE=SAS",UPPER(RIGHT(Data!CA347,4))=".SAS",TRUE),TRUE),TRUE)</f>
        <v>1</v>
      </c>
      <c r="T347" s="26" t="b">
        <f>IF(Checks!C347,IF(Data!B347&lt;&gt;"",Data!D347&lt;&gt;"",TRUE),TRUE)</f>
        <v>1</v>
      </c>
      <c r="U347" s="26" t="b">
        <f ca="1">IF(Checks!C347,IF(UPPER(Data!C347)="DATA OBJECT",NOT(ISERROR(MATCH(Data!A347&amp;"||"&amp;Data!BW347&amp;Data!BX347,Key,0))),TRUE),TRUE)</f>
        <v>1</v>
      </c>
      <c r="V347" s="26" t="b">
        <f>IF(Checks!C347,IF(UPPER(Data!C347)="SUB PROCESS",Data!BY347&lt;&gt;"",TRUE),TRUE)</f>
        <v>1</v>
      </c>
      <c r="W347" s="26" t="b">
        <f>IF(Checks!C347,IF(UPPER(Data!C347)="SERVICE TASK",AND(Data!BZ347&lt;&gt;"",Data!CA347&lt;&gt;""),TRUE),TRUE)</f>
        <v>1</v>
      </c>
      <c r="X347" s="26" t="b">
        <f t="array" aca="1" ref="X347" ca="1">SUM((OFFSET(Data!B347,MAX(ROW(Data!$B$5)-ROW(Data!B347),-200),0,400,1)=Data!B347)*(OFFSET(Data!A347,MAX(ROW(Data!$B$5)-ROW(Data!B347),-200),0,400,1)=Data!A347))=1</f>
        <v>1</v>
      </c>
      <c r="Y347" s="26" t="b">
        <f t="array" aca="1" ref="Y347" ca="1">IF(UPPER(Data!C347)="START",SUM((OFFSET(Data!C347,MAX(ROW(Data!$C$5)-ROW(Data!C347),-200),0,400,1)="START")*(OFFSET(Data!A347,MAX(ROW(Data!$B$5)-ROW(Data!B347),-200),0,400,1)=Data!A347))=1,TRUE)</f>
        <v>1</v>
      </c>
      <c r="Z347" s="26" t="b">
        <f t="array" aca="1" ref="Z347" ca="1">IF(UPPER(Data!C347)="END",SUM((OFFSET(Data!C347,MAX(ROW(Data!$C$5)-ROW(Data!C347),-200),0,400,1)="END")*(OFFSET(Data!A347,MAX(ROW(Data!$B$5)-ROW(Data!B347),-200),0,400,1)=Data!A347))=1,TRUE)</f>
        <v>1</v>
      </c>
      <c r="AA347" s="26" t="b">
        <f>IF(Checks!C347,ISERROR(FIND("&amp;",Data!D347)),TRUE)</f>
        <v>1</v>
      </c>
      <c r="AB347" s="26" t="b">
        <f>IF(Checks!$C347,IF(AND(UPPER(Data!$C347)&lt;&gt;"START",UPPER(Data!$C347)&lt;&gt;"DATA OBJECT",Data!E347&lt;&gt;""),NOT(ISERROR(MATCH(Data!$A347&amp;"||"&amp;Data!E347,Key,0))),TRUE),TRUE)</f>
        <v>1</v>
      </c>
      <c r="AC347" s="27" t="b">
        <f>IF(Checks!C347,IF(UPPER(Data!C347)="END",Data!E347&lt;&gt;"",TRUE),TRUE)</f>
        <v>1</v>
      </c>
    </row>
    <row r="348" spans="1:29" x14ac:dyDescent="0.25">
      <c r="A348" s="1" t="str">
        <f>Data!A348&amp;"||"&amp;Data!B348</f>
        <v>Miscellaneous/subflow/irmifrs9_data_enrichment.bpmn||040_00_00</v>
      </c>
      <c r="B348" s="19"/>
      <c r="C348" s="24" t="b">
        <f>AND(UPPER(Data!A348)&lt;&gt;"EMPTY",Data!B348&lt;&gt;"")</f>
        <v>1</v>
      </c>
      <c r="D348" s="1"/>
      <c r="E348" s="25" t="b">
        <f t="shared" ca="1" si="10"/>
        <v>1</v>
      </c>
      <c r="F348" s="26" t="b">
        <f ca="1">IF(UPPER(Data!C348)="SUB PROCESS",NOT(ISERROR(MATCH(RIGHT(Data!BY348,LEN(Data!BY348)-5),OFFSET(Data,0,0,ItemsCount,1),0))),TRUE)</f>
        <v>1</v>
      </c>
      <c r="G348" s="26" t="b">
        <f ca="1">IF(MID(UPPER(Data!A348),1,13)="MISCELLANEOUS",NOT(ISERROR(MATCH("path="&amp;Data!A348,OFFSET(Data,0,76,ItemsCount,1),0))),TRUE)</f>
        <v>1</v>
      </c>
      <c r="L348" s="25" t="b">
        <f t="shared" ca="1" si="11"/>
        <v>1</v>
      </c>
      <c r="M348" s="24" t="b">
        <f>IF(Checks!$C348,Data!A348&lt;&gt;"",TRUE)</f>
        <v>1</v>
      </c>
      <c r="N348" s="26" t="b">
        <f>IF(Checks!C348,Data!B348&lt;&gt;"",TRUE)</f>
        <v>1</v>
      </c>
      <c r="O348" s="26" t="b">
        <f>IF(Checks!C348,IF(AND(UPPER(Data!C348)="SERVICE TASK",UPPER(Data!BZ348)="TYPE=SAS"),NodeExists(TRIM(RIGHT(Data!CA348,LEN(Data!CA348)-FIND("=",Data!CA348)))),TRUE),TRUE)</f>
        <v>1</v>
      </c>
      <c r="P348" s="26" t="b">
        <f>IF(Checks!C348,IF(Data!C348="DATA OBJECT",OR(AND(Data!BW348&lt;&gt;"",Data!BX348=""),AND(Data!BW348="",Data!BX348&lt;&gt;"")),TRUE),TRUE)</f>
        <v>1</v>
      </c>
      <c r="Q348" s="26" t="b">
        <f>IF(Checks!C348,UPPER(RIGHT(Data!A348,5))=".BPMN",TRUE)</f>
        <v>1</v>
      </c>
      <c r="R348" s="26" t="b">
        <f>IF(Checks!C348,IF(UPPER(Data!C348)="SUB PROCESS",UPPER(RIGHT(Data!BY348,5))=".BPMN",TRUE),TRUE)</f>
        <v>1</v>
      </c>
      <c r="S348" s="26" t="b">
        <f>IF(Checks!C348,IF(UPPER(Data!C348)="SERVICE TASK",IF(UPPER(Data!BZ348)="TYPE=SAS",UPPER(RIGHT(Data!CA348,4))=".SAS",TRUE),TRUE),TRUE)</f>
        <v>1</v>
      </c>
      <c r="T348" s="26" t="b">
        <f>IF(Checks!C348,IF(Data!B348&lt;&gt;"",Data!D348&lt;&gt;"",TRUE),TRUE)</f>
        <v>1</v>
      </c>
      <c r="U348" s="26" t="b">
        <f>IF(Checks!C348,IF(UPPER(Data!C348)="DATA OBJECT",NOT(ISERROR(MATCH(Data!A348&amp;"||"&amp;Data!BW348&amp;Data!BX348,Key,0))),TRUE),TRUE)</f>
        <v>1</v>
      </c>
      <c r="V348" s="26" t="b">
        <f>IF(Checks!C348,IF(UPPER(Data!C348)="SUB PROCESS",Data!BY348&lt;&gt;"",TRUE),TRUE)</f>
        <v>1</v>
      </c>
      <c r="W348" s="26" t="b">
        <f>IF(Checks!C348,IF(UPPER(Data!C348)="SERVICE TASK",AND(Data!BZ348&lt;&gt;"",Data!CA348&lt;&gt;""),TRUE),TRUE)</f>
        <v>1</v>
      </c>
      <c r="X348" s="26" t="b">
        <f t="array" aca="1" ref="X348" ca="1">SUM((OFFSET(Data!B348,MAX(ROW(Data!$B$5)-ROW(Data!B348),-200),0,400,1)=Data!B348)*(OFFSET(Data!A348,MAX(ROW(Data!$B$5)-ROW(Data!B348),-200),0,400,1)=Data!A348))=1</f>
        <v>1</v>
      </c>
      <c r="Y348" s="26" t="b">
        <f t="array" aca="1" ref="Y348" ca="1">IF(UPPER(Data!C348)="START",SUM((OFFSET(Data!C348,MAX(ROW(Data!$C$5)-ROW(Data!C348),-200),0,400,1)="START")*(OFFSET(Data!A348,MAX(ROW(Data!$B$5)-ROW(Data!B348),-200),0,400,1)=Data!A348))=1,TRUE)</f>
        <v>1</v>
      </c>
      <c r="Z348" s="26" t="b">
        <f t="array" aca="1" ref="Z348" ca="1">IF(UPPER(Data!C348)="END",SUM((OFFSET(Data!C348,MAX(ROW(Data!$C$5)-ROW(Data!C348),-200),0,400,1)="END")*(OFFSET(Data!A348,MAX(ROW(Data!$B$5)-ROW(Data!B348),-200),0,400,1)=Data!A348))=1,TRUE)</f>
        <v>1</v>
      </c>
      <c r="AA348" s="26" t="b">
        <f>IF(Checks!C348,ISERROR(FIND("&amp;",Data!D348)),TRUE)</f>
        <v>1</v>
      </c>
      <c r="AB348" s="26" t="b">
        <f ca="1">IF(Checks!$C348,IF(AND(UPPER(Data!$C348)&lt;&gt;"START",UPPER(Data!$C348)&lt;&gt;"DATA OBJECT",Data!E348&lt;&gt;""),NOT(ISERROR(MATCH(Data!$A348&amp;"||"&amp;Data!E348,Key,0))),TRUE),TRUE)</f>
        <v>1</v>
      </c>
      <c r="AC348" s="27" t="b">
        <f>IF(Checks!C348,IF(UPPER(Data!C348)="END",Data!E348&lt;&gt;"",TRUE),TRUE)</f>
        <v>1</v>
      </c>
    </row>
    <row r="349" spans="1:29" x14ac:dyDescent="0.25">
      <c r="A349" s="1" t="str">
        <f>Data!A349&amp;"||"&amp;Data!B349</f>
        <v>Miscellaneous/subflow/irmifrs9_data_enrichment.bpmn||040_00_01</v>
      </c>
      <c r="B349" s="19"/>
      <c r="C349" s="24" t="b">
        <f>AND(UPPER(Data!A349)&lt;&gt;"EMPTY",Data!B349&lt;&gt;"")</f>
        <v>1</v>
      </c>
      <c r="D349" s="1"/>
      <c r="E349" s="25" t="b">
        <f t="shared" ca="1" si="10"/>
        <v>1</v>
      </c>
      <c r="F349" s="26" t="b">
        <f ca="1">IF(UPPER(Data!C349)="SUB PROCESS",NOT(ISERROR(MATCH(RIGHT(Data!BY349,LEN(Data!BY349)-5),OFFSET(Data,0,0,ItemsCount,1),0))),TRUE)</f>
        <v>1</v>
      </c>
      <c r="G349" s="26" t="b">
        <f ca="1">IF(MID(UPPER(Data!A349),1,13)="MISCELLANEOUS",NOT(ISERROR(MATCH("path="&amp;Data!A349,OFFSET(Data,0,76,ItemsCount,1),0))),TRUE)</f>
        <v>1</v>
      </c>
      <c r="L349" s="25" t="b">
        <f t="shared" ca="1" si="11"/>
        <v>1</v>
      </c>
      <c r="M349" s="24" t="b">
        <f>IF(Checks!$C349,Data!A349&lt;&gt;"",TRUE)</f>
        <v>1</v>
      </c>
      <c r="N349" s="26" t="b">
        <f>IF(Checks!C349,Data!B349&lt;&gt;"",TRUE)</f>
        <v>1</v>
      </c>
      <c r="O349" s="26" t="b">
        <f>IF(Checks!C349,IF(AND(UPPER(Data!C349)="SERVICE TASK",UPPER(Data!BZ349)="TYPE=SAS"),NodeExists(TRIM(RIGHT(Data!CA349,LEN(Data!CA349)-FIND("=",Data!CA349)))),TRUE),TRUE)</f>
        <v>1</v>
      </c>
      <c r="P349" s="26" t="b">
        <f>IF(Checks!C349,IF(Data!C349="DATA OBJECT",OR(AND(Data!BW349&lt;&gt;"",Data!BX349=""),AND(Data!BW349="",Data!BX349&lt;&gt;"")),TRUE),TRUE)</f>
        <v>1</v>
      </c>
      <c r="Q349" s="26" t="b">
        <f>IF(Checks!C349,UPPER(RIGHT(Data!A349,5))=".BPMN",TRUE)</f>
        <v>1</v>
      </c>
      <c r="R349" s="26" t="b">
        <f>IF(Checks!C349,IF(UPPER(Data!C349)="SUB PROCESS",UPPER(RIGHT(Data!BY349,5))=".BPMN",TRUE),TRUE)</f>
        <v>1</v>
      </c>
      <c r="S349" s="26" t="b">
        <f>IF(Checks!C349,IF(UPPER(Data!C349)="SERVICE TASK",IF(UPPER(Data!BZ349)="TYPE=SAS",UPPER(RIGHT(Data!CA349,4))=".SAS",TRUE),TRUE),TRUE)</f>
        <v>1</v>
      </c>
      <c r="T349" s="26" t="b">
        <f>IF(Checks!C349,IF(Data!B349&lt;&gt;"",Data!D349&lt;&gt;"",TRUE),TRUE)</f>
        <v>1</v>
      </c>
      <c r="U349" s="26" t="b">
        <f ca="1">IF(Checks!C349,IF(UPPER(Data!C349)="DATA OBJECT",NOT(ISERROR(MATCH(Data!A349&amp;"||"&amp;Data!BW349&amp;Data!BX349,Key,0))),TRUE),TRUE)</f>
        <v>1</v>
      </c>
      <c r="V349" s="26" t="b">
        <f>IF(Checks!C349,IF(UPPER(Data!C349)="SUB PROCESS",Data!BY349&lt;&gt;"",TRUE),TRUE)</f>
        <v>1</v>
      </c>
      <c r="W349" s="26" t="b">
        <f>IF(Checks!C349,IF(UPPER(Data!C349)="SERVICE TASK",AND(Data!BZ349&lt;&gt;"",Data!CA349&lt;&gt;""),TRUE),TRUE)</f>
        <v>1</v>
      </c>
      <c r="X349" s="26" t="b">
        <f t="array" aca="1" ref="X349" ca="1">SUM((OFFSET(Data!B349,MAX(ROW(Data!$B$5)-ROW(Data!B349),-200),0,400,1)=Data!B349)*(OFFSET(Data!A349,MAX(ROW(Data!$B$5)-ROW(Data!B349),-200),0,400,1)=Data!A349))=1</f>
        <v>1</v>
      </c>
      <c r="Y349" s="26" t="b">
        <f t="array" aca="1" ref="Y349" ca="1">IF(UPPER(Data!C349)="START",SUM((OFFSET(Data!C349,MAX(ROW(Data!$C$5)-ROW(Data!C349),-200),0,400,1)="START")*(OFFSET(Data!A349,MAX(ROW(Data!$B$5)-ROW(Data!B349),-200),0,400,1)=Data!A349))=1,TRUE)</f>
        <v>1</v>
      </c>
      <c r="Z349" s="26" t="b">
        <f t="array" aca="1" ref="Z349" ca="1">IF(UPPER(Data!C349)="END",SUM((OFFSET(Data!C349,MAX(ROW(Data!$C$5)-ROW(Data!C349),-200),0,400,1)="END")*(OFFSET(Data!A349,MAX(ROW(Data!$B$5)-ROW(Data!B349),-200),0,400,1)=Data!A349))=1,TRUE)</f>
        <v>1</v>
      </c>
      <c r="AA349" s="26" t="b">
        <f>IF(Checks!C349,ISERROR(FIND("&amp;",Data!D349)),TRUE)</f>
        <v>1</v>
      </c>
      <c r="AB349" s="26" t="b">
        <f>IF(Checks!$C349,IF(AND(UPPER(Data!$C349)&lt;&gt;"START",UPPER(Data!$C349)&lt;&gt;"DATA OBJECT",Data!E349&lt;&gt;""),NOT(ISERROR(MATCH(Data!$A349&amp;"||"&amp;Data!E349,Key,0))),TRUE),TRUE)</f>
        <v>1</v>
      </c>
      <c r="AC349" s="27" t="b">
        <f>IF(Checks!C349,IF(UPPER(Data!C349)="END",Data!E349&lt;&gt;"",TRUE),TRUE)</f>
        <v>1</v>
      </c>
    </row>
    <row r="350" spans="1:29" x14ac:dyDescent="0.25">
      <c r="A350" s="1" t="str">
        <f>Data!A350&amp;"||"&amp;Data!B350</f>
        <v>Miscellaneous/subflow/irmifrs9_data_enrichment.bpmn||040_00_02</v>
      </c>
      <c r="B350" s="19"/>
      <c r="C350" s="24" t="b">
        <f>AND(UPPER(Data!A350)&lt;&gt;"EMPTY",Data!B350&lt;&gt;"")</f>
        <v>1</v>
      </c>
      <c r="D350" s="1"/>
      <c r="E350" s="25" t="b">
        <f t="shared" ca="1" si="10"/>
        <v>1</v>
      </c>
      <c r="F350" s="26" t="b">
        <f ca="1">IF(UPPER(Data!C350)="SUB PROCESS",NOT(ISERROR(MATCH(RIGHT(Data!BY350,LEN(Data!BY350)-5),OFFSET(Data,0,0,ItemsCount,1),0))),TRUE)</f>
        <v>1</v>
      </c>
      <c r="G350" s="26" t="b">
        <f ca="1">IF(MID(UPPER(Data!A350),1,13)="MISCELLANEOUS",NOT(ISERROR(MATCH("path="&amp;Data!A350,OFFSET(Data,0,76,ItemsCount,1),0))),TRUE)</f>
        <v>1</v>
      </c>
      <c r="L350" s="25" t="b">
        <f t="shared" ca="1" si="11"/>
        <v>1</v>
      </c>
      <c r="M350" s="24" t="b">
        <f>IF(Checks!$C350,Data!A350&lt;&gt;"",TRUE)</f>
        <v>1</v>
      </c>
      <c r="N350" s="26" t="b">
        <f>IF(Checks!C350,Data!B350&lt;&gt;"",TRUE)</f>
        <v>1</v>
      </c>
      <c r="O350" s="26" t="b">
        <f>IF(Checks!C350,IF(AND(UPPER(Data!C350)="SERVICE TASK",UPPER(Data!BZ350)="TYPE=SAS"),NodeExists(TRIM(RIGHT(Data!CA350,LEN(Data!CA350)-FIND("=",Data!CA350)))),TRUE),TRUE)</f>
        <v>1</v>
      </c>
      <c r="P350" s="26" t="b">
        <f>IF(Checks!C350,IF(Data!C350="DATA OBJECT",OR(AND(Data!BW350&lt;&gt;"",Data!BX350=""),AND(Data!BW350="",Data!BX350&lt;&gt;"")),TRUE),TRUE)</f>
        <v>1</v>
      </c>
      <c r="Q350" s="26" t="b">
        <f>IF(Checks!C350,UPPER(RIGHT(Data!A350,5))=".BPMN",TRUE)</f>
        <v>1</v>
      </c>
      <c r="R350" s="26" t="b">
        <f>IF(Checks!C350,IF(UPPER(Data!C350)="SUB PROCESS",UPPER(RIGHT(Data!BY350,5))=".BPMN",TRUE),TRUE)</f>
        <v>1</v>
      </c>
      <c r="S350" s="26" t="b">
        <f>IF(Checks!C350,IF(UPPER(Data!C350)="SERVICE TASK",IF(UPPER(Data!BZ350)="TYPE=SAS",UPPER(RIGHT(Data!CA350,4))=".SAS",TRUE),TRUE),TRUE)</f>
        <v>1</v>
      </c>
      <c r="T350" s="26" t="b">
        <f>IF(Checks!C350,IF(Data!B350&lt;&gt;"",Data!D350&lt;&gt;"",TRUE),TRUE)</f>
        <v>1</v>
      </c>
      <c r="U350" s="26" t="b">
        <f ca="1">IF(Checks!C350,IF(UPPER(Data!C350)="DATA OBJECT",NOT(ISERROR(MATCH(Data!A350&amp;"||"&amp;Data!BW350&amp;Data!BX350,Key,0))),TRUE),TRUE)</f>
        <v>1</v>
      </c>
      <c r="V350" s="26" t="b">
        <f>IF(Checks!C350,IF(UPPER(Data!C350)="SUB PROCESS",Data!BY350&lt;&gt;"",TRUE),TRUE)</f>
        <v>1</v>
      </c>
      <c r="W350" s="26" t="b">
        <f>IF(Checks!C350,IF(UPPER(Data!C350)="SERVICE TASK",AND(Data!BZ350&lt;&gt;"",Data!CA350&lt;&gt;""),TRUE),TRUE)</f>
        <v>1</v>
      </c>
      <c r="X350" s="26" t="b">
        <f t="array" aca="1" ref="X350" ca="1">SUM((OFFSET(Data!B350,MAX(ROW(Data!$B$5)-ROW(Data!B350),-200),0,400,1)=Data!B350)*(OFFSET(Data!A350,MAX(ROW(Data!$B$5)-ROW(Data!B350),-200),0,400,1)=Data!A350))=1</f>
        <v>1</v>
      </c>
      <c r="Y350" s="26" t="b">
        <f t="array" aca="1" ref="Y350" ca="1">IF(UPPER(Data!C350)="START",SUM((OFFSET(Data!C350,MAX(ROW(Data!$C$5)-ROW(Data!C350),-200),0,400,1)="START")*(OFFSET(Data!A350,MAX(ROW(Data!$B$5)-ROW(Data!B350),-200),0,400,1)=Data!A350))=1,TRUE)</f>
        <v>1</v>
      </c>
      <c r="Z350" s="26" t="b">
        <f t="array" aca="1" ref="Z350" ca="1">IF(UPPER(Data!C350)="END",SUM((OFFSET(Data!C350,MAX(ROW(Data!$C$5)-ROW(Data!C350),-200),0,400,1)="END")*(OFFSET(Data!A350,MAX(ROW(Data!$B$5)-ROW(Data!B350),-200),0,400,1)=Data!A350))=1,TRUE)</f>
        <v>1</v>
      </c>
      <c r="AA350" s="26" t="b">
        <f>IF(Checks!C350,ISERROR(FIND("&amp;",Data!D350)),TRUE)</f>
        <v>1</v>
      </c>
      <c r="AB350" s="26" t="b">
        <f>IF(Checks!$C350,IF(AND(UPPER(Data!$C350)&lt;&gt;"START",UPPER(Data!$C350)&lt;&gt;"DATA OBJECT",Data!E350&lt;&gt;""),NOT(ISERROR(MATCH(Data!$A350&amp;"||"&amp;Data!E350,Key,0))),TRUE),TRUE)</f>
        <v>1</v>
      </c>
      <c r="AC350" s="27" t="b">
        <f>IF(Checks!C350,IF(UPPER(Data!C350)="END",Data!E350&lt;&gt;"",TRUE),TRUE)</f>
        <v>1</v>
      </c>
    </row>
    <row r="351" spans="1:29" x14ac:dyDescent="0.25">
      <c r="A351" s="1" t="str">
        <f>Data!A351&amp;"||"&amp;Data!B351</f>
        <v>Miscellaneous/subflow/irmifrs9_data_enrichment.bpmn||050_00_00</v>
      </c>
      <c r="B351" s="19"/>
      <c r="C351" s="24" t="b">
        <f>AND(UPPER(Data!A351)&lt;&gt;"EMPTY",Data!B351&lt;&gt;"")</f>
        <v>1</v>
      </c>
      <c r="D351" s="1"/>
      <c r="E351" s="25" t="b">
        <f t="shared" ca="1" si="10"/>
        <v>1</v>
      </c>
      <c r="F351" s="26" t="b">
        <f ca="1">IF(UPPER(Data!C351)="SUB PROCESS",NOT(ISERROR(MATCH(RIGHT(Data!BY351,LEN(Data!BY351)-5),OFFSET(Data,0,0,ItemsCount,1),0))),TRUE)</f>
        <v>1</v>
      </c>
      <c r="G351" s="26" t="b">
        <f ca="1">IF(MID(UPPER(Data!A351),1,13)="MISCELLANEOUS",NOT(ISERROR(MATCH("path="&amp;Data!A351,OFFSET(Data,0,76,ItemsCount,1),0))),TRUE)</f>
        <v>1</v>
      </c>
      <c r="L351" s="25" t="b">
        <f t="shared" ca="1" si="11"/>
        <v>1</v>
      </c>
      <c r="M351" s="24" t="b">
        <f>IF(Checks!$C351,Data!A351&lt;&gt;"",TRUE)</f>
        <v>1</v>
      </c>
      <c r="N351" s="26" t="b">
        <f>IF(Checks!C351,Data!B351&lt;&gt;"",TRUE)</f>
        <v>1</v>
      </c>
      <c r="O351" s="26" t="b">
        <f>IF(Checks!C351,IF(AND(UPPER(Data!C351)="SERVICE TASK",UPPER(Data!BZ351)="TYPE=SAS"),NodeExists(TRIM(RIGHT(Data!CA351,LEN(Data!CA351)-FIND("=",Data!CA351)))),TRUE),TRUE)</f>
        <v>1</v>
      </c>
      <c r="P351" s="26" t="b">
        <f>IF(Checks!C351,IF(Data!C351="DATA OBJECT",OR(AND(Data!BW351&lt;&gt;"",Data!BX351=""),AND(Data!BW351="",Data!BX351&lt;&gt;"")),TRUE),TRUE)</f>
        <v>1</v>
      </c>
      <c r="Q351" s="26" t="b">
        <f>IF(Checks!C351,UPPER(RIGHT(Data!A351,5))=".BPMN",TRUE)</f>
        <v>1</v>
      </c>
      <c r="R351" s="26" t="b">
        <f>IF(Checks!C351,IF(UPPER(Data!C351)="SUB PROCESS",UPPER(RIGHT(Data!BY351,5))=".BPMN",TRUE),TRUE)</f>
        <v>1</v>
      </c>
      <c r="S351" s="26" t="b">
        <f>IF(Checks!C351,IF(UPPER(Data!C351)="SERVICE TASK",IF(UPPER(Data!BZ351)="TYPE=SAS",UPPER(RIGHT(Data!CA351,4))=".SAS",TRUE),TRUE),TRUE)</f>
        <v>1</v>
      </c>
      <c r="T351" s="26" t="b">
        <f>IF(Checks!C351,IF(Data!B351&lt;&gt;"",Data!D351&lt;&gt;"",TRUE),TRUE)</f>
        <v>1</v>
      </c>
      <c r="U351" s="26" t="b">
        <f>IF(Checks!C351,IF(UPPER(Data!C351)="DATA OBJECT",NOT(ISERROR(MATCH(Data!A351&amp;"||"&amp;Data!BW351&amp;Data!BX351,Key,0))),TRUE),TRUE)</f>
        <v>1</v>
      </c>
      <c r="V351" s="26" t="b">
        <f>IF(Checks!C351,IF(UPPER(Data!C351)="SUB PROCESS",Data!BY351&lt;&gt;"",TRUE),TRUE)</f>
        <v>1</v>
      </c>
      <c r="W351" s="26" t="b">
        <f>IF(Checks!C351,IF(UPPER(Data!C351)="SERVICE TASK",AND(Data!BZ351&lt;&gt;"",Data!CA351&lt;&gt;""),TRUE),TRUE)</f>
        <v>1</v>
      </c>
      <c r="X351" s="26" t="b">
        <f t="array" aca="1" ref="X351" ca="1">SUM((OFFSET(Data!B351,MAX(ROW(Data!$B$5)-ROW(Data!B351),-200),0,400,1)=Data!B351)*(OFFSET(Data!A351,MAX(ROW(Data!$B$5)-ROW(Data!B351),-200),0,400,1)=Data!A351))=1</f>
        <v>1</v>
      </c>
      <c r="Y351" s="26" t="b">
        <f t="array" aca="1" ref="Y351" ca="1">IF(UPPER(Data!C351)="START",SUM((OFFSET(Data!C351,MAX(ROW(Data!$C$5)-ROW(Data!C351),-200),0,400,1)="START")*(OFFSET(Data!A351,MAX(ROW(Data!$B$5)-ROW(Data!B351),-200),0,400,1)=Data!A351))=1,TRUE)</f>
        <v>1</v>
      </c>
      <c r="Z351" s="26" t="b">
        <f t="array" aca="1" ref="Z351" ca="1">IF(UPPER(Data!C351)="END",SUM((OFFSET(Data!C351,MAX(ROW(Data!$C$5)-ROW(Data!C351),-200),0,400,1)="END")*(OFFSET(Data!A351,MAX(ROW(Data!$B$5)-ROW(Data!B351),-200),0,400,1)=Data!A351))=1,TRUE)</f>
        <v>1</v>
      </c>
      <c r="AA351" s="26" t="b">
        <f>IF(Checks!C351,ISERROR(FIND("&amp;",Data!D351)),TRUE)</f>
        <v>1</v>
      </c>
      <c r="AB351" s="26" t="b">
        <f ca="1">IF(Checks!$C351,IF(AND(UPPER(Data!$C351)&lt;&gt;"START",UPPER(Data!$C351)&lt;&gt;"DATA OBJECT",Data!E351&lt;&gt;""),NOT(ISERROR(MATCH(Data!$A351&amp;"||"&amp;Data!E351,Key,0))),TRUE),TRUE)</f>
        <v>1</v>
      </c>
      <c r="AC351" s="27" t="b">
        <f>IF(Checks!C351,IF(UPPER(Data!C351)="END",Data!E351&lt;&gt;"",TRUE),TRUE)</f>
        <v>1</v>
      </c>
    </row>
    <row r="352" spans="1:29" x14ac:dyDescent="0.25">
      <c r="A352" s="1" t="str">
        <f>Data!A352&amp;"||"&amp;Data!B352</f>
        <v>Miscellaneous/subflow/irmifrs9_data_enrichment.bpmn||050_00_01</v>
      </c>
      <c r="B352" s="19"/>
      <c r="C352" s="24" t="b">
        <f>AND(UPPER(Data!A352)&lt;&gt;"EMPTY",Data!B352&lt;&gt;"")</f>
        <v>1</v>
      </c>
      <c r="D352" s="1"/>
      <c r="E352" s="25" t="b">
        <f t="shared" ca="1" si="10"/>
        <v>1</v>
      </c>
      <c r="F352" s="26" t="b">
        <f ca="1">IF(UPPER(Data!C352)="SUB PROCESS",NOT(ISERROR(MATCH(RIGHT(Data!BY352,LEN(Data!BY352)-5),OFFSET(Data,0,0,ItemsCount,1),0))),TRUE)</f>
        <v>1</v>
      </c>
      <c r="G352" s="26" t="b">
        <f ca="1">IF(MID(UPPER(Data!A352),1,13)="MISCELLANEOUS",NOT(ISERROR(MATCH("path="&amp;Data!A352,OFFSET(Data,0,76,ItemsCount,1),0))),TRUE)</f>
        <v>1</v>
      </c>
      <c r="L352" s="25" t="b">
        <f t="shared" ca="1" si="11"/>
        <v>1</v>
      </c>
      <c r="M352" s="24" t="b">
        <f>IF(Checks!$C352,Data!A352&lt;&gt;"",TRUE)</f>
        <v>1</v>
      </c>
      <c r="N352" s="26" t="b">
        <f>IF(Checks!C352,Data!B352&lt;&gt;"",TRUE)</f>
        <v>1</v>
      </c>
      <c r="O352" s="26" t="b">
        <f>IF(Checks!C352,IF(AND(UPPER(Data!C352)="SERVICE TASK",UPPER(Data!BZ352)="TYPE=SAS"),NodeExists(TRIM(RIGHT(Data!CA352,LEN(Data!CA352)-FIND("=",Data!CA352)))),TRUE),TRUE)</f>
        <v>1</v>
      </c>
      <c r="P352" s="26" t="b">
        <f>IF(Checks!C352,IF(Data!C352="DATA OBJECT",OR(AND(Data!BW352&lt;&gt;"",Data!BX352=""),AND(Data!BW352="",Data!BX352&lt;&gt;"")),TRUE),TRUE)</f>
        <v>1</v>
      </c>
      <c r="Q352" s="26" t="b">
        <f>IF(Checks!C352,UPPER(RIGHT(Data!A352,5))=".BPMN",TRUE)</f>
        <v>1</v>
      </c>
      <c r="R352" s="26" t="b">
        <f>IF(Checks!C352,IF(UPPER(Data!C352)="SUB PROCESS",UPPER(RIGHT(Data!BY352,5))=".BPMN",TRUE),TRUE)</f>
        <v>1</v>
      </c>
      <c r="S352" s="26" t="b">
        <f>IF(Checks!C352,IF(UPPER(Data!C352)="SERVICE TASK",IF(UPPER(Data!BZ352)="TYPE=SAS",UPPER(RIGHT(Data!CA352,4))=".SAS",TRUE),TRUE),TRUE)</f>
        <v>1</v>
      </c>
      <c r="T352" s="26" t="b">
        <f>IF(Checks!C352,IF(Data!B352&lt;&gt;"",Data!D352&lt;&gt;"",TRUE),TRUE)</f>
        <v>1</v>
      </c>
      <c r="U352" s="26" t="b">
        <f ca="1">IF(Checks!C352,IF(UPPER(Data!C352)="DATA OBJECT",NOT(ISERROR(MATCH(Data!A352&amp;"||"&amp;Data!BW352&amp;Data!BX352,Key,0))),TRUE),TRUE)</f>
        <v>1</v>
      </c>
      <c r="V352" s="26" t="b">
        <f>IF(Checks!C352,IF(UPPER(Data!C352)="SUB PROCESS",Data!BY352&lt;&gt;"",TRUE),TRUE)</f>
        <v>1</v>
      </c>
      <c r="W352" s="26" t="b">
        <f>IF(Checks!C352,IF(UPPER(Data!C352)="SERVICE TASK",AND(Data!BZ352&lt;&gt;"",Data!CA352&lt;&gt;""),TRUE),TRUE)</f>
        <v>1</v>
      </c>
      <c r="X352" s="26" t="b">
        <f t="array" aca="1" ref="X352" ca="1">SUM((OFFSET(Data!B352,MAX(ROW(Data!$B$5)-ROW(Data!B352),-200),0,400,1)=Data!B352)*(OFFSET(Data!A352,MAX(ROW(Data!$B$5)-ROW(Data!B352),-200),0,400,1)=Data!A352))=1</f>
        <v>1</v>
      </c>
      <c r="Y352" s="26" t="b">
        <f t="array" aca="1" ref="Y352" ca="1">IF(UPPER(Data!C352)="START",SUM((OFFSET(Data!C352,MAX(ROW(Data!$C$5)-ROW(Data!C352),-200),0,400,1)="START")*(OFFSET(Data!A352,MAX(ROW(Data!$B$5)-ROW(Data!B352),-200),0,400,1)=Data!A352))=1,TRUE)</f>
        <v>1</v>
      </c>
      <c r="Z352" s="26" t="b">
        <f t="array" aca="1" ref="Z352" ca="1">IF(UPPER(Data!C352)="END",SUM((OFFSET(Data!C352,MAX(ROW(Data!$C$5)-ROW(Data!C352),-200),0,400,1)="END")*(OFFSET(Data!A352,MAX(ROW(Data!$B$5)-ROW(Data!B352),-200),0,400,1)=Data!A352))=1,TRUE)</f>
        <v>1</v>
      </c>
      <c r="AA352" s="26" t="b">
        <f>IF(Checks!C352,ISERROR(FIND("&amp;",Data!D352)),TRUE)</f>
        <v>1</v>
      </c>
      <c r="AB352" s="26" t="b">
        <f>IF(Checks!$C352,IF(AND(UPPER(Data!$C352)&lt;&gt;"START",UPPER(Data!$C352)&lt;&gt;"DATA OBJECT",Data!E352&lt;&gt;""),NOT(ISERROR(MATCH(Data!$A352&amp;"||"&amp;Data!E352,Key,0))),TRUE),TRUE)</f>
        <v>1</v>
      </c>
      <c r="AC352" s="27" t="b">
        <f>IF(Checks!C352,IF(UPPER(Data!C352)="END",Data!E352&lt;&gt;"",TRUE),TRUE)</f>
        <v>1</v>
      </c>
    </row>
    <row r="353" spans="1:29" x14ac:dyDescent="0.25">
      <c r="A353" s="1" t="str">
        <f>Data!A353&amp;"||"&amp;Data!B353</f>
        <v>Miscellaneous/subflow/irmifrs9_data_enrichment.bpmn||050_00_02</v>
      </c>
      <c r="B353" s="19"/>
      <c r="C353" s="24" t="b">
        <f>AND(UPPER(Data!A353)&lt;&gt;"EMPTY",Data!B353&lt;&gt;"")</f>
        <v>1</v>
      </c>
      <c r="D353" s="1"/>
      <c r="E353" s="25" t="b">
        <f t="shared" ca="1" si="10"/>
        <v>1</v>
      </c>
      <c r="F353" s="26" t="b">
        <f ca="1">IF(UPPER(Data!C353)="SUB PROCESS",NOT(ISERROR(MATCH(RIGHT(Data!BY353,LEN(Data!BY353)-5),OFFSET(Data,0,0,ItemsCount,1),0))),TRUE)</f>
        <v>1</v>
      </c>
      <c r="G353" s="26" t="b">
        <f ca="1">IF(MID(UPPER(Data!A353),1,13)="MISCELLANEOUS",NOT(ISERROR(MATCH("path="&amp;Data!A353,OFFSET(Data,0,76,ItemsCount,1),0))),TRUE)</f>
        <v>1</v>
      </c>
      <c r="L353" s="25" t="b">
        <f t="shared" ca="1" si="11"/>
        <v>1</v>
      </c>
      <c r="M353" s="24" t="b">
        <f>IF(Checks!$C353,Data!A353&lt;&gt;"",TRUE)</f>
        <v>1</v>
      </c>
      <c r="N353" s="26" t="b">
        <f>IF(Checks!C353,Data!B353&lt;&gt;"",TRUE)</f>
        <v>1</v>
      </c>
      <c r="O353" s="26" t="b">
        <f>IF(Checks!C353,IF(AND(UPPER(Data!C353)="SERVICE TASK",UPPER(Data!BZ353)="TYPE=SAS"),NodeExists(TRIM(RIGHT(Data!CA353,LEN(Data!CA353)-FIND("=",Data!CA353)))),TRUE),TRUE)</f>
        <v>1</v>
      </c>
      <c r="P353" s="26" t="b">
        <f>IF(Checks!C353,IF(Data!C353="DATA OBJECT",OR(AND(Data!BW353&lt;&gt;"",Data!BX353=""),AND(Data!BW353="",Data!BX353&lt;&gt;"")),TRUE),TRUE)</f>
        <v>1</v>
      </c>
      <c r="Q353" s="26" t="b">
        <f>IF(Checks!C353,UPPER(RIGHT(Data!A353,5))=".BPMN",TRUE)</f>
        <v>1</v>
      </c>
      <c r="R353" s="26" t="b">
        <f>IF(Checks!C353,IF(UPPER(Data!C353)="SUB PROCESS",UPPER(RIGHT(Data!BY353,5))=".BPMN",TRUE),TRUE)</f>
        <v>1</v>
      </c>
      <c r="S353" s="26" t="b">
        <f>IF(Checks!C353,IF(UPPER(Data!C353)="SERVICE TASK",IF(UPPER(Data!BZ353)="TYPE=SAS",UPPER(RIGHT(Data!CA353,4))=".SAS",TRUE),TRUE),TRUE)</f>
        <v>1</v>
      </c>
      <c r="T353" s="26" t="b">
        <f>IF(Checks!C353,IF(Data!B353&lt;&gt;"",Data!D353&lt;&gt;"",TRUE),TRUE)</f>
        <v>1</v>
      </c>
      <c r="U353" s="26" t="b">
        <f ca="1">IF(Checks!C353,IF(UPPER(Data!C353)="DATA OBJECT",NOT(ISERROR(MATCH(Data!A353&amp;"||"&amp;Data!BW353&amp;Data!BX353,Key,0))),TRUE),TRUE)</f>
        <v>1</v>
      </c>
      <c r="V353" s="26" t="b">
        <f>IF(Checks!C353,IF(UPPER(Data!C353)="SUB PROCESS",Data!BY353&lt;&gt;"",TRUE),TRUE)</f>
        <v>1</v>
      </c>
      <c r="W353" s="26" t="b">
        <f>IF(Checks!C353,IF(UPPER(Data!C353)="SERVICE TASK",AND(Data!BZ353&lt;&gt;"",Data!CA353&lt;&gt;""),TRUE),TRUE)</f>
        <v>1</v>
      </c>
      <c r="X353" s="26" t="b">
        <f t="array" aca="1" ref="X353" ca="1">SUM((OFFSET(Data!B353,MAX(ROW(Data!$B$5)-ROW(Data!B353),-200),0,400,1)=Data!B353)*(OFFSET(Data!A353,MAX(ROW(Data!$B$5)-ROW(Data!B353),-200),0,400,1)=Data!A353))=1</f>
        <v>1</v>
      </c>
      <c r="Y353" s="26" t="b">
        <f t="array" aca="1" ref="Y353" ca="1">IF(UPPER(Data!C353)="START",SUM((OFFSET(Data!C353,MAX(ROW(Data!$C$5)-ROW(Data!C353),-200),0,400,1)="START")*(OFFSET(Data!A353,MAX(ROW(Data!$B$5)-ROW(Data!B353),-200),0,400,1)=Data!A353))=1,TRUE)</f>
        <v>1</v>
      </c>
      <c r="Z353" s="26" t="b">
        <f t="array" aca="1" ref="Z353" ca="1">IF(UPPER(Data!C353)="END",SUM((OFFSET(Data!C353,MAX(ROW(Data!$C$5)-ROW(Data!C353),-200),0,400,1)="END")*(OFFSET(Data!A353,MAX(ROW(Data!$B$5)-ROW(Data!B353),-200),0,400,1)=Data!A353))=1,TRUE)</f>
        <v>1</v>
      </c>
      <c r="AA353" s="26" t="b">
        <f>IF(Checks!C353,ISERROR(FIND("&amp;",Data!D353)),TRUE)</f>
        <v>1</v>
      </c>
      <c r="AB353" s="26" t="b">
        <f>IF(Checks!$C353,IF(AND(UPPER(Data!$C353)&lt;&gt;"START",UPPER(Data!$C353)&lt;&gt;"DATA OBJECT",Data!E353&lt;&gt;""),NOT(ISERROR(MATCH(Data!$A353&amp;"||"&amp;Data!E353,Key,0))),TRUE),TRUE)</f>
        <v>1</v>
      </c>
      <c r="AC353" s="27" t="b">
        <f>IF(Checks!C353,IF(UPPER(Data!C353)="END",Data!E353&lt;&gt;"",TRUE),TRUE)</f>
        <v>1</v>
      </c>
    </row>
    <row r="354" spans="1:29" x14ac:dyDescent="0.25">
      <c r="A354" s="1" t="str">
        <f>Data!A354&amp;"||"&amp;Data!B354</f>
        <v>Miscellaneous/subflow/irmifrs9_data_enrichment.bpmn||060_00_00</v>
      </c>
      <c r="B354" s="19"/>
      <c r="C354" s="24" t="b">
        <f>AND(UPPER(Data!A354)&lt;&gt;"EMPTY",Data!B354&lt;&gt;"")</f>
        <v>1</v>
      </c>
      <c r="D354" s="1"/>
      <c r="E354" s="25" t="b">
        <f t="shared" ca="1" si="10"/>
        <v>1</v>
      </c>
      <c r="F354" s="26" t="b">
        <f ca="1">IF(UPPER(Data!C354)="SUB PROCESS",NOT(ISERROR(MATCH(RIGHT(Data!BY354,LEN(Data!BY354)-5),OFFSET(Data,0,0,ItemsCount,1),0))),TRUE)</f>
        <v>1</v>
      </c>
      <c r="G354" s="26" t="b">
        <f ca="1">IF(MID(UPPER(Data!A354),1,13)="MISCELLANEOUS",NOT(ISERROR(MATCH("path="&amp;Data!A354,OFFSET(Data,0,76,ItemsCount,1),0))),TRUE)</f>
        <v>1</v>
      </c>
      <c r="L354" s="25" t="b">
        <f t="shared" ca="1" si="11"/>
        <v>1</v>
      </c>
      <c r="M354" s="24" t="b">
        <f>IF(Checks!$C354,Data!A354&lt;&gt;"",TRUE)</f>
        <v>1</v>
      </c>
      <c r="N354" s="26" t="b">
        <f>IF(Checks!C354,Data!B354&lt;&gt;"",TRUE)</f>
        <v>1</v>
      </c>
      <c r="O354" s="26" t="b">
        <f>IF(Checks!C354,IF(AND(UPPER(Data!C354)="SERVICE TASK",UPPER(Data!BZ354)="TYPE=SAS"),NodeExists(TRIM(RIGHT(Data!CA354,LEN(Data!CA354)-FIND("=",Data!CA354)))),TRUE),TRUE)</f>
        <v>1</v>
      </c>
      <c r="P354" s="26" t="b">
        <f>IF(Checks!C354,IF(Data!C354="DATA OBJECT",OR(AND(Data!BW354&lt;&gt;"",Data!BX354=""),AND(Data!BW354="",Data!BX354&lt;&gt;"")),TRUE),TRUE)</f>
        <v>1</v>
      </c>
      <c r="Q354" s="26" t="b">
        <f>IF(Checks!C354,UPPER(RIGHT(Data!A354,5))=".BPMN",TRUE)</f>
        <v>1</v>
      </c>
      <c r="R354" s="26" t="b">
        <f>IF(Checks!C354,IF(UPPER(Data!C354)="SUB PROCESS",UPPER(RIGHT(Data!BY354,5))=".BPMN",TRUE),TRUE)</f>
        <v>1</v>
      </c>
      <c r="S354" s="26" t="b">
        <f>IF(Checks!C354,IF(UPPER(Data!C354)="SERVICE TASK",IF(UPPER(Data!BZ354)="TYPE=SAS",UPPER(RIGHT(Data!CA354,4))=".SAS",TRUE),TRUE),TRUE)</f>
        <v>1</v>
      </c>
      <c r="T354" s="26" t="b">
        <f>IF(Checks!C354,IF(Data!B354&lt;&gt;"",Data!D354&lt;&gt;"",TRUE),TRUE)</f>
        <v>1</v>
      </c>
      <c r="U354" s="26" t="b">
        <f>IF(Checks!C354,IF(UPPER(Data!C354)="DATA OBJECT",NOT(ISERROR(MATCH(Data!A354&amp;"||"&amp;Data!BW354&amp;Data!BX354,Key,0))),TRUE),TRUE)</f>
        <v>1</v>
      </c>
      <c r="V354" s="26" t="b">
        <f>IF(Checks!C354,IF(UPPER(Data!C354)="SUB PROCESS",Data!BY354&lt;&gt;"",TRUE),TRUE)</f>
        <v>1</v>
      </c>
      <c r="W354" s="26" t="b">
        <f>IF(Checks!C354,IF(UPPER(Data!C354)="SERVICE TASK",AND(Data!BZ354&lt;&gt;"",Data!CA354&lt;&gt;""),TRUE),TRUE)</f>
        <v>1</v>
      </c>
      <c r="X354" s="26" t="b">
        <f t="array" aca="1" ref="X354" ca="1">SUM((OFFSET(Data!B354,MAX(ROW(Data!$B$5)-ROW(Data!B354),-200),0,400,1)=Data!B354)*(OFFSET(Data!A354,MAX(ROW(Data!$B$5)-ROW(Data!B354),-200),0,400,1)=Data!A354))=1</f>
        <v>1</v>
      </c>
      <c r="Y354" s="26" t="b">
        <f t="array" aca="1" ref="Y354" ca="1">IF(UPPER(Data!C354)="START",SUM((OFFSET(Data!C354,MAX(ROW(Data!$C$5)-ROW(Data!C354),-200),0,400,1)="START")*(OFFSET(Data!A354,MAX(ROW(Data!$B$5)-ROW(Data!B354),-200),0,400,1)=Data!A354))=1,TRUE)</f>
        <v>1</v>
      </c>
      <c r="Z354" s="26" t="b">
        <f t="array" aca="1" ref="Z354" ca="1">IF(UPPER(Data!C354)="END",SUM((OFFSET(Data!C354,MAX(ROW(Data!$C$5)-ROW(Data!C354),-200),0,400,1)="END")*(OFFSET(Data!A354,MAX(ROW(Data!$B$5)-ROW(Data!B354),-200),0,400,1)=Data!A354))=1,TRUE)</f>
        <v>1</v>
      </c>
      <c r="AA354" s="26" t="b">
        <f>IF(Checks!C354,ISERROR(FIND("&amp;",Data!D354)),TRUE)</f>
        <v>1</v>
      </c>
      <c r="AB354" s="26" t="b">
        <f ca="1">IF(Checks!$C354,IF(AND(UPPER(Data!$C354)&lt;&gt;"START",UPPER(Data!$C354)&lt;&gt;"DATA OBJECT",Data!E354&lt;&gt;""),NOT(ISERROR(MATCH(Data!$A354&amp;"||"&amp;Data!E354,Key,0))),TRUE),TRUE)</f>
        <v>1</v>
      </c>
      <c r="AC354" s="27" t="b">
        <f>IF(Checks!C354,IF(UPPER(Data!C354)="END",Data!E354&lt;&gt;"",TRUE),TRUE)</f>
        <v>1</v>
      </c>
    </row>
    <row r="355" spans="1:29" x14ac:dyDescent="0.25">
      <c r="A355" s="1" t="str">
        <f>Data!A355&amp;"||"&amp;Data!B355</f>
        <v>Miscellaneous/subflow/irmifrs9_data_enrichment.bpmn||060_00_01</v>
      </c>
      <c r="B355" s="19"/>
      <c r="C355" s="24" t="b">
        <f>AND(UPPER(Data!A355)&lt;&gt;"EMPTY",Data!B355&lt;&gt;"")</f>
        <v>1</v>
      </c>
      <c r="D355" s="1"/>
      <c r="E355" s="25" t="b">
        <f t="shared" ca="1" si="10"/>
        <v>1</v>
      </c>
      <c r="F355" s="26" t="b">
        <f ca="1">IF(UPPER(Data!C355)="SUB PROCESS",NOT(ISERROR(MATCH(RIGHT(Data!BY355,LEN(Data!BY355)-5),OFFSET(Data,0,0,ItemsCount,1),0))),TRUE)</f>
        <v>1</v>
      </c>
      <c r="G355" s="26" t="b">
        <f ca="1">IF(MID(UPPER(Data!A355),1,13)="MISCELLANEOUS",NOT(ISERROR(MATCH("path="&amp;Data!A355,OFFSET(Data,0,76,ItemsCount,1),0))),TRUE)</f>
        <v>1</v>
      </c>
      <c r="L355" s="25" t="b">
        <f t="shared" ca="1" si="11"/>
        <v>1</v>
      </c>
      <c r="M355" s="24" t="b">
        <f>IF(Checks!$C355,Data!A355&lt;&gt;"",TRUE)</f>
        <v>1</v>
      </c>
      <c r="N355" s="26" t="b">
        <f>IF(Checks!C355,Data!B355&lt;&gt;"",TRUE)</f>
        <v>1</v>
      </c>
      <c r="O355" s="26" t="b">
        <f>IF(Checks!C355,IF(AND(UPPER(Data!C355)="SERVICE TASK",UPPER(Data!BZ355)="TYPE=SAS"),NodeExists(TRIM(RIGHT(Data!CA355,LEN(Data!CA355)-FIND("=",Data!CA355)))),TRUE),TRUE)</f>
        <v>1</v>
      </c>
      <c r="P355" s="26" t="b">
        <f>IF(Checks!C355,IF(Data!C355="DATA OBJECT",OR(AND(Data!BW355&lt;&gt;"",Data!BX355=""),AND(Data!BW355="",Data!BX355&lt;&gt;"")),TRUE),TRUE)</f>
        <v>1</v>
      </c>
      <c r="Q355" s="26" t="b">
        <f>IF(Checks!C355,UPPER(RIGHT(Data!A355,5))=".BPMN",TRUE)</f>
        <v>1</v>
      </c>
      <c r="R355" s="26" t="b">
        <f>IF(Checks!C355,IF(UPPER(Data!C355)="SUB PROCESS",UPPER(RIGHT(Data!BY355,5))=".BPMN",TRUE),TRUE)</f>
        <v>1</v>
      </c>
      <c r="S355" s="26" t="b">
        <f>IF(Checks!C355,IF(UPPER(Data!C355)="SERVICE TASK",IF(UPPER(Data!BZ355)="TYPE=SAS",UPPER(RIGHT(Data!CA355,4))=".SAS",TRUE),TRUE),TRUE)</f>
        <v>1</v>
      </c>
      <c r="T355" s="26" t="b">
        <f>IF(Checks!C355,IF(Data!B355&lt;&gt;"",Data!D355&lt;&gt;"",TRUE),TRUE)</f>
        <v>1</v>
      </c>
      <c r="U355" s="26" t="b">
        <f ca="1">IF(Checks!C355,IF(UPPER(Data!C355)="DATA OBJECT",NOT(ISERROR(MATCH(Data!A355&amp;"||"&amp;Data!BW355&amp;Data!BX355,Key,0))),TRUE),TRUE)</f>
        <v>1</v>
      </c>
      <c r="V355" s="26" t="b">
        <f>IF(Checks!C355,IF(UPPER(Data!C355)="SUB PROCESS",Data!BY355&lt;&gt;"",TRUE),TRUE)</f>
        <v>1</v>
      </c>
      <c r="W355" s="26" t="b">
        <f>IF(Checks!C355,IF(UPPER(Data!C355)="SERVICE TASK",AND(Data!BZ355&lt;&gt;"",Data!CA355&lt;&gt;""),TRUE),TRUE)</f>
        <v>1</v>
      </c>
      <c r="X355" s="26" t="b">
        <f t="array" aca="1" ref="X355" ca="1">SUM((OFFSET(Data!B355,MAX(ROW(Data!$B$5)-ROW(Data!B355),-200),0,400,1)=Data!B355)*(OFFSET(Data!A355,MAX(ROW(Data!$B$5)-ROW(Data!B355),-200),0,400,1)=Data!A355))=1</f>
        <v>1</v>
      </c>
      <c r="Y355" s="26" t="b">
        <f t="array" aca="1" ref="Y355" ca="1">IF(UPPER(Data!C355)="START",SUM((OFFSET(Data!C355,MAX(ROW(Data!$C$5)-ROW(Data!C355),-200),0,400,1)="START")*(OFFSET(Data!A355,MAX(ROW(Data!$B$5)-ROW(Data!B355),-200),0,400,1)=Data!A355))=1,TRUE)</f>
        <v>1</v>
      </c>
      <c r="Z355" s="26" t="b">
        <f t="array" aca="1" ref="Z355" ca="1">IF(UPPER(Data!C355)="END",SUM((OFFSET(Data!C355,MAX(ROW(Data!$C$5)-ROW(Data!C355),-200),0,400,1)="END")*(OFFSET(Data!A355,MAX(ROW(Data!$B$5)-ROW(Data!B355),-200),0,400,1)=Data!A355))=1,TRUE)</f>
        <v>1</v>
      </c>
      <c r="AA355" s="26" t="b">
        <f>IF(Checks!C355,ISERROR(FIND("&amp;",Data!D355)),TRUE)</f>
        <v>1</v>
      </c>
      <c r="AB355" s="26" t="b">
        <f>IF(Checks!$C355,IF(AND(UPPER(Data!$C355)&lt;&gt;"START",UPPER(Data!$C355)&lt;&gt;"DATA OBJECT",Data!E355&lt;&gt;""),NOT(ISERROR(MATCH(Data!$A355&amp;"||"&amp;Data!E355,Key,0))),TRUE),TRUE)</f>
        <v>1</v>
      </c>
      <c r="AC355" s="27" t="b">
        <f>IF(Checks!C355,IF(UPPER(Data!C355)="END",Data!E355&lt;&gt;"",TRUE),TRUE)</f>
        <v>1</v>
      </c>
    </row>
    <row r="356" spans="1:29" x14ac:dyDescent="0.25">
      <c r="A356" s="1" t="str">
        <f>Data!A356&amp;"||"&amp;Data!B356</f>
        <v>Miscellaneous/subflow/irmifrs9_data_enrichment.bpmn||060_00_02</v>
      </c>
      <c r="B356" s="19"/>
      <c r="C356" s="24" t="b">
        <f>AND(UPPER(Data!A356)&lt;&gt;"EMPTY",Data!B356&lt;&gt;"")</f>
        <v>1</v>
      </c>
      <c r="D356" s="1"/>
      <c r="E356" s="25" t="b">
        <f t="shared" ca="1" si="10"/>
        <v>1</v>
      </c>
      <c r="F356" s="26" t="b">
        <f ca="1">IF(UPPER(Data!C356)="SUB PROCESS",NOT(ISERROR(MATCH(RIGHT(Data!BY356,LEN(Data!BY356)-5),OFFSET(Data,0,0,ItemsCount,1),0))),TRUE)</f>
        <v>1</v>
      </c>
      <c r="G356" s="26" t="b">
        <f ca="1">IF(MID(UPPER(Data!A356),1,13)="MISCELLANEOUS",NOT(ISERROR(MATCH("path="&amp;Data!A356,OFFSET(Data,0,76,ItemsCount,1),0))),TRUE)</f>
        <v>1</v>
      </c>
      <c r="L356" s="25" t="b">
        <f t="shared" ca="1" si="11"/>
        <v>1</v>
      </c>
      <c r="M356" s="24" t="b">
        <f>IF(Checks!$C356,Data!A356&lt;&gt;"",TRUE)</f>
        <v>1</v>
      </c>
      <c r="N356" s="26" t="b">
        <f>IF(Checks!C356,Data!B356&lt;&gt;"",TRUE)</f>
        <v>1</v>
      </c>
      <c r="O356" s="26" t="b">
        <f>IF(Checks!C356,IF(AND(UPPER(Data!C356)="SERVICE TASK",UPPER(Data!BZ356)="TYPE=SAS"),NodeExists(TRIM(RIGHT(Data!CA356,LEN(Data!CA356)-FIND("=",Data!CA356)))),TRUE),TRUE)</f>
        <v>1</v>
      </c>
      <c r="P356" s="26" t="b">
        <f>IF(Checks!C356,IF(Data!C356="DATA OBJECT",OR(AND(Data!BW356&lt;&gt;"",Data!BX356=""),AND(Data!BW356="",Data!BX356&lt;&gt;"")),TRUE),TRUE)</f>
        <v>1</v>
      </c>
      <c r="Q356" s="26" t="b">
        <f>IF(Checks!C356,UPPER(RIGHT(Data!A356,5))=".BPMN",TRUE)</f>
        <v>1</v>
      </c>
      <c r="R356" s="26" t="b">
        <f>IF(Checks!C356,IF(UPPER(Data!C356)="SUB PROCESS",UPPER(RIGHT(Data!BY356,5))=".BPMN",TRUE),TRUE)</f>
        <v>1</v>
      </c>
      <c r="S356" s="26" t="b">
        <f>IF(Checks!C356,IF(UPPER(Data!C356)="SERVICE TASK",IF(UPPER(Data!BZ356)="TYPE=SAS",UPPER(RIGHT(Data!CA356,4))=".SAS",TRUE),TRUE),TRUE)</f>
        <v>1</v>
      </c>
      <c r="T356" s="26" t="b">
        <f>IF(Checks!C356,IF(Data!B356&lt;&gt;"",Data!D356&lt;&gt;"",TRUE),TRUE)</f>
        <v>1</v>
      </c>
      <c r="U356" s="26" t="b">
        <f ca="1">IF(Checks!C356,IF(UPPER(Data!C356)="DATA OBJECT",NOT(ISERROR(MATCH(Data!A356&amp;"||"&amp;Data!BW356&amp;Data!BX356,Key,0))),TRUE),TRUE)</f>
        <v>1</v>
      </c>
      <c r="V356" s="26" t="b">
        <f>IF(Checks!C356,IF(UPPER(Data!C356)="SUB PROCESS",Data!BY356&lt;&gt;"",TRUE),TRUE)</f>
        <v>1</v>
      </c>
      <c r="W356" s="26" t="b">
        <f>IF(Checks!C356,IF(UPPER(Data!C356)="SERVICE TASK",AND(Data!BZ356&lt;&gt;"",Data!CA356&lt;&gt;""),TRUE),TRUE)</f>
        <v>1</v>
      </c>
      <c r="X356" s="26" t="b">
        <f t="array" aca="1" ref="X356" ca="1">SUM((OFFSET(Data!B356,MAX(ROW(Data!$B$5)-ROW(Data!B356),-200),0,400,1)=Data!B356)*(OFFSET(Data!A356,MAX(ROW(Data!$B$5)-ROW(Data!B356),-200),0,400,1)=Data!A356))=1</f>
        <v>1</v>
      </c>
      <c r="Y356" s="26" t="b">
        <f t="array" aca="1" ref="Y356" ca="1">IF(UPPER(Data!C356)="START",SUM((OFFSET(Data!C356,MAX(ROW(Data!$C$5)-ROW(Data!C356),-200),0,400,1)="START")*(OFFSET(Data!A356,MAX(ROW(Data!$B$5)-ROW(Data!B356),-200),0,400,1)=Data!A356))=1,TRUE)</f>
        <v>1</v>
      </c>
      <c r="Z356" s="26" t="b">
        <f t="array" aca="1" ref="Z356" ca="1">IF(UPPER(Data!C356)="END",SUM((OFFSET(Data!C356,MAX(ROW(Data!$C$5)-ROW(Data!C356),-200),0,400,1)="END")*(OFFSET(Data!A356,MAX(ROW(Data!$B$5)-ROW(Data!B356),-200),0,400,1)=Data!A356))=1,TRUE)</f>
        <v>1</v>
      </c>
      <c r="AA356" s="26" t="b">
        <f>IF(Checks!C356,ISERROR(FIND("&amp;",Data!D356)),TRUE)</f>
        <v>1</v>
      </c>
      <c r="AB356" s="26" t="b">
        <f>IF(Checks!$C356,IF(AND(UPPER(Data!$C356)&lt;&gt;"START",UPPER(Data!$C356)&lt;&gt;"DATA OBJECT",Data!E356&lt;&gt;""),NOT(ISERROR(MATCH(Data!$A356&amp;"||"&amp;Data!E356,Key,0))),TRUE),TRUE)</f>
        <v>1</v>
      </c>
      <c r="AC356" s="27" t="b">
        <f>IF(Checks!C356,IF(UPPER(Data!C356)="END",Data!E356&lt;&gt;"",TRUE),TRUE)</f>
        <v>1</v>
      </c>
    </row>
    <row r="357" spans="1:29" x14ac:dyDescent="0.25">
      <c r="A357" s="1" t="str">
        <f>Data!A357&amp;"||"&amp;Data!B357</f>
        <v>Miscellaneous/subflow/irmifrs9_data_enrichment.bpmn||070_00_00</v>
      </c>
      <c r="B357" s="19"/>
      <c r="C357" s="24" t="b">
        <f>AND(UPPER(Data!A357)&lt;&gt;"EMPTY",Data!B357&lt;&gt;"")</f>
        <v>1</v>
      </c>
      <c r="D357" s="1"/>
      <c r="E357" s="25" t="b">
        <f t="shared" ca="1" si="10"/>
        <v>1</v>
      </c>
      <c r="F357" s="26" t="b">
        <f ca="1">IF(UPPER(Data!C357)="SUB PROCESS",NOT(ISERROR(MATCH(RIGHT(Data!BY357,LEN(Data!BY357)-5),OFFSET(Data,0,0,ItemsCount,1),0))),TRUE)</f>
        <v>1</v>
      </c>
      <c r="G357" s="26" t="b">
        <f ca="1">IF(MID(UPPER(Data!A357),1,13)="MISCELLANEOUS",NOT(ISERROR(MATCH("path="&amp;Data!A357,OFFSET(Data,0,76,ItemsCount,1),0))),TRUE)</f>
        <v>1</v>
      </c>
      <c r="L357" s="25" t="b">
        <f t="shared" ca="1" si="11"/>
        <v>1</v>
      </c>
      <c r="M357" s="24" t="b">
        <f>IF(Checks!$C357,Data!A357&lt;&gt;"",TRUE)</f>
        <v>1</v>
      </c>
      <c r="N357" s="26" t="b">
        <f>IF(Checks!C357,Data!B357&lt;&gt;"",TRUE)</f>
        <v>1</v>
      </c>
      <c r="O357" s="26" t="b">
        <f>IF(Checks!C357,IF(AND(UPPER(Data!C357)="SERVICE TASK",UPPER(Data!BZ357)="TYPE=SAS"),NodeExists(TRIM(RIGHT(Data!CA357,LEN(Data!CA357)-FIND("=",Data!CA357)))),TRUE),TRUE)</f>
        <v>1</v>
      </c>
      <c r="P357" s="26" t="b">
        <f>IF(Checks!C357,IF(Data!C357="DATA OBJECT",OR(AND(Data!BW357&lt;&gt;"",Data!BX357=""),AND(Data!BW357="",Data!BX357&lt;&gt;"")),TRUE),TRUE)</f>
        <v>1</v>
      </c>
      <c r="Q357" s="26" t="b">
        <f>IF(Checks!C357,UPPER(RIGHT(Data!A357,5))=".BPMN",TRUE)</f>
        <v>1</v>
      </c>
      <c r="R357" s="26" t="b">
        <f>IF(Checks!C357,IF(UPPER(Data!C357)="SUB PROCESS",UPPER(RIGHT(Data!BY357,5))=".BPMN",TRUE),TRUE)</f>
        <v>1</v>
      </c>
      <c r="S357" s="26" t="b">
        <f>IF(Checks!C357,IF(UPPER(Data!C357)="SERVICE TASK",IF(UPPER(Data!BZ357)="TYPE=SAS",UPPER(RIGHT(Data!CA357,4))=".SAS",TRUE),TRUE),TRUE)</f>
        <v>1</v>
      </c>
      <c r="T357" s="26" t="b">
        <f>IF(Checks!C357,IF(Data!B357&lt;&gt;"",Data!D357&lt;&gt;"",TRUE),TRUE)</f>
        <v>1</v>
      </c>
      <c r="U357" s="26" t="b">
        <f>IF(Checks!C357,IF(UPPER(Data!C357)="DATA OBJECT",NOT(ISERROR(MATCH(Data!A357&amp;"||"&amp;Data!BW357&amp;Data!BX357,Key,0))),TRUE),TRUE)</f>
        <v>1</v>
      </c>
      <c r="V357" s="26" t="b">
        <f>IF(Checks!C357,IF(UPPER(Data!C357)="SUB PROCESS",Data!BY357&lt;&gt;"",TRUE),TRUE)</f>
        <v>1</v>
      </c>
      <c r="W357" s="26" t="b">
        <f>IF(Checks!C357,IF(UPPER(Data!C357)="SERVICE TASK",AND(Data!BZ357&lt;&gt;"",Data!CA357&lt;&gt;""),TRUE),TRUE)</f>
        <v>1</v>
      </c>
      <c r="X357" s="26" t="b">
        <f t="array" aca="1" ref="X357" ca="1">SUM((OFFSET(Data!B357,MAX(ROW(Data!$B$5)-ROW(Data!B357),-200),0,400,1)=Data!B357)*(OFFSET(Data!A357,MAX(ROW(Data!$B$5)-ROW(Data!B357),-200),0,400,1)=Data!A357))=1</f>
        <v>1</v>
      </c>
      <c r="Y357" s="26" t="b">
        <f t="array" aca="1" ref="Y357" ca="1">IF(UPPER(Data!C357)="START",SUM((OFFSET(Data!C357,MAX(ROW(Data!$C$5)-ROW(Data!C357),-200),0,400,1)="START")*(OFFSET(Data!A357,MAX(ROW(Data!$B$5)-ROW(Data!B357),-200),0,400,1)=Data!A357))=1,TRUE)</f>
        <v>1</v>
      </c>
      <c r="Z357" s="26" t="b">
        <f t="array" aca="1" ref="Z357" ca="1">IF(UPPER(Data!C357)="END",SUM((OFFSET(Data!C357,MAX(ROW(Data!$C$5)-ROW(Data!C357),-200),0,400,1)="END")*(OFFSET(Data!A357,MAX(ROW(Data!$B$5)-ROW(Data!B357),-200),0,400,1)=Data!A357))=1,TRUE)</f>
        <v>1</v>
      </c>
      <c r="AA357" s="26" t="b">
        <f>IF(Checks!C357,ISERROR(FIND("&amp;",Data!D357)),TRUE)</f>
        <v>1</v>
      </c>
      <c r="AB357" s="26" t="b">
        <f ca="1">IF(Checks!$C357,IF(AND(UPPER(Data!$C357)&lt;&gt;"START",UPPER(Data!$C357)&lt;&gt;"DATA OBJECT",Data!E357&lt;&gt;""),NOT(ISERROR(MATCH(Data!$A357&amp;"||"&amp;Data!E357,Key,0))),TRUE),TRUE)</f>
        <v>1</v>
      </c>
      <c r="AC357" s="27" t="b">
        <f>IF(Checks!C357,IF(UPPER(Data!C357)="END",Data!E357&lt;&gt;"",TRUE),TRUE)</f>
        <v>1</v>
      </c>
    </row>
    <row r="358" spans="1:29" x14ac:dyDescent="0.25">
      <c r="A358" s="1" t="str">
        <f>Data!A358&amp;"||"&amp;Data!B358</f>
        <v>Miscellaneous/subflow/irmifrs9_data_enrichment.bpmn||070_00_01</v>
      </c>
      <c r="B358" s="19"/>
      <c r="C358" s="24" t="b">
        <f>AND(UPPER(Data!A358)&lt;&gt;"EMPTY",Data!B358&lt;&gt;"")</f>
        <v>1</v>
      </c>
      <c r="D358" s="1"/>
      <c r="E358" s="25" t="b">
        <f t="shared" ca="1" si="10"/>
        <v>1</v>
      </c>
      <c r="F358" s="26" t="b">
        <f ca="1">IF(UPPER(Data!C358)="SUB PROCESS",NOT(ISERROR(MATCH(RIGHT(Data!BY358,LEN(Data!BY358)-5),OFFSET(Data,0,0,ItemsCount,1),0))),TRUE)</f>
        <v>1</v>
      </c>
      <c r="G358" s="26" t="b">
        <f ca="1">IF(MID(UPPER(Data!A358),1,13)="MISCELLANEOUS",NOT(ISERROR(MATCH("path="&amp;Data!A358,OFFSET(Data,0,76,ItemsCount,1),0))),TRUE)</f>
        <v>1</v>
      </c>
      <c r="L358" s="25" t="b">
        <f t="shared" ca="1" si="11"/>
        <v>1</v>
      </c>
      <c r="M358" s="24" t="b">
        <f>IF(Checks!$C358,Data!A358&lt;&gt;"",TRUE)</f>
        <v>1</v>
      </c>
      <c r="N358" s="26" t="b">
        <f>IF(Checks!C358,Data!B358&lt;&gt;"",TRUE)</f>
        <v>1</v>
      </c>
      <c r="O358" s="26" t="b">
        <f>IF(Checks!C358,IF(AND(UPPER(Data!C358)="SERVICE TASK",UPPER(Data!BZ358)="TYPE=SAS"),NodeExists(TRIM(RIGHT(Data!CA358,LEN(Data!CA358)-FIND("=",Data!CA358)))),TRUE),TRUE)</f>
        <v>1</v>
      </c>
      <c r="P358" s="26" t="b">
        <f>IF(Checks!C358,IF(Data!C358="DATA OBJECT",OR(AND(Data!BW358&lt;&gt;"",Data!BX358=""),AND(Data!BW358="",Data!BX358&lt;&gt;"")),TRUE),TRUE)</f>
        <v>1</v>
      </c>
      <c r="Q358" s="26" t="b">
        <f>IF(Checks!C358,UPPER(RIGHT(Data!A358,5))=".BPMN",TRUE)</f>
        <v>1</v>
      </c>
      <c r="R358" s="26" t="b">
        <f>IF(Checks!C358,IF(UPPER(Data!C358)="SUB PROCESS",UPPER(RIGHT(Data!BY358,5))=".BPMN",TRUE),TRUE)</f>
        <v>1</v>
      </c>
      <c r="S358" s="26" t="b">
        <f>IF(Checks!C358,IF(UPPER(Data!C358)="SERVICE TASK",IF(UPPER(Data!BZ358)="TYPE=SAS",UPPER(RIGHT(Data!CA358,4))=".SAS",TRUE),TRUE),TRUE)</f>
        <v>1</v>
      </c>
      <c r="T358" s="26" t="b">
        <f>IF(Checks!C358,IF(Data!B358&lt;&gt;"",Data!D358&lt;&gt;"",TRUE),TRUE)</f>
        <v>1</v>
      </c>
      <c r="U358" s="26" t="b">
        <f ca="1">IF(Checks!C358,IF(UPPER(Data!C358)="DATA OBJECT",NOT(ISERROR(MATCH(Data!A358&amp;"||"&amp;Data!BW358&amp;Data!BX358,Key,0))),TRUE),TRUE)</f>
        <v>1</v>
      </c>
      <c r="V358" s="26" t="b">
        <f>IF(Checks!C358,IF(UPPER(Data!C358)="SUB PROCESS",Data!BY358&lt;&gt;"",TRUE),TRUE)</f>
        <v>1</v>
      </c>
      <c r="W358" s="26" t="b">
        <f>IF(Checks!C358,IF(UPPER(Data!C358)="SERVICE TASK",AND(Data!BZ358&lt;&gt;"",Data!CA358&lt;&gt;""),TRUE),TRUE)</f>
        <v>1</v>
      </c>
      <c r="X358" s="26" t="b">
        <f t="array" aca="1" ref="X358" ca="1">SUM((OFFSET(Data!B358,MAX(ROW(Data!$B$5)-ROW(Data!B358),-200),0,400,1)=Data!B358)*(OFFSET(Data!A358,MAX(ROW(Data!$B$5)-ROW(Data!B358),-200),0,400,1)=Data!A358))=1</f>
        <v>1</v>
      </c>
      <c r="Y358" s="26" t="b">
        <f t="array" aca="1" ref="Y358" ca="1">IF(UPPER(Data!C358)="START",SUM((OFFSET(Data!C358,MAX(ROW(Data!$C$5)-ROW(Data!C358),-200),0,400,1)="START")*(OFFSET(Data!A358,MAX(ROW(Data!$B$5)-ROW(Data!B358),-200),0,400,1)=Data!A358))=1,TRUE)</f>
        <v>1</v>
      </c>
      <c r="Z358" s="26" t="b">
        <f t="array" aca="1" ref="Z358" ca="1">IF(UPPER(Data!C358)="END",SUM((OFFSET(Data!C358,MAX(ROW(Data!$C$5)-ROW(Data!C358),-200),0,400,1)="END")*(OFFSET(Data!A358,MAX(ROW(Data!$B$5)-ROW(Data!B358),-200),0,400,1)=Data!A358))=1,TRUE)</f>
        <v>1</v>
      </c>
      <c r="AA358" s="26" t="b">
        <f>IF(Checks!C358,ISERROR(FIND("&amp;",Data!D358)),TRUE)</f>
        <v>1</v>
      </c>
      <c r="AB358" s="26" t="b">
        <f>IF(Checks!$C358,IF(AND(UPPER(Data!$C358)&lt;&gt;"START",UPPER(Data!$C358)&lt;&gt;"DATA OBJECT",Data!E358&lt;&gt;""),NOT(ISERROR(MATCH(Data!$A358&amp;"||"&amp;Data!E358,Key,0))),TRUE),TRUE)</f>
        <v>1</v>
      </c>
      <c r="AC358" s="27" t="b">
        <f>IF(Checks!C358,IF(UPPER(Data!C358)="END",Data!E358&lt;&gt;"",TRUE),TRUE)</f>
        <v>1</v>
      </c>
    </row>
    <row r="359" spans="1:29" x14ac:dyDescent="0.25">
      <c r="A359" s="1" t="str">
        <f>Data!A359&amp;"||"&amp;Data!B359</f>
        <v>Miscellaneous/subflow/irmifrs9_data_enrichment.bpmn||070_00_02</v>
      </c>
      <c r="B359" s="19"/>
      <c r="C359" s="24" t="b">
        <f>AND(UPPER(Data!A359)&lt;&gt;"EMPTY",Data!B359&lt;&gt;"")</f>
        <v>1</v>
      </c>
      <c r="D359" s="1"/>
      <c r="E359" s="25" t="b">
        <f t="shared" ca="1" si="10"/>
        <v>1</v>
      </c>
      <c r="F359" s="26" t="b">
        <f ca="1">IF(UPPER(Data!C359)="SUB PROCESS",NOT(ISERROR(MATCH(RIGHT(Data!BY359,LEN(Data!BY359)-5),OFFSET(Data,0,0,ItemsCount,1),0))),TRUE)</f>
        <v>1</v>
      </c>
      <c r="G359" s="26" t="b">
        <f ca="1">IF(MID(UPPER(Data!A359),1,13)="MISCELLANEOUS",NOT(ISERROR(MATCH("path="&amp;Data!A359,OFFSET(Data,0,76,ItemsCount,1),0))),TRUE)</f>
        <v>1</v>
      </c>
      <c r="L359" s="25" t="b">
        <f t="shared" ca="1" si="11"/>
        <v>1</v>
      </c>
      <c r="M359" s="24" t="b">
        <f>IF(Checks!$C359,Data!A359&lt;&gt;"",TRUE)</f>
        <v>1</v>
      </c>
      <c r="N359" s="26" t="b">
        <f>IF(Checks!C359,Data!B359&lt;&gt;"",TRUE)</f>
        <v>1</v>
      </c>
      <c r="O359" s="26" t="b">
        <f>IF(Checks!C359,IF(AND(UPPER(Data!C359)="SERVICE TASK",UPPER(Data!BZ359)="TYPE=SAS"),NodeExists(TRIM(RIGHT(Data!CA359,LEN(Data!CA359)-FIND("=",Data!CA359)))),TRUE),TRUE)</f>
        <v>1</v>
      </c>
      <c r="P359" s="26" t="b">
        <f>IF(Checks!C359,IF(Data!C359="DATA OBJECT",OR(AND(Data!BW359&lt;&gt;"",Data!BX359=""),AND(Data!BW359="",Data!BX359&lt;&gt;"")),TRUE),TRUE)</f>
        <v>1</v>
      </c>
      <c r="Q359" s="26" t="b">
        <f>IF(Checks!C359,UPPER(RIGHT(Data!A359,5))=".BPMN",TRUE)</f>
        <v>1</v>
      </c>
      <c r="R359" s="26" t="b">
        <f>IF(Checks!C359,IF(UPPER(Data!C359)="SUB PROCESS",UPPER(RIGHT(Data!BY359,5))=".BPMN",TRUE),TRUE)</f>
        <v>1</v>
      </c>
      <c r="S359" s="26" t="b">
        <f>IF(Checks!C359,IF(UPPER(Data!C359)="SERVICE TASK",IF(UPPER(Data!BZ359)="TYPE=SAS",UPPER(RIGHT(Data!CA359,4))=".SAS",TRUE),TRUE),TRUE)</f>
        <v>1</v>
      </c>
      <c r="T359" s="26" t="b">
        <f>IF(Checks!C359,IF(Data!B359&lt;&gt;"",Data!D359&lt;&gt;"",TRUE),TRUE)</f>
        <v>1</v>
      </c>
      <c r="U359" s="26" t="b">
        <f ca="1">IF(Checks!C359,IF(UPPER(Data!C359)="DATA OBJECT",NOT(ISERROR(MATCH(Data!A359&amp;"||"&amp;Data!BW359&amp;Data!BX359,Key,0))),TRUE),TRUE)</f>
        <v>1</v>
      </c>
      <c r="V359" s="26" t="b">
        <f>IF(Checks!C359,IF(UPPER(Data!C359)="SUB PROCESS",Data!BY359&lt;&gt;"",TRUE),TRUE)</f>
        <v>1</v>
      </c>
      <c r="W359" s="26" t="b">
        <f>IF(Checks!C359,IF(UPPER(Data!C359)="SERVICE TASK",AND(Data!BZ359&lt;&gt;"",Data!CA359&lt;&gt;""),TRUE),TRUE)</f>
        <v>1</v>
      </c>
      <c r="X359" s="26" t="b">
        <f t="array" aca="1" ref="X359" ca="1">SUM((OFFSET(Data!B359,MAX(ROW(Data!$B$5)-ROW(Data!B359),-200),0,400,1)=Data!B359)*(OFFSET(Data!A359,MAX(ROW(Data!$B$5)-ROW(Data!B359),-200),0,400,1)=Data!A359))=1</f>
        <v>1</v>
      </c>
      <c r="Y359" s="26" t="b">
        <f t="array" aca="1" ref="Y359" ca="1">IF(UPPER(Data!C359)="START",SUM((OFFSET(Data!C359,MAX(ROW(Data!$C$5)-ROW(Data!C359),-200),0,400,1)="START")*(OFFSET(Data!A359,MAX(ROW(Data!$B$5)-ROW(Data!B359),-200),0,400,1)=Data!A359))=1,TRUE)</f>
        <v>1</v>
      </c>
      <c r="Z359" s="26" t="b">
        <f t="array" aca="1" ref="Z359" ca="1">IF(UPPER(Data!C359)="END",SUM((OFFSET(Data!C359,MAX(ROW(Data!$C$5)-ROW(Data!C359),-200),0,400,1)="END")*(OFFSET(Data!A359,MAX(ROW(Data!$B$5)-ROW(Data!B359),-200),0,400,1)=Data!A359))=1,TRUE)</f>
        <v>1</v>
      </c>
      <c r="AA359" s="26" t="b">
        <f>IF(Checks!C359,ISERROR(FIND("&amp;",Data!D359)),TRUE)</f>
        <v>1</v>
      </c>
      <c r="AB359" s="26" t="b">
        <f>IF(Checks!$C359,IF(AND(UPPER(Data!$C359)&lt;&gt;"START",UPPER(Data!$C359)&lt;&gt;"DATA OBJECT",Data!E359&lt;&gt;""),NOT(ISERROR(MATCH(Data!$A359&amp;"||"&amp;Data!E359,Key,0))),TRUE),TRUE)</f>
        <v>1</v>
      </c>
      <c r="AC359" s="27" t="b">
        <f>IF(Checks!C359,IF(UPPER(Data!C359)="END",Data!E359&lt;&gt;"",TRUE),TRUE)</f>
        <v>1</v>
      </c>
    </row>
    <row r="360" spans="1:29" x14ac:dyDescent="0.25">
      <c r="A360" s="1" t="str">
        <f>Data!A360&amp;"||"&amp;Data!B360</f>
        <v>Miscellaneous/subflow/irmifrs9_data_enrichment.bpmn||080_00_00</v>
      </c>
      <c r="B360" s="19"/>
      <c r="C360" s="24" t="b">
        <f>AND(UPPER(Data!A360)&lt;&gt;"EMPTY",Data!B360&lt;&gt;"")</f>
        <v>1</v>
      </c>
      <c r="D360" s="1"/>
      <c r="E360" s="25" t="b">
        <f t="shared" ca="1" si="10"/>
        <v>1</v>
      </c>
      <c r="F360" s="26" t="b">
        <f ca="1">IF(UPPER(Data!C360)="SUB PROCESS",NOT(ISERROR(MATCH(RIGHT(Data!BY360,LEN(Data!BY360)-5),OFFSET(Data,0,0,ItemsCount,1),0))),TRUE)</f>
        <v>1</v>
      </c>
      <c r="G360" s="26" t="b">
        <f ca="1">IF(MID(UPPER(Data!A360),1,13)="MISCELLANEOUS",NOT(ISERROR(MATCH("path="&amp;Data!A360,OFFSET(Data,0,76,ItemsCount,1),0))),TRUE)</f>
        <v>1</v>
      </c>
      <c r="L360" s="25" t="b">
        <f t="shared" ca="1" si="11"/>
        <v>1</v>
      </c>
      <c r="M360" s="24" t="b">
        <f>IF(Checks!$C360,Data!A360&lt;&gt;"",TRUE)</f>
        <v>1</v>
      </c>
      <c r="N360" s="26" t="b">
        <f>IF(Checks!C360,Data!B360&lt;&gt;"",TRUE)</f>
        <v>1</v>
      </c>
      <c r="O360" s="26" t="b">
        <f>IF(Checks!C360,IF(AND(UPPER(Data!C360)="SERVICE TASK",UPPER(Data!BZ360)="TYPE=SAS"),NodeExists(TRIM(RIGHT(Data!CA360,LEN(Data!CA360)-FIND("=",Data!CA360)))),TRUE),TRUE)</f>
        <v>1</v>
      </c>
      <c r="P360" s="26" t="b">
        <f>IF(Checks!C360,IF(Data!C360="DATA OBJECT",OR(AND(Data!BW360&lt;&gt;"",Data!BX360=""),AND(Data!BW360="",Data!BX360&lt;&gt;"")),TRUE),TRUE)</f>
        <v>1</v>
      </c>
      <c r="Q360" s="26" t="b">
        <f>IF(Checks!C360,UPPER(RIGHT(Data!A360,5))=".BPMN",TRUE)</f>
        <v>1</v>
      </c>
      <c r="R360" s="26" t="b">
        <f>IF(Checks!C360,IF(UPPER(Data!C360)="SUB PROCESS",UPPER(RIGHT(Data!BY360,5))=".BPMN",TRUE),TRUE)</f>
        <v>1</v>
      </c>
      <c r="S360" s="26" t="b">
        <f>IF(Checks!C360,IF(UPPER(Data!C360)="SERVICE TASK",IF(UPPER(Data!BZ360)="TYPE=SAS",UPPER(RIGHT(Data!CA360,4))=".SAS",TRUE),TRUE),TRUE)</f>
        <v>1</v>
      </c>
      <c r="T360" s="26" t="b">
        <f>IF(Checks!C360,IF(Data!B360&lt;&gt;"",Data!D360&lt;&gt;"",TRUE),TRUE)</f>
        <v>1</v>
      </c>
      <c r="U360" s="26" t="b">
        <f>IF(Checks!C360,IF(UPPER(Data!C360)="DATA OBJECT",NOT(ISERROR(MATCH(Data!A360&amp;"||"&amp;Data!BW360&amp;Data!BX360,Key,0))),TRUE),TRUE)</f>
        <v>1</v>
      </c>
      <c r="V360" s="26" t="b">
        <f>IF(Checks!C360,IF(UPPER(Data!C360)="SUB PROCESS",Data!BY360&lt;&gt;"",TRUE),TRUE)</f>
        <v>1</v>
      </c>
      <c r="W360" s="26" t="b">
        <f>IF(Checks!C360,IF(UPPER(Data!C360)="SERVICE TASK",AND(Data!BZ360&lt;&gt;"",Data!CA360&lt;&gt;""),TRUE),TRUE)</f>
        <v>1</v>
      </c>
      <c r="X360" s="26" t="b">
        <f t="array" aca="1" ref="X360" ca="1">SUM((OFFSET(Data!B360,MAX(ROW(Data!$B$5)-ROW(Data!B360),-200),0,400,1)=Data!B360)*(OFFSET(Data!A360,MAX(ROW(Data!$B$5)-ROW(Data!B360),-200),0,400,1)=Data!A360))=1</f>
        <v>1</v>
      </c>
      <c r="Y360" s="26" t="b">
        <f t="array" aca="1" ref="Y360" ca="1">IF(UPPER(Data!C360)="START",SUM((OFFSET(Data!C360,MAX(ROW(Data!$C$5)-ROW(Data!C360),-200),0,400,1)="START")*(OFFSET(Data!A360,MAX(ROW(Data!$B$5)-ROW(Data!B360),-200),0,400,1)=Data!A360))=1,TRUE)</f>
        <v>1</v>
      </c>
      <c r="Z360" s="26" t="b">
        <f t="array" aca="1" ref="Z360" ca="1">IF(UPPER(Data!C360)="END",SUM((OFFSET(Data!C360,MAX(ROW(Data!$C$5)-ROW(Data!C360),-200),0,400,1)="END")*(OFFSET(Data!A360,MAX(ROW(Data!$B$5)-ROW(Data!B360),-200),0,400,1)=Data!A360))=1,TRUE)</f>
        <v>1</v>
      </c>
      <c r="AA360" s="26" t="b">
        <f>IF(Checks!C360,ISERROR(FIND("&amp;",Data!D360)),TRUE)</f>
        <v>1</v>
      </c>
      <c r="AB360" s="26" t="b">
        <f ca="1">IF(Checks!$C360,IF(AND(UPPER(Data!$C360)&lt;&gt;"START",UPPER(Data!$C360)&lt;&gt;"DATA OBJECT",Data!E360&lt;&gt;""),NOT(ISERROR(MATCH(Data!$A360&amp;"||"&amp;Data!E360,Key,0))),TRUE),TRUE)</f>
        <v>1</v>
      </c>
      <c r="AC360" s="27" t="b">
        <f>IF(Checks!C360,IF(UPPER(Data!C360)="END",Data!E360&lt;&gt;"",TRUE),TRUE)</f>
        <v>1</v>
      </c>
    </row>
    <row r="361" spans="1:29" x14ac:dyDescent="0.25">
      <c r="A361" s="1" t="str">
        <f>Data!A361&amp;"||"&amp;Data!B361</f>
        <v>Miscellaneous/subflow/irmifrs9_data_enrichment.bpmn||080_00_01</v>
      </c>
      <c r="B361" s="19"/>
      <c r="C361" s="24" t="b">
        <f>AND(UPPER(Data!A361)&lt;&gt;"EMPTY",Data!B361&lt;&gt;"")</f>
        <v>1</v>
      </c>
      <c r="D361" s="1"/>
      <c r="E361" s="25" t="b">
        <f t="shared" ca="1" si="10"/>
        <v>1</v>
      </c>
      <c r="F361" s="26" t="b">
        <f ca="1">IF(UPPER(Data!C361)="SUB PROCESS",NOT(ISERROR(MATCH(RIGHT(Data!BY361,LEN(Data!BY361)-5),OFFSET(Data,0,0,ItemsCount,1),0))),TRUE)</f>
        <v>1</v>
      </c>
      <c r="G361" s="26" t="b">
        <f ca="1">IF(MID(UPPER(Data!A361),1,13)="MISCELLANEOUS",NOT(ISERROR(MATCH("path="&amp;Data!A361,OFFSET(Data,0,76,ItemsCount,1),0))),TRUE)</f>
        <v>1</v>
      </c>
      <c r="L361" s="25" t="b">
        <f t="shared" ca="1" si="11"/>
        <v>1</v>
      </c>
      <c r="M361" s="24" t="b">
        <f>IF(Checks!$C361,Data!A361&lt;&gt;"",TRUE)</f>
        <v>1</v>
      </c>
      <c r="N361" s="26" t="b">
        <f>IF(Checks!C361,Data!B361&lt;&gt;"",TRUE)</f>
        <v>1</v>
      </c>
      <c r="O361" s="26" t="b">
        <f>IF(Checks!C361,IF(AND(UPPER(Data!C361)="SERVICE TASK",UPPER(Data!BZ361)="TYPE=SAS"),NodeExists(TRIM(RIGHT(Data!CA361,LEN(Data!CA361)-FIND("=",Data!CA361)))),TRUE),TRUE)</f>
        <v>1</v>
      </c>
      <c r="P361" s="26" t="b">
        <f>IF(Checks!C361,IF(Data!C361="DATA OBJECT",OR(AND(Data!BW361&lt;&gt;"",Data!BX361=""),AND(Data!BW361="",Data!BX361&lt;&gt;"")),TRUE),TRUE)</f>
        <v>1</v>
      </c>
      <c r="Q361" s="26" t="b">
        <f>IF(Checks!C361,UPPER(RIGHT(Data!A361,5))=".BPMN",TRUE)</f>
        <v>1</v>
      </c>
      <c r="R361" s="26" t="b">
        <f>IF(Checks!C361,IF(UPPER(Data!C361)="SUB PROCESS",UPPER(RIGHT(Data!BY361,5))=".BPMN",TRUE),TRUE)</f>
        <v>1</v>
      </c>
      <c r="S361" s="26" t="b">
        <f>IF(Checks!C361,IF(UPPER(Data!C361)="SERVICE TASK",IF(UPPER(Data!BZ361)="TYPE=SAS",UPPER(RIGHT(Data!CA361,4))=".SAS",TRUE),TRUE),TRUE)</f>
        <v>1</v>
      </c>
      <c r="T361" s="26" t="b">
        <f>IF(Checks!C361,IF(Data!B361&lt;&gt;"",Data!D361&lt;&gt;"",TRUE),TRUE)</f>
        <v>1</v>
      </c>
      <c r="U361" s="26" t="b">
        <f ca="1">IF(Checks!C361,IF(UPPER(Data!C361)="DATA OBJECT",NOT(ISERROR(MATCH(Data!A361&amp;"||"&amp;Data!BW361&amp;Data!BX361,Key,0))),TRUE),TRUE)</f>
        <v>1</v>
      </c>
      <c r="V361" s="26" t="b">
        <f>IF(Checks!C361,IF(UPPER(Data!C361)="SUB PROCESS",Data!BY361&lt;&gt;"",TRUE),TRUE)</f>
        <v>1</v>
      </c>
      <c r="W361" s="26" t="b">
        <f>IF(Checks!C361,IF(UPPER(Data!C361)="SERVICE TASK",AND(Data!BZ361&lt;&gt;"",Data!CA361&lt;&gt;""),TRUE),TRUE)</f>
        <v>1</v>
      </c>
      <c r="X361" s="26" t="b">
        <f t="array" aca="1" ref="X361" ca="1">SUM((OFFSET(Data!B361,MAX(ROW(Data!$B$5)-ROW(Data!B361),-200),0,400,1)=Data!B361)*(OFFSET(Data!A361,MAX(ROW(Data!$B$5)-ROW(Data!B361),-200),0,400,1)=Data!A361))=1</f>
        <v>1</v>
      </c>
      <c r="Y361" s="26" t="b">
        <f t="array" aca="1" ref="Y361" ca="1">IF(UPPER(Data!C361)="START",SUM((OFFSET(Data!C361,MAX(ROW(Data!$C$5)-ROW(Data!C361),-200),0,400,1)="START")*(OFFSET(Data!A361,MAX(ROW(Data!$B$5)-ROW(Data!B361),-200),0,400,1)=Data!A361))=1,TRUE)</f>
        <v>1</v>
      </c>
      <c r="Z361" s="26" t="b">
        <f t="array" aca="1" ref="Z361" ca="1">IF(UPPER(Data!C361)="END",SUM((OFFSET(Data!C361,MAX(ROW(Data!$C$5)-ROW(Data!C361),-200),0,400,1)="END")*(OFFSET(Data!A361,MAX(ROW(Data!$B$5)-ROW(Data!B361),-200),0,400,1)=Data!A361))=1,TRUE)</f>
        <v>1</v>
      </c>
      <c r="AA361" s="26" t="b">
        <f>IF(Checks!C361,ISERROR(FIND("&amp;",Data!D361)),TRUE)</f>
        <v>1</v>
      </c>
      <c r="AB361" s="26" t="b">
        <f>IF(Checks!$C361,IF(AND(UPPER(Data!$C361)&lt;&gt;"START",UPPER(Data!$C361)&lt;&gt;"DATA OBJECT",Data!E361&lt;&gt;""),NOT(ISERROR(MATCH(Data!$A361&amp;"||"&amp;Data!E361,Key,0))),TRUE),TRUE)</f>
        <v>1</v>
      </c>
      <c r="AC361" s="27" t="b">
        <f>IF(Checks!C361,IF(UPPER(Data!C361)="END",Data!E361&lt;&gt;"",TRUE),TRUE)</f>
        <v>1</v>
      </c>
    </row>
    <row r="362" spans="1:29" x14ac:dyDescent="0.25">
      <c r="A362" s="1" t="str">
        <f>Data!A362&amp;"||"&amp;Data!B362</f>
        <v>Miscellaneous/subflow/irmifrs9_data_enrichment.bpmn||080_00_02</v>
      </c>
      <c r="B362" s="19"/>
      <c r="C362" s="24" t="b">
        <f>AND(UPPER(Data!A362)&lt;&gt;"EMPTY",Data!B362&lt;&gt;"")</f>
        <v>1</v>
      </c>
      <c r="D362" s="1"/>
      <c r="E362" s="25" t="b">
        <f t="shared" ca="1" si="10"/>
        <v>1</v>
      </c>
      <c r="F362" s="26" t="b">
        <f ca="1">IF(UPPER(Data!C362)="SUB PROCESS",NOT(ISERROR(MATCH(RIGHT(Data!BY362,LEN(Data!BY362)-5),OFFSET(Data,0,0,ItemsCount,1),0))),TRUE)</f>
        <v>1</v>
      </c>
      <c r="G362" s="26" t="b">
        <f ca="1">IF(MID(UPPER(Data!A362),1,13)="MISCELLANEOUS",NOT(ISERROR(MATCH("path="&amp;Data!A362,OFFSET(Data,0,76,ItemsCount,1),0))),TRUE)</f>
        <v>1</v>
      </c>
      <c r="L362" s="25" t="b">
        <f t="shared" ca="1" si="11"/>
        <v>1</v>
      </c>
      <c r="M362" s="24" t="b">
        <f>IF(Checks!$C362,Data!A362&lt;&gt;"",TRUE)</f>
        <v>1</v>
      </c>
      <c r="N362" s="26" t="b">
        <f>IF(Checks!C362,Data!B362&lt;&gt;"",TRUE)</f>
        <v>1</v>
      </c>
      <c r="O362" s="26" t="b">
        <f>IF(Checks!C362,IF(AND(UPPER(Data!C362)="SERVICE TASK",UPPER(Data!BZ362)="TYPE=SAS"),NodeExists(TRIM(RIGHT(Data!CA362,LEN(Data!CA362)-FIND("=",Data!CA362)))),TRUE),TRUE)</f>
        <v>1</v>
      </c>
      <c r="P362" s="26" t="b">
        <f>IF(Checks!C362,IF(Data!C362="DATA OBJECT",OR(AND(Data!BW362&lt;&gt;"",Data!BX362=""),AND(Data!BW362="",Data!BX362&lt;&gt;"")),TRUE),TRUE)</f>
        <v>1</v>
      </c>
      <c r="Q362" s="26" t="b">
        <f>IF(Checks!C362,UPPER(RIGHT(Data!A362,5))=".BPMN",TRUE)</f>
        <v>1</v>
      </c>
      <c r="R362" s="26" t="b">
        <f>IF(Checks!C362,IF(UPPER(Data!C362)="SUB PROCESS",UPPER(RIGHT(Data!BY362,5))=".BPMN",TRUE),TRUE)</f>
        <v>1</v>
      </c>
      <c r="S362" s="26" t="b">
        <f>IF(Checks!C362,IF(UPPER(Data!C362)="SERVICE TASK",IF(UPPER(Data!BZ362)="TYPE=SAS",UPPER(RIGHT(Data!CA362,4))=".SAS",TRUE),TRUE),TRUE)</f>
        <v>1</v>
      </c>
      <c r="T362" s="26" t="b">
        <f>IF(Checks!C362,IF(Data!B362&lt;&gt;"",Data!D362&lt;&gt;"",TRUE),TRUE)</f>
        <v>1</v>
      </c>
      <c r="U362" s="26" t="b">
        <f ca="1">IF(Checks!C362,IF(UPPER(Data!C362)="DATA OBJECT",NOT(ISERROR(MATCH(Data!A362&amp;"||"&amp;Data!BW362&amp;Data!BX362,Key,0))),TRUE),TRUE)</f>
        <v>1</v>
      </c>
      <c r="V362" s="26" t="b">
        <f>IF(Checks!C362,IF(UPPER(Data!C362)="SUB PROCESS",Data!BY362&lt;&gt;"",TRUE),TRUE)</f>
        <v>1</v>
      </c>
      <c r="W362" s="26" t="b">
        <f>IF(Checks!C362,IF(UPPER(Data!C362)="SERVICE TASK",AND(Data!BZ362&lt;&gt;"",Data!CA362&lt;&gt;""),TRUE),TRUE)</f>
        <v>1</v>
      </c>
      <c r="X362" s="26" t="b">
        <f t="array" aca="1" ref="X362" ca="1">SUM((OFFSET(Data!B362,MAX(ROW(Data!$B$5)-ROW(Data!B362),-200),0,400,1)=Data!B362)*(OFFSET(Data!A362,MAX(ROW(Data!$B$5)-ROW(Data!B362),-200),0,400,1)=Data!A362))=1</f>
        <v>1</v>
      </c>
      <c r="Y362" s="26" t="b">
        <f t="array" aca="1" ref="Y362" ca="1">IF(UPPER(Data!C362)="START",SUM((OFFSET(Data!C362,MAX(ROW(Data!$C$5)-ROW(Data!C362),-200),0,400,1)="START")*(OFFSET(Data!A362,MAX(ROW(Data!$B$5)-ROW(Data!B362),-200),0,400,1)=Data!A362))=1,TRUE)</f>
        <v>1</v>
      </c>
      <c r="Z362" s="26" t="b">
        <f t="array" aca="1" ref="Z362" ca="1">IF(UPPER(Data!C362)="END",SUM((OFFSET(Data!C362,MAX(ROW(Data!$C$5)-ROW(Data!C362),-200),0,400,1)="END")*(OFFSET(Data!A362,MAX(ROW(Data!$B$5)-ROW(Data!B362),-200),0,400,1)=Data!A362))=1,TRUE)</f>
        <v>1</v>
      </c>
      <c r="AA362" s="26" t="b">
        <f>IF(Checks!C362,ISERROR(FIND("&amp;",Data!D362)),TRUE)</f>
        <v>1</v>
      </c>
      <c r="AB362" s="26" t="b">
        <f>IF(Checks!$C362,IF(AND(UPPER(Data!$C362)&lt;&gt;"START",UPPER(Data!$C362)&lt;&gt;"DATA OBJECT",Data!E362&lt;&gt;""),NOT(ISERROR(MATCH(Data!$A362&amp;"||"&amp;Data!E362,Key,0))),TRUE),TRUE)</f>
        <v>1</v>
      </c>
      <c r="AC362" s="27" t="b">
        <f>IF(Checks!C362,IF(UPPER(Data!C362)="END",Data!E362&lt;&gt;"",TRUE),TRUE)</f>
        <v>1</v>
      </c>
    </row>
    <row r="363" spans="1:29" x14ac:dyDescent="0.25">
      <c r="A363" s="1" t="str">
        <f>Data!A363&amp;"||"&amp;Data!B363</f>
        <v>Miscellaneous/subflow/irmifrs9_data_enrichment.bpmn||080_00_03</v>
      </c>
      <c r="B363" s="19"/>
      <c r="C363" s="24" t="b">
        <f>AND(UPPER(Data!A363)&lt;&gt;"EMPTY",Data!B363&lt;&gt;"")</f>
        <v>1</v>
      </c>
      <c r="D363" s="1"/>
      <c r="E363" s="25" t="b">
        <f t="shared" ca="1" si="10"/>
        <v>1</v>
      </c>
      <c r="F363" s="26" t="b">
        <f ca="1">IF(UPPER(Data!C363)="SUB PROCESS",NOT(ISERROR(MATCH(RIGHT(Data!BY363,LEN(Data!BY363)-5),OFFSET(Data,0,0,ItemsCount,1),0))),TRUE)</f>
        <v>1</v>
      </c>
      <c r="G363" s="26" t="b">
        <f ca="1">IF(MID(UPPER(Data!A363),1,13)="MISCELLANEOUS",NOT(ISERROR(MATCH("path="&amp;Data!A363,OFFSET(Data,0,76,ItemsCount,1),0))),TRUE)</f>
        <v>1</v>
      </c>
      <c r="L363" s="25" t="b">
        <f t="shared" ca="1" si="11"/>
        <v>1</v>
      </c>
      <c r="M363" s="24" t="b">
        <f>IF(Checks!$C363,Data!A363&lt;&gt;"",TRUE)</f>
        <v>1</v>
      </c>
      <c r="N363" s="26" t="b">
        <f>IF(Checks!C363,Data!B363&lt;&gt;"",TRUE)</f>
        <v>1</v>
      </c>
      <c r="O363" s="26" t="b">
        <f>IF(Checks!C363,IF(AND(UPPER(Data!C363)="SERVICE TASK",UPPER(Data!BZ363)="TYPE=SAS"),NodeExists(TRIM(RIGHT(Data!CA363,LEN(Data!CA363)-FIND("=",Data!CA363)))),TRUE),TRUE)</f>
        <v>1</v>
      </c>
      <c r="P363" s="26" t="b">
        <f>IF(Checks!C363,IF(Data!C363="DATA OBJECT",OR(AND(Data!BW363&lt;&gt;"",Data!BX363=""),AND(Data!BW363="",Data!BX363&lt;&gt;"")),TRUE),TRUE)</f>
        <v>1</v>
      </c>
      <c r="Q363" s="26" t="b">
        <f>IF(Checks!C363,UPPER(RIGHT(Data!A363,5))=".BPMN",TRUE)</f>
        <v>1</v>
      </c>
      <c r="R363" s="26" t="b">
        <f>IF(Checks!C363,IF(UPPER(Data!C363)="SUB PROCESS",UPPER(RIGHT(Data!BY363,5))=".BPMN",TRUE),TRUE)</f>
        <v>1</v>
      </c>
      <c r="S363" s="26" t="b">
        <f>IF(Checks!C363,IF(UPPER(Data!C363)="SERVICE TASK",IF(UPPER(Data!BZ363)="TYPE=SAS",UPPER(RIGHT(Data!CA363,4))=".SAS",TRUE),TRUE),TRUE)</f>
        <v>1</v>
      </c>
      <c r="T363" s="26" t="b">
        <f>IF(Checks!C363,IF(Data!B363&lt;&gt;"",Data!D363&lt;&gt;"",TRUE),TRUE)</f>
        <v>1</v>
      </c>
      <c r="U363" s="26" t="b">
        <f ca="1">IF(Checks!C363,IF(UPPER(Data!C363)="DATA OBJECT",NOT(ISERROR(MATCH(Data!A363&amp;"||"&amp;Data!BW363&amp;Data!BX363,Key,0))),TRUE),TRUE)</f>
        <v>1</v>
      </c>
      <c r="V363" s="26" t="b">
        <f>IF(Checks!C363,IF(UPPER(Data!C363)="SUB PROCESS",Data!BY363&lt;&gt;"",TRUE),TRUE)</f>
        <v>1</v>
      </c>
      <c r="W363" s="26" t="b">
        <f>IF(Checks!C363,IF(UPPER(Data!C363)="SERVICE TASK",AND(Data!BZ363&lt;&gt;"",Data!CA363&lt;&gt;""),TRUE),TRUE)</f>
        <v>1</v>
      </c>
      <c r="X363" s="26" t="b">
        <f t="array" aca="1" ref="X363" ca="1">SUM((OFFSET(Data!B363,MAX(ROW(Data!$B$5)-ROW(Data!B363),-200),0,400,1)=Data!B363)*(OFFSET(Data!A363,MAX(ROW(Data!$B$5)-ROW(Data!B363),-200),0,400,1)=Data!A363))=1</f>
        <v>1</v>
      </c>
      <c r="Y363" s="26" t="b">
        <f t="array" aca="1" ref="Y363" ca="1">IF(UPPER(Data!C363)="START",SUM((OFFSET(Data!C363,MAX(ROW(Data!$C$5)-ROW(Data!C363),-200),0,400,1)="START")*(OFFSET(Data!A363,MAX(ROW(Data!$B$5)-ROW(Data!B363),-200),0,400,1)=Data!A363))=1,TRUE)</f>
        <v>1</v>
      </c>
      <c r="Z363" s="26" t="b">
        <f t="array" aca="1" ref="Z363" ca="1">IF(UPPER(Data!C363)="END",SUM((OFFSET(Data!C363,MAX(ROW(Data!$C$5)-ROW(Data!C363),-200),0,400,1)="END")*(OFFSET(Data!A363,MAX(ROW(Data!$B$5)-ROW(Data!B363),-200),0,400,1)=Data!A363))=1,TRUE)</f>
        <v>1</v>
      </c>
      <c r="AA363" s="26" t="b">
        <f>IF(Checks!C363,ISERROR(FIND("&amp;",Data!D363)),TRUE)</f>
        <v>1</v>
      </c>
      <c r="AB363" s="26" t="b">
        <f>IF(Checks!$C363,IF(AND(UPPER(Data!$C363)&lt;&gt;"START",UPPER(Data!$C363)&lt;&gt;"DATA OBJECT",Data!E363&lt;&gt;""),NOT(ISERROR(MATCH(Data!$A363&amp;"||"&amp;Data!E363,Key,0))),TRUE),TRUE)</f>
        <v>1</v>
      </c>
      <c r="AC363" s="27" t="b">
        <f>IF(Checks!C363,IF(UPPER(Data!C363)="END",Data!E363&lt;&gt;"",TRUE),TRUE)</f>
        <v>1</v>
      </c>
    </row>
    <row r="364" spans="1:29" x14ac:dyDescent="0.25">
      <c r="A364" s="1" t="str">
        <f>Data!A364&amp;"||"&amp;Data!B364</f>
        <v>Miscellaneous/subflow/irmifrs9_data_enrichment.bpmn||080_00_04</v>
      </c>
      <c r="B364" s="19"/>
      <c r="C364" s="24" t="b">
        <f>AND(UPPER(Data!A364)&lt;&gt;"EMPTY",Data!B364&lt;&gt;"")</f>
        <v>1</v>
      </c>
      <c r="D364" s="1"/>
      <c r="E364" s="25" t="b">
        <f t="shared" ca="1" si="10"/>
        <v>1</v>
      </c>
      <c r="F364" s="26" t="b">
        <f ca="1">IF(UPPER(Data!C364)="SUB PROCESS",NOT(ISERROR(MATCH(RIGHT(Data!BY364,LEN(Data!BY364)-5),OFFSET(Data,0,0,ItemsCount,1),0))),TRUE)</f>
        <v>1</v>
      </c>
      <c r="G364" s="26" t="b">
        <f ca="1">IF(MID(UPPER(Data!A364),1,13)="MISCELLANEOUS",NOT(ISERROR(MATCH("path="&amp;Data!A364,OFFSET(Data,0,76,ItemsCount,1),0))),TRUE)</f>
        <v>1</v>
      </c>
      <c r="L364" s="25" t="b">
        <f t="shared" ca="1" si="11"/>
        <v>1</v>
      </c>
      <c r="M364" s="24" t="b">
        <f>IF(Checks!$C364,Data!A364&lt;&gt;"",TRUE)</f>
        <v>1</v>
      </c>
      <c r="N364" s="26" t="b">
        <f>IF(Checks!C364,Data!B364&lt;&gt;"",TRUE)</f>
        <v>1</v>
      </c>
      <c r="O364" s="26" t="b">
        <f>IF(Checks!C364,IF(AND(UPPER(Data!C364)="SERVICE TASK",UPPER(Data!BZ364)="TYPE=SAS"),NodeExists(TRIM(RIGHT(Data!CA364,LEN(Data!CA364)-FIND("=",Data!CA364)))),TRUE),TRUE)</f>
        <v>1</v>
      </c>
      <c r="P364" s="26" t="b">
        <f>IF(Checks!C364,IF(Data!C364="DATA OBJECT",OR(AND(Data!BW364&lt;&gt;"",Data!BX364=""),AND(Data!BW364="",Data!BX364&lt;&gt;"")),TRUE),TRUE)</f>
        <v>1</v>
      </c>
      <c r="Q364" s="26" t="b">
        <f>IF(Checks!C364,UPPER(RIGHT(Data!A364,5))=".BPMN",TRUE)</f>
        <v>1</v>
      </c>
      <c r="R364" s="26" t="b">
        <f>IF(Checks!C364,IF(UPPER(Data!C364)="SUB PROCESS",UPPER(RIGHT(Data!BY364,5))=".BPMN",TRUE),TRUE)</f>
        <v>1</v>
      </c>
      <c r="S364" s="26" t="b">
        <f>IF(Checks!C364,IF(UPPER(Data!C364)="SERVICE TASK",IF(UPPER(Data!BZ364)="TYPE=SAS",UPPER(RIGHT(Data!CA364,4))=".SAS",TRUE),TRUE),TRUE)</f>
        <v>1</v>
      </c>
      <c r="T364" s="26" t="b">
        <f>IF(Checks!C364,IF(Data!B364&lt;&gt;"",Data!D364&lt;&gt;"",TRUE),TRUE)</f>
        <v>1</v>
      </c>
      <c r="U364" s="26" t="b">
        <f ca="1">IF(Checks!C364,IF(UPPER(Data!C364)="DATA OBJECT",NOT(ISERROR(MATCH(Data!A364&amp;"||"&amp;Data!BW364&amp;Data!BX364,Key,0))),TRUE),TRUE)</f>
        <v>1</v>
      </c>
      <c r="V364" s="26" t="b">
        <f>IF(Checks!C364,IF(UPPER(Data!C364)="SUB PROCESS",Data!BY364&lt;&gt;"",TRUE),TRUE)</f>
        <v>1</v>
      </c>
      <c r="W364" s="26" t="b">
        <f>IF(Checks!C364,IF(UPPER(Data!C364)="SERVICE TASK",AND(Data!BZ364&lt;&gt;"",Data!CA364&lt;&gt;""),TRUE),TRUE)</f>
        <v>1</v>
      </c>
      <c r="X364" s="26" t="b">
        <f t="array" aca="1" ref="X364" ca="1">SUM((OFFSET(Data!B364,MAX(ROW(Data!$B$5)-ROW(Data!B364),-200),0,400,1)=Data!B364)*(OFFSET(Data!A364,MAX(ROW(Data!$B$5)-ROW(Data!B364),-200),0,400,1)=Data!A364))=1</f>
        <v>1</v>
      </c>
      <c r="Y364" s="26" t="b">
        <f t="array" aca="1" ref="Y364" ca="1">IF(UPPER(Data!C364)="START",SUM((OFFSET(Data!C364,MAX(ROW(Data!$C$5)-ROW(Data!C364),-200),0,400,1)="START")*(OFFSET(Data!A364,MAX(ROW(Data!$B$5)-ROW(Data!B364),-200),0,400,1)=Data!A364))=1,TRUE)</f>
        <v>1</v>
      </c>
      <c r="Z364" s="26" t="b">
        <f t="array" aca="1" ref="Z364" ca="1">IF(UPPER(Data!C364)="END",SUM((OFFSET(Data!C364,MAX(ROW(Data!$C$5)-ROW(Data!C364),-200),0,400,1)="END")*(OFFSET(Data!A364,MAX(ROW(Data!$B$5)-ROW(Data!B364),-200),0,400,1)=Data!A364))=1,TRUE)</f>
        <v>1</v>
      </c>
      <c r="AA364" s="26" t="b">
        <f>IF(Checks!C364,ISERROR(FIND("&amp;",Data!D364)),TRUE)</f>
        <v>1</v>
      </c>
      <c r="AB364" s="26" t="b">
        <f>IF(Checks!$C364,IF(AND(UPPER(Data!$C364)&lt;&gt;"START",UPPER(Data!$C364)&lt;&gt;"DATA OBJECT",Data!E364&lt;&gt;""),NOT(ISERROR(MATCH(Data!$A364&amp;"||"&amp;Data!E364,Key,0))),TRUE),TRUE)</f>
        <v>1</v>
      </c>
      <c r="AC364" s="27" t="b">
        <f>IF(Checks!C364,IF(UPPER(Data!C364)="END",Data!E364&lt;&gt;"",TRUE),TRUE)</f>
        <v>1</v>
      </c>
    </row>
    <row r="365" spans="1:29" x14ac:dyDescent="0.25">
      <c r="A365" s="1" t="str">
        <f>Data!A365&amp;"||"&amp;Data!B365</f>
        <v>Miscellaneous/subflow/irmifrs9_data_enrichment.bpmn||080_00_05</v>
      </c>
      <c r="B365" s="19"/>
      <c r="C365" s="24" t="b">
        <f>AND(UPPER(Data!A365)&lt;&gt;"EMPTY",Data!B365&lt;&gt;"")</f>
        <v>1</v>
      </c>
      <c r="D365" s="1"/>
      <c r="E365" s="25" t="b">
        <f t="shared" ca="1" si="10"/>
        <v>1</v>
      </c>
      <c r="F365" s="26" t="b">
        <f ca="1">IF(UPPER(Data!C365)="SUB PROCESS",NOT(ISERROR(MATCH(RIGHT(Data!BY365,LEN(Data!BY365)-5),OFFSET(Data,0,0,ItemsCount,1),0))),TRUE)</f>
        <v>1</v>
      </c>
      <c r="G365" s="26" t="b">
        <f ca="1">IF(MID(UPPER(Data!A365),1,13)="MISCELLANEOUS",NOT(ISERROR(MATCH("path="&amp;Data!A365,OFFSET(Data,0,76,ItemsCount,1),0))),TRUE)</f>
        <v>1</v>
      </c>
      <c r="L365" s="25" t="b">
        <f t="shared" ca="1" si="11"/>
        <v>1</v>
      </c>
      <c r="M365" s="24" t="b">
        <f>IF(Checks!$C365,Data!A365&lt;&gt;"",TRUE)</f>
        <v>1</v>
      </c>
      <c r="N365" s="26" t="b">
        <f>IF(Checks!C365,Data!B365&lt;&gt;"",TRUE)</f>
        <v>1</v>
      </c>
      <c r="O365" s="26" t="b">
        <f>IF(Checks!C365,IF(AND(UPPER(Data!C365)="SERVICE TASK",UPPER(Data!BZ365)="TYPE=SAS"),NodeExists(TRIM(RIGHT(Data!CA365,LEN(Data!CA365)-FIND("=",Data!CA365)))),TRUE),TRUE)</f>
        <v>1</v>
      </c>
      <c r="P365" s="26" t="b">
        <f>IF(Checks!C365,IF(Data!C365="DATA OBJECT",OR(AND(Data!BW365&lt;&gt;"",Data!BX365=""),AND(Data!BW365="",Data!BX365&lt;&gt;"")),TRUE),TRUE)</f>
        <v>1</v>
      </c>
      <c r="Q365" s="26" t="b">
        <f>IF(Checks!C365,UPPER(RIGHT(Data!A365,5))=".BPMN",TRUE)</f>
        <v>1</v>
      </c>
      <c r="R365" s="26" t="b">
        <f>IF(Checks!C365,IF(UPPER(Data!C365)="SUB PROCESS",UPPER(RIGHT(Data!BY365,5))=".BPMN",TRUE),TRUE)</f>
        <v>1</v>
      </c>
      <c r="S365" s="26" t="b">
        <f>IF(Checks!C365,IF(UPPER(Data!C365)="SERVICE TASK",IF(UPPER(Data!BZ365)="TYPE=SAS",UPPER(RIGHT(Data!CA365,4))=".SAS",TRUE),TRUE),TRUE)</f>
        <v>1</v>
      </c>
      <c r="T365" s="26" t="b">
        <f>IF(Checks!C365,IF(Data!B365&lt;&gt;"",Data!D365&lt;&gt;"",TRUE),TRUE)</f>
        <v>1</v>
      </c>
      <c r="U365" s="26" t="b">
        <f ca="1">IF(Checks!C365,IF(UPPER(Data!C365)="DATA OBJECT",NOT(ISERROR(MATCH(Data!A365&amp;"||"&amp;Data!BW365&amp;Data!BX365,Key,0))),TRUE),TRUE)</f>
        <v>1</v>
      </c>
      <c r="V365" s="26" t="b">
        <f>IF(Checks!C365,IF(UPPER(Data!C365)="SUB PROCESS",Data!BY365&lt;&gt;"",TRUE),TRUE)</f>
        <v>1</v>
      </c>
      <c r="W365" s="26" t="b">
        <f>IF(Checks!C365,IF(UPPER(Data!C365)="SERVICE TASK",AND(Data!BZ365&lt;&gt;"",Data!CA365&lt;&gt;""),TRUE),TRUE)</f>
        <v>1</v>
      </c>
      <c r="X365" s="26" t="b">
        <f t="array" aca="1" ref="X365" ca="1">SUM((OFFSET(Data!B365,MAX(ROW(Data!$B$5)-ROW(Data!B365),-200),0,400,1)=Data!B365)*(OFFSET(Data!A365,MAX(ROW(Data!$B$5)-ROW(Data!B365),-200),0,400,1)=Data!A365))=1</f>
        <v>1</v>
      </c>
      <c r="Y365" s="26" t="b">
        <f t="array" aca="1" ref="Y365" ca="1">IF(UPPER(Data!C365)="START",SUM((OFFSET(Data!C365,MAX(ROW(Data!$C$5)-ROW(Data!C365),-200),0,400,1)="START")*(OFFSET(Data!A365,MAX(ROW(Data!$B$5)-ROW(Data!B365),-200),0,400,1)=Data!A365))=1,TRUE)</f>
        <v>1</v>
      </c>
      <c r="Z365" s="26" t="b">
        <f t="array" aca="1" ref="Z365" ca="1">IF(UPPER(Data!C365)="END",SUM((OFFSET(Data!C365,MAX(ROW(Data!$C$5)-ROW(Data!C365),-200),0,400,1)="END")*(OFFSET(Data!A365,MAX(ROW(Data!$B$5)-ROW(Data!B365),-200),0,400,1)=Data!A365))=1,TRUE)</f>
        <v>1</v>
      </c>
      <c r="AA365" s="26" t="b">
        <f>IF(Checks!C365,ISERROR(FIND("&amp;",Data!D365)),TRUE)</f>
        <v>1</v>
      </c>
      <c r="AB365" s="26" t="b">
        <f>IF(Checks!$C365,IF(AND(UPPER(Data!$C365)&lt;&gt;"START",UPPER(Data!$C365)&lt;&gt;"DATA OBJECT",Data!E365&lt;&gt;""),NOT(ISERROR(MATCH(Data!$A365&amp;"||"&amp;Data!E365,Key,0))),TRUE),TRUE)</f>
        <v>1</v>
      </c>
      <c r="AC365" s="27" t="b">
        <f>IF(Checks!C365,IF(UPPER(Data!C365)="END",Data!E365&lt;&gt;"",TRUE),TRUE)</f>
        <v>1</v>
      </c>
    </row>
    <row r="366" spans="1:29" x14ac:dyDescent="0.25">
      <c r="A366" s="1" t="str">
        <f>Data!A366&amp;"||"&amp;Data!B366</f>
        <v>Miscellaneous/subflow/irmifrs9_data_enrichment.bpmn||080_00_06</v>
      </c>
      <c r="B366" s="19"/>
      <c r="C366" s="24" t="b">
        <f>AND(UPPER(Data!A366)&lt;&gt;"EMPTY",Data!B366&lt;&gt;"")</f>
        <v>1</v>
      </c>
      <c r="D366" s="1"/>
      <c r="E366" s="25" t="b">
        <f t="shared" ca="1" si="10"/>
        <v>1</v>
      </c>
      <c r="F366" s="26" t="b">
        <f ca="1">IF(UPPER(Data!C366)="SUB PROCESS",NOT(ISERROR(MATCH(RIGHT(Data!BY366,LEN(Data!BY366)-5),OFFSET(Data,0,0,ItemsCount,1),0))),TRUE)</f>
        <v>1</v>
      </c>
      <c r="G366" s="26" t="b">
        <f ca="1">IF(MID(UPPER(Data!A366),1,13)="MISCELLANEOUS",NOT(ISERROR(MATCH("path="&amp;Data!A366,OFFSET(Data,0,76,ItemsCount,1),0))),TRUE)</f>
        <v>1</v>
      </c>
      <c r="L366" s="25" t="b">
        <f t="shared" ca="1" si="11"/>
        <v>1</v>
      </c>
      <c r="M366" s="24" t="b">
        <f>IF(Checks!$C366,Data!A366&lt;&gt;"",TRUE)</f>
        <v>1</v>
      </c>
      <c r="N366" s="26" t="b">
        <f>IF(Checks!C366,Data!B366&lt;&gt;"",TRUE)</f>
        <v>1</v>
      </c>
      <c r="O366" s="26" t="b">
        <f>IF(Checks!C366,IF(AND(UPPER(Data!C366)="SERVICE TASK",UPPER(Data!BZ366)="TYPE=SAS"),NodeExists(TRIM(RIGHT(Data!CA366,LEN(Data!CA366)-FIND("=",Data!CA366)))),TRUE),TRUE)</f>
        <v>1</v>
      </c>
      <c r="P366" s="26" t="b">
        <f>IF(Checks!C366,IF(Data!C366="DATA OBJECT",OR(AND(Data!BW366&lt;&gt;"",Data!BX366=""),AND(Data!BW366="",Data!BX366&lt;&gt;"")),TRUE),TRUE)</f>
        <v>1</v>
      </c>
      <c r="Q366" s="26" t="b">
        <f>IF(Checks!C366,UPPER(RIGHT(Data!A366,5))=".BPMN",TRUE)</f>
        <v>1</v>
      </c>
      <c r="R366" s="26" t="b">
        <f>IF(Checks!C366,IF(UPPER(Data!C366)="SUB PROCESS",UPPER(RIGHT(Data!BY366,5))=".BPMN",TRUE),TRUE)</f>
        <v>1</v>
      </c>
      <c r="S366" s="26" t="b">
        <f>IF(Checks!C366,IF(UPPER(Data!C366)="SERVICE TASK",IF(UPPER(Data!BZ366)="TYPE=SAS",UPPER(RIGHT(Data!CA366,4))=".SAS",TRUE),TRUE),TRUE)</f>
        <v>1</v>
      </c>
      <c r="T366" s="26" t="b">
        <f>IF(Checks!C366,IF(Data!B366&lt;&gt;"",Data!D366&lt;&gt;"",TRUE),TRUE)</f>
        <v>1</v>
      </c>
      <c r="U366" s="26" t="b">
        <f ca="1">IF(Checks!C366,IF(UPPER(Data!C366)="DATA OBJECT",NOT(ISERROR(MATCH(Data!A366&amp;"||"&amp;Data!BW366&amp;Data!BX366,Key,0))),TRUE),TRUE)</f>
        <v>1</v>
      </c>
      <c r="V366" s="26" t="b">
        <f>IF(Checks!C366,IF(UPPER(Data!C366)="SUB PROCESS",Data!BY366&lt;&gt;"",TRUE),TRUE)</f>
        <v>1</v>
      </c>
      <c r="W366" s="26" t="b">
        <f>IF(Checks!C366,IF(UPPER(Data!C366)="SERVICE TASK",AND(Data!BZ366&lt;&gt;"",Data!CA366&lt;&gt;""),TRUE),TRUE)</f>
        <v>1</v>
      </c>
      <c r="X366" s="26" t="b">
        <f t="array" aca="1" ref="X366" ca="1">SUM((OFFSET(Data!B366,MAX(ROW(Data!$B$5)-ROW(Data!B366),-200),0,400,1)=Data!B366)*(OFFSET(Data!A366,MAX(ROW(Data!$B$5)-ROW(Data!B366),-200),0,400,1)=Data!A366))=1</f>
        <v>1</v>
      </c>
      <c r="Y366" s="26" t="b">
        <f t="array" aca="1" ref="Y366" ca="1">IF(UPPER(Data!C366)="START",SUM((OFFSET(Data!C366,MAX(ROW(Data!$C$5)-ROW(Data!C366),-200),0,400,1)="START")*(OFFSET(Data!A366,MAX(ROW(Data!$B$5)-ROW(Data!B366),-200),0,400,1)=Data!A366))=1,TRUE)</f>
        <v>1</v>
      </c>
      <c r="Z366" s="26" t="b">
        <f t="array" aca="1" ref="Z366" ca="1">IF(UPPER(Data!C366)="END",SUM((OFFSET(Data!C366,MAX(ROW(Data!$C$5)-ROW(Data!C366),-200),0,400,1)="END")*(OFFSET(Data!A366,MAX(ROW(Data!$B$5)-ROW(Data!B366),-200),0,400,1)=Data!A366))=1,TRUE)</f>
        <v>1</v>
      </c>
      <c r="AA366" s="26" t="b">
        <f>IF(Checks!C366,ISERROR(FIND("&amp;",Data!D366)),TRUE)</f>
        <v>1</v>
      </c>
      <c r="AB366" s="26" t="b">
        <f>IF(Checks!$C366,IF(AND(UPPER(Data!$C366)&lt;&gt;"START",UPPER(Data!$C366)&lt;&gt;"DATA OBJECT",Data!E366&lt;&gt;""),NOT(ISERROR(MATCH(Data!$A366&amp;"||"&amp;Data!E366,Key,0))),TRUE),TRUE)</f>
        <v>1</v>
      </c>
      <c r="AC366" s="27" t="b">
        <f>IF(Checks!C366,IF(UPPER(Data!C366)="END",Data!E366&lt;&gt;"",TRUE),TRUE)</f>
        <v>1</v>
      </c>
    </row>
    <row r="367" spans="1:29" x14ac:dyDescent="0.25">
      <c r="A367" s="1" t="str">
        <f>Data!A367&amp;"||"&amp;Data!B367</f>
        <v>Miscellaneous/subflow/irmifrs9_data_enrichment.bpmn||080_00_07</v>
      </c>
      <c r="B367" s="19"/>
      <c r="C367" s="24" t="b">
        <f>AND(UPPER(Data!A367)&lt;&gt;"EMPTY",Data!B367&lt;&gt;"")</f>
        <v>1</v>
      </c>
      <c r="D367" s="1"/>
      <c r="E367" s="25" t="b">
        <f t="shared" ca="1" si="10"/>
        <v>1</v>
      </c>
      <c r="F367" s="26" t="b">
        <f ca="1">IF(UPPER(Data!C367)="SUB PROCESS",NOT(ISERROR(MATCH(RIGHT(Data!BY367,LEN(Data!BY367)-5),OFFSET(Data,0,0,ItemsCount,1),0))),TRUE)</f>
        <v>1</v>
      </c>
      <c r="G367" s="26" t="b">
        <f ca="1">IF(MID(UPPER(Data!A367),1,13)="MISCELLANEOUS",NOT(ISERROR(MATCH("path="&amp;Data!A367,OFFSET(Data,0,76,ItemsCount,1),0))),TRUE)</f>
        <v>1</v>
      </c>
      <c r="L367" s="25" t="b">
        <f t="shared" ca="1" si="11"/>
        <v>1</v>
      </c>
      <c r="M367" s="24" t="b">
        <f>IF(Checks!$C367,Data!A367&lt;&gt;"",TRUE)</f>
        <v>1</v>
      </c>
      <c r="N367" s="26" t="b">
        <f>IF(Checks!C367,Data!B367&lt;&gt;"",TRUE)</f>
        <v>1</v>
      </c>
      <c r="O367" s="26" t="b">
        <f>IF(Checks!C367,IF(AND(UPPER(Data!C367)="SERVICE TASK",UPPER(Data!BZ367)="TYPE=SAS"),NodeExists(TRIM(RIGHT(Data!CA367,LEN(Data!CA367)-FIND("=",Data!CA367)))),TRUE),TRUE)</f>
        <v>1</v>
      </c>
      <c r="P367" s="26" t="b">
        <f>IF(Checks!C367,IF(Data!C367="DATA OBJECT",OR(AND(Data!BW367&lt;&gt;"",Data!BX367=""),AND(Data!BW367="",Data!BX367&lt;&gt;"")),TRUE),TRUE)</f>
        <v>1</v>
      </c>
      <c r="Q367" s="26" t="b">
        <f>IF(Checks!C367,UPPER(RIGHT(Data!A367,5))=".BPMN",TRUE)</f>
        <v>1</v>
      </c>
      <c r="R367" s="26" t="b">
        <f>IF(Checks!C367,IF(UPPER(Data!C367)="SUB PROCESS",UPPER(RIGHT(Data!BY367,5))=".BPMN",TRUE),TRUE)</f>
        <v>1</v>
      </c>
      <c r="S367" s="26" t="b">
        <f>IF(Checks!C367,IF(UPPER(Data!C367)="SERVICE TASK",IF(UPPER(Data!BZ367)="TYPE=SAS",UPPER(RIGHT(Data!CA367,4))=".SAS",TRUE),TRUE),TRUE)</f>
        <v>1</v>
      </c>
      <c r="T367" s="26" t="b">
        <f>IF(Checks!C367,IF(Data!B367&lt;&gt;"",Data!D367&lt;&gt;"",TRUE),TRUE)</f>
        <v>1</v>
      </c>
      <c r="U367" s="26" t="b">
        <f ca="1">IF(Checks!C367,IF(UPPER(Data!C367)="DATA OBJECT",NOT(ISERROR(MATCH(Data!A367&amp;"||"&amp;Data!BW367&amp;Data!BX367,Key,0))),TRUE),TRUE)</f>
        <v>1</v>
      </c>
      <c r="V367" s="26" t="b">
        <f>IF(Checks!C367,IF(UPPER(Data!C367)="SUB PROCESS",Data!BY367&lt;&gt;"",TRUE),TRUE)</f>
        <v>1</v>
      </c>
      <c r="W367" s="26" t="b">
        <f>IF(Checks!C367,IF(UPPER(Data!C367)="SERVICE TASK",AND(Data!BZ367&lt;&gt;"",Data!CA367&lt;&gt;""),TRUE),TRUE)</f>
        <v>1</v>
      </c>
      <c r="X367" s="26" t="b">
        <f t="array" aca="1" ref="X367" ca="1">SUM((OFFSET(Data!B367,MAX(ROW(Data!$B$5)-ROW(Data!B367),-200),0,400,1)=Data!B367)*(OFFSET(Data!A367,MAX(ROW(Data!$B$5)-ROW(Data!B367),-200),0,400,1)=Data!A367))=1</f>
        <v>1</v>
      </c>
      <c r="Y367" s="26" t="b">
        <f t="array" aca="1" ref="Y367" ca="1">IF(UPPER(Data!C367)="START",SUM((OFFSET(Data!C367,MAX(ROW(Data!$C$5)-ROW(Data!C367),-200),0,400,1)="START")*(OFFSET(Data!A367,MAX(ROW(Data!$B$5)-ROW(Data!B367),-200),0,400,1)=Data!A367))=1,TRUE)</f>
        <v>1</v>
      </c>
      <c r="Z367" s="26" t="b">
        <f t="array" aca="1" ref="Z367" ca="1">IF(UPPER(Data!C367)="END",SUM((OFFSET(Data!C367,MAX(ROW(Data!$C$5)-ROW(Data!C367),-200),0,400,1)="END")*(OFFSET(Data!A367,MAX(ROW(Data!$B$5)-ROW(Data!B367),-200),0,400,1)=Data!A367))=1,TRUE)</f>
        <v>1</v>
      </c>
      <c r="AA367" s="26" t="b">
        <f>IF(Checks!C367,ISERROR(FIND("&amp;",Data!D367)),TRUE)</f>
        <v>1</v>
      </c>
      <c r="AB367" s="26" t="b">
        <f>IF(Checks!$C367,IF(AND(UPPER(Data!$C367)&lt;&gt;"START",UPPER(Data!$C367)&lt;&gt;"DATA OBJECT",Data!E367&lt;&gt;""),NOT(ISERROR(MATCH(Data!$A367&amp;"||"&amp;Data!E367,Key,0))),TRUE),TRUE)</f>
        <v>1</v>
      </c>
      <c r="AC367" s="27" t="b">
        <f>IF(Checks!C367,IF(UPPER(Data!C367)="END",Data!E367&lt;&gt;"",TRUE),TRUE)</f>
        <v>1</v>
      </c>
    </row>
    <row r="368" spans="1:29" x14ac:dyDescent="0.25">
      <c r="A368" s="1" t="str">
        <f>Data!A368&amp;"||"&amp;Data!B368</f>
        <v>Miscellaneous/subflow/irmifrs9_data_enrichment.bpmn||080_00_08</v>
      </c>
      <c r="B368" s="19"/>
      <c r="C368" s="24" t="b">
        <f>AND(UPPER(Data!A368)&lt;&gt;"EMPTY",Data!B368&lt;&gt;"")</f>
        <v>1</v>
      </c>
      <c r="D368" s="1"/>
      <c r="E368" s="25" t="b">
        <f t="shared" ca="1" si="10"/>
        <v>1</v>
      </c>
      <c r="F368" s="26" t="b">
        <f ca="1">IF(UPPER(Data!C368)="SUB PROCESS",NOT(ISERROR(MATCH(RIGHT(Data!BY368,LEN(Data!BY368)-5),OFFSET(Data,0,0,ItemsCount,1),0))),TRUE)</f>
        <v>1</v>
      </c>
      <c r="G368" s="26" t="b">
        <f ca="1">IF(MID(UPPER(Data!A368),1,13)="MISCELLANEOUS",NOT(ISERROR(MATCH("path="&amp;Data!A368,OFFSET(Data,0,76,ItemsCount,1),0))),TRUE)</f>
        <v>1</v>
      </c>
      <c r="L368" s="25" t="b">
        <f t="shared" ca="1" si="11"/>
        <v>1</v>
      </c>
      <c r="M368" s="24" t="b">
        <f>IF(Checks!$C368,Data!A368&lt;&gt;"",TRUE)</f>
        <v>1</v>
      </c>
      <c r="N368" s="26" t="b">
        <f>IF(Checks!C368,Data!B368&lt;&gt;"",TRUE)</f>
        <v>1</v>
      </c>
      <c r="O368" s="26" t="b">
        <f>IF(Checks!C368,IF(AND(UPPER(Data!C368)="SERVICE TASK",UPPER(Data!BZ368)="TYPE=SAS"),NodeExists(TRIM(RIGHT(Data!CA368,LEN(Data!CA368)-FIND("=",Data!CA368)))),TRUE),TRUE)</f>
        <v>1</v>
      </c>
      <c r="P368" s="26" t="b">
        <f>IF(Checks!C368,IF(Data!C368="DATA OBJECT",OR(AND(Data!BW368&lt;&gt;"",Data!BX368=""),AND(Data!BW368="",Data!BX368&lt;&gt;"")),TRUE),TRUE)</f>
        <v>1</v>
      </c>
      <c r="Q368" s="26" t="b">
        <f>IF(Checks!C368,UPPER(RIGHT(Data!A368,5))=".BPMN",TRUE)</f>
        <v>1</v>
      </c>
      <c r="R368" s="26" t="b">
        <f>IF(Checks!C368,IF(UPPER(Data!C368)="SUB PROCESS",UPPER(RIGHT(Data!BY368,5))=".BPMN",TRUE),TRUE)</f>
        <v>1</v>
      </c>
      <c r="S368" s="26" t="b">
        <f>IF(Checks!C368,IF(UPPER(Data!C368)="SERVICE TASK",IF(UPPER(Data!BZ368)="TYPE=SAS",UPPER(RIGHT(Data!CA368,4))=".SAS",TRUE),TRUE),TRUE)</f>
        <v>1</v>
      </c>
      <c r="T368" s="26" t="b">
        <f>IF(Checks!C368,IF(Data!B368&lt;&gt;"",Data!D368&lt;&gt;"",TRUE),TRUE)</f>
        <v>1</v>
      </c>
      <c r="U368" s="26" t="b">
        <f ca="1">IF(Checks!C368,IF(UPPER(Data!C368)="DATA OBJECT",NOT(ISERROR(MATCH(Data!A368&amp;"||"&amp;Data!BW368&amp;Data!BX368,Key,0))),TRUE),TRUE)</f>
        <v>1</v>
      </c>
      <c r="V368" s="26" t="b">
        <f>IF(Checks!C368,IF(UPPER(Data!C368)="SUB PROCESS",Data!BY368&lt;&gt;"",TRUE),TRUE)</f>
        <v>1</v>
      </c>
      <c r="W368" s="26" t="b">
        <f>IF(Checks!C368,IF(UPPER(Data!C368)="SERVICE TASK",AND(Data!BZ368&lt;&gt;"",Data!CA368&lt;&gt;""),TRUE),TRUE)</f>
        <v>1</v>
      </c>
      <c r="X368" s="26" t="b">
        <f t="array" aca="1" ref="X368" ca="1">SUM((OFFSET(Data!B368,MAX(ROW(Data!$B$5)-ROW(Data!B368),-200),0,400,1)=Data!B368)*(OFFSET(Data!A368,MAX(ROW(Data!$B$5)-ROW(Data!B368),-200),0,400,1)=Data!A368))=1</f>
        <v>1</v>
      </c>
      <c r="Y368" s="26" t="b">
        <f t="array" aca="1" ref="Y368" ca="1">IF(UPPER(Data!C368)="START",SUM((OFFSET(Data!C368,MAX(ROW(Data!$C$5)-ROW(Data!C368),-200),0,400,1)="START")*(OFFSET(Data!A368,MAX(ROW(Data!$B$5)-ROW(Data!B368),-200),0,400,1)=Data!A368))=1,TRUE)</f>
        <v>1</v>
      </c>
      <c r="Z368" s="26" t="b">
        <f t="array" aca="1" ref="Z368" ca="1">IF(UPPER(Data!C368)="END",SUM((OFFSET(Data!C368,MAX(ROW(Data!$C$5)-ROW(Data!C368),-200),0,400,1)="END")*(OFFSET(Data!A368,MAX(ROW(Data!$B$5)-ROW(Data!B368),-200),0,400,1)=Data!A368))=1,TRUE)</f>
        <v>1</v>
      </c>
      <c r="AA368" s="26" t="b">
        <f>IF(Checks!C368,ISERROR(FIND("&amp;",Data!D368)),TRUE)</f>
        <v>1</v>
      </c>
      <c r="AB368" s="26" t="b">
        <f>IF(Checks!$C368,IF(AND(UPPER(Data!$C368)&lt;&gt;"START",UPPER(Data!$C368)&lt;&gt;"DATA OBJECT",Data!E368&lt;&gt;""),NOT(ISERROR(MATCH(Data!$A368&amp;"||"&amp;Data!E368,Key,0))),TRUE),TRUE)</f>
        <v>1</v>
      </c>
      <c r="AC368" s="27" t="b">
        <f>IF(Checks!C368,IF(UPPER(Data!C368)="END",Data!E368&lt;&gt;"",TRUE),TRUE)</f>
        <v>1</v>
      </c>
    </row>
    <row r="369" spans="1:29" x14ac:dyDescent="0.25">
      <c r="A369" s="1" t="str">
        <f>Data!A369&amp;"||"&amp;Data!B369</f>
        <v>Miscellaneous/subflow/irmifrs9_data_enrichment.bpmn||080_01_00</v>
      </c>
      <c r="B369" s="19"/>
      <c r="C369" s="24" t="b">
        <f>AND(UPPER(Data!A369)&lt;&gt;"EMPTY",Data!B369&lt;&gt;"")</f>
        <v>1</v>
      </c>
      <c r="D369" s="1"/>
      <c r="E369" s="25" t="b">
        <f t="shared" ca="1" si="10"/>
        <v>1</v>
      </c>
      <c r="F369" s="26" t="b">
        <f ca="1">IF(UPPER(Data!C369)="SUB PROCESS",NOT(ISERROR(MATCH(RIGHT(Data!BY369,LEN(Data!BY369)-5),OFFSET(Data,0,0,ItemsCount,1),0))),TRUE)</f>
        <v>1</v>
      </c>
      <c r="G369" s="26" t="b">
        <f ca="1">IF(MID(UPPER(Data!A369),1,13)="MISCELLANEOUS",NOT(ISERROR(MATCH("path="&amp;Data!A369,OFFSET(Data,0,76,ItemsCount,1),0))),TRUE)</f>
        <v>1</v>
      </c>
      <c r="L369" s="25" t="b">
        <f t="shared" ca="1" si="11"/>
        <v>1</v>
      </c>
      <c r="M369" s="24" t="b">
        <f>IF(Checks!$C369,Data!A369&lt;&gt;"",TRUE)</f>
        <v>1</v>
      </c>
      <c r="N369" s="26" t="b">
        <f>IF(Checks!C369,Data!B369&lt;&gt;"",TRUE)</f>
        <v>1</v>
      </c>
      <c r="O369" s="26" t="b">
        <f>IF(Checks!C369,IF(AND(UPPER(Data!C369)="SERVICE TASK",UPPER(Data!BZ369)="TYPE=SAS"),NodeExists(TRIM(RIGHT(Data!CA369,LEN(Data!CA369)-FIND("=",Data!CA369)))),TRUE),TRUE)</f>
        <v>1</v>
      </c>
      <c r="P369" s="26" t="b">
        <f>IF(Checks!C369,IF(Data!C369="DATA OBJECT",OR(AND(Data!BW369&lt;&gt;"",Data!BX369=""),AND(Data!BW369="",Data!BX369&lt;&gt;"")),TRUE),TRUE)</f>
        <v>1</v>
      </c>
      <c r="Q369" s="26" t="b">
        <f>IF(Checks!C369,UPPER(RIGHT(Data!A369,5))=".BPMN",TRUE)</f>
        <v>1</v>
      </c>
      <c r="R369" s="26" t="b">
        <f>IF(Checks!C369,IF(UPPER(Data!C369)="SUB PROCESS",UPPER(RIGHT(Data!BY369,5))=".BPMN",TRUE),TRUE)</f>
        <v>1</v>
      </c>
      <c r="S369" s="26" t="b">
        <f>IF(Checks!C369,IF(UPPER(Data!C369)="SERVICE TASK",IF(UPPER(Data!BZ369)="TYPE=SAS",UPPER(RIGHT(Data!CA369,4))=".SAS",TRUE),TRUE),TRUE)</f>
        <v>1</v>
      </c>
      <c r="T369" s="26" t="b">
        <f>IF(Checks!C369,IF(Data!B369&lt;&gt;"",Data!D369&lt;&gt;"",TRUE),TRUE)</f>
        <v>1</v>
      </c>
      <c r="U369" s="26" t="b">
        <f ca="1">IF(Checks!C369,IF(UPPER(Data!C369)="DATA OBJECT",NOT(ISERROR(MATCH(Data!A369&amp;"||"&amp;Data!BW369&amp;Data!BX369,Key,0))),TRUE),TRUE)</f>
        <v>1</v>
      </c>
      <c r="V369" s="26" t="b">
        <f>IF(Checks!C369,IF(UPPER(Data!C369)="SUB PROCESS",Data!BY369&lt;&gt;"",TRUE),TRUE)</f>
        <v>1</v>
      </c>
      <c r="W369" s="26" t="b">
        <f>IF(Checks!C369,IF(UPPER(Data!C369)="SERVICE TASK",AND(Data!BZ369&lt;&gt;"",Data!CA369&lt;&gt;""),TRUE),TRUE)</f>
        <v>1</v>
      </c>
      <c r="X369" s="26" t="b">
        <f t="array" aca="1" ref="X369" ca="1">SUM((OFFSET(Data!B369,MAX(ROW(Data!$B$5)-ROW(Data!B369),-200),0,400,1)=Data!B369)*(OFFSET(Data!A369,MAX(ROW(Data!$B$5)-ROW(Data!B369),-200),0,400,1)=Data!A369))=1</f>
        <v>1</v>
      </c>
      <c r="Y369" s="26" t="b">
        <f t="array" aca="1" ref="Y369" ca="1">IF(UPPER(Data!C369)="START",SUM((OFFSET(Data!C369,MAX(ROW(Data!$C$5)-ROW(Data!C369),-200),0,400,1)="START")*(OFFSET(Data!A369,MAX(ROW(Data!$B$5)-ROW(Data!B369),-200),0,400,1)=Data!A369))=1,TRUE)</f>
        <v>1</v>
      </c>
      <c r="Z369" s="26" t="b">
        <f t="array" aca="1" ref="Z369" ca="1">IF(UPPER(Data!C369)="END",SUM((OFFSET(Data!C369,MAX(ROW(Data!$C$5)-ROW(Data!C369),-200),0,400,1)="END")*(OFFSET(Data!A369,MAX(ROW(Data!$B$5)-ROW(Data!B369),-200),0,400,1)=Data!A369))=1,TRUE)</f>
        <v>1</v>
      </c>
      <c r="AA369" s="26" t="b">
        <f>IF(Checks!C369,ISERROR(FIND("&amp;",Data!D369)),TRUE)</f>
        <v>1</v>
      </c>
      <c r="AB369" s="26" t="b">
        <f>IF(Checks!$C369,IF(AND(UPPER(Data!$C369)&lt;&gt;"START",UPPER(Data!$C369)&lt;&gt;"DATA OBJECT",Data!E369&lt;&gt;""),NOT(ISERROR(MATCH(Data!$A369&amp;"||"&amp;Data!E369,Key,0))),TRUE),TRUE)</f>
        <v>1</v>
      </c>
      <c r="AC369" s="27" t="b">
        <f>IF(Checks!C369,IF(UPPER(Data!C369)="END",Data!E369&lt;&gt;"",TRUE),TRUE)</f>
        <v>1</v>
      </c>
    </row>
    <row r="370" spans="1:29" x14ac:dyDescent="0.25">
      <c r="A370" s="1" t="str">
        <f>Data!A370&amp;"||"&amp;Data!B370</f>
        <v>Miscellaneous/subflow/irmifrs9_data_enrichment.bpmn||080_02_00</v>
      </c>
      <c r="B370" s="19"/>
      <c r="C370" s="24" t="b">
        <f>AND(UPPER(Data!A370)&lt;&gt;"EMPTY",Data!B370&lt;&gt;"")</f>
        <v>1</v>
      </c>
      <c r="D370" s="1"/>
      <c r="E370" s="25" t="b">
        <f t="shared" ca="1" si="10"/>
        <v>1</v>
      </c>
      <c r="F370" s="26" t="b">
        <f ca="1">IF(UPPER(Data!C370)="SUB PROCESS",NOT(ISERROR(MATCH(RIGHT(Data!BY370,LEN(Data!BY370)-5),OFFSET(Data,0,0,ItemsCount,1),0))),TRUE)</f>
        <v>1</v>
      </c>
      <c r="G370" s="26" t="b">
        <f ca="1">IF(MID(UPPER(Data!A370),1,13)="MISCELLANEOUS",NOT(ISERROR(MATCH("path="&amp;Data!A370,OFFSET(Data,0,76,ItemsCount,1),0))),TRUE)</f>
        <v>1</v>
      </c>
      <c r="L370" s="25" t="b">
        <f t="shared" ca="1" si="11"/>
        <v>1</v>
      </c>
      <c r="M370" s="24" t="b">
        <f>IF(Checks!$C370,Data!A370&lt;&gt;"",TRUE)</f>
        <v>1</v>
      </c>
      <c r="N370" s="26" t="b">
        <f>IF(Checks!C370,Data!B370&lt;&gt;"",TRUE)</f>
        <v>1</v>
      </c>
      <c r="O370" s="26" t="b">
        <f>IF(Checks!C370,IF(AND(UPPER(Data!C370)="SERVICE TASK",UPPER(Data!BZ370)="TYPE=SAS"),NodeExists(TRIM(RIGHT(Data!CA370,LEN(Data!CA370)-FIND("=",Data!CA370)))),TRUE),TRUE)</f>
        <v>1</v>
      </c>
      <c r="P370" s="26" t="b">
        <f>IF(Checks!C370,IF(Data!C370="DATA OBJECT",OR(AND(Data!BW370&lt;&gt;"",Data!BX370=""),AND(Data!BW370="",Data!BX370&lt;&gt;"")),TRUE),TRUE)</f>
        <v>1</v>
      </c>
      <c r="Q370" s="26" t="b">
        <f>IF(Checks!C370,UPPER(RIGHT(Data!A370,5))=".BPMN",TRUE)</f>
        <v>1</v>
      </c>
      <c r="R370" s="26" t="b">
        <f>IF(Checks!C370,IF(UPPER(Data!C370)="SUB PROCESS",UPPER(RIGHT(Data!BY370,5))=".BPMN",TRUE),TRUE)</f>
        <v>1</v>
      </c>
      <c r="S370" s="26" t="b">
        <f>IF(Checks!C370,IF(UPPER(Data!C370)="SERVICE TASK",IF(UPPER(Data!BZ370)="TYPE=SAS",UPPER(RIGHT(Data!CA370,4))=".SAS",TRUE),TRUE),TRUE)</f>
        <v>1</v>
      </c>
      <c r="T370" s="26" t="b">
        <f>IF(Checks!C370,IF(Data!B370&lt;&gt;"",Data!D370&lt;&gt;"",TRUE),TRUE)</f>
        <v>1</v>
      </c>
      <c r="U370" s="26" t="b">
        <f ca="1">IF(Checks!C370,IF(UPPER(Data!C370)="DATA OBJECT",NOT(ISERROR(MATCH(Data!A370&amp;"||"&amp;Data!BW370&amp;Data!BX370,Key,0))),TRUE),TRUE)</f>
        <v>1</v>
      </c>
      <c r="V370" s="26" t="b">
        <f>IF(Checks!C370,IF(UPPER(Data!C370)="SUB PROCESS",Data!BY370&lt;&gt;"",TRUE),TRUE)</f>
        <v>1</v>
      </c>
      <c r="W370" s="26" t="b">
        <f>IF(Checks!C370,IF(UPPER(Data!C370)="SERVICE TASK",AND(Data!BZ370&lt;&gt;"",Data!CA370&lt;&gt;""),TRUE),TRUE)</f>
        <v>1</v>
      </c>
      <c r="X370" s="26" t="b">
        <f t="array" aca="1" ref="X370" ca="1">SUM((OFFSET(Data!B370,MAX(ROW(Data!$B$5)-ROW(Data!B370),-200),0,400,1)=Data!B370)*(OFFSET(Data!A370,MAX(ROW(Data!$B$5)-ROW(Data!B370),-200),0,400,1)=Data!A370))=1</f>
        <v>1</v>
      </c>
      <c r="Y370" s="26" t="b">
        <f t="array" aca="1" ref="Y370" ca="1">IF(UPPER(Data!C370)="START",SUM((OFFSET(Data!C370,MAX(ROW(Data!$C$5)-ROW(Data!C370),-200),0,400,1)="START")*(OFFSET(Data!A370,MAX(ROW(Data!$B$5)-ROW(Data!B370),-200),0,400,1)=Data!A370))=1,TRUE)</f>
        <v>1</v>
      </c>
      <c r="Z370" s="26" t="b">
        <f t="array" aca="1" ref="Z370" ca="1">IF(UPPER(Data!C370)="END",SUM((OFFSET(Data!C370,MAX(ROW(Data!$C$5)-ROW(Data!C370),-200),0,400,1)="END")*(OFFSET(Data!A370,MAX(ROW(Data!$B$5)-ROW(Data!B370),-200),0,400,1)=Data!A370))=1,TRUE)</f>
        <v>1</v>
      </c>
      <c r="AA370" s="26" t="b">
        <f>IF(Checks!C370,ISERROR(FIND("&amp;",Data!D370)),TRUE)</f>
        <v>1</v>
      </c>
      <c r="AB370" s="26" t="b">
        <f>IF(Checks!$C370,IF(AND(UPPER(Data!$C370)&lt;&gt;"START",UPPER(Data!$C370)&lt;&gt;"DATA OBJECT",Data!E370&lt;&gt;""),NOT(ISERROR(MATCH(Data!$A370&amp;"||"&amp;Data!E370,Key,0))),TRUE),TRUE)</f>
        <v>1</v>
      </c>
      <c r="AC370" s="27" t="b">
        <f>IF(Checks!C370,IF(UPPER(Data!C370)="END",Data!E370&lt;&gt;"",TRUE),TRUE)</f>
        <v>1</v>
      </c>
    </row>
    <row r="371" spans="1:29" x14ac:dyDescent="0.25">
      <c r="A371" s="1" t="str">
        <f>Data!A371&amp;"||"&amp;Data!B371</f>
        <v>Miscellaneous/subflow/irmifrs9_data_enrichment.bpmn||999_00_00</v>
      </c>
      <c r="B371" s="19"/>
      <c r="C371" s="24" t="b">
        <f>AND(UPPER(Data!A371)&lt;&gt;"EMPTY",Data!B371&lt;&gt;"")</f>
        <v>1</v>
      </c>
      <c r="D371" s="1"/>
      <c r="E371" s="25" t="b">
        <f t="shared" ca="1" si="10"/>
        <v>1</v>
      </c>
      <c r="F371" s="26" t="b">
        <f ca="1">IF(UPPER(Data!C371)="SUB PROCESS",NOT(ISERROR(MATCH(RIGHT(Data!BY371,LEN(Data!BY371)-5),OFFSET(Data,0,0,ItemsCount,1),0))),TRUE)</f>
        <v>1</v>
      </c>
      <c r="G371" s="26" t="b">
        <f ca="1">IF(MID(UPPER(Data!A371),1,13)="MISCELLANEOUS",NOT(ISERROR(MATCH("path="&amp;Data!A371,OFFSET(Data,0,76,ItemsCount,1),0))),TRUE)</f>
        <v>1</v>
      </c>
      <c r="L371" s="25" t="b">
        <f t="shared" ca="1" si="11"/>
        <v>1</v>
      </c>
      <c r="M371" s="24" t="b">
        <f>IF(Checks!$C371,Data!A371&lt;&gt;"",TRUE)</f>
        <v>1</v>
      </c>
      <c r="N371" s="26" t="b">
        <f>IF(Checks!C371,Data!B371&lt;&gt;"",TRUE)</f>
        <v>1</v>
      </c>
      <c r="O371" s="26" t="b">
        <f>IF(Checks!C371,IF(AND(UPPER(Data!C371)="SERVICE TASK",UPPER(Data!BZ371)="TYPE=SAS"),NodeExists(TRIM(RIGHT(Data!CA371,LEN(Data!CA371)-FIND("=",Data!CA371)))),TRUE),TRUE)</f>
        <v>1</v>
      </c>
      <c r="P371" s="26" t="b">
        <f>IF(Checks!C371,IF(Data!C371="DATA OBJECT",OR(AND(Data!BW371&lt;&gt;"",Data!BX371=""),AND(Data!BW371="",Data!BX371&lt;&gt;"")),TRUE),TRUE)</f>
        <v>1</v>
      </c>
      <c r="Q371" s="26" t="b">
        <f>IF(Checks!C371,UPPER(RIGHT(Data!A371,5))=".BPMN",TRUE)</f>
        <v>1</v>
      </c>
      <c r="R371" s="26" t="b">
        <f>IF(Checks!C371,IF(UPPER(Data!C371)="SUB PROCESS",UPPER(RIGHT(Data!BY371,5))=".BPMN",TRUE),TRUE)</f>
        <v>1</v>
      </c>
      <c r="S371" s="26" t="b">
        <f>IF(Checks!C371,IF(UPPER(Data!C371)="SERVICE TASK",IF(UPPER(Data!BZ371)="TYPE=SAS",UPPER(RIGHT(Data!CA371,4))=".SAS",TRUE),TRUE),TRUE)</f>
        <v>1</v>
      </c>
      <c r="T371" s="26" t="b">
        <f>IF(Checks!C371,IF(Data!B371&lt;&gt;"",Data!D371&lt;&gt;"",TRUE),TRUE)</f>
        <v>1</v>
      </c>
      <c r="U371" s="26" t="b">
        <f>IF(Checks!C371,IF(UPPER(Data!C371)="DATA OBJECT",NOT(ISERROR(MATCH(Data!A371&amp;"||"&amp;Data!BW371&amp;Data!BX371,Key,0))),TRUE),TRUE)</f>
        <v>1</v>
      </c>
      <c r="V371" s="26" t="b">
        <f>IF(Checks!C371,IF(UPPER(Data!C371)="SUB PROCESS",Data!BY371&lt;&gt;"",TRUE),TRUE)</f>
        <v>1</v>
      </c>
      <c r="W371" s="26" t="b">
        <f>IF(Checks!C371,IF(UPPER(Data!C371)="SERVICE TASK",AND(Data!BZ371&lt;&gt;"",Data!CA371&lt;&gt;""),TRUE),TRUE)</f>
        <v>1</v>
      </c>
      <c r="X371" s="26" t="b">
        <f t="array" aca="1" ref="X371" ca="1">SUM((OFFSET(Data!B371,MAX(ROW(Data!$B$5)-ROW(Data!B371),-200),0,400,1)=Data!B371)*(OFFSET(Data!A371,MAX(ROW(Data!$B$5)-ROW(Data!B371),-200),0,400,1)=Data!A371))=1</f>
        <v>1</v>
      </c>
      <c r="Y371" s="26" t="b">
        <f t="array" aca="1" ref="Y371" ca="1">IF(UPPER(Data!C371)="START",SUM((OFFSET(Data!C371,MAX(ROW(Data!$C$5)-ROW(Data!C371),-200),0,400,1)="START")*(OFFSET(Data!A371,MAX(ROW(Data!$B$5)-ROW(Data!B371),-200),0,400,1)=Data!A371))=1,TRUE)</f>
        <v>1</v>
      </c>
      <c r="Z371" s="26" t="b">
        <f t="array" aca="1" ref="Z371" ca="1">IF(UPPER(Data!C371)="END",SUM((OFFSET(Data!C371,MAX(ROW(Data!$C$5)-ROW(Data!C371),-200),0,400,1)="END")*(OFFSET(Data!A371,MAX(ROW(Data!$B$5)-ROW(Data!B371),-200),0,400,1)=Data!A371))=1,TRUE)</f>
        <v>1</v>
      </c>
      <c r="AA371" s="26" t="b">
        <f>IF(Checks!C371,ISERROR(FIND("&amp;",Data!D371)),TRUE)</f>
        <v>1</v>
      </c>
      <c r="AB371" s="26" t="b">
        <f ca="1">IF(Checks!$C371,IF(AND(UPPER(Data!$C371)&lt;&gt;"START",UPPER(Data!$C371)&lt;&gt;"DATA OBJECT",Data!E371&lt;&gt;""),NOT(ISERROR(MATCH(Data!$A371&amp;"||"&amp;Data!E371,Key,0))),TRUE),TRUE)</f>
        <v>1</v>
      </c>
      <c r="AC371" s="27" t="b">
        <f>IF(Checks!C371,IF(UPPER(Data!C371)="END",Data!E371&lt;&gt;"",TRUE),TRUE)</f>
        <v>1</v>
      </c>
    </row>
    <row r="372" spans="1:29" x14ac:dyDescent="0.25">
      <c r="A372" s="1" t="str">
        <f>Data!A372&amp;"||"&amp;Data!B372</f>
        <v>Miscellaneous/subflow/irmifrs9_preprocess_stage1.bpmn||000_00_00</v>
      </c>
      <c r="B372" s="19"/>
      <c r="C372" s="24" t="b">
        <f>AND(UPPER(Data!A372)&lt;&gt;"EMPTY",Data!B372&lt;&gt;"")</f>
        <v>1</v>
      </c>
      <c r="D372" s="1"/>
      <c r="E372" s="25" t="b">
        <f t="shared" ca="1" si="10"/>
        <v>1</v>
      </c>
      <c r="F372" s="26" t="b">
        <f ca="1">IF(UPPER(Data!C372)="SUB PROCESS",NOT(ISERROR(MATCH(RIGHT(Data!BY372,LEN(Data!BY372)-5),OFFSET(Data,0,0,ItemsCount,1),0))),TRUE)</f>
        <v>1</v>
      </c>
      <c r="G372" s="26" t="b">
        <f ca="1">IF(MID(UPPER(Data!A372),1,13)="MISCELLANEOUS",NOT(ISERROR(MATCH("path="&amp;Data!A372,OFFSET(Data,0,76,ItemsCount,1),0))),TRUE)</f>
        <v>1</v>
      </c>
      <c r="L372" s="25" t="b">
        <f t="shared" ca="1" si="11"/>
        <v>1</v>
      </c>
      <c r="M372" s="24" t="b">
        <f>IF(Checks!$C372,Data!A372&lt;&gt;"",TRUE)</f>
        <v>1</v>
      </c>
      <c r="N372" s="26" t="b">
        <f>IF(Checks!C372,Data!B372&lt;&gt;"",TRUE)</f>
        <v>1</v>
      </c>
      <c r="O372" s="26" t="b">
        <f>IF(Checks!C372,IF(AND(UPPER(Data!C372)="SERVICE TASK",UPPER(Data!BZ372)="TYPE=SAS"),NodeExists(TRIM(RIGHT(Data!CA372,LEN(Data!CA372)-FIND("=",Data!CA372)))),TRUE),TRUE)</f>
        <v>1</v>
      </c>
      <c r="P372" s="26" t="b">
        <f>IF(Checks!C372,IF(Data!C372="DATA OBJECT",OR(AND(Data!BW372&lt;&gt;"",Data!BX372=""),AND(Data!BW372="",Data!BX372&lt;&gt;"")),TRUE),TRUE)</f>
        <v>1</v>
      </c>
      <c r="Q372" s="26" t="b">
        <f>IF(Checks!C372,UPPER(RIGHT(Data!A372,5))=".BPMN",TRUE)</f>
        <v>1</v>
      </c>
      <c r="R372" s="26" t="b">
        <f>IF(Checks!C372,IF(UPPER(Data!C372)="SUB PROCESS",UPPER(RIGHT(Data!BY372,5))=".BPMN",TRUE),TRUE)</f>
        <v>1</v>
      </c>
      <c r="S372" s="26" t="b">
        <f>IF(Checks!C372,IF(UPPER(Data!C372)="SERVICE TASK",IF(UPPER(Data!BZ372)="TYPE=SAS",UPPER(RIGHT(Data!CA372,4))=".SAS",TRUE),TRUE),TRUE)</f>
        <v>1</v>
      </c>
      <c r="T372" s="26" t="b">
        <f>IF(Checks!C372,IF(Data!B372&lt;&gt;"",Data!D372&lt;&gt;"",TRUE),TRUE)</f>
        <v>1</v>
      </c>
      <c r="U372" s="26" t="b">
        <f>IF(Checks!C372,IF(UPPER(Data!C372)="DATA OBJECT",NOT(ISERROR(MATCH(Data!A372&amp;"||"&amp;Data!BW372&amp;Data!BX372,Key,0))),TRUE),TRUE)</f>
        <v>1</v>
      </c>
      <c r="V372" s="26" t="b">
        <f>IF(Checks!C372,IF(UPPER(Data!C372)="SUB PROCESS",Data!BY372&lt;&gt;"",TRUE),TRUE)</f>
        <v>1</v>
      </c>
      <c r="W372" s="26" t="b">
        <f>IF(Checks!C372,IF(UPPER(Data!C372)="SERVICE TASK",AND(Data!BZ372&lt;&gt;"",Data!CA372&lt;&gt;""),TRUE),TRUE)</f>
        <v>1</v>
      </c>
      <c r="X372" s="26" t="b">
        <f t="array" aca="1" ref="X372" ca="1">SUM((OFFSET(Data!B372,MAX(ROW(Data!$B$5)-ROW(Data!B372),-200),0,400,1)=Data!B372)*(OFFSET(Data!A372,MAX(ROW(Data!$B$5)-ROW(Data!B372),-200),0,400,1)=Data!A372))=1</f>
        <v>1</v>
      </c>
      <c r="Y372" s="26" t="b">
        <f t="array" aca="1" ref="Y372" ca="1">IF(UPPER(Data!C372)="START",SUM((OFFSET(Data!C372,MAX(ROW(Data!$C$5)-ROW(Data!C372),-200),0,400,1)="START")*(OFFSET(Data!A372,MAX(ROW(Data!$B$5)-ROW(Data!B372),-200),0,400,1)=Data!A372))=1,TRUE)</f>
        <v>1</v>
      </c>
      <c r="Z372" s="26" t="b">
        <f t="array" aca="1" ref="Z372" ca="1">IF(UPPER(Data!C372)="END",SUM((OFFSET(Data!C372,MAX(ROW(Data!$C$5)-ROW(Data!C372),-200),0,400,1)="END")*(OFFSET(Data!A372,MAX(ROW(Data!$B$5)-ROW(Data!B372),-200),0,400,1)=Data!A372))=1,TRUE)</f>
        <v>1</v>
      </c>
      <c r="AA372" s="26" t="b">
        <f>IF(Checks!C372,ISERROR(FIND("&amp;",Data!D372)),TRUE)</f>
        <v>1</v>
      </c>
      <c r="AB372" s="26" t="b">
        <f>IF(Checks!$C372,IF(AND(UPPER(Data!$C372)&lt;&gt;"START",UPPER(Data!$C372)&lt;&gt;"DATA OBJECT",Data!E372&lt;&gt;""),NOT(ISERROR(MATCH(Data!$A372&amp;"||"&amp;Data!E372,Key,0))),TRUE),TRUE)</f>
        <v>1</v>
      </c>
      <c r="AC372" s="27" t="b">
        <f>IF(Checks!C372,IF(UPPER(Data!C372)="END",Data!E372&lt;&gt;"",TRUE),TRUE)</f>
        <v>1</v>
      </c>
    </row>
    <row r="373" spans="1:29" x14ac:dyDescent="0.25">
      <c r="A373" s="1" t="str">
        <f>Data!A373&amp;"||"&amp;Data!B373</f>
        <v>Miscellaneous/subflow/irmifrs9_preprocess_stage1.bpmn||010_00_00</v>
      </c>
      <c r="B373" s="19"/>
      <c r="C373" s="24" t="b">
        <f>AND(UPPER(Data!A373)&lt;&gt;"EMPTY",Data!B373&lt;&gt;"")</f>
        <v>1</v>
      </c>
      <c r="D373" s="1"/>
      <c r="E373" s="25" t="b">
        <f t="shared" ca="1" si="10"/>
        <v>1</v>
      </c>
      <c r="F373" s="26" t="b">
        <f ca="1">IF(UPPER(Data!C373)="SUB PROCESS",NOT(ISERROR(MATCH(RIGHT(Data!BY373,LEN(Data!BY373)-5),OFFSET(Data,0,0,ItemsCount,1),0))),TRUE)</f>
        <v>1</v>
      </c>
      <c r="G373" s="26" t="b">
        <f ca="1">IF(MID(UPPER(Data!A373),1,13)="MISCELLANEOUS",NOT(ISERROR(MATCH("path="&amp;Data!A373,OFFSET(Data,0,76,ItemsCount,1),0))),TRUE)</f>
        <v>1</v>
      </c>
      <c r="L373" s="25" t="b">
        <f t="shared" ca="1" si="11"/>
        <v>1</v>
      </c>
      <c r="M373" s="24" t="b">
        <f>IF(Checks!$C373,Data!A373&lt;&gt;"",TRUE)</f>
        <v>1</v>
      </c>
      <c r="N373" s="26" t="b">
        <f>IF(Checks!C373,Data!B373&lt;&gt;"",TRUE)</f>
        <v>1</v>
      </c>
      <c r="O373" s="26" t="b">
        <f>IF(Checks!C373,IF(AND(UPPER(Data!C373)="SERVICE TASK",UPPER(Data!BZ373)="TYPE=SAS"),NodeExists(TRIM(RIGHT(Data!CA373,LEN(Data!CA373)-FIND("=",Data!CA373)))),TRUE),TRUE)</f>
        <v>1</v>
      </c>
      <c r="P373" s="26" t="b">
        <f>IF(Checks!C373,IF(Data!C373="DATA OBJECT",OR(AND(Data!BW373&lt;&gt;"",Data!BX373=""),AND(Data!BW373="",Data!BX373&lt;&gt;"")),TRUE),TRUE)</f>
        <v>1</v>
      </c>
      <c r="Q373" s="26" t="b">
        <f>IF(Checks!C373,UPPER(RIGHT(Data!A373,5))=".BPMN",TRUE)</f>
        <v>1</v>
      </c>
      <c r="R373" s="26" t="b">
        <f>IF(Checks!C373,IF(UPPER(Data!C373)="SUB PROCESS",UPPER(RIGHT(Data!BY373,5))=".BPMN",TRUE),TRUE)</f>
        <v>1</v>
      </c>
      <c r="S373" s="26" t="b">
        <f>IF(Checks!C373,IF(UPPER(Data!C373)="SERVICE TASK",IF(UPPER(Data!BZ373)="TYPE=SAS",UPPER(RIGHT(Data!CA373,4))=".SAS",TRUE),TRUE),TRUE)</f>
        <v>1</v>
      </c>
      <c r="T373" s="26" t="b">
        <f>IF(Checks!C373,IF(Data!B373&lt;&gt;"",Data!D373&lt;&gt;"",TRUE),TRUE)</f>
        <v>1</v>
      </c>
      <c r="U373" s="26" t="b">
        <f>IF(Checks!C373,IF(UPPER(Data!C373)="DATA OBJECT",NOT(ISERROR(MATCH(Data!A373&amp;"||"&amp;Data!BW373&amp;Data!BX373,Key,0))),TRUE),TRUE)</f>
        <v>1</v>
      </c>
      <c r="V373" s="26" t="b">
        <f>IF(Checks!C373,IF(UPPER(Data!C373)="SUB PROCESS",Data!BY373&lt;&gt;"",TRUE),TRUE)</f>
        <v>1</v>
      </c>
      <c r="W373" s="26" t="b">
        <f>IF(Checks!C373,IF(UPPER(Data!C373)="SERVICE TASK",AND(Data!BZ373&lt;&gt;"",Data!CA373&lt;&gt;""),TRUE),TRUE)</f>
        <v>1</v>
      </c>
      <c r="X373" s="26" t="b">
        <f t="array" aca="1" ref="X373" ca="1">SUM((OFFSET(Data!B373,MAX(ROW(Data!$B$5)-ROW(Data!B373),-200),0,400,1)=Data!B373)*(OFFSET(Data!A373,MAX(ROW(Data!$B$5)-ROW(Data!B373),-200),0,400,1)=Data!A373))=1</f>
        <v>1</v>
      </c>
      <c r="Y373" s="26" t="b">
        <f t="array" aca="1" ref="Y373" ca="1">IF(UPPER(Data!C373)="START",SUM((OFFSET(Data!C373,MAX(ROW(Data!$C$5)-ROW(Data!C373),-200),0,400,1)="START")*(OFFSET(Data!A373,MAX(ROW(Data!$B$5)-ROW(Data!B373),-200),0,400,1)=Data!A373))=1,TRUE)</f>
        <v>1</v>
      </c>
      <c r="Z373" s="26" t="b">
        <f t="array" aca="1" ref="Z373" ca="1">IF(UPPER(Data!C373)="END",SUM((OFFSET(Data!C373,MAX(ROW(Data!$C$5)-ROW(Data!C373),-200),0,400,1)="END")*(OFFSET(Data!A373,MAX(ROW(Data!$B$5)-ROW(Data!B373),-200),0,400,1)=Data!A373))=1,TRUE)</f>
        <v>1</v>
      </c>
      <c r="AA373" s="26" t="b">
        <f>IF(Checks!C373,ISERROR(FIND("&amp;",Data!D373)),TRUE)</f>
        <v>1</v>
      </c>
      <c r="AB373" s="26" t="b">
        <f ca="1">IF(Checks!$C373,IF(AND(UPPER(Data!$C373)&lt;&gt;"START",UPPER(Data!$C373)&lt;&gt;"DATA OBJECT",Data!E373&lt;&gt;""),NOT(ISERROR(MATCH(Data!$A373&amp;"||"&amp;Data!E373,Key,0))),TRUE),TRUE)</f>
        <v>1</v>
      </c>
      <c r="AC373" s="27" t="b">
        <f>IF(Checks!C373,IF(UPPER(Data!C373)="END",Data!E373&lt;&gt;"",TRUE),TRUE)</f>
        <v>1</v>
      </c>
    </row>
    <row r="374" spans="1:29" x14ac:dyDescent="0.25">
      <c r="A374" s="1" t="str">
        <f>Data!A374&amp;"||"&amp;Data!B374</f>
        <v>Miscellaneous/subflow/irmifrs9_preprocess_stage1.bpmn||010_00_01</v>
      </c>
      <c r="B374" s="19"/>
      <c r="C374" s="24" t="b">
        <f>AND(UPPER(Data!A374)&lt;&gt;"EMPTY",Data!B374&lt;&gt;"")</f>
        <v>1</v>
      </c>
      <c r="D374" s="1"/>
      <c r="E374" s="25" t="b">
        <f t="shared" ca="1" si="10"/>
        <v>1</v>
      </c>
      <c r="F374" s="26" t="b">
        <f ca="1">IF(UPPER(Data!C374)="SUB PROCESS",NOT(ISERROR(MATCH(RIGHT(Data!BY374,LEN(Data!BY374)-5),OFFSET(Data,0,0,ItemsCount,1),0))),TRUE)</f>
        <v>1</v>
      </c>
      <c r="G374" s="26" t="b">
        <f ca="1">IF(MID(UPPER(Data!A374),1,13)="MISCELLANEOUS",NOT(ISERROR(MATCH("path="&amp;Data!A374,OFFSET(Data,0,76,ItemsCount,1),0))),TRUE)</f>
        <v>1</v>
      </c>
      <c r="L374" s="25" t="b">
        <f t="shared" ca="1" si="11"/>
        <v>1</v>
      </c>
      <c r="M374" s="24" t="b">
        <f>IF(Checks!$C374,Data!A374&lt;&gt;"",TRUE)</f>
        <v>1</v>
      </c>
      <c r="N374" s="26" t="b">
        <f>IF(Checks!C374,Data!B374&lt;&gt;"",TRUE)</f>
        <v>1</v>
      </c>
      <c r="O374" s="26" t="b">
        <f>IF(Checks!C374,IF(AND(UPPER(Data!C374)="SERVICE TASK",UPPER(Data!BZ374)="TYPE=SAS"),NodeExists(TRIM(RIGHT(Data!CA374,LEN(Data!CA374)-FIND("=",Data!CA374)))),TRUE),TRUE)</f>
        <v>1</v>
      </c>
      <c r="P374" s="26" t="b">
        <f>IF(Checks!C374,IF(Data!C374="DATA OBJECT",OR(AND(Data!BW374&lt;&gt;"",Data!BX374=""),AND(Data!BW374="",Data!BX374&lt;&gt;"")),TRUE),TRUE)</f>
        <v>1</v>
      </c>
      <c r="Q374" s="26" t="b">
        <f>IF(Checks!C374,UPPER(RIGHT(Data!A374,5))=".BPMN",TRUE)</f>
        <v>1</v>
      </c>
      <c r="R374" s="26" t="b">
        <f>IF(Checks!C374,IF(UPPER(Data!C374)="SUB PROCESS",UPPER(RIGHT(Data!BY374,5))=".BPMN",TRUE),TRUE)</f>
        <v>1</v>
      </c>
      <c r="S374" s="26" t="b">
        <f>IF(Checks!C374,IF(UPPER(Data!C374)="SERVICE TASK",IF(UPPER(Data!BZ374)="TYPE=SAS",UPPER(RIGHT(Data!CA374,4))=".SAS",TRUE),TRUE),TRUE)</f>
        <v>1</v>
      </c>
      <c r="T374" s="26" t="b">
        <f>IF(Checks!C374,IF(Data!B374&lt;&gt;"",Data!D374&lt;&gt;"",TRUE),TRUE)</f>
        <v>1</v>
      </c>
      <c r="U374" s="26" t="b">
        <f ca="1">IF(Checks!C374,IF(UPPER(Data!C374)="DATA OBJECT",NOT(ISERROR(MATCH(Data!A374&amp;"||"&amp;Data!BW374&amp;Data!BX374,Key,0))),TRUE),TRUE)</f>
        <v>1</v>
      </c>
      <c r="V374" s="26" t="b">
        <f>IF(Checks!C374,IF(UPPER(Data!C374)="SUB PROCESS",Data!BY374&lt;&gt;"",TRUE),TRUE)</f>
        <v>1</v>
      </c>
      <c r="W374" s="26" t="b">
        <f>IF(Checks!C374,IF(UPPER(Data!C374)="SERVICE TASK",AND(Data!BZ374&lt;&gt;"",Data!CA374&lt;&gt;""),TRUE),TRUE)</f>
        <v>1</v>
      </c>
      <c r="X374" s="26" t="b">
        <f t="array" aca="1" ref="X374" ca="1">SUM((OFFSET(Data!B374,MAX(ROW(Data!$B$5)-ROW(Data!B374),-200),0,400,1)=Data!B374)*(OFFSET(Data!A374,MAX(ROW(Data!$B$5)-ROW(Data!B374),-200),0,400,1)=Data!A374))=1</f>
        <v>1</v>
      </c>
      <c r="Y374" s="26" t="b">
        <f t="array" aca="1" ref="Y374" ca="1">IF(UPPER(Data!C374)="START",SUM((OFFSET(Data!C374,MAX(ROW(Data!$C$5)-ROW(Data!C374),-200),0,400,1)="START")*(OFFSET(Data!A374,MAX(ROW(Data!$B$5)-ROW(Data!B374),-200),0,400,1)=Data!A374))=1,TRUE)</f>
        <v>1</v>
      </c>
      <c r="Z374" s="26" t="b">
        <f t="array" aca="1" ref="Z374" ca="1">IF(UPPER(Data!C374)="END",SUM((OFFSET(Data!C374,MAX(ROW(Data!$C$5)-ROW(Data!C374),-200),0,400,1)="END")*(OFFSET(Data!A374,MAX(ROW(Data!$B$5)-ROW(Data!B374),-200),0,400,1)=Data!A374))=1,TRUE)</f>
        <v>1</v>
      </c>
      <c r="AA374" s="26" t="b">
        <f>IF(Checks!C374,ISERROR(FIND("&amp;",Data!D374)),TRUE)</f>
        <v>1</v>
      </c>
      <c r="AB374" s="26" t="b">
        <f>IF(Checks!$C374,IF(AND(UPPER(Data!$C374)&lt;&gt;"START",UPPER(Data!$C374)&lt;&gt;"DATA OBJECT",Data!E374&lt;&gt;""),NOT(ISERROR(MATCH(Data!$A374&amp;"||"&amp;Data!E374,Key,0))),TRUE),TRUE)</f>
        <v>1</v>
      </c>
      <c r="AC374" s="27" t="b">
        <f>IF(Checks!C374,IF(UPPER(Data!C374)="END",Data!E374&lt;&gt;"",TRUE),TRUE)</f>
        <v>1</v>
      </c>
    </row>
    <row r="375" spans="1:29" x14ac:dyDescent="0.25">
      <c r="A375" s="1" t="str">
        <f>Data!A375&amp;"||"&amp;Data!B375</f>
        <v>Miscellaneous/subflow/irmifrs9_preprocess_stage1.bpmn||010_00_02</v>
      </c>
      <c r="B375" s="19"/>
      <c r="C375" s="24" t="b">
        <f>AND(UPPER(Data!A375)&lt;&gt;"EMPTY",Data!B375&lt;&gt;"")</f>
        <v>1</v>
      </c>
      <c r="D375" s="1"/>
      <c r="E375" s="25" t="b">
        <f t="shared" ca="1" si="10"/>
        <v>1</v>
      </c>
      <c r="F375" s="26" t="b">
        <f ca="1">IF(UPPER(Data!C375)="SUB PROCESS",NOT(ISERROR(MATCH(RIGHT(Data!BY375,LEN(Data!BY375)-5),OFFSET(Data,0,0,ItemsCount,1),0))),TRUE)</f>
        <v>1</v>
      </c>
      <c r="G375" s="26" t="b">
        <f ca="1">IF(MID(UPPER(Data!A375),1,13)="MISCELLANEOUS",NOT(ISERROR(MATCH("path="&amp;Data!A375,OFFSET(Data,0,76,ItemsCount,1),0))),TRUE)</f>
        <v>1</v>
      </c>
      <c r="L375" s="25" t="b">
        <f t="shared" ca="1" si="11"/>
        <v>1</v>
      </c>
      <c r="M375" s="24" t="b">
        <f>IF(Checks!$C375,Data!A375&lt;&gt;"",TRUE)</f>
        <v>1</v>
      </c>
      <c r="N375" s="26" t="b">
        <f>IF(Checks!C375,Data!B375&lt;&gt;"",TRUE)</f>
        <v>1</v>
      </c>
      <c r="O375" s="26" t="b">
        <f>IF(Checks!C375,IF(AND(UPPER(Data!C375)="SERVICE TASK",UPPER(Data!BZ375)="TYPE=SAS"),NodeExists(TRIM(RIGHT(Data!CA375,LEN(Data!CA375)-FIND("=",Data!CA375)))),TRUE),TRUE)</f>
        <v>1</v>
      </c>
      <c r="P375" s="26" t="b">
        <f>IF(Checks!C375,IF(Data!C375="DATA OBJECT",OR(AND(Data!BW375&lt;&gt;"",Data!BX375=""),AND(Data!BW375="",Data!BX375&lt;&gt;"")),TRUE),TRUE)</f>
        <v>1</v>
      </c>
      <c r="Q375" s="26" t="b">
        <f>IF(Checks!C375,UPPER(RIGHT(Data!A375,5))=".BPMN",TRUE)</f>
        <v>1</v>
      </c>
      <c r="R375" s="26" t="b">
        <f>IF(Checks!C375,IF(UPPER(Data!C375)="SUB PROCESS",UPPER(RIGHT(Data!BY375,5))=".BPMN",TRUE),TRUE)</f>
        <v>1</v>
      </c>
      <c r="S375" s="26" t="b">
        <f>IF(Checks!C375,IF(UPPER(Data!C375)="SERVICE TASK",IF(UPPER(Data!BZ375)="TYPE=SAS",UPPER(RIGHT(Data!CA375,4))=".SAS",TRUE),TRUE),TRUE)</f>
        <v>1</v>
      </c>
      <c r="T375" s="26" t="b">
        <f>IF(Checks!C375,IF(Data!B375&lt;&gt;"",Data!D375&lt;&gt;"",TRUE),TRUE)</f>
        <v>1</v>
      </c>
      <c r="U375" s="26" t="b">
        <f ca="1">IF(Checks!C375,IF(UPPER(Data!C375)="DATA OBJECT",NOT(ISERROR(MATCH(Data!A375&amp;"||"&amp;Data!BW375&amp;Data!BX375,Key,0))),TRUE),TRUE)</f>
        <v>1</v>
      </c>
      <c r="V375" s="26" t="b">
        <f>IF(Checks!C375,IF(UPPER(Data!C375)="SUB PROCESS",Data!BY375&lt;&gt;"",TRUE),TRUE)</f>
        <v>1</v>
      </c>
      <c r="W375" s="26" t="b">
        <f>IF(Checks!C375,IF(UPPER(Data!C375)="SERVICE TASK",AND(Data!BZ375&lt;&gt;"",Data!CA375&lt;&gt;""),TRUE),TRUE)</f>
        <v>1</v>
      </c>
      <c r="X375" s="26" t="b">
        <f t="array" aca="1" ref="X375" ca="1">SUM((OFFSET(Data!B375,MAX(ROW(Data!$B$5)-ROW(Data!B375),-200),0,400,1)=Data!B375)*(OFFSET(Data!A375,MAX(ROW(Data!$B$5)-ROW(Data!B375),-200),0,400,1)=Data!A375))=1</f>
        <v>1</v>
      </c>
      <c r="Y375" s="26" t="b">
        <f t="array" aca="1" ref="Y375" ca="1">IF(UPPER(Data!C375)="START",SUM((OFFSET(Data!C375,MAX(ROW(Data!$C$5)-ROW(Data!C375),-200),0,400,1)="START")*(OFFSET(Data!A375,MAX(ROW(Data!$B$5)-ROW(Data!B375),-200),0,400,1)=Data!A375))=1,TRUE)</f>
        <v>1</v>
      </c>
      <c r="Z375" s="26" t="b">
        <f t="array" aca="1" ref="Z375" ca="1">IF(UPPER(Data!C375)="END",SUM((OFFSET(Data!C375,MAX(ROW(Data!$C$5)-ROW(Data!C375),-200),0,400,1)="END")*(OFFSET(Data!A375,MAX(ROW(Data!$B$5)-ROW(Data!B375),-200),0,400,1)=Data!A375))=1,TRUE)</f>
        <v>1</v>
      </c>
      <c r="AA375" s="26" t="b">
        <f>IF(Checks!C375,ISERROR(FIND("&amp;",Data!D375)),TRUE)</f>
        <v>1</v>
      </c>
      <c r="AB375" s="26" t="b">
        <f>IF(Checks!$C375,IF(AND(UPPER(Data!$C375)&lt;&gt;"START",UPPER(Data!$C375)&lt;&gt;"DATA OBJECT",Data!E375&lt;&gt;""),NOT(ISERROR(MATCH(Data!$A375&amp;"||"&amp;Data!E375,Key,0))),TRUE),TRUE)</f>
        <v>1</v>
      </c>
      <c r="AC375" s="27" t="b">
        <f>IF(Checks!C375,IF(UPPER(Data!C375)="END",Data!E375&lt;&gt;"",TRUE),TRUE)</f>
        <v>1</v>
      </c>
    </row>
    <row r="376" spans="1:29" x14ac:dyDescent="0.25">
      <c r="A376" s="1" t="str">
        <f>Data!A376&amp;"||"&amp;Data!B376</f>
        <v>Miscellaneous/subflow/irmifrs9_preprocess_stage1.bpmn||010_01_00</v>
      </c>
      <c r="B376" s="19"/>
      <c r="C376" s="24" t="b">
        <f>AND(UPPER(Data!A376)&lt;&gt;"EMPTY",Data!B376&lt;&gt;"")</f>
        <v>1</v>
      </c>
      <c r="D376" s="1"/>
      <c r="E376" s="25" t="b">
        <f t="shared" ca="1" si="10"/>
        <v>1</v>
      </c>
      <c r="F376" s="26" t="b">
        <f ca="1">IF(UPPER(Data!C376)="SUB PROCESS",NOT(ISERROR(MATCH(RIGHT(Data!BY376,LEN(Data!BY376)-5),OFFSET(Data,0,0,ItemsCount,1),0))),TRUE)</f>
        <v>1</v>
      </c>
      <c r="G376" s="26" t="b">
        <f ca="1">IF(MID(UPPER(Data!A376),1,13)="MISCELLANEOUS",NOT(ISERROR(MATCH("path="&amp;Data!A376,OFFSET(Data,0,76,ItemsCount,1),0))),TRUE)</f>
        <v>1</v>
      </c>
      <c r="L376" s="25" t="b">
        <f t="shared" ca="1" si="11"/>
        <v>1</v>
      </c>
      <c r="M376" s="24" t="b">
        <f>IF(Checks!$C376,Data!A376&lt;&gt;"",TRUE)</f>
        <v>1</v>
      </c>
      <c r="N376" s="26" t="b">
        <f>IF(Checks!C376,Data!B376&lt;&gt;"",TRUE)</f>
        <v>1</v>
      </c>
      <c r="O376" s="26" t="b">
        <f>IF(Checks!C376,IF(AND(UPPER(Data!C376)="SERVICE TASK",UPPER(Data!BZ376)="TYPE=SAS"),NodeExists(TRIM(RIGHT(Data!CA376,LEN(Data!CA376)-FIND("=",Data!CA376)))),TRUE),TRUE)</f>
        <v>1</v>
      </c>
      <c r="P376" s="26" t="b">
        <f>IF(Checks!C376,IF(Data!C376="DATA OBJECT",OR(AND(Data!BW376&lt;&gt;"",Data!BX376=""),AND(Data!BW376="",Data!BX376&lt;&gt;"")),TRUE),TRUE)</f>
        <v>1</v>
      </c>
      <c r="Q376" s="26" t="b">
        <f>IF(Checks!C376,UPPER(RIGHT(Data!A376,5))=".BPMN",TRUE)</f>
        <v>1</v>
      </c>
      <c r="R376" s="26" t="b">
        <f>IF(Checks!C376,IF(UPPER(Data!C376)="SUB PROCESS",UPPER(RIGHT(Data!BY376,5))=".BPMN",TRUE),TRUE)</f>
        <v>1</v>
      </c>
      <c r="S376" s="26" t="b">
        <f>IF(Checks!C376,IF(UPPER(Data!C376)="SERVICE TASK",IF(UPPER(Data!BZ376)="TYPE=SAS",UPPER(RIGHT(Data!CA376,4))=".SAS",TRUE),TRUE),TRUE)</f>
        <v>1</v>
      </c>
      <c r="T376" s="26" t="b">
        <f>IF(Checks!C376,IF(Data!B376&lt;&gt;"",Data!D376&lt;&gt;"",TRUE),TRUE)</f>
        <v>1</v>
      </c>
      <c r="U376" s="26" t="b">
        <f ca="1">IF(Checks!C376,IF(UPPER(Data!C376)="DATA OBJECT",NOT(ISERROR(MATCH(Data!A376&amp;"||"&amp;Data!BW376&amp;Data!BX376,Key,0))),TRUE),TRUE)</f>
        <v>1</v>
      </c>
      <c r="V376" s="26" t="b">
        <f>IF(Checks!C376,IF(UPPER(Data!C376)="SUB PROCESS",Data!BY376&lt;&gt;"",TRUE),TRUE)</f>
        <v>1</v>
      </c>
      <c r="W376" s="26" t="b">
        <f>IF(Checks!C376,IF(UPPER(Data!C376)="SERVICE TASK",AND(Data!BZ376&lt;&gt;"",Data!CA376&lt;&gt;""),TRUE),TRUE)</f>
        <v>1</v>
      </c>
      <c r="X376" s="26" t="b">
        <f t="array" aca="1" ref="X376" ca="1">SUM((OFFSET(Data!B376,MAX(ROW(Data!$B$5)-ROW(Data!B376),-200),0,400,1)=Data!B376)*(OFFSET(Data!A376,MAX(ROW(Data!$B$5)-ROW(Data!B376),-200),0,400,1)=Data!A376))=1</f>
        <v>1</v>
      </c>
      <c r="Y376" s="26" t="b">
        <f t="array" aca="1" ref="Y376" ca="1">IF(UPPER(Data!C376)="START",SUM((OFFSET(Data!C376,MAX(ROW(Data!$C$5)-ROW(Data!C376),-200),0,400,1)="START")*(OFFSET(Data!A376,MAX(ROW(Data!$B$5)-ROW(Data!B376),-200),0,400,1)=Data!A376))=1,TRUE)</f>
        <v>1</v>
      </c>
      <c r="Z376" s="26" t="b">
        <f t="array" aca="1" ref="Z376" ca="1">IF(UPPER(Data!C376)="END",SUM((OFFSET(Data!C376,MAX(ROW(Data!$C$5)-ROW(Data!C376),-200),0,400,1)="END")*(OFFSET(Data!A376,MAX(ROW(Data!$B$5)-ROW(Data!B376),-200),0,400,1)=Data!A376))=1,TRUE)</f>
        <v>1</v>
      </c>
      <c r="AA376" s="26" t="b">
        <f>IF(Checks!C376,ISERROR(FIND("&amp;",Data!D376)),TRUE)</f>
        <v>1</v>
      </c>
      <c r="AB376" s="26" t="b">
        <f>IF(Checks!$C376,IF(AND(UPPER(Data!$C376)&lt;&gt;"START",UPPER(Data!$C376)&lt;&gt;"DATA OBJECT",Data!E376&lt;&gt;""),NOT(ISERROR(MATCH(Data!$A376&amp;"||"&amp;Data!E376,Key,0))),TRUE),TRUE)</f>
        <v>1</v>
      </c>
      <c r="AC376" s="27" t="b">
        <f>IF(Checks!C376,IF(UPPER(Data!C376)="END",Data!E376&lt;&gt;"",TRUE),TRUE)</f>
        <v>1</v>
      </c>
    </row>
    <row r="377" spans="1:29" x14ac:dyDescent="0.25">
      <c r="A377" s="1" t="str">
        <f>Data!A377&amp;"||"&amp;Data!B377</f>
        <v>Miscellaneous/subflow/irmifrs9_preprocess_stage1.bpmn||020_00_00</v>
      </c>
      <c r="B377" s="19"/>
      <c r="C377" s="24" t="b">
        <f>AND(UPPER(Data!A377)&lt;&gt;"EMPTY",Data!B377&lt;&gt;"")</f>
        <v>1</v>
      </c>
      <c r="D377" s="1"/>
      <c r="E377" s="25" t="b">
        <f t="shared" ca="1" si="10"/>
        <v>1</v>
      </c>
      <c r="F377" s="26" t="b">
        <f ca="1">IF(UPPER(Data!C377)="SUB PROCESS",NOT(ISERROR(MATCH(RIGHT(Data!BY377,LEN(Data!BY377)-5),OFFSET(Data,0,0,ItemsCount,1),0))),TRUE)</f>
        <v>1</v>
      </c>
      <c r="G377" s="26" t="b">
        <f ca="1">IF(MID(UPPER(Data!A377),1,13)="MISCELLANEOUS",NOT(ISERROR(MATCH("path="&amp;Data!A377,OFFSET(Data,0,76,ItemsCount,1),0))),TRUE)</f>
        <v>1</v>
      </c>
      <c r="L377" s="25" t="b">
        <f t="shared" ca="1" si="11"/>
        <v>1</v>
      </c>
      <c r="M377" s="24" t="b">
        <f>IF(Checks!$C377,Data!A377&lt;&gt;"",TRUE)</f>
        <v>1</v>
      </c>
      <c r="N377" s="26" t="b">
        <f>IF(Checks!C377,Data!B377&lt;&gt;"",TRUE)</f>
        <v>1</v>
      </c>
      <c r="O377" s="26" t="b">
        <f>IF(Checks!C377,IF(AND(UPPER(Data!C377)="SERVICE TASK",UPPER(Data!BZ377)="TYPE=SAS"),NodeExists(TRIM(RIGHT(Data!CA377,LEN(Data!CA377)-FIND("=",Data!CA377)))),TRUE),TRUE)</f>
        <v>1</v>
      </c>
      <c r="P377" s="26" t="b">
        <f>IF(Checks!C377,IF(Data!C377="DATA OBJECT",OR(AND(Data!BW377&lt;&gt;"",Data!BX377=""),AND(Data!BW377="",Data!BX377&lt;&gt;"")),TRUE),TRUE)</f>
        <v>1</v>
      </c>
      <c r="Q377" s="26" t="b">
        <f>IF(Checks!C377,UPPER(RIGHT(Data!A377,5))=".BPMN",TRUE)</f>
        <v>1</v>
      </c>
      <c r="R377" s="26" t="b">
        <f>IF(Checks!C377,IF(UPPER(Data!C377)="SUB PROCESS",UPPER(RIGHT(Data!BY377,5))=".BPMN",TRUE),TRUE)</f>
        <v>1</v>
      </c>
      <c r="S377" s="26" t="b">
        <f>IF(Checks!C377,IF(UPPER(Data!C377)="SERVICE TASK",IF(UPPER(Data!BZ377)="TYPE=SAS",UPPER(RIGHT(Data!CA377,4))=".SAS",TRUE),TRUE),TRUE)</f>
        <v>1</v>
      </c>
      <c r="T377" s="26" t="b">
        <f>IF(Checks!C377,IF(Data!B377&lt;&gt;"",Data!D377&lt;&gt;"",TRUE),TRUE)</f>
        <v>1</v>
      </c>
      <c r="U377" s="26" t="b">
        <f>IF(Checks!C377,IF(UPPER(Data!C377)="DATA OBJECT",NOT(ISERROR(MATCH(Data!A377&amp;"||"&amp;Data!BW377&amp;Data!BX377,Key,0))),TRUE),TRUE)</f>
        <v>1</v>
      </c>
      <c r="V377" s="26" t="b">
        <f>IF(Checks!C377,IF(UPPER(Data!C377)="SUB PROCESS",Data!BY377&lt;&gt;"",TRUE),TRUE)</f>
        <v>1</v>
      </c>
      <c r="W377" s="26" t="b">
        <f>IF(Checks!C377,IF(UPPER(Data!C377)="SERVICE TASK",AND(Data!BZ377&lt;&gt;"",Data!CA377&lt;&gt;""),TRUE),TRUE)</f>
        <v>1</v>
      </c>
      <c r="X377" s="26" t="b">
        <f t="array" aca="1" ref="X377" ca="1">SUM((OFFSET(Data!B377,MAX(ROW(Data!$B$5)-ROW(Data!B377),-200),0,400,1)=Data!B377)*(OFFSET(Data!A377,MAX(ROW(Data!$B$5)-ROW(Data!B377),-200),0,400,1)=Data!A377))=1</f>
        <v>1</v>
      </c>
      <c r="Y377" s="26" t="b">
        <f t="array" aca="1" ref="Y377" ca="1">IF(UPPER(Data!C377)="START",SUM((OFFSET(Data!C377,MAX(ROW(Data!$C$5)-ROW(Data!C377),-200),0,400,1)="START")*(OFFSET(Data!A377,MAX(ROW(Data!$B$5)-ROW(Data!B377),-200),0,400,1)=Data!A377))=1,TRUE)</f>
        <v>1</v>
      </c>
      <c r="Z377" s="26" t="b">
        <f t="array" aca="1" ref="Z377" ca="1">IF(UPPER(Data!C377)="END",SUM((OFFSET(Data!C377,MAX(ROW(Data!$C$5)-ROW(Data!C377),-200),0,400,1)="END")*(OFFSET(Data!A377,MAX(ROW(Data!$B$5)-ROW(Data!B377),-200),0,400,1)=Data!A377))=1,TRUE)</f>
        <v>1</v>
      </c>
      <c r="AA377" s="26" t="b">
        <f>IF(Checks!C377,ISERROR(FIND("&amp;",Data!D377)),TRUE)</f>
        <v>1</v>
      </c>
      <c r="AB377" s="26" t="b">
        <f ca="1">IF(Checks!$C377,IF(AND(UPPER(Data!$C377)&lt;&gt;"START",UPPER(Data!$C377)&lt;&gt;"DATA OBJECT",Data!E377&lt;&gt;""),NOT(ISERROR(MATCH(Data!$A377&amp;"||"&amp;Data!E377,Key,0))),TRUE),TRUE)</f>
        <v>1</v>
      </c>
      <c r="AC377" s="27" t="b">
        <f>IF(Checks!C377,IF(UPPER(Data!C377)="END",Data!E377&lt;&gt;"",TRUE),TRUE)</f>
        <v>1</v>
      </c>
    </row>
    <row r="378" spans="1:29" x14ac:dyDescent="0.25">
      <c r="A378" s="1" t="str">
        <f>Data!A378&amp;"||"&amp;Data!B378</f>
        <v>Miscellaneous/subflow/irmifrs9_preprocess_stage1.bpmn||020_00_01</v>
      </c>
      <c r="B378" s="19"/>
      <c r="C378" s="24" t="b">
        <f>AND(UPPER(Data!A378)&lt;&gt;"EMPTY",Data!B378&lt;&gt;"")</f>
        <v>1</v>
      </c>
      <c r="D378" s="1"/>
      <c r="E378" s="25" t="b">
        <f t="shared" ca="1" si="10"/>
        <v>1</v>
      </c>
      <c r="F378" s="26" t="b">
        <f ca="1">IF(UPPER(Data!C378)="SUB PROCESS",NOT(ISERROR(MATCH(RIGHT(Data!BY378,LEN(Data!BY378)-5),OFFSET(Data,0,0,ItemsCount,1),0))),TRUE)</f>
        <v>1</v>
      </c>
      <c r="G378" s="26" t="b">
        <f ca="1">IF(MID(UPPER(Data!A378),1,13)="MISCELLANEOUS",NOT(ISERROR(MATCH("path="&amp;Data!A378,OFFSET(Data,0,76,ItemsCount,1),0))),TRUE)</f>
        <v>1</v>
      </c>
      <c r="L378" s="25" t="b">
        <f t="shared" ca="1" si="11"/>
        <v>1</v>
      </c>
      <c r="M378" s="24" t="b">
        <f>IF(Checks!$C378,Data!A378&lt;&gt;"",TRUE)</f>
        <v>1</v>
      </c>
      <c r="N378" s="26" t="b">
        <f>IF(Checks!C378,Data!B378&lt;&gt;"",TRUE)</f>
        <v>1</v>
      </c>
      <c r="O378" s="26" t="b">
        <f>IF(Checks!C378,IF(AND(UPPER(Data!C378)="SERVICE TASK",UPPER(Data!BZ378)="TYPE=SAS"),NodeExists(TRIM(RIGHT(Data!CA378,LEN(Data!CA378)-FIND("=",Data!CA378)))),TRUE),TRUE)</f>
        <v>1</v>
      </c>
      <c r="P378" s="26" t="b">
        <f>IF(Checks!C378,IF(Data!C378="DATA OBJECT",OR(AND(Data!BW378&lt;&gt;"",Data!BX378=""),AND(Data!BW378="",Data!BX378&lt;&gt;"")),TRUE),TRUE)</f>
        <v>1</v>
      </c>
      <c r="Q378" s="26" t="b">
        <f>IF(Checks!C378,UPPER(RIGHT(Data!A378,5))=".BPMN",TRUE)</f>
        <v>1</v>
      </c>
      <c r="R378" s="26" t="b">
        <f>IF(Checks!C378,IF(UPPER(Data!C378)="SUB PROCESS",UPPER(RIGHT(Data!BY378,5))=".BPMN",TRUE),TRUE)</f>
        <v>1</v>
      </c>
      <c r="S378" s="26" t="b">
        <f>IF(Checks!C378,IF(UPPER(Data!C378)="SERVICE TASK",IF(UPPER(Data!BZ378)="TYPE=SAS",UPPER(RIGHT(Data!CA378,4))=".SAS",TRUE),TRUE),TRUE)</f>
        <v>1</v>
      </c>
      <c r="T378" s="26" t="b">
        <f>IF(Checks!C378,IF(Data!B378&lt;&gt;"",Data!D378&lt;&gt;"",TRUE),TRUE)</f>
        <v>1</v>
      </c>
      <c r="U378" s="26" t="b">
        <f ca="1">IF(Checks!C378,IF(UPPER(Data!C378)="DATA OBJECT",NOT(ISERROR(MATCH(Data!A378&amp;"||"&amp;Data!BW378&amp;Data!BX378,Key,0))),TRUE),TRUE)</f>
        <v>1</v>
      </c>
      <c r="V378" s="26" t="b">
        <f>IF(Checks!C378,IF(UPPER(Data!C378)="SUB PROCESS",Data!BY378&lt;&gt;"",TRUE),TRUE)</f>
        <v>1</v>
      </c>
      <c r="W378" s="26" t="b">
        <f>IF(Checks!C378,IF(UPPER(Data!C378)="SERVICE TASK",AND(Data!BZ378&lt;&gt;"",Data!CA378&lt;&gt;""),TRUE),TRUE)</f>
        <v>1</v>
      </c>
      <c r="X378" s="26" t="b">
        <f t="array" aca="1" ref="X378" ca="1">SUM((OFFSET(Data!B378,MAX(ROW(Data!$B$5)-ROW(Data!B378),-200),0,400,1)=Data!B378)*(OFFSET(Data!A378,MAX(ROW(Data!$B$5)-ROW(Data!B378),-200),0,400,1)=Data!A378))=1</f>
        <v>1</v>
      </c>
      <c r="Y378" s="26" t="b">
        <f t="array" aca="1" ref="Y378" ca="1">IF(UPPER(Data!C378)="START",SUM((OFFSET(Data!C378,MAX(ROW(Data!$C$5)-ROW(Data!C378),-200),0,400,1)="START")*(OFFSET(Data!A378,MAX(ROW(Data!$B$5)-ROW(Data!B378),-200),0,400,1)=Data!A378))=1,TRUE)</f>
        <v>1</v>
      </c>
      <c r="Z378" s="26" t="b">
        <f t="array" aca="1" ref="Z378" ca="1">IF(UPPER(Data!C378)="END",SUM((OFFSET(Data!C378,MAX(ROW(Data!$C$5)-ROW(Data!C378),-200),0,400,1)="END")*(OFFSET(Data!A378,MAX(ROW(Data!$B$5)-ROW(Data!B378),-200),0,400,1)=Data!A378))=1,TRUE)</f>
        <v>1</v>
      </c>
      <c r="AA378" s="26" t="b">
        <f>IF(Checks!C378,ISERROR(FIND("&amp;",Data!D378)),TRUE)</f>
        <v>1</v>
      </c>
      <c r="AB378" s="26" t="b">
        <f>IF(Checks!$C378,IF(AND(UPPER(Data!$C378)&lt;&gt;"START",UPPER(Data!$C378)&lt;&gt;"DATA OBJECT",Data!E378&lt;&gt;""),NOT(ISERROR(MATCH(Data!$A378&amp;"||"&amp;Data!E378,Key,0))),TRUE),TRUE)</f>
        <v>1</v>
      </c>
      <c r="AC378" s="27" t="b">
        <f>IF(Checks!C378,IF(UPPER(Data!C378)="END",Data!E378&lt;&gt;"",TRUE),TRUE)</f>
        <v>1</v>
      </c>
    </row>
    <row r="379" spans="1:29" x14ac:dyDescent="0.25">
      <c r="A379" s="1" t="str">
        <f>Data!A379&amp;"||"&amp;Data!B379</f>
        <v>Miscellaneous/subflow/irmifrs9_preprocess_stage1.bpmn||020_00_02</v>
      </c>
      <c r="B379" s="19"/>
      <c r="C379" s="24" t="b">
        <f>AND(UPPER(Data!A379)&lt;&gt;"EMPTY",Data!B379&lt;&gt;"")</f>
        <v>1</v>
      </c>
      <c r="D379" s="1"/>
      <c r="E379" s="25" t="b">
        <f t="shared" ca="1" si="10"/>
        <v>1</v>
      </c>
      <c r="F379" s="26" t="b">
        <f ca="1">IF(UPPER(Data!C379)="SUB PROCESS",NOT(ISERROR(MATCH(RIGHT(Data!BY379,LEN(Data!BY379)-5),OFFSET(Data,0,0,ItemsCount,1),0))),TRUE)</f>
        <v>1</v>
      </c>
      <c r="G379" s="26" t="b">
        <f ca="1">IF(MID(UPPER(Data!A379),1,13)="MISCELLANEOUS",NOT(ISERROR(MATCH("path="&amp;Data!A379,OFFSET(Data,0,76,ItemsCount,1),0))),TRUE)</f>
        <v>1</v>
      </c>
      <c r="L379" s="25" t="b">
        <f t="shared" ca="1" si="11"/>
        <v>1</v>
      </c>
      <c r="M379" s="24" t="b">
        <f>IF(Checks!$C379,Data!A379&lt;&gt;"",TRUE)</f>
        <v>1</v>
      </c>
      <c r="N379" s="26" t="b">
        <f>IF(Checks!C379,Data!B379&lt;&gt;"",TRUE)</f>
        <v>1</v>
      </c>
      <c r="O379" s="26" t="b">
        <f>IF(Checks!C379,IF(AND(UPPER(Data!C379)="SERVICE TASK",UPPER(Data!BZ379)="TYPE=SAS"),NodeExists(TRIM(RIGHT(Data!CA379,LEN(Data!CA379)-FIND("=",Data!CA379)))),TRUE),TRUE)</f>
        <v>1</v>
      </c>
      <c r="P379" s="26" t="b">
        <f>IF(Checks!C379,IF(Data!C379="DATA OBJECT",OR(AND(Data!BW379&lt;&gt;"",Data!BX379=""),AND(Data!BW379="",Data!BX379&lt;&gt;"")),TRUE),TRUE)</f>
        <v>1</v>
      </c>
      <c r="Q379" s="26" t="b">
        <f>IF(Checks!C379,UPPER(RIGHT(Data!A379,5))=".BPMN",TRUE)</f>
        <v>1</v>
      </c>
      <c r="R379" s="26" t="b">
        <f>IF(Checks!C379,IF(UPPER(Data!C379)="SUB PROCESS",UPPER(RIGHT(Data!BY379,5))=".BPMN",TRUE),TRUE)</f>
        <v>1</v>
      </c>
      <c r="S379" s="26" t="b">
        <f>IF(Checks!C379,IF(UPPER(Data!C379)="SERVICE TASK",IF(UPPER(Data!BZ379)="TYPE=SAS",UPPER(RIGHT(Data!CA379,4))=".SAS",TRUE),TRUE),TRUE)</f>
        <v>1</v>
      </c>
      <c r="T379" s="26" t="b">
        <f>IF(Checks!C379,IF(Data!B379&lt;&gt;"",Data!D379&lt;&gt;"",TRUE),TRUE)</f>
        <v>1</v>
      </c>
      <c r="U379" s="26" t="b">
        <f ca="1">IF(Checks!C379,IF(UPPER(Data!C379)="DATA OBJECT",NOT(ISERROR(MATCH(Data!A379&amp;"||"&amp;Data!BW379&amp;Data!BX379,Key,0))),TRUE),TRUE)</f>
        <v>1</v>
      </c>
      <c r="V379" s="26" t="b">
        <f>IF(Checks!C379,IF(UPPER(Data!C379)="SUB PROCESS",Data!BY379&lt;&gt;"",TRUE),TRUE)</f>
        <v>1</v>
      </c>
      <c r="W379" s="26" t="b">
        <f>IF(Checks!C379,IF(UPPER(Data!C379)="SERVICE TASK",AND(Data!BZ379&lt;&gt;"",Data!CA379&lt;&gt;""),TRUE),TRUE)</f>
        <v>1</v>
      </c>
      <c r="X379" s="26" t="b">
        <f t="array" aca="1" ref="X379" ca="1">SUM((OFFSET(Data!B379,MAX(ROW(Data!$B$5)-ROW(Data!B379),-200),0,400,1)=Data!B379)*(OFFSET(Data!A379,MAX(ROW(Data!$B$5)-ROW(Data!B379),-200),0,400,1)=Data!A379))=1</f>
        <v>1</v>
      </c>
      <c r="Y379" s="26" t="b">
        <f t="array" aca="1" ref="Y379" ca="1">IF(UPPER(Data!C379)="START",SUM((OFFSET(Data!C379,MAX(ROW(Data!$C$5)-ROW(Data!C379),-200),0,400,1)="START")*(OFFSET(Data!A379,MAX(ROW(Data!$B$5)-ROW(Data!B379),-200),0,400,1)=Data!A379))=1,TRUE)</f>
        <v>1</v>
      </c>
      <c r="Z379" s="26" t="b">
        <f t="array" aca="1" ref="Z379" ca="1">IF(UPPER(Data!C379)="END",SUM((OFFSET(Data!C379,MAX(ROW(Data!$C$5)-ROW(Data!C379),-200),0,400,1)="END")*(OFFSET(Data!A379,MAX(ROW(Data!$B$5)-ROW(Data!B379),-200),0,400,1)=Data!A379))=1,TRUE)</f>
        <v>1</v>
      </c>
      <c r="AA379" s="26" t="b">
        <f>IF(Checks!C379,ISERROR(FIND("&amp;",Data!D379)),TRUE)</f>
        <v>1</v>
      </c>
      <c r="AB379" s="26" t="b">
        <f>IF(Checks!$C379,IF(AND(UPPER(Data!$C379)&lt;&gt;"START",UPPER(Data!$C379)&lt;&gt;"DATA OBJECT",Data!E379&lt;&gt;""),NOT(ISERROR(MATCH(Data!$A379&amp;"||"&amp;Data!E379,Key,0))),TRUE),TRUE)</f>
        <v>1</v>
      </c>
      <c r="AC379" s="27" t="b">
        <f>IF(Checks!C379,IF(UPPER(Data!C379)="END",Data!E379&lt;&gt;"",TRUE),TRUE)</f>
        <v>1</v>
      </c>
    </row>
    <row r="380" spans="1:29" x14ac:dyDescent="0.25">
      <c r="A380" s="1" t="str">
        <f>Data!A380&amp;"||"&amp;Data!B380</f>
        <v>Miscellaneous/subflow/irmifrs9_preprocess_stage1.bpmn||020_00_03</v>
      </c>
      <c r="B380" s="19"/>
      <c r="C380" s="24" t="b">
        <f>AND(UPPER(Data!A380)&lt;&gt;"EMPTY",Data!B380&lt;&gt;"")</f>
        <v>1</v>
      </c>
      <c r="D380" s="1"/>
      <c r="E380" s="25" t="b">
        <f t="shared" ca="1" si="10"/>
        <v>1</v>
      </c>
      <c r="F380" s="26" t="b">
        <f ca="1">IF(UPPER(Data!C380)="SUB PROCESS",NOT(ISERROR(MATCH(RIGHT(Data!BY380,LEN(Data!BY380)-5),OFFSET(Data,0,0,ItemsCount,1),0))),TRUE)</f>
        <v>1</v>
      </c>
      <c r="G380" s="26" t="b">
        <f ca="1">IF(MID(UPPER(Data!A380),1,13)="MISCELLANEOUS",NOT(ISERROR(MATCH("path="&amp;Data!A380,OFFSET(Data,0,76,ItemsCount,1),0))),TRUE)</f>
        <v>1</v>
      </c>
      <c r="L380" s="25" t="b">
        <f t="shared" ca="1" si="11"/>
        <v>1</v>
      </c>
      <c r="M380" s="24" t="b">
        <f>IF(Checks!$C380,Data!A380&lt;&gt;"",TRUE)</f>
        <v>1</v>
      </c>
      <c r="N380" s="26" t="b">
        <f>IF(Checks!C380,Data!B380&lt;&gt;"",TRUE)</f>
        <v>1</v>
      </c>
      <c r="O380" s="26" t="b">
        <f>IF(Checks!C380,IF(AND(UPPER(Data!C380)="SERVICE TASK",UPPER(Data!BZ380)="TYPE=SAS"),NodeExists(TRIM(RIGHT(Data!CA380,LEN(Data!CA380)-FIND("=",Data!CA380)))),TRUE),TRUE)</f>
        <v>1</v>
      </c>
      <c r="P380" s="26" t="b">
        <f>IF(Checks!C380,IF(Data!C380="DATA OBJECT",OR(AND(Data!BW380&lt;&gt;"",Data!BX380=""),AND(Data!BW380="",Data!BX380&lt;&gt;"")),TRUE),TRUE)</f>
        <v>1</v>
      </c>
      <c r="Q380" s="26" t="b">
        <f>IF(Checks!C380,UPPER(RIGHT(Data!A380,5))=".BPMN",TRUE)</f>
        <v>1</v>
      </c>
      <c r="R380" s="26" t="b">
        <f>IF(Checks!C380,IF(UPPER(Data!C380)="SUB PROCESS",UPPER(RIGHT(Data!BY380,5))=".BPMN",TRUE),TRUE)</f>
        <v>1</v>
      </c>
      <c r="S380" s="26" t="b">
        <f>IF(Checks!C380,IF(UPPER(Data!C380)="SERVICE TASK",IF(UPPER(Data!BZ380)="TYPE=SAS",UPPER(RIGHT(Data!CA380,4))=".SAS",TRUE),TRUE),TRUE)</f>
        <v>1</v>
      </c>
      <c r="T380" s="26" t="b">
        <f>IF(Checks!C380,IF(Data!B380&lt;&gt;"",Data!D380&lt;&gt;"",TRUE),TRUE)</f>
        <v>1</v>
      </c>
      <c r="U380" s="26" t="b">
        <f ca="1">IF(Checks!C380,IF(UPPER(Data!C380)="DATA OBJECT",NOT(ISERROR(MATCH(Data!A380&amp;"||"&amp;Data!BW380&amp;Data!BX380,Key,0))),TRUE),TRUE)</f>
        <v>1</v>
      </c>
      <c r="V380" s="26" t="b">
        <f>IF(Checks!C380,IF(UPPER(Data!C380)="SUB PROCESS",Data!BY380&lt;&gt;"",TRUE),TRUE)</f>
        <v>1</v>
      </c>
      <c r="W380" s="26" t="b">
        <f>IF(Checks!C380,IF(UPPER(Data!C380)="SERVICE TASK",AND(Data!BZ380&lt;&gt;"",Data!CA380&lt;&gt;""),TRUE),TRUE)</f>
        <v>1</v>
      </c>
      <c r="X380" s="26" t="b">
        <f t="array" aca="1" ref="X380" ca="1">SUM((OFFSET(Data!B380,MAX(ROW(Data!$B$5)-ROW(Data!B380),-200),0,400,1)=Data!B380)*(OFFSET(Data!A380,MAX(ROW(Data!$B$5)-ROW(Data!B380),-200),0,400,1)=Data!A380))=1</f>
        <v>1</v>
      </c>
      <c r="Y380" s="26" t="b">
        <f t="array" aca="1" ref="Y380" ca="1">IF(UPPER(Data!C380)="START",SUM((OFFSET(Data!C380,MAX(ROW(Data!$C$5)-ROW(Data!C380),-200),0,400,1)="START")*(OFFSET(Data!A380,MAX(ROW(Data!$B$5)-ROW(Data!B380),-200),0,400,1)=Data!A380))=1,TRUE)</f>
        <v>1</v>
      </c>
      <c r="Z380" s="26" t="b">
        <f t="array" aca="1" ref="Z380" ca="1">IF(UPPER(Data!C380)="END",SUM((OFFSET(Data!C380,MAX(ROW(Data!$C$5)-ROW(Data!C380),-200),0,400,1)="END")*(OFFSET(Data!A380,MAX(ROW(Data!$B$5)-ROW(Data!B380),-200),0,400,1)=Data!A380))=1,TRUE)</f>
        <v>1</v>
      </c>
      <c r="AA380" s="26" t="b">
        <f>IF(Checks!C380,ISERROR(FIND("&amp;",Data!D380)),TRUE)</f>
        <v>1</v>
      </c>
      <c r="AB380" s="26" t="b">
        <f>IF(Checks!$C380,IF(AND(UPPER(Data!$C380)&lt;&gt;"START",UPPER(Data!$C380)&lt;&gt;"DATA OBJECT",Data!E380&lt;&gt;""),NOT(ISERROR(MATCH(Data!$A380&amp;"||"&amp;Data!E380,Key,0))),TRUE),TRUE)</f>
        <v>1</v>
      </c>
      <c r="AC380" s="27" t="b">
        <f>IF(Checks!C380,IF(UPPER(Data!C380)="END",Data!E380&lt;&gt;"",TRUE),TRUE)</f>
        <v>1</v>
      </c>
    </row>
    <row r="381" spans="1:29" x14ac:dyDescent="0.25">
      <c r="A381" s="1" t="str">
        <f>Data!A381&amp;"||"&amp;Data!B381</f>
        <v>Miscellaneous/subflow/irmifrs9_preprocess_stage1.bpmn||020_00_05</v>
      </c>
      <c r="B381" s="19"/>
      <c r="C381" s="24" t="b">
        <f>AND(UPPER(Data!A381)&lt;&gt;"EMPTY",Data!B381&lt;&gt;"")</f>
        <v>1</v>
      </c>
      <c r="D381" s="1"/>
      <c r="E381" s="25" t="b">
        <f t="shared" ca="1" si="10"/>
        <v>1</v>
      </c>
      <c r="F381" s="26" t="b">
        <f ca="1">IF(UPPER(Data!C381)="SUB PROCESS",NOT(ISERROR(MATCH(RIGHT(Data!BY381,LEN(Data!BY381)-5),OFFSET(Data,0,0,ItemsCount,1),0))),TRUE)</f>
        <v>1</v>
      </c>
      <c r="G381" s="26" t="b">
        <f ca="1">IF(MID(UPPER(Data!A381),1,13)="MISCELLANEOUS",NOT(ISERROR(MATCH("path="&amp;Data!A381,OFFSET(Data,0,76,ItemsCount,1),0))),TRUE)</f>
        <v>1</v>
      </c>
      <c r="L381" s="25" t="b">
        <f t="shared" ca="1" si="11"/>
        <v>1</v>
      </c>
      <c r="M381" s="24" t="b">
        <f>IF(Checks!$C381,Data!A381&lt;&gt;"",TRUE)</f>
        <v>1</v>
      </c>
      <c r="N381" s="26" t="b">
        <f>IF(Checks!C381,Data!B381&lt;&gt;"",TRUE)</f>
        <v>1</v>
      </c>
      <c r="O381" s="26" t="b">
        <f>IF(Checks!C381,IF(AND(UPPER(Data!C381)="SERVICE TASK",UPPER(Data!BZ381)="TYPE=SAS"),NodeExists(TRIM(RIGHT(Data!CA381,LEN(Data!CA381)-FIND("=",Data!CA381)))),TRUE),TRUE)</f>
        <v>1</v>
      </c>
      <c r="P381" s="26" t="b">
        <f>IF(Checks!C381,IF(Data!C381="DATA OBJECT",OR(AND(Data!BW381&lt;&gt;"",Data!BX381=""),AND(Data!BW381="",Data!BX381&lt;&gt;"")),TRUE),TRUE)</f>
        <v>1</v>
      </c>
      <c r="Q381" s="26" t="b">
        <f>IF(Checks!C381,UPPER(RIGHT(Data!A381,5))=".BPMN",TRUE)</f>
        <v>1</v>
      </c>
      <c r="R381" s="26" t="b">
        <f>IF(Checks!C381,IF(UPPER(Data!C381)="SUB PROCESS",UPPER(RIGHT(Data!BY381,5))=".BPMN",TRUE),TRUE)</f>
        <v>1</v>
      </c>
      <c r="S381" s="26" t="b">
        <f>IF(Checks!C381,IF(UPPER(Data!C381)="SERVICE TASK",IF(UPPER(Data!BZ381)="TYPE=SAS",UPPER(RIGHT(Data!CA381,4))=".SAS",TRUE),TRUE),TRUE)</f>
        <v>1</v>
      </c>
      <c r="T381" s="26" t="b">
        <f>IF(Checks!C381,IF(Data!B381&lt;&gt;"",Data!D381&lt;&gt;"",TRUE),TRUE)</f>
        <v>1</v>
      </c>
      <c r="U381" s="26" t="b">
        <f ca="1">IF(Checks!C381,IF(UPPER(Data!C381)="DATA OBJECT",NOT(ISERROR(MATCH(Data!A381&amp;"||"&amp;Data!BW381&amp;Data!BX381,Key,0))),TRUE),TRUE)</f>
        <v>1</v>
      </c>
      <c r="V381" s="26" t="b">
        <f>IF(Checks!C381,IF(UPPER(Data!C381)="SUB PROCESS",Data!BY381&lt;&gt;"",TRUE),TRUE)</f>
        <v>1</v>
      </c>
      <c r="W381" s="26" t="b">
        <f>IF(Checks!C381,IF(UPPER(Data!C381)="SERVICE TASK",AND(Data!BZ381&lt;&gt;"",Data!CA381&lt;&gt;""),TRUE),TRUE)</f>
        <v>1</v>
      </c>
      <c r="X381" s="26" t="b">
        <f t="array" aca="1" ref="X381" ca="1">SUM((OFFSET(Data!B381,MAX(ROW(Data!$B$5)-ROW(Data!B381),-200),0,400,1)=Data!B381)*(OFFSET(Data!A381,MAX(ROW(Data!$B$5)-ROW(Data!B381),-200),0,400,1)=Data!A381))=1</f>
        <v>1</v>
      </c>
      <c r="Y381" s="26" t="b">
        <f t="array" aca="1" ref="Y381" ca="1">IF(UPPER(Data!C381)="START",SUM((OFFSET(Data!C381,MAX(ROW(Data!$C$5)-ROW(Data!C381),-200),0,400,1)="START")*(OFFSET(Data!A381,MAX(ROW(Data!$B$5)-ROW(Data!B381),-200),0,400,1)=Data!A381))=1,TRUE)</f>
        <v>1</v>
      </c>
      <c r="Z381" s="26" t="b">
        <f t="array" aca="1" ref="Z381" ca="1">IF(UPPER(Data!C381)="END",SUM((OFFSET(Data!C381,MAX(ROW(Data!$C$5)-ROW(Data!C381),-200),0,400,1)="END")*(OFFSET(Data!A381,MAX(ROW(Data!$B$5)-ROW(Data!B381),-200),0,400,1)=Data!A381))=1,TRUE)</f>
        <v>1</v>
      </c>
      <c r="AA381" s="26" t="b">
        <f>IF(Checks!C381,ISERROR(FIND("&amp;",Data!D381)),TRUE)</f>
        <v>1</v>
      </c>
      <c r="AB381" s="26" t="b">
        <f>IF(Checks!$C381,IF(AND(UPPER(Data!$C381)&lt;&gt;"START",UPPER(Data!$C381)&lt;&gt;"DATA OBJECT",Data!E381&lt;&gt;""),NOT(ISERROR(MATCH(Data!$A381&amp;"||"&amp;Data!E381,Key,0))),TRUE),TRUE)</f>
        <v>1</v>
      </c>
      <c r="AC381" s="27" t="b">
        <f>IF(Checks!C381,IF(UPPER(Data!C381)="END",Data!E381&lt;&gt;"",TRUE),TRUE)</f>
        <v>1</v>
      </c>
    </row>
    <row r="382" spans="1:29" x14ac:dyDescent="0.25">
      <c r="A382" s="1" t="str">
        <f>Data!A382&amp;"||"&amp;Data!B382</f>
        <v>Miscellaneous/subflow/irmifrs9_preprocess_stage1.bpmn||020_00_06</v>
      </c>
      <c r="B382" s="19"/>
      <c r="C382" s="24" t="b">
        <f>AND(UPPER(Data!A382)&lt;&gt;"EMPTY",Data!B382&lt;&gt;"")</f>
        <v>1</v>
      </c>
      <c r="D382" s="1"/>
      <c r="E382" s="25" t="b">
        <f t="shared" ca="1" si="10"/>
        <v>1</v>
      </c>
      <c r="F382" s="26" t="b">
        <f ca="1">IF(UPPER(Data!C382)="SUB PROCESS",NOT(ISERROR(MATCH(RIGHT(Data!BY382,LEN(Data!BY382)-5),OFFSET(Data,0,0,ItemsCount,1),0))),TRUE)</f>
        <v>1</v>
      </c>
      <c r="G382" s="26" t="b">
        <f ca="1">IF(MID(UPPER(Data!A382),1,13)="MISCELLANEOUS",NOT(ISERROR(MATCH("path="&amp;Data!A382,OFFSET(Data,0,76,ItemsCount,1),0))),TRUE)</f>
        <v>1</v>
      </c>
      <c r="L382" s="25" t="b">
        <f t="shared" ca="1" si="11"/>
        <v>1</v>
      </c>
      <c r="M382" s="24" t="b">
        <f>IF(Checks!$C382,Data!A382&lt;&gt;"",TRUE)</f>
        <v>1</v>
      </c>
      <c r="N382" s="26" t="b">
        <f>IF(Checks!C382,Data!B382&lt;&gt;"",TRUE)</f>
        <v>1</v>
      </c>
      <c r="O382" s="26" t="b">
        <f>IF(Checks!C382,IF(AND(UPPER(Data!C382)="SERVICE TASK",UPPER(Data!BZ382)="TYPE=SAS"),NodeExists(TRIM(RIGHT(Data!CA382,LEN(Data!CA382)-FIND("=",Data!CA382)))),TRUE),TRUE)</f>
        <v>1</v>
      </c>
      <c r="P382" s="26" t="b">
        <f>IF(Checks!C382,IF(Data!C382="DATA OBJECT",OR(AND(Data!BW382&lt;&gt;"",Data!BX382=""),AND(Data!BW382="",Data!BX382&lt;&gt;"")),TRUE),TRUE)</f>
        <v>1</v>
      </c>
      <c r="Q382" s="26" t="b">
        <f>IF(Checks!C382,UPPER(RIGHT(Data!A382,5))=".BPMN",TRUE)</f>
        <v>1</v>
      </c>
      <c r="R382" s="26" t="b">
        <f>IF(Checks!C382,IF(UPPER(Data!C382)="SUB PROCESS",UPPER(RIGHT(Data!BY382,5))=".BPMN",TRUE),TRUE)</f>
        <v>1</v>
      </c>
      <c r="S382" s="26" t="b">
        <f>IF(Checks!C382,IF(UPPER(Data!C382)="SERVICE TASK",IF(UPPER(Data!BZ382)="TYPE=SAS",UPPER(RIGHT(Data!CA382,4))=".SAS",TRUE),TRUE),TRUE)</f>
        <v>1</v>
      </c>
      <c r="T382" s="26" t="b">
        <f>IF(Checks!C382,IF(Data!B382&lt;&gt;"",Data!D382&lt;&gt;"",TRUE),TRUE)</f>
        <v>1</v>
      </c>
      <c r="U382" s="26" t="b">
        <f ca="1">IF(Checks!C382,IF(UPPER(Data!C382)="DATA OBJECT",NOT(ISERROR(MATCH(Data!A382&amp;"||"&amp;Data!BW382&amp;Data!BX382,Key,0))),TRUE),TRUE)</f>
        <v>1</v>
      </c>
      <c r="V382" s="26" t="b">
        <f>IF(Checks!C382,IF(UPPER(Data!C382)="SUB PROCESS",Data!BY382&lt;&gt;"",TRUE),TRUE)</f>
        <v>1</v>
      </c>
      <c r="W382" s="26" t="b">
        <f>IF(Checks!C382,IF(UPPER(Data!C382)="SERVICE TASK",AND(Data!BZ382&lt;&gt;"",Data!CA382&lt;&gt;""),TRUE),TRUE)</f>
        <v>1</v>
      </c>
      <c r="X382" s="26" t="b">
        <f t="array" aca="1" ref="X382" ca="1">SUM((OFFSET(Data!B382,MAX(ROW(Data!$B$5)-ROW(Data!B382),-200),0,400,1)=Data!B382)*(OFFSET(Data!A382,MAX(ROW(Data!$B$5)-ROW(Data!B382),-200),0,400,1)=Data!A382))=1</f>
        <v>1</v>
      </c>
      <c r="Y382" s="26" t="b">
        <f t="array" aca="1" ref="Y382" ca="1">IF(UPPER(Data!C382)="START",SUM((OFFSET(Data!C382,MAX(ROW(Data!$C$5)-ROW(Data!C382),-200),0,400,1)="START")*(OFFSET(Data!A382,MAX(ROW(Data!$B$5)-ROW(Data!B382),-200),0,400,1)=Data!A382))=1,TRUE)</f>
        <v>1</v>
      </c>
      <c r="Z382" s="26" t="b">
        <f t="array" aca="1" ref="Z382" ca="1">IF(UPPER(Data!C382)="END",SUM((OFFSET(Data!C382,MAX(ROW(Data!$C$5)-ROW(Data!C382),-200),0,400,1)="END")*(OFFSET(Data!A382,MAX(ROW(Data!$B$5)-ROW(Data!B382),-200),0,400,1)=Data!A382))=1,TRUE)</f>
        <v>1</v>
      </c>
      <c r="AA382" s="26" t="b">
        <f>IF(Checks!C382,ISERROR(FIND("&amp;",Data!D382)),TRUE)</f>
        <v>1</v>
      </c>
      <c r="AB382" s="26" t="b">
        <f>IF(Checks!$C382,IF(AND(UPPER(Data!$C382)&lt;&gt;"START",UPPER(Data!$C382)&lt;&gt;"DATA OBJECT",Data!E382&lt;&gt;""),NOT(ISERROR(MATCH(Data!$A382&amp;"||"&amp;Data!E382,Key,0))),TRUE),TRUE)</f>
        <v>1</v>
      </c>
      <c r="AC382" s="27" t="b">
        <f>IF(Checks!C382,IF(UPPER(Data!C382)="END",Data!E382&lt;&gt;"",TRUE),TRUE)</f>
        <v>1</v>
      </c>
    </row>
    <row r="383" spans="1:29" x14ac:dyDescent="0.25">
      <c r="A383" s="1" t="str">
        <f>Data!A383&amp;"||"&amp;Data!B383</f>
        <v>Miscellaneous/subflow/irmifrs9_preprocess_stage1.bpmn||020_00_07</v>
      </c>
      <c r="B383" s="19"/>
      <c r="C383" s="24" t="b">
        <f>AND(UPPER(Data!A383)&lt;&gt;"EMPTY",Data!B383&lt;&gt;"")</f>
        <v>1</v>
      </c>
      <c r="D383" s="1"/>
      <c r="E383" s="25" t="b">
        <f t="shared" ca="1" si="10"/>
        <v>1</v>
      </c>
      <c r="F383" s="26" t="b">
        <f ca="1">IF(UPPER(Data!C383)="SUB PROCESS",NOT(ISERROR(MATCH(RIGHT(Data!BY383,LEN(Data!BY383)-5),OFFSET(Data,0,0,ItemsCount,1),0))),TRUE)</f>
        <v>1</v>
      </c>
      <c r="G383" s="26" t="b">
        <f ca="1">IF(MID(UPPER(Data!A383),1,13)="MISCELLANEOUS",NOT(ISERROR(MATCH("path="&amp;Data!A383,OFFSET(Data,0,76,ItemsCount,1),0))),TRUE)</f>
        <v>1</v>
      </c>
      <c r="L383" s="25" t="b">
        <f t="shared" ca="1" si="11"/>
        <v>1</v>
      </c>
      <c r="M383" s="24" t="b">
        <f>IF(Checks!$C383,Data!A383&lt;&gt;"",TRUE)</f>
        <v>1</v>
      </c>
      <c r="N383" s="26" t="b">
        <f>IF(Checks!C383,Data!B383&lt;&gt;"",TRUE)</f>
        <v>1</v>
      </c>
      <c r="O383" s="26" t="b">
        <f>IF(Checks!C383,IF(AND(UPPER(Data!C383)="SERVICE TASK",UPPER(Data!BZ383)="TYPE=SAS"),NodeExists(TRIM(RIGHT(Data!CA383,LEN(Data!CA383)-FIND("=",Data!CA383)))),TRUE),TRUE)</f>
        <v>1</v>
      </c>
      <c r="P383" s="26" t="b">
        <f>IF(Checks!C383,IF(Data!C383="DATA OBJECT",OR(AND(Data!BW383&lt;&gt;"",Data!BX383=""),AND(Data!BW383="",Data!BX383&lt;&gt;"")),TRUE),TRUE)</f>
        <v>1</v>
      </c>
      <c r="Q383" s="26" t="b">
        <f>IF(Checks!C383,UPPER(RIGHT(Data!A383,5))=".BPMN",TRUE)</f>
        <v>1</v>
      </c>
      <c r="R383" s="26" t="b">
        <f>IF(Checks!C383,IF(UPPER(Data!C383)="SUB PROCESS",UPPER(RIGHT(Data!BY383,5))=".BPMN",TRUE),TRUE)</f>
        <v>1</v>
      </c>
      <c r="S383" s="26" t="b">
        <f>IF(Checks!C383,IF(UPPER(Data!C383)="SERVICE TASK",IF(UPPER(Data!BZ383)="TYPE=SAS",UPPER(RIGHT(Data!CA383,4))=".SAS",TRUE),TRUE),TRUE)</f>
        <v>1</v>
      </c>
      <c r="T383" s="26" t="b">
        <f>IF(Checks!C383,IF(Data!B383&lt;&gt;"",Data!D383&lt;&gt;"",TRUE),TRUE)</f>
        <v>1</v>
      </c>
      <c r="U383" s="26" t="b">
        <f ca="1">IF(Checks!C383,IF(UPPER(Data!C383)="DATA OBJECT",NOT(ISERROR(MATCH(Data!A383&amp;"||"&amp;Data!BW383&amp;Data!BX383,Key,0))),TRUE),TRUE)</f>
        <v>1</v>
      </c>
      <c r="V383" s="26" t="b">
        <f>IF(Checks!C383,IF(UPPER(Data!C383)="SUB PROCESS",Data!BY383&lt;&gt;"",TRUE),TRUE)</f>
        <v>1</v>
      </c>
      <c r="W383" s="26" t="b">
        <f>IF(Checks!C383,IF(UPPER(Data!C383)="SERVICE TASK",AND(Data!BZ383&lt;&gt;"",Data!CA383&lt;&gt;""),TRUE),TRUE)</f>
        <v>1</v>
      </c>
      <c r="X383" s="26" t="b">
        <f t="array" aca="1" ref="X383" ca="1">SUM((OFFSET(Data!B383,MAX(ROW(Data!$B$5)-ROW(Data!B383),-200),0,400,1)=Data!B383)*(OFFSET(Data!A383,MAX(ROW(Data!$B$5)-ROW(Data!B383),-200),0,400,1)=Data!A383))=1</f>
        <v>1</v>
      </c>
      <c r="Y383" s="26" t="b">
        <f t="array" aca="1" ref="Y383" ca="1">IF(UPPER(Data!C383)="START",SUM((OFFSET(Data!C383,MAX(ROW(Data!$C$5)-ROW(Data!C383),-200),0,400,1)="START")*(OFFSET(Data!A383,MAX(ROW(Data!$B$5)-ROW(Data!B383),-200),0,400,1)=Data!A383))=1,TRUE)</f>
        <v>1</v>
      </c>
      <c r="Z383" s="26" t="b">
        <f t="array" aca="1" ref="Z383" ca="1">IF(UPPER(Data!C383)="END",SUM((OFFSET(Data!C383,MAX(ROW(Data!$C$5)-ROW(Data!C383),-200),0,400,1)="END")*(OFFSET(Data!A383,MAX(ROW(Data!$B$5)-ROW(Data!B383),-200),0,400,1)=Data!A383))=1,TRUE)</f>
        <v>1</v>
      </c>
      <c r="AA383" s="26" t="b">
        <f>IF(Checks!C383,ISERROR(FIND("&amp;",Data!D383)),TRUE)</f>
        <v>1</v>
      </c>
      <c r="AB383" s="26" t="b">
        <f>IF(Checks!$C383,IF(AND(UPPER(Data!$C383)&lt;&gt;"START",UPPER(Data!$C383)&lt;&gt;"DATA OBJECT",Data!E383&lt;&gt;""),NOT(ISERROR(MATCH(Data!$A383&amp;"||"&amp;Data!E383,Key,0))),TRUE),TRUE)</f>
        <v>1</v>
      </c>
      <c r="AC383" s="27" t="b">
        <f>IF(Checks!C383,IF(UPPER(Data!C383)="END",Data!E383&lt;&gt;"",TRUE),TRUE)</f>
        <v>1</v>
      </c>
    </row>
    <row r="384" spans="1:29" x14ac:dyDescent="0.25">
      <c r="A384" s="1" t="str">
        <f>Data!A384&amp;"||"&amp;Data!B384</f>
        <v>Miscellaneous/subflow/irmifrs9_preprocess_stage1.bpmn||020_00_08</v>
      </c>
      <c r="B384" s="19"/>
      <c r="C384" s="24" t="b">
        <f>AND(UPPER(Data!A384)&lt;&gt;"EMPTY",Data!B384&lt;&gt;"")</f>
        <v>1</v>
      </c>
      <c r="D384" s="1"/>
      <c r="E384" s="25" t="b">
        <f t="shared" ca="1" si="10"/>
        <v>1</v>
      </c>
      <c r="F384" s="26" t="b">
        <f ca="1">IF(UPPER(Data!C384)="SUB PROCESS",NOT(ISERROR(MATCH(RIGHT(Data!BY384,LEN(Data!BY384)-5),OFFSET(Data,0,0,ItemsCount,1),0))),TRUE)</f>
        <v>1</v>
      </c>
      <c r="G384" s="26" t="b">
        <f ca="1">IF(MID(UPPER(Data!A384),1,13)="MISCELLANEOUS",NOT(ISERROR(MATCH("path="&amp;Data!A384,OFFSET(Data,0,76,ItemsCount,1),0))),TRUE)</f>
        <v>1</v>
      </c>
      <c r="L384" s="25" t="b">
        <f t="shared" ca="1" si="11"/>
        <v>1</v>
      </c>
      <c r="M384" s="24" t="b">
        <f>IF(Checks!$C384,Data!A384&lt;&gt;"",TRUE)</f>
        <v>1</v>
      </c>
      <c r="N384" s="26" t="b">
        <f>IF(Checks!C384,Data!B384&lt;&gt;"",TRUE)</f>
        <v>1</v>
      </c>
      <c r="O384" s="26" t="b">
        <f>IF(Checks!C384,IF(AND(UPPER(Data!C384)="SERVICE TASK",UPPER(Data!BZ384)="TYPE=SAS"),NodeExists(TRIM(RIGHT(Data!CA384,LEN(Data!CA384)-FIND("=",Data!CA384)))),TRUE),TRUE)</f>
        <v>1</v>
      </c>
      <c r="P384" s="26" t="b">
        <f>IF(Checks!C384,IF(Data!C384="DATA OBJECT",OR(AND(Data!BW384&lt;&gt;"",Data!BX384=""),AND(Data!BW384="",Data!BX384&lt;&gt;"")),TRUE),TRUE)</f>
        <v>1</v>
      </c>
      <c r="Q384" s="26" t="b">
        <f>IF(Checks!C384,UPPER(RIGHT(Data!A384,5))=".BPMN",TRUE)</f>
        <v>1</v>
      </c>
      <c r="R384" s="26" t="b">
        <f>IF(Checks!C384,IF(UPPER(Data!C384)="SUB PROCESS",UPPER(RIGHT(Data!BY384,5))=".BPMN",TRUE),TRUE)</f>
        <v>1</v>
      </c>
      <c r="S384" s="26" t="b">
        <f>IF(Checks!C384,IF(UPPER(Data!C384)="SERVICE TASK",IF(UPPER(Data!BZ384)="TYPE=SAS",UPPER(RIGHT(Data!CA384,4))=".SAS",TRUE),TRUE),TRUE)</f>
        <v>1</v>
      </c>
      <c r="T384" s="26" t="b">
        <f>IF(Checks!C384,IF(Data!B384&lt;&gt;"",Data!D384&lt;&gt;"",TRUE),TRUE)</f>
        <v>1</v>
      </c>
      <c r="U384" s="26" t="b">
        <f ca="1">IF(Checks!C384,IF(UPPER(Data!C384)="DATA OBJECT",NOT(ISERROR(MATCH(Data!A384&amp;"||"&amp;Data!BW384&amp;Data!BX384,Key,0))),TRUE),TRUE)</f>
        <v>1</v>
      </c>
      <c r="V384" s="26" t="b">
        <f>IF(Checks!C384,IF(UPPER(Data!C384)="SUB PROCESS",Data!BY384&lt;&gt;"",TRUE),TRUE)</f>
        <v>1</v>
      </c>
      <c r="W384" s="26" t="b">
        <f>IF(Checks!C384,IF(UPPER(Data!C384)="SERVICE TASK",AND(Data!BZ384&lt;&gt;"",Data!CA384&lt;&gt;""),TRUE),TRUE)</f>
        <v>1</v>
      </c>
      <c r="X384" s="26" t="b">
        <f t="array" aca="1" ref="X384" ca="1">SUM((OFFSET(Data!B384,MAX(ROW(Data!$B$5)-ROW(Data!B384),-200),0,400,1)=Data!B384)*(OFFSET(Data!A384,MAX(ROW(Data!$B$5)-ROW(Data!B384),-200),0,400,1)=Data!A384))=1</f>
        <v>1</v>
      </c>
      <c r="Y384" s="26" t="b">
        <f t="array" aca="1" ref="Y384" ca="1">IF(UPPER(Data!C384)="START",SUM((OFFSET(Data!C384,MAX(ROW(Data!$C$5)-ROW(Data!C384),-200),0,400,1)="START")*(OFFSET(Data!A384,MAX(ROW(Data!$B$5)-ROW(Data!B384),-200),0,400,1)=Data!A384))=1,TRUE)</f>
        <v>1</v>
      </c>
      <c r="Z384" s="26" t="b">
        <f t="array" aca="1" ref="Z384" ca="1">IF(UPPER(Data!C384)="END",SUM((OFFSET(Data!C384,MAX(ROW(Data!$C$5)-ROW(Data!C384),-200),0,400,1)="END")*(OFFSET(Data!A384,MAX(ROW(Data!$B$5)-ROW(Data!B384),-200),0,400,1)=Data!A384))=1,TRUE)</f>
        <v>1</v>
      </c>
      <c r="AA384" s="26" t="b">
        <f>IF(Checks!C384,ISERROR(FIND("&amp;",Data!D384)),TRUE)</f>
        <v>1</v>
      </c>
      <c r="AB384" s="26" t="b">
        <f>IF(Checks!$C384,IF(AND(UPPER(Data!$C384)&lt;&gt;"START",UPPER(Data!$C384)&lt;&gt;"DATA OBJECT",Data!E384&lt;&gt;""),NOT(ISERROR(MATCH(Data!$A384&amp;"||"&amp;Data!E384,Key,0))),TRUE),TRUE)</f>
        <v>1</v>
      </c>
      <c r="AC384" s="27" t="b">
        <f>IF(Checks!C384,IF(UPPER(Data!C384)="END",Data!E384&lt;&gt;"",TRUE),TRUE)</f>
        <v>1</v>
      </c>
    </row>
    <row r="385" spans="1:29" x14ac:dyDescent="0.25">
      <c r="A385" s="1" t="str">
        <f>Data!A385&amp;"||"&amp;Data!B385</f>
        <v>Miscellaneous/subflow/irmifrs9_preprocess_stage1.bpmn||020_00_09</v>
      </c>
      <c r="B385" s="19"/>
      <c r="C385" s="24" t="b">
        <f>AND(UPPER(Data!A385)&lt;&gt;"EMPTY",Data!B385&lt;&gt;"")</f>
        <v>1</v>
      </c>
      <c r="D385" s="1"/>
      <c r="E385" s="25" t="b">
        <f t="shared" ca="1" si="10"/>
        <v>1</v>
      </c>
      <c r="F385" s="26" t="b">
        <f ca="1">IF(UPPER(Data!C385)="SUB PROCESS",NOT(ISERROR(MATCH(RIGHT(Data!BY385,LEN(Data!BY385)-5),OFFSET(Data,0,0,ItemsCount,1),0))),TRUE)</f>
        <v>1</v>
      </c>
      <c r="G385" s="26" t="b">
        <f ca="1">IF(MID(UPPER(Data!A385),1,13)="MISCELLANEOUS",NOT(ISERROR(MATCH("path="&amp;Data!A385,OFFSET(Data,0,76,ItemsCount,1),0))),TRUE)</f>
        <v>1</v>
      </c>
      <c r="L385" s="25" t="b">
        <f t="shared" ca="1" si="11"/>
        <v>1</v>
      </c>
      <c r="M385" s="24" t="b">
        <f>IF(Checks!$C385,Data!A385&lt;&gt;"",TRUE)</f>
        <v>1</v>
      </c>
      <c r="N385" s="26" t="b">
        <f>IF(Checks!C385,Data!B385&lt;&gt;"",TRUE)</f>
        <v>1</v>
      </c>
      <c r="O385" s="26" t="b">
        <f>IF(Checks!C385,IF(AND(UPPER(Data!C385)="SERVICE TASK",UPPER(Data!BZ385)="TYPE=SAS"),NodeExists(TRIM(RIGHT(Data!CA385,LEN(Data!CA385)-FIND("=",Data!CA385)))),TRUE),TRUE)</f>
        <v>1</v>
      </c>
      <c r="P385" s="26" t="b">
        <f>IF(Checks!C385,IF(Data!C385="DATA OBJECT",OR(AND(Data!BW385&lt;&gt;"",Data!BX385=""),AND(Data!BW385="",Data!BX385&lt;&gt;"")),TRUE),TRUE)</f>
        <v>1</v>
      </c>
      <c r="Q385" s="26" t="b">
        <f>IF(Checks!C385,UPPER(RIGHT(Data!A385,5))=".BPMN",TRUE)</f>
        <v>1</v>
      </c>
      <c r="R385" s="26" t="b">
        <f>IF(Checks!C385,IF(UPPER(Data!C385)="SUB PROCESS",UPPER(RIGHT(Data!BY385,5))=".BPMN",TRUE),TRUE)</f>
        <v>1</v>
      </c>
      <c r="S385" s="26" t="b">
        <f>IF(Checks!C385,IF(UPPER(Data!C385)="SERVICE TASK",IF(UPPER(Data!BZ385)="TYPE=SAS",UPPER(RIGHT(Data!CA385,4))=".SAS",TRUE),TRUE),TRUE)</f>
        <v>1</v>
      </c>
      <c r="T385" s="26" t="b">
        <f>IF(Checks!C385,IF(Data!B385&lt;&gt;"",Data!D385&lt;&gt;"",TRUE),TRUE)</f>
        <v>1</v>
      </c>
      <c r="U385" s="26" t="b">
        <f ca="1">IF(Checks!C385,IF(UPPER(Data!C385)="DATA OBJECT",NOT(ISERROR(MATCH(Data!A385&amp;"||"&amp;Data!BW385&amp;Data!BX385,Key,0))),TRUE),TRUE)</f>
        <v>1</v>
      </c>
      <c r="V385" s="26" t="b">
        <f>IF(Checks!C385,IF(UPPER(Data!C385)="SUB PROCESS",Data!BY385&lt;&gt;"",TRUE),TRUE)</f>
        <v>1</v>
      </c>
      <c r="W385" s="26" t="b">
        <f>IF(Checks!C385,IF(UPPER(Data!C385)="SERVICE TASK",AND(Data!BZ385&lt;&gt;"",Data!CA385&lt;&gt;""),TRUE),TRUE)</f>
        <v>1</v>
      </c>
      <c r="X385" s="26" t="b">
        <f t="array" aca="1" ref="X385" ca="1">SUM((OFFSET(Data!B385,MAX(ROW(Data!$B$5)-ROW(Data!B385),-200),0,400,1)=Data!B385)*(OFFSET(Data!A385,MAX(ROW(Data!$B$5)-ROW(Data!B385),-200),0,400,1)=Data!A385))=1</f>
        <v>1</v>
      </c>
      <c r="Y385" s="26" t="b">
        <f t="array" aca="1" ref="Y385" ca="1">IF(UPPER(Data!C385)="START",SUM((OFFSET(Data!C385,MAX(ROW(Data!$C$5)-ROW(Data!C385),-200),0,400,1)="START")*(OFFSET(Data!A385,MAX(ROW(Data!$B$5)-ROW(Data!B385),-200),0,400,1)=Data!A385))=1,TRUE)</f>
        <v>1</v>
      </c>
      <c r="Z385" s="26" t="b">
        <f t="array" aca="1" ref="Z385" ca="1">IF(UPPER(Data!C385)="END",SUM((OFFSET(Data!C385,MAX(ROW(Data!$C$5)-ROW(Data!C385),-200),0,400,1)="END")*(OFFSET(Data!A385,MAX(ROW(Data!$B$5)-ROW(Data!B385),-200),0,400,1)=Data!A385))=1,TRUE)</f>
        <v>1</v>
      </c>
      <c r="AA385" s="26" t="b">
        <f>IF(Checks!C385,ISERROR(FIND("&amp;",Data!D385)),TRUE)</f>
        <v>1</v>
      </c>
      <c r="AB385" s="26" t="b">
        <f>IF(Checks!$C385,IF(AND(UPPER(Data!$C385)&lt;&gt;"START",UPPER(Data!$C385)&lt;&gt;"DATA OBJECT",Data!E385&lt;&gt;""),NOT(ISERROR(MATCH(Data!$A385&amp;"||"&amp;Data!E385,Key,0))),TRUE),TRUE)</f>
        <v>1</v>
      </c>
      <c r="AC385" s="27" t="b">
        <f>IF(Checks!C385,IF(UPPER(Data!C385)="END",Data!E385&lt;&gt;"",TRUE),TRUE)</f>
        <v>1</v>
      </c>
    </row>
    <row r="386" spans="1:29" x14ac:dyDescent="0.25">
      <c r="A386" s="1" t="str">
        <f>Data!A386&amp;"||"&amp;Data!B386</f>
        <v>Miscellaneous/subflow/irmifrs9_preprocess_stage1.bpmn||020_01_00</v>
      </c>
      <c r="B386" s="19"/>
      <c r="C386" s="24" t="b">
        <f>AND(UPPER(Data!A386)&lt;&gt;"EMPTY",Data!B386&lt;&gt;"")</f>
        <v>1</v>
      </c>
      <c r="D386" s="1"/>
      <c r="E386" s="25" t="b">
        <f t="shared" ca="1" si="10"/>
        <v>1</v>
      </c>
      <c r="F386" s="26" t="b">
        <f ca="1">IF(UPPER(Data!C386)="SUB PROCESS",NOT(ISERROR(MATCH(RIGHT(Data!BY386,LEN(Data!BY386)-5),OFFSET(Data,0,0,ItemsCount,1),0))),TRUE)</f>
        <v>1</v>
      </c>
      <c r="G386" s="26" t="b">
        <f ca="1">IF(MID(UPPER(Data!A386),1,13)="MISCELLANEOUS",NOT(ISERROR(MATCH("path="&amp;Data!A386,OFFSET(Data,0,76,ItemsCount,1),0))),TRUE)</f>
        <v>1</v>
      </c>
      <c r="L386" s="25" t="b">
        <f t="shared" ca="1" si="11"/>
        <v>1</v>
      </c>
      <c r="M386" s="24" t="b">
        <f>IF(Checks!$C386,Data!A386&lt;&gt;"",TRUE)</f>
        <v>1</v>
      </c>
      <c r="N386" s="26" t="b">
        <f>IF(Checks!C386,Data!B386&lt;&gt;"",TRUE)</f>
        <v>1</v>
      </c>
      <c r="O386" s="26" t="b">
        <f>IF(Checks!C386,IF(AND(UPPER(Data!C386)="SERVICE TASK",UPPER(Data!BZ386)="TYPE=SAS"),NodeExists(TRIM(RIGHT(Data!CA386,LEN(Data!CA386)-FIND("=",Data!CA386)))),TRUE),TRUE)</f>
        <v>1</v>
      </c>
      <c r="P386" s="26" t="b">
        <f>IF(Checks!C386,IF(Data!C386="DATA OBJECT",OR(AND(Data!BW386&lt;&gt;"",Data!BX386=""),AND(Data!BW386="",Data!BX386&lt;&gt;"")),TRUE),TRUE)</f>
        <v>1</v>
      </c>
      <c r="Q386" s="26" t="b">
        <f>IF(Checks!C386,UPPER(RIGHT(Data!A386,5))=".BPMN",TRUE)</f>
        <v>1</v>
      </c>
      <c r="R386" s="26" t="b">
        <f>IF(Checks!C386,IF(UPPER(Data!C386)="SUB PROCESS",UPPER(RIGHT(Data!BY386,5))=".BPMN",TRUE),TRUE)</f>
        <v>1</v>
      </c>
      <c r="S386" s="26" t="b">
        <f>IF(Checks!C386,IF(UPPER(Data!C386)="SERVICE TASK",IF(UPPER(Data!BZ386)="TYPE=SAS",UPPER(RIGHT(Data!CA386,4))=".SAS",TRUE),TRUE),TRUE)</f>
        <v>1</v>
      </c>
      <c r="T386" s="26" t="b">
        <f>IF(Checks!C386,IF(Data!B386&lt;&gt;"",Data!D386&lt;&gt;"",TRUE),TRUE)</f>
        <v>1</v>
      </c>
      <c r="U386" s="26" t="b">
        <f ca="1">IF(Checks!C386,IF(UPPER(Data!C386)="DATA OBJECT",NOT(ISERROR(MATCH(Data!A386&amp;"||"&amp;Data!BW386&amp;Data!BX386,Key,0))),TRUE),TRUE)</f>
        <v>1</v>
      </c>
      <c r="V386" s="26" t="b">
        <f>IF(Checks!C386,IF(UPPER(Data!C386)="SUB PROCESS",Data!BY386&lt;&gt;"",TRUE),TRUE)</f>
        <v>1</v>
      </c>
      <c r="W386" s="26" t="b">
        <f>IF(Checks!C386,IF(UPPER(Data!C386)="SERVICE TASK",AND(Data!BZ386&lt;&gt;"",Data!CA386&lt;&gt;""),TRUE),TRUE)</f>
        <v>1</v>
      </c>
      <c r="X386" s="26" t="b">
        <f t="array" aca="1" ref="X386" ca="1">SUM((OFFSET(Data!B386,MAX(ROW(Data!$B$5)-ROW(Data!B386),-200),0,400,1)=Data!B386)*(OFFSET(Data!A386,MAX(ROW(Data!$B$5)-ROW(Data!B386),-200),0,400,1)=Data!A386))=1</f>
        <v>1</v>
      </c>
      <c r="Y386" s="26" t="b">
        <f t="array" aca="1" ref="Y386" ca="1">IF(UPPER(Data!C386)="START",SUM((OFFSET(Data!C386,MAX(ROW(Data!$C$5)-ROW(Data!C386),-200),0,400,1)="START")*(OFFSET(Data!A386,MAX(ROW(Data!$B$5)-ROW(Data!B386),-200),0,400,1)=Data!A386))=1,TRUE)</f>
        <v>1</v>
      </c>
      <c r="Z386" s="26" t="b">
        <f t="array" aca="1" ref="Z386" ca="1">IF(UPPER(Data!C386)="END",SUM((OFFSET(Data!C386,MAX(ROW(Data!$C$5)-ROW(Data!C386),-200),0,400,1)="END")*(OFFSET(Data!A386,MAX(ROW(Data!$B$5)-ROW(Data!B386),-200),0,400,1)=Data!A386))=1,TRUE)</f>
        <v>1</v>
      </c>
      <c r="AA386" s="26" t="b">
        <f>IF(Checks!C386,ISERROR(FIND("&amp;",Data!D386)),TRUE)</f>
        <v>1</v>
      </c>
      <c r="AB386" s="26" t="b">
        <f>IF(Checks!$C386,IF(AND(UPPER(Data!$C386)&lt;&gt;"START",UPPER(Data!$C386)&lt;&gt;"DATA OBJECT",Data!E386&lt;&gt;""),NOT(ISERROR(MATCH(Data!$A386&amp;"||"&amp;Data!E386,Key,0))),TRUE),TRUE)</f>
        <v>1</v>
      </c>
      <c r="AC386" s="27" t="b">
        <f>IF(Checks!C386,IF(UPPER(Data!C386)="END",Data!E386&lt;&gt;"",TRUE),TRUE)</f>
        <v>1</v>
      </c>
    </row>
    <row r="387" spans="1:29" x14ac:dyDescent="0.25">
      <c r="A387" s="1" t="str">
        <f>Data!A387&amp;"||"&amp;Data!B387</f>
        <v>Miscellaneous/subflow/irmifrs9_preprocess_stage1.bpmn||030_00_00</v>
      </c>
      <c r="B387" s="19"/>
      <c r="C387" s="24" t="b">
        <f>AND(UPPER(Data!A387)&lt;&gt;"EMPTY",Data!B387&lt;&gt;"")</f>
        <v>1</v>
      </c>
      <c r="D387" s="1"/>
      <c r="E387" s="25" t="b">
        <f t="shared" ca="1" si="10"/>
        <v>1</v>
      </c>
      <c r="F387" s="26" t="b">
        <f ca="1">IF(UPPER(Data!C387)="SUB PROCESS",NOT(ISERROR(MATCH(RIGHT(Data!BY387,LEN(Data!BY387)-5),OFFSET(Data,0,0,ItemsCount,1),0))),TRUE)</f>
        <v>1</v>
      </c>
      <c r="G387" s="26" t="b">
        <f ca="1">IF(MID(UPPER(Data!A387),1,13)="MISCELLANEOUS",NOT(ISERROR(MATCH("path="&amp;Data!A387,OFFSET(Data,0,76,ItemsCount,1),0))),TRUE)</f>
        <v>1</v>
      </c>
      <c r="L387" s="25" t="b">
        <f t="shared" ca="1" si="11"/>
        <v>1</v>
      </c>
      <c r="M387" s="24" t="b">
        <f>IF(Checks!$C387,Data!A387&lt;&gt;"",TRUE)</f>
        <v>1</v>
      </c>
      <c r="N387" s="26" t="b">
        <f>IF(Checks!C387,Data!B387&lt;&gt;"",TRUE)</f>
        <v>1</v>
      </c>
      <c r="O387" s="26" t="b">
        <f>IF(Checks!C387,IF(AND(UPPER(Data!C387)="SERVICE TASK",UPPER(Data!BZ387)="TYPE=SAS"),NodeExists(TRIM(RIGHT(Data!CA387,LEN(Data!CA387)-FIND("=",Data!CA387)))),TRUE),TRUE)</f>
        <v>1</v>
      </c>
      <c r="P387" s="26" t="b">
        <f>IF(Checks!C387,IF(Data!C387="DATA OBJECT",OR(AND(Data!BW387&lt;&gt;"",Data!BX387=""),AND(Data!BW387="",Data!BX387&lt;&gt;"")),TRUE),TRUE)</f>
        <v>1</v>
      </c>
      <c r="Q387" s="26" t="b">
        <f>IF(Checks!C387,UPPER(RIGHT(Data!A387,5))=".BPMN",TRUE)</f>
        <v>1</v>
      </c>
      <c r="R387" s="26" t="b">
        <f>IF(Checks!C387,IF(UPPER(Data!C387)="SUB PROCESS",UPPER(RIGHT(Data!BY387,5))=".BPMN",TRUE),TRUE)</f>
        <v>1</v>
      </c>
      <c r="S387" s="26" t="b">
        <f>IF(Checks!C387,IF(UPPER(Data!C387)="SERVICE TASK",IF(UPPER(Data!BZ387)="TYPE=SAS",UPPER(RIGHT(Data!CA387,4))=".SAS",TRUE),TRUE),TRUE)</f>
        <v>1</v>
      </c>
      <c r="T387" s="26" t="b">
        <f>IF(Checks!C387,IF(Data!B387&lt;&gt;"",Data!D387&lt;&gt;"",TRUE),TRUE)</f>
        <v>1</v>
      </c>
      <c r="U387" s="26" t="b">
        <f>IF(Checks!C387,IF(UPPER(Data!C387)="DATA OBJECT",NOT(ISERROR(MATCH(Data!A387&amp;"||"&amp;Data!BW387&amp;Data!BX387,Key,0))),TRUE),TRUE)</f>
        <v>1</v>
      </c>
      <c r="V387" s="26" t="b">
        <f>IF(Checks!C387,IF(UPPER(Data!C387)="SUB PROCESS",Data!BY387&lt;&gt;"",TRUE),TRUE)</f>
        <v>1</v>
      </c>
      <c r="W387" s="26" t="b">
        <f>IF(Checks!C387,IF(UPPER(Data!C387)="SERVICE TASK",AND(Data!BZ387&lt;&gt;"",Data!CA387&lt;&gt;""),TRUE),TRUE)</f>
        <v>1</v>
      </c>
      <c r="X387" s="26" t="b">
        <f t="array" aca="1" ref="X387" ca="1">SUM((OFFSET(Data!B387,MAX(ROW(Data!$B$5)-ROW(Data!B387),-200),0,400,1)=Data!B387)*(OFFSET(Data!A387,MAX(ROW(Data!$B$5)-ROW(Data!B387),-200),0,400,1)=Data!A387))=1</f>
        <v>1</v>
      </c>
      <c r="Y387" s="26" t="b">
        <f t="array" aca="1" ref="Y387" ca="1">IF(UPPER(Data!C387)="START",SUM((OFFSET(Data!C387,MAX(ROW(Data!$C$5)-ROW(Data!C387),-200),0,400,1)="START")*(OFFSET(Data!A387,MAX(ROW(Data!$B$5)-ROW(Data!B387),-200),0,400,1)=Data!A387))=1,TRUE)</f>
        <v>1</v>
      </c>
      <c r="Z387" s="26" t="b">
        <f t="array" aca="1" ref="Z387" ca="1">IF(UPPER(Data!C387)="END",SUM((OFFSET(Data!C387,MAX(ROW(Data!$C$5)-ROW(Data!C387),-200),0,400,1)="END")*(OFFSET(Data!A387,MAX(ROW(Data!$B$5)-ROW(Data!B387),-200),0,400,1)=Data!A387))=1,TRUE)</f>
        <v>1</v>
      </c>
      <c r="AA387" s="26" t="b">
        <f>IF(Checks!C387,ISERROR(FIND("&amp;",Data!D387)),TRUE)</f>
        <v>1</v>
      </c>
      <c r="AB387" s="26" t="b">
        <f ca="1">IF(Checks!$C387,IF(AND(UPPER(Data!$C387)&lt;&gt;"START",UPPER(Data!$C387)&lt;&gt;"DATA OBJECT",Data!E387&lt;&gt;""),NOT(ISERROR(MATCH(Data!$A387&amp;"||"&amp;Data!E387,Key,0))),TRUE),TRUE)</f>
        <v>1</v>
      </c>
      <c r="AC387" s="27" t="b">
        <f>IF(Checks!C387,IF(UPPER(Data!C387)="END",Data!E387&lt;&gt;"",TRUE),TRUE)</f>
        <v>1</v>
      </c>
    </row>
    <row r="388" spans="1:29" x14ac:dyDescent="0.25">
      <c r="A388" s="1" t="str">
        <f>Data!A388&amp;"||"&amp;Data!B388</f>
        <v>Miscellaneous/subflow/irmifrs9_preprocess_stage1.bpmn||030_00_01</v>
      </c>
      <c r="B388" s="19"/>
      <c r="C388" s="24" t="b">
        <f>AND(UPPER(Data!A388)&lt;&gt;"EMPTY",Data!B388&lt;&gt;"")</f>
        <v>1</v>
      </c>
      <c r="D388" s="1"/>
      <c r="E388" s="25" t="b">
        <f t="shared" ca="1" si="10"/>
        <v>1</v>
      </c>
      <c r="F388" s="26" t="b">
        <f ca="1">IF(UPPER(Data!C388)="SUB PROCESS",NOT(ISERROR(MATCH(RIGHT(Data!BY388,LEN(Data!BY388)-5),OFFSET(Data,0,0,ItemsCount,1),0))),TRUE)</f>
        <v>1</v>
      </c>
      <c r="G388" s="26" t="b">
        <f ca="1">IF(MID(UPPER(Data!A388),1,13)="MISCELLANEOUS",NOT(ISERROR(MATCH("path="&amp;Data!A388,OFFSET(Data,0,76,ItemsCount,1),0))),TRUE)</f>
        <v>1</v>
      </c>
      <c r="L388" s="25" t="b">
        <f t="shared" ca="1" si="11"/>
        <v>1</v>
      </c>
      <c r="M388" s="24" t="b">
        <f>IF(Checks!$C388,Data!A388&lt;&gt;"",TRUE)</f>
        <v>1</v>
      </c>
      <c r="N388" s="26" t="b">
        <f>IF(Checks!C388,Data!B388&lt;&gt;"",TRUE)</f>
        <v>1</v>
      </c>
      <c r="O388" s="26" t="b">
        <f>IF(Checks!C388,IF(AND(UPPER(Data!C388)="SERVICE TASK",UPPER(Data!BZ388)="TYPE=SAS"),NodeExists(TRIM(RIGHT(Data!CA388,LEN(Data!CA388)-FIND("=",Data!CA388)))),TRUE),TRUE)</f>
        <v>1</v>
      </c>
      <c r="P388" s="26" t="b">
        <f>IF(Checks!C388,IF(Data!C388="DATA OBJECT",OR(AND(Data!BW388&lt;&gt;"",Data!BX388=""),AND(Data!BW388="",Data!BX388&lt;&gt;"")),TRUE),TRUE)</f>
        <v>1</v>
      </c>
      <c r="Q388" s="26" t="b">
        <f>IF(Checks!C388,UPPER(RIGHT(Data!A388,5))=".BPMN",TRUE)</f>
        <v>1</v>
      </c>
      <c r="R388" s="26" t="b">
        <f>IF(Checks!C388,IF(UPPER(Data!C388)="SUB PROCESS",UPPER(RIGHT(Data!BY388,5))=".BPMN",TRUE),TRUE)</f>
        <v>1</v>
      </c>
      <c r="S388" s="26" t="b">
        <f>IF(Checks!C388,IF(UPPER(Data!C388)="SERVICE TASK",IF(UPPER(Data!BZ388)="TYPE=SAS",UPPER(RIGHT(Data!CA388,4))=".SAS",TRUE),TRUE),TRUE)</f>
        <v>1</v>
      </c>
      <c r="T388" s="26" t="b">
        <f>IF(Checks!C388,IF(Data!B388&lt;&gt;"",Data!D388&lt;&gt;"",TRUE),TRUE)</f>
        <v>1</v>
      </c>
      <c r="U388" s="26" t="b">
        <f ca="1">IF(Checks!C388,IF(UPPER(Data!C388)="DATA OBJECT",NOT(ISERROR(MATCH(Data!A388&amp;"||"&amp;Data!BW388&amp;Data!BX388,Key,0))),TRUE),TRUE)</f>
        <v>1</v>
      </c>
      <c r="V388" s="26" t="b">
        <f>IF(Checks!C388,IF(UPPER(Data!C388)="SUB PROCESS",Data!BY388&lt;&gt;"",TRUE),TRUE)</f>
        <v>1</v>
      </c>
      <c r="W388" s="26" t="b">
        <f>IF(Checks!C388,IF(UPPER(Data!C388)="SERVICE TASK",AND(Data!BZ388&lt;&gt;"",Data!CA388&lt;&gt;""),TRUE),TRUE)</f>
        <v>1</v>
      </c>
      <c r="X388" s="26" t="b">
        <f t="array" aca="1" ref="X388" ca="1">SUM((OFFSET(Data!B388,MAX(ROW(Data!$B$5)-ROW(Data!B388),-200),0,400,1)=Data!B388)*(OFFSET(Data!A388,MAX(ROW(Data!$B$5)-ROW(Data!B388),-200),0,400,1)=Data!A388))=1</f>
        <v>1</v>
      </c>
      <c r="Y388" s="26" t="b">
        <f t="array" aca="1" ref="Y388" ca="1">IF(UPPER(Data!C388)="START",SUM((OFFSET(Data!C388,MAX(ROW(Data!$C$5)-ROW(Data!C388),-200),0,400,1)="START")*(OFFSET(Data!A388,MAX(ROW(Data!$B$5)-ROW(Data!B388),-200),0,400,1)=Data!A388))=1,TRUE)</f>
        <v>1</v>
      </c>
      <c r="Z388" s="26" t="b">
        <f t="array" aca="1" ref="Z388" ca="1">IF(UPPER(Data!C388)="END",SUM((OFFSET(Data!C388,MAX(ROW(Data!$C$5)-ROW(Data!C388),-200),0,400,1)="END")*(OFFSET(Data!A388,MAX(ROW(Data!$B$5)-ROW(Data!B388),-200),0,400,1)=Data!A388))=1,TRUE)</f>
        <v>1</v>
      </c>
      <c r="AA388" s="26" t="b">
        <f>IF(Checks!C388,ISERROR(FIND("&amp;",Data!D388)),TRUE)</f>
        <v>1</v>
      </c>
      <c r="AB388" s="26" t="b">
        <f>IF(Checks!$C388,IF(AND(UPPER(Data!$C388)&lt;&gt;"START",UPPER(Data!$C388)&lt;&gt;"DATA OBJECT",Data!E388&lt;&gt;""),NOT(ISERROR(MATCH(Data!$A388&amp;"||"&amp;Data!E388,Key,0))),TRUE),TRUE)</f>
        <v>1</v>
      </c>
      <c r="AC388" s="27" t="b">
        <f>IF(Checks!C388,IF(UPPER(Data!C388)="END",Data!E388&lt;&gt;"",TRUE),TRUE)</f>
        <v>1</v>
      </c>
    </row>
    <row r="389" spans="1:29" x14ac:dyDescent="0.25">
      <c r="A389" s="1" t="str">
        <f>Data!A389&amp;"||"&amp;Data!B389</f>
        <v>Miscellaneous/subflow/irmifrs9_preprocess_stage1.bpmn||030_00_02</v>
      </c>
      <c r="B389" s="19"/>
      <c r="C389" s="24" t="b">
        <f>AND(UPPER(Data!A389)&lt;&gt;"EMPTY",Data!B389&lt;&gt;"")</f>
        <v>1</v>
      </c>
      <c r="D389" s="1"/>
      <c r="E389" s="25" t="b">
        <f t="shared" ca="1" si="10"/>
        <v>1</v>
      </c>
      <c r="F389" s="26" t="b">
        <f ca="1">IF(UPPER(Data!C389)="SUB PROCESS",NOT(ISERROR(MATCH(RIGHT(Data!BY389,LEN(Data!BY389)-5),OFFSET(Data,0,0,ItemsCount,1),0))),TRUE)</f>
        <v>1</v>
      </c>
      <c r="G389" s="26" t="b">
        <f ca="1">IF(MID(UPPER(Data!A389),1,13)="MISCELLANEOUS",NOT(ISERROR(MATCH("path="&amp;Data!A389,OFFSET(Data,0,76,ItemsCount,1),0))),TRUE)</f>
        <v>1</v>
      </c>
      <c r="L389" s="25" t="b">
        <f t="shared" ca="1" si="11"/>
        <v>1</v>
      </c>
      <c r="M389" s="24" t="b">
        <f>IF(Checks!$C389,Data!A389&lt;&gt;"",TRUE)</f>
        <v>1</v>
      </c>
      <c r="N389" s="26" t="b">
        <f>IF(Checks!C389,Data!B389&lt;&gt;"",TRUE)</f>
        <v>1</v>
      </c>
      <c r="O389" s="26" t="b">
        <f>IF(Checks!C389,IF(AND(UPPER(Data!C389)="SERVICE TASK",UPPER(Data!BZ389)="TYPE=SAS"),NodeExists(TRIM(RIGHT(Data!CA389,LEN(Data!CA389)-FIND("=",Data!CA389)))),TRUE),TRUE)</f>
        <v>1</v>
      </c>
      <c r="P389" s="26" t="b">
        <f>IF(Checks!C389,IF(Data!C389="DATA OBJECT",OR(AND(Data!BW389&lt;&gt;"",Data!BX389=""),AND(Data!BW389="",Data!BX389&lt;&gt;"")),TRUE),TRUE)</f>
        <v>1</v>
      </c>
      <c r="Q389" s="26" t="b">
        <f>IF(Checks!C389,UPPER(RIGHT(Data!A389,5))=".BPMN",TRUE)</f>
        <v>1</v>
      </c>
      <c r="R389" s="26" t="b">
        <f>IF(Checks!C389,IF(UPPER(Data!C389)="SUB PROCESS",UPPER(RIGHT(Data!BY389,5))=".BPMN",TRUE),TRUE)</f>
        <v>1</v>
      </c>
      <c r="S389" s="26" t="b">
        <f>IF(Checks!C389,IF(UPPER(Data!C389)="SERVICE TASK",IF(UPPER(Data!BZ389)="TYPE=SAS",UPPER(RIGHT(Data!CA389,4))=".SAS",TRUE),TRUE),TRUE)</f>
        <v>1</v>
      </c>
      <c r="T389" s="26" t="b">
        <f>IF(Checks!C389,IF(Data!B389&lt;&gt;"",Data!D389&lt;&gt;"",TRUE),TRUE)</f>
        <v>1</v>
      </c>
      <c r="U389" s="26" t="b">
        <f ca="1">IF(Checks!C389,IF(UPPER(Data!C389)="DATA OBJECT",NOT(ISERROR(MATCH(Data!A389&amp;"||"&amp;Data!BW389&amp;Data!BX389,Key,0))),TRUE),TRUE)</f>
        <v>1</v>
      </c>
      <c r="V389" s="26" t="b">
        <f>IF(Checks!C389,IF(UPPER(Data!C389)="SUB PROCESS",Data!BY389&lt;&gt;"",TRUE),TRUE)</f>
        <v>1</v>
      </c>
      <c r="W389" s="26" t="b">
        <f>IF(Checks!C389,IF(UPPER(Data!C389)="SERVICE TASK",AND(Data!BZ389&lt;&gt;"",Data!CA389&lt;&gt;""),TRUE),TRUE)</f>
        <v>1</v>
      </c>
      <c r="X389" s="26" t="b">
        <f t="array" aca="1" ref="X389" ca="1">SUM((OFFSET(Data!B389,MAX(ROW(Data!$B$5)-ROW(Data!B389),-200),0,400,1)=Data!B389)*(OFFSET(Data!A389,MAX(ROW(Data!$B$5)-ROW(Data!B389),-200),0,400,1)=Data!A389))=1</f>
        <v>1</v>
      </c>
      <c r="Y389" s="26" t="b">
        <f t="array" aca="1" ref="Y389" ca="1">IF(UPPER(Data!C389)="START",SUM((OFFSET(Data!C389,MAX(ROW(Data!$C$5)-ROW(Data!C389),-200),0,400,1)="START")*(OFFSET(Data!A389,MAX(ROW(Data!$B$5)-ROW(Data!B389),-200),0,400,1)=Data!A389))=1,TRUE)</f>
        <v>1</v>
      </c>
      <c r="Z389" s="26" t="b">
        <f t="array" aca="1" ref="Z389" ca="1">IF(UPPER(Data!C389)="END",SUM((OFFSET(Data!C389,MAX(ROW(Data!$C$5)-ROW(Data!C389),-200),0,400,1)="END")*(OFFSET(Data!A389,MAX(ROW(Data!$B$5)-ROW(Data!B389),-200),0,400,1)=Data!A389))=1,TRUE)</f>
        <v>1</v>
      </c>
      <c r="AA389" s="26" t="b">
        <f>IF(Checks!C389,ISERROR(FIND("&amp;",Data!D389)),TRUE)</f>
        <v>1</v>
      </c>
      <c r="AB389" s="26" t="b">
        <f>IF(Checks!$C389,IF(AND(UPPER(Data!$C389)&lt;&gt;"START",UPPER(Data!$C389)&lt;&gt;"DATA OBJECT",Data!E389&lt;&gt;""),NOT(ISERROR(MATCH(Data!$A389&amp;"||"&amp;Data!E389,Key,0))),TRUE),TRUE)</f>
        <v>1</v>
      </c>
      <c r="AC389" s="27" t="b">
        <f>IF(Checks!C389,IF(UPPER(Data!C389)="END",Data!E389&lt;&gt;"",TRUE),TRUE)</f>
        <v>1</v>
      </c>
    </row>
    <row r="390" spans="1:29" x14ac:dyDescent="0.25">
      <c r="A390" s="1" t="str">
        <f>Data!A390&amp;"||"&amp;Data!B390</f>
        <v>Miscellaneous/subflow/irmifrs9_preprocess_stage1.bpmn||030_01_00</v>
      </c>
      <c r="B390" s="19"/>
      <c r="C390" s="24" t="b">
        <f>AND(UPPER(Data!A390)&lt;&gt;"EMPTY",Data!B390&lt;&gt;"")</f>
        <v>1</v>
      </c>
      <c r="D390" s="1"/>
      <c r="E390" s="25" t="b">
        <f t="shared" ref="E390:E453" ca="1" si="12">IF(C390,AND(F390:G390),TRUE)</f>
        <v>1</v>
      </c>
      <c r="F390" s="26" t="b">
        <f ca="1">IF(UPPER(Data!C390)="SUB PROCESS",NOT(ISERROR(MATCH(RIGHT(Data!BY390,LEN(Data!BY390)-5),OFFSET(Data,0,0,ItemsCount,1),0))),TRUE)</f>
        <v>1</v>
      </c>
      <c r="G390" s="26" t="b">
        <f ca="1">IF(MID(UPPER(Data!A390),1,13)="MISCELLANEOUS",NOT(ISERROR(MATCH("path="&amp;Data!A390,OFFSET(Data,0,76,ItemsCount,1),0))),TRUE)</f>
        <v>1</v>
      </c>
      <c r="L390" s="25" t="b">
        <f t="shared" ref="L390:L453" ca="1" si="13">IF(C390,AND(M390:AC390),TRUE)</f>
        <v>1</v>
      </c>
      <c r="M390" s="24" t="b">
        <f>IF(Checks!$C390,Data!A390&lt;&gt;"",TRUE)</f>
        <v>1</v>
      </c>
      <c r="N390" s="26" t="b">
        <f>IF(Checks!C390,Data!B390&lt;&gt;"",TRUE)</f>
        <v>1</v>
      </c>
      <c r="O390" s="26" t="b">
        <f>IF(Checks!C390,IF(AND(UPPER(Data!C390)="SERVICE TASK",UPPER(Data!BZ390)="TYPE=SAS"),NodeExists(TRIM(RIGHT(Data!CA390,LEN(Data!CA390)-FIND("=",Data!CA390)))),TRUE),TRUE)</f>
        <v>1</v>
      </c>
      <c r="P390" s="26" t="b">
        <f>IF(Checks!C390,IF(Data!C390="DATA OBJECT",OR(AND(Data!BW390&lt;&gt;"",Data!BX390=""),AND(Data!BW390="",Data!BX390&lt;&gt;"")),TRUE),TRUE)</f>
        <v>1</v>
      </c>
      <c r="Q390" s="26" t="b">
        <f>IF(Checks!C390,UPPER(RIGHT(Data!A390,5))=".BPMN",TRUE)</f>
        <v>1</v>
      </c>
      <c r="R390" s="26" t="b">
        <f>IF(Checks!C390,IF(UPPER(Data!C390)="SUB PROCESS",UPPER(RIGHT(Data!BY390,5))=".BPMN",TRUE),TRUE)</f>
        <v>1</v>
      </c>
      <c r="S390" s="26" t="b">
        <f>IF(Checks!C390,IF(UPPER(Data!C390)="SERVICE TASK",IF(UPPER(Data!BZ390)="TYPE=SAS",UPPER(RIGHT(Data!CA390,4))=".SAS",TRUE),TRUE),TRUE)</f>
        <v>1</v>
      </c>
      <c r="T390" s="26" t="b">
        <f>IF(Checks!C390,IF(Data!B390&lt;&gt;"",Data!D390&lt;&gt;"",TRUE),TRUE)</f>
        <v>1</v>
      </c>
      <c r="U390" s="26" t="b">
        <f ca="1">IF(Checks!C390,IF(UPPER(Data!C390)="DATA OBJECT",NOT(ISERROR(MATCH(Data!A390&amp;"||"&amp;Data!BW390&amp;Data!BX390,Key,0))),TRUE),TRUE)</f>
        <v>1</v>
      </c>
      <c r="V390" s="26" t="b">
        <f>IF(Checks!C390,IF(UPPER(Data!C390)="SUB PROCESS",Data!BY390&lt;&gt;"",TRUE),TRUE)</f>
        <v>1</v>
      </c>
      <c r="W390" s="26" t="b">
        <f>IF(Checks!C390,IF(UPPER(Data!C390)="SERVICE TASK",AND(Data!BZ390&lt;&gt;"",Data!CA390&lt;&gt;""),TRUE),TRUE)</f>
        <v>1</v>
      </c>
      <c r="X390" s="26" t="b">
        <f t="array" aca="1" ref="X390" ca="1">SUM((OFFSET(Data!B390,MAX(ROW(Data!$B$5)-ROW(Data!B390),-200),0,400,1)=Data!B390)*(OFFSET(Data!A390,MAX(ROW(Data!$B$5)-ROW(Data!B390),-200),0,400,1)=Data!A390))=1</f>
        <v>1</v>
      </c>
      <c r="Y390" s="26" t="b">
        <f t="array" aca="1" ref="Y390" ca="1">IF(UPPER(Data!C390)="START",SUM((OFFSET(Data!C390,MAX(ROW(Data!$C$5)-ROW(Data!C390),-200),0,400,1)="START")*(OFFSET(Data!A390,MAX(ROW(Data!$B$5)-ROW(Data!B390),-200),0,400,1)=Data!A390))=1,TRUE)</f>
        <v>1</v>
      </c>
      <c r="Z390" s="26" t="b">
        <f t="array" aca="1" ref="Z390" ca="1">IF(UPPER(Data!C390)="END",SUM((OFFSET(Data!C390,MAX(ROW(Data!$C$5)-ROW(Data!C390),-200),0,400,1)="END")*(OFFSET(Data!A390,MAX(ROW(Data!$B$5)-ROW(Data!B390),-200),0,400,1)=Data!A390))=1,TRUE)</f>
        <v>1</v>
      </c>
      <c r="AA390" s="26" t="b">
        <f>IF(Checks!C390,ISERROR(FIND("&amp;",Data!D390)),TRUE)</f>
        <v>1</v>
      </c>
      <c r="AB390" s="26" t="b">
        <f>IF(Checks!$C390,IF(AND(UPPER(Data!$C390)&lt;&gt;"START",UPPER(Data!$C390)&lt;&gt;"DATA OBJECT",Data!E390&lt;&gt;""),NOT(ISERROR(MATCH(Data!$A390&amp;"||"&amp;Data!E390,Key,0))),TRUE),TRUE)</f>
        <v>1</v>
      </c>
      <c r="AC390" s="27" t="b">
        <f>IF(Checks!C390,IF(UPPER(Data!C390)="END",Data!E390&lt;&gt;"",TRUE),TRUE)</f>
        <v>1</v>
      </c>
    </row>
    <row r="391" spans="1:29" x14ac:dyDescent="0.25">
      <c r="A391" s="1" t="str">
        <f>Data!A391&amp;"||"&amp;Data!B391</f>
        <v>Miscellaneous/subflow/irmifrs9_preprocess_stage1.bpmn||999_00_00</v>
      </c>
      <c r="B391" s="19"/>
      <c r="C391" s="24" t="b">
        <f>AND(UPPER(Data!A391)&lt;&gt;"EMPTY",Data!B391&lt;&gt;"")</f>
        <v>1</v>
      </c>
      <c r="D391" s="1"/>
      <c r="E391" s="25" t="b">
        <f t="shared" ca="1" si="12"/>
        <v>1</v>
      </c>
      <c r="F391" s="26" t="b">
        <f ca="1">IF(UPPER(Data!C391)="SUB PROCESS",NOT(ISERROR(MATCH(RIGHT(Data!BY391,LEN(Data!BY391)-5),OFFSET(Data,0,0,ItemsCount,1),0))),TRUE)</f>
        <v>1</v>
      </c>
      <c r="G391" s="26" t="b">
        <f ca="1">IF(MID(UPPER(Data!A391),1,13)="MISCELLANEOUS",NOT(ISERROR(MATCH("path="&amp;Data!A391,OFFSET(Data,0,76,ItemsCount,1),0))),TRUE)</f>
        <v>1</v>
      </c>
      <c r="L391" s="25" t="b">
        <f t="shared" ca="1" si="13"/>
        <v>1</v>
      </c>
      <c r="M391" s="24" t="b">
        <f>IF(Checks!$C391,Data!A391&lt;&gt;"",TRUE)</f>
        <v>1</v>
      </c>
      <c r="N391" s="26" t="b">
        <f>IF(Checks!C391,Data!B391&lt;&gt;"",TRUE)</f>
        <v>1</v>
      </c>
      <c r="O391" s="26" t="b">
        <f>IF(Checks!C391,IF(AND(UPPER(Data!C391)="SERVICE TASK",UPPER(Data!BZ391)="TYPE=SAS"),NodeExists(TRIM(RIGHT(Data!CA391,LEN(Data!CA391)-FIND("=",Data!CA391)))),TRUE),TRUE)</f>
        <v>1</v>
      </c>
      <c r="P391" s="26" t="b">
        <f>IF(Checks!C391,IF(Data!C391="DATA OBJECT",OR(AND(Data!BW391&lt;&gt;"",Data!BX391=""),AND(Data!BW391="",Data!BX391&lt;&gt;"")),TRUE),TRUE)</f>
        <v>1</v>
      </c>
      <c r="Q391" s="26" t="b">
        <f>IF(Checks!C391,UPPER(RIGHT(Data!A391,5))=".BPMN",TRUE)</f>
        <v>1</v>
      </c>
      <c r="R391" s="26" t="b">
        <f>IF(Checks!C391,IF(UPPER(Data!C391)="SUB PROCESS",UPPER(RIGHT(Data!BY391,5))=".BPMN",TRUE),TRUE)</f>
        <v>1</v>
      </c>
      <c r="S391" s="26" t="b">
        <f>IF(Checks!C391,IF(UPPER(Data!C391)="SERVICE TASK",IF(UPPER(Data!BZ391)="TYPE=SAS",UPPER(RIGHT(Data!CA391,4))=".SAS",TRUE),TRUE),TRUE)</f>
        <v>1</v>
      </c>
      <c r="T391" s="26" t="b">
        <f>IF(Checks!C391,IF(Data!B391&lt;&gt;"",Data!D391&lt;&gt;"",TRUE),TRUE)</f>
        <v>1</v>
      </c>
      <c r="U391" s="26" t="b">
        <f>IF(Checks!C391,IF(UPPER(Data!C391)="DATA OBJECT",NOT(ISERROR(MATCH(Data!A391&amp;"||"&amp;Data!BW391&amp;Data!BX391,Key,0))),TRUE),TRUE)</f>
        <v>1</v>
      </c>
      <c r="V391" s="26" t="b">
        <f>IF(Checks!C391,IF(UPPER(Data!C391)="SUB PROCESS",Data!BY391&lt;&gt;"",TRUE),TRUE)</f>
        <v>1</v>
      </c>
      <c r="W391" s="26" t="b">
        <f>IF(Checks!C391,IF(UPPER(Data!C391)="SERVICE TASK",AND(Data!BZ391&lt;&gt;"",Data!CA391&lt;&gt;""),TRUE),TRUE)</f>
        <v>1</v>
      </c>
      <c r="X391" s="26" t="b">
        <f t="array" aca="1" ref="X391" ca="1">SUM((OFFSET(Data!B391,MAX(ROW(Data!$B$5)-ROW(Data!B391),-200),0,400,1)=Data!B391)*(OFFSET(Data!A391,MAX(ROW(Data!$B$5)-ROW(Data!B391),-200),0,400,1)=Data!A391))=1</f>
        <v>1</v>
      </c>
      <c r="Y391" s="26" t="b">
        <f t="array" aca="1" ref="Y391" ca="1">IF(UPPER(Data!C391)="START",SUM((OFFSET(Data!C391,MAX(ROW(Data!$C$5)-ROW(Data!C391),-200),0,400,1)="START")*(OFFSET(Data!A391,MAX(ROW(Data!$B$5)-ROW(Data!B391),-200),0,400,1)=Data!A391))=1,TRUE)</f>
        <v>1</v>
      </c>
      <c r="Z391" s="26" t="b">
        <f t="array" aca="1" ref="Z391" ca="1">IF(UPPER(Data!C391)="END",SUM((OFFSET(Data!C391,MAX(ROW(Data!$C$5)-ROW(Data!C391),-200),0,400,1)="END")*(OFFSET(Data!A391,MAX(ROW(Data!$B$5)-ROW(Data!B391),-200),0,400,1)=Data!A391))=1,TRUE)</f>
        <v>1</v>
      </c>
      <c r="AA391" s="26" t="b">
        <f>IF(Checks!C391,ISERROR(FIND("&amp;",Data!D391)),TRUE)</f>
        <v>1</v>
      </c>
      <c r="AB391" s="26" t="b">
        <f ca="1">IF(Checks!$C391,IF(AND(UPPER(Data!$C391)&lt;&gt;"START",UPPER(Data!$C391)&lt;&gt;"DATA OBJECT",Data!E391&lt;&gt;""),NOT(ISERROR(MATCH(Data!$A391&amp;"||"&amp;Data!E391,Key,0))),TRUE),TRUE)</f>
        <v>1</v>
      </c>
      <c r="AC391" s="27" t="b">
        <f>IF(Checks!C391,IF(UPPER(Data!C391)="END",Data!E391&lt;&gt;"",TRUE),TRUE)</f>
        <v>1</v>
      </c>
    </row>
    <row r="392" spans="1:29" x14ac:dyDescent="0.25">
      <c r="A392" s="1" t="str">
        <f>Data!A392&amp;"||"&amp;Data!B392</f>
        <v>Miscellaneous/subflow/irmifrs9_preprocess_stage2.bpmn||000_00_00</v>
      </c>
      <c r="B392" s="19"/>
      <c r="C392" s="24" t="b">
        <f>AND(UPPER(Data!A392)&lt;&gt;"EMPTY",Data!B392&lt;&gt;"")</f>
        <v>1</v>
      </c>
      <c r="D392" s="1"/>
      <c r="E392" s="25" t="b">
        <f t="shared" ca="1" si="12"/>
        <v>1</v>
      </c>
      <c r="F392" s="26" t="b">
        <f ca="1">IF(UPPER(Data!C392)="SUB PROCESS",NOT(ISERROR(MATCH(RIGHT(Data!BY392,LEN(Data!BY392)-5),OFFSET(Data,0,0,ItemsCount,1),0))),TRUE)</f>
        <v>1</v>
      </c>
      <c r="G392" s="26" t="b">
        <f ca="1">IF(MID(UPPER(Data!A392),1,13)="MISCELLANEOUS",NOT(ISERROR(MATCH("path="&amp;Data!A392,OFFSET(Data,0,76,ItemsCount,1),0))),TRUE)</f>
        <v>1</v>
      </c>
      <c r="L392" s="25" t="b">
        <f t="shared" ca="1" si="13"/>
        <v>1</v>
      </c>
      <c r="M392" s="24" t="b">
        <f>IF(Checks!$C392,Data!A392&lt;&gt;"",TRUE)</f>
        <v>1</v>
      </c>
      <c r="N392" s="26" t="b">
        <f>IF(Checks!C392,Data!B392&lt;&gt;"",TRUE)</f>
        <v>1</v>
      </c>
      <c r="O392" s="26" t="b">
        <f>IF(Checks!C392,IF(AND(UPPER(Data!C392)="SERVICE TASK",UPPER(Data!BZ392)="TYPE=SAS"),NodeExists(TRIM(RIGHT(Data!CA392,LEN(Data!CA392)-FIND("=",Data!CA392)))),TRUE),TRUE)</f>
        <v>1</v>
      </c>
      <c r="P392" s="26" t="b">
        <f>IF(Checks!C392,IF(Data!C392="DATA OBJECT",OR(AND(Data!BW392&lt;&gt;"",Data!BX392=""),AND(Data!BW392="",Data!BX392&lt;&gt;"")),TRUE),TRUE)</f>
        <v>1</v>
      </c>
      <c r="Q392" s="26" t="b">
        <f>IF(Checks!C392,UPPER(RIGHT(Data!A392,5))=".BPMN",TRUE)</f>
        <v>1</v>
      </c>
      <c r="R392" s="26" t="b">
        <f>IF(Checks!C392,IF(UPPER(Data!C392)="SUB PROCESS",UPPER(RIGHT(Data!BY392,5))=".BPMN",TRUE),TRUE)</f>
        <v>1</v>
      </c>
      <c r="S392" s="26" t="b">
        <f>IF(Checks!C392,IF(UPPER(Data!C392)="SERVICE TASK",IF(UPPER(Data!BZ392)="TYPE=SAS",UPPER(RIGHT(Data!CA392,4))=".SAS",TRUE),TRUE),TRUE)</f>
        <v>1</v>
      </c>
      <c r="T392" s="26" t="b">
        <f>IF(Checks!C392,IF(Data!B392&lt;&gt;"",Data!D392&lt;&gt;"",TRUE),TRUE)</f>
        <v>1</v>
      </c>
      <c r="U392" s="26" t="b">
        <f>IF(Checks!C392,IF(UPPER(Data!C392)="DATA OBJECT",NOT(ISERROR(MATCH(Data!A392&amp;"||"&amp;Data!BW392&amp;Data!BX392,Key,0))),TRUE),TRUE)</f>
        <v>1</v>
      </c>
      <c r="V392" s="26" t="b">
        <f>IF(Checks!C392,IF(UPPER(Data!C392)="SUB PROCESS",Data!BY392&lt;&gt;"",TRUE),TRUE)</f>
        <v>1</v>
      </c>
      <c r="W392" s="26" t="b">
        <f>IF(Checks!C392,IF(UPPER(Data!C392)="SERVICE TASK",AND(Data!BZ392&lt;&gt;"",Data!CA392&lt;&gt;""),TRUE),TRUE)</f>
        <v>1</v>
      </c>
      <c r="X392" s="26" t="b">
        <f t="array" aca="1" ref="X392" ca="1">SUM((OFFSET(Data!B392,MAX(ROW(Data!$B$5)-ROW(Data!B392),-200),0,400,1)=Data!B392)*(OFFSET(Data!A392,MAX(ROW(Data!$B$5)-ROW(Data!B392),-200),0,400,1)=Data!A392))=1</f>
        <v>1</v>
      </c>
      <c r="Y392" s="26" t="b">
        <f t="array" aca="1" ref="Y392" ca="1">IF(UPPER(Data!C392)="START",SUM((OFFSET(Data!C392,MAX(ROW(Data!$C$5)-ROW(Data!C392),-200),0,400,1)="START")*(OFFSET(Data!A392,MAX(ROW(Data!$B$5)-ROW(Data!B392),-200),0,400,1)=Data!A392))=1,TRUE)</f>
        <v>1</v>
      </c>
      <c r="Z392" s="26" t="b">
        <f t="array" aca="1" ref="Z392" ca="1">IF(UPPER(Data!C392)="END",SUM((OFFSET(Data!C392,MAX(ROW(Data!$C$5)-ROW(Data!C392),-200),0,400,1)="END")*(OFFSET(Data!A392,MAX(ROW(Data!$B$5)-ROW(Data!B392),-200),0,400,1)=Data!A392))=1,TRUE)</f>
        <v>1</v>
      </c>
      <c r="AA392" s="26" t="b">
        <f>IF(Checks!C392,ISERROR(FIND("&amp;",Data!D392)),TRUE)</f>
        <v>1</v>
      </c>
      <c r="AB392" s="26" t="b">
        <f>IF(Checks!$C392,IF(AND(UPPER(Data!$C392)&lt;&gt;"START",UPPER(Data!$C392)&lt;&gt;"DATA OBJECT",Data!E392&lt;&gt;""),NOT(ISERROR(MATCH(Data!$A392&amp;"||"&amp;Data!E392,Key,0))),TRUE),TRUE)</f>
        <v>1</v>
      </c>
      <c r="AC392" s="27" t="b">
        <f>IF(Checks!C392,IF(UPPER(Data!C392)="END",Data!E392&lt;&gt;"",TRUE),TRUE)</f>
        <v>1</v>
      </c>
    </row>
    <row r="393" spans="1:29" x14ac:dyDescent="0.25">
      <c r="A393" s="1" t="str">
        <f>Data!A393&amp;"||"&amp;Data!B393</f>
        <v>Miscellaneous/subflow/irmifrs9_preprocess_stage2.bpmn||010_00_00</v>
      </c>
      <c r="B393" s="19"/>
      <c r="C393" s="24" t="b">
        <f>AND(UPPER(Data!A393)&lt;&gt;"EMPTY",Data!B393&lt;&gt;"")</f>
        <v>1</v>
      </c>
      <c r="D393" s="1"/>
      <c r="E393" s="25" t="b">
        <f t="shared" ca="1" si="12"/>
        <v>1</v>
      </c>
      <c r="F393" s="26" t="b">
        <f ca="1">IF(UPPER(Data!C393)="SUB PROCESS",NOT(ISERROR(MATCH(RIGHT(Data!BY393,LEN(Data!BY393)-5),OFFSET(Data,0,0,ItemsCount,1),0))),TRUE)</f>
        <v>1</v>
      </c>
      <c r="G393" s="26" t="b">
        <f ca="1">IF(MID(UPPER(Data!A393),1,13)="MISCELLANEOUS",NOT(ISERROR(MATCH("path="&amp;Data!A393,OFFSET(Data,0,76,ItemsCount,1),0))),TRUE)</f>
        <v>1</v>
      </c>
      <c r="L393" s="25" t="b">
        <f t="shared" ca="1" si="13"/>
        <v>1</v>
      </c>
      <c r="M393" s="24" t="b">
        <f>IF(Checks!$C393,Data!A393&lt;&gt;"",TRUE)</f>
        <v>1</v>
      </c>
      <c r="N393" s="26" t="b">
        <f>IF(Checks!C393,Data!B393&lt;&gt;"",TRUE)</f>
        <v>1</v>
      </c>
      <c r="O393" s="26" t="b">
        <f>IF(Checks!C393,IF(AND(UPPER(Data!C393)="SERVICE TASK",UPPER(Data!BZ393)="TYPE=SAS"),NodeExists(TRIM(RIGHT(Data!CA393,LEN(Data!CA393)-FIND("=",Data!CA393)))),TRUE),TRUE)</f>
        <v>1</v>
      </c>
      <c r="P393" s="26" t="b">
        <f>IF(Checks!C393,IF(Data!C393="DATA OBJECT",OR(AND(Data!BW393&lt;&gt;"",Data!BX393=""),AND(Data!BW393="",Data!BX393&lt;&gt;"")),TRUE),TRUE)</f>
        <v>1</v>
      </c>
      <c r="Q393" s="26" t="b">
        <f>IF(Checks!C393,UPPER(RIGHT(Data!A393,5))=".BPMN",TRUE)</f>
        <v>1</v>
      </c>
      <c r="R393" s="26" t="b">
        <f>IF(Checks!C393,IF(UPPER(Data!C393)="SUB PROCESS",UPPER(RIGHT(Data!BY393,5))=".BPMN",TRUE),TRUE)</f>
        <v>1</v>
      </c>
      <c r="S393" s="26" t="b">
        <f>IF(Checks!C393,IF(UPPER(Data!C393)="SERVICE TASK",IF(UPPER(Data!BZ393)="TYPE=SAS",UPPER(RIGHT(Data!CA393,4))=".SAS",TRUE),TRUE),TRUE)</f>
        <v>1</v>
      </c>
      <c r="T393" s="26" t="b">
        <f>IF(Checks!C393,IF(Data!B393&lt;&gt;"",Data!D393&lt;&gt;"",TRUE),TRUE)</f>
        <v>1</v>
      </c>
      <c r="U393" s="26" t="b">
        <f>IF(Checks!C393,IF(UPPER(Data!C393)="DATA OBJECT",NOT(ISERROR(MATCH(Data!A393&amp;"||"&amp;Data!BW393&amp;Data!BX393,Key,0))),TRUE),TRUE)</f>
        <v>1</v>
      </c>
      <c r="V393" s="26" t="b">
        <f>IF(Checks!C393,IF(UPPER(Data!C393)="SUB PROCESS",Data!BY393&lt;&gt;"",TRUE),TRUE)</f>
        <v>1</v>
      </c>
      <c r="W393" s="26" t="b">
        <f>IF(Checks!C393,IF(UPPER(Data!C393)="SERVICE TASK",AND(Data!BZ393&lt;&gt;"",Data!CA393&lt;&gt;""),TRUE),TRUE)</f>
        <v>1</v>
      </c>
      <c r="X393" s="26" t="b">
        <f t="array" aca="1" ref="X393" ca="1">SUM((OFFSET(Data!B393,MAX(ROW(Data!$B$5)-ROW(Data!B393),-200),0,400,1)=Data!B393)*(OFFSET(Data!A393,MAX(ROW(Data!$B$5)-ROW(Data!B393),-200),0,400,1)=Data!A393))=1</f>
        <v>1</v>
      </c>
      <c r="Y393" s="26" t="b">
        <f t="array" aca="1" ref="Y393" ca="1">IF(UPPER(Data!C393)="START",SUM((OFFSET(Data!C393,MAX(ROW(Data!$C$5)-ROW(Data!C393),-200),0,400,1)="START")*(OFFSET(Data!A393,MAX(ROW(Data!$B$5)-ROW(Data!B393),-200),0,400,1)=Data!A393))=1,TRUE)</f>
        <v>1</v>
      </c>
      <c r="Z393" s="26" t="b">
        <f t="array" aca="1" ref="Z393" ca="1">IF(UPPER(Data!C393)="END",SUM((OFFSET(Data!C393,MAX(ROW(Data!$C$5)-ROW(Data!C393),-200),0,400,1)="END")*(OFFSET(Data!A393,MAX(ROW(Data!$B$5)-ROW(Data!B393),-200),0,400,1)=Data!A393))=1,TRUE)</f>
        <v>1</v>
      </c>
      <c r="AA393" s="26" t="b">
        <f>IF(Checks!C393,ISERROR(FIND("&amp;",Data!D393)),TRUE)</f>
        <v>1</v>
      </c>
      <c r="AB393" s="26" t="b">
        <f ca="1">IF(Checks!$C393,IF(AND(UPPER(Data!$C393)&lt;&gt;"START",UPPER(Data!$C393)&lt;&gt;"DATA OBJECT",Data!E393&lt;&gt;""),NOT(ISERROR(MATCH(Data!$A393&amp;"||"&amp;Data!E393,Key,0))),TRUE),TRUE)</f>
        <v>1</v>
      </c>
      <c r="AC393" s="27" t="b">
        <f>IF(Checks!C393,IF(UPPER(Data!C393)="END",Data!E393&lt;&gt;"",TRUE),TRUE)</f>
        <v>1</v>
      </c>
    </row>
    <row r="394" spans="1:29" x14ac:dyDescent="0.25">
      <c r="A394" s="1" t="str">
        <f>Data!A394&amp;"||"&amp;Data!B394</f>
        <v>Miscellaneous/subflow/irmifrs9_preprocess_stage2.bpmn||010_00_01</v>
      </c>
      <c r="B394" s="19"/>
      <c r="C394" s="24" t="b">
        <f>AND(UPPER(Data!A394)&lt;&gt;"EMPTY",Data!B394&lt;&gt;"")</f>
        <v>1</v>
      </c>
      <c r="D394" s="1"/>
      <c r="E394" s="25" t="b">
        <f t="shared" ca="1" si="12"/>
        <v>1</v>
      </c>
      <c r="F394" s="26" t="b">
        <f ca="1">IF(UPPER(Data!C394)="SUB PROCESS",NOT(ISERROR(MATCH(RIGHT(Data!BY394,LEN(Data!BY394)-5),OFFSET(Data,0,0,ItemsCount,1),0))),TRUE)</f>
        <v>1</v>
      </c>
      <c r="G394" s="26" t="b">
        <f ca="1">IF(MID(UPPER(Data!A394),1,13)="MISCELLANEOUS",NOT(ISERROR(MATCH("path="&amp;Data!A394,OFFSET(Data,0,76,ItemsCount,1),0))),TRUE)</f>
        <v>1</v>
      </c>
      <c r="L394" s="25" t="b">
        <f t="shared" ca="1" si="13"/>
        <v>1</v>
      </c>
      <c r="M394" s="24" t="b">
        <f>IF(Checks!$C394,Data!A394&lt;&gt;"",TRUE)</f>
        <v>1</v>
      </c>
      <c r="N394" s="26" t="b">
        <f>IF(Checks!C394,Data!B394&lt;&gt;"",TRUE)</f>
        <v>1</v>
      </c>
      <c r="O394" s="26" t="b">
        <f>IF(Checks!C394,IF(AND(UPPER(Data!C394)="SERVICE TASK",UPPER(Data!BZ394)="TYPE=SAS"),NodeExists(TRIM(RIGHT(Data!CA394,LEN(Data!CA394)-FIND("=",Data!CA394)))),TRUE),TRUE)</f>
        <v>1</v>
      </c>
      <c r="P394" s="26" t="b">
        <f>IF(Checks!C394,IF(Data!C394="DATA OBJECT",OR(AND(Data!BW394&lt;&gt;"",Data!BX394=""),AND(Data!BW394="",Data!BX394&lt;&gt;"")),TRUE),TRUE)</f>
        <v>1</v>
      </c>
      <c r="Q394" s="26" t="b">
        <f>IF(Checks!C394,UPPER(RIGHT(Data!A394,5))=".BPMN",TRUE)</f>
        <v>1</v>
      </c>
      <c r="R394" s="26" t="b">
        <f>IF(Checks!C394,IF(UPPER(Data!C394)="SUB PROCESS",UPPER(RIGHT(Data!BY394,5))=".BPMN",TRUE),TRUE)</f>
        <v>1</v>
      </c>
      <c r="S394" s="26" t="b">
        <f>IF(Checks!C394,IF(UPPER(Data!C394)="SERVICE TASK",IF(UPPER(Data!BZ394)="TYPE=SAS",UPPER(RIGHT(Data!CA394,4))=".SAS",TRUE),TRUE),TRUE)</f>
        <v>1</v>
      </c>
      <c r="T394" s="26" t="b">
        <f>IF(Checks!C394,IF(Data!B394&lt;&gt;"",Data!D394&lt;&gt;"",TRUE),TRUE)</f>
        <v>1</v>
      </c>
      <c r="U394" s="26" t="b">
        <f ca="1">IF(Checks!C394,IF(UPPER(Data!C394)="DATA OBJECT",NOT(ISERROR(MATCH(Data!A394&amp;"||"&amp;Data!BW394&amp;Data!BX394,Key,0))),TRUE),TRUE)</f>
        <v>1</v>
      </c>
      <c r="V394" s="26" t="b">
        <f>IF(Checks!C394,IF(UPPER(Data!C394)="SUB PROCESS",Data!BY394&lt;&gt;"",TRUE),TRUE)</f>
        <v>1</v>
      </c>
      <c r="W394" s="26" t="b">
        <f>IF(Checks!C394,IF(UPPER(Data!C394)="SERVICE TASK",AND(Data!BZ394&lt;&gt;"",Data!CA394&lt;&gt;""),TRUE),TRUE)</f>
        <v>1</v>
      </c>
      <c r="X394" s="26" t="b">
        <f t="array" aca="1" ref="X394" ca="1">SUM((OFFSET(Data!B394,MAX(ROW(Data!$B$5)-ROW(Data!B394),-200),0,400,1)=Data!B394)*(OFFSET(Data!A394,MAX(ROW(Data!$B$5)-ROW(Data!B394),-200),0,400,1)=Data!A394))=1</f>
        <v>1</v>
      </c>
      <c r="Y394" s="26" t="b">
        <f t="array" aca="1" ref="Y394" ca="1">IF(UPPER(Data!C394)="START",SUM((OFFSET(Data!C394,MAX(ROW(Data!$C$5)-ROW(Data!C394),-200),0,400,1)="START")*(OFFSET(Data!A394,MAX(ROW(Data!$B$5)-ROW(Data!B394),-200),0,400,1)=Data!A394))=1,TRUE)</f>
        <v>1</v>
      </c>
      <c r="Z394" s="26" t="b">
        <f t="array" aca="1" ref="Z394" ca="1">IF(UPPER(Data!C394)="END",SUM((OFFSET(Data!C394,MAX(ROW(Data!$C$5)-ROW(Data!C394),-200),0,400,1)="END")*(OFFSET(Data!A394,MAX(ROW(Data!$B$5)-ROW(Data!B394),-200),0,400,1)=Data!A394))=1,TRUE)</f>
        <v>1</v>
      </c>
      <c r="AA394" s="26" t="b">
        <f>IF(Checks!C394,ISERROR(FIND("&amp;",Data!D394)),TRUE)</f>
        <v>1</v>
      </c>
      <c r="AB394" s="26" t="b">
        <f>IF(Checks!$C394,IF(AND(UPPER(Data!$C394)&lt;&gt;"START",UPPER(Data!$C394)&lt;&gt;"DATA OBJECT",Data!E394&lt;&gt;""),NOT(ISERROR(MATCH(Data!$A394&amp;"||"&amp;Data!E394,Key,0))),TRUE),TRUE)</f>
        <v>1</v>
      </c>
      <c r="AC394" s="27" t="b">
        <f>IF(Checks!C394,IF(UPPER(Data!C394)="END",Data!E394&lt;&gt;"",TRUE),TRUE)</f>
        <v>1</v>
      </c>
    </row>
    <row r="395" spans="1:29" x14ac:dyDescent="0.25">
      <c r="A395" s="1" t="str">
        <f>Data!A395&amp;"||"&amp;Data!B395</f>
        <v>Miscellaneous/subflow/irmifrs9_preprocess_stage2.bpmn||010_00_02</v>
      </c>
      <c r="B395" s="19"/>
      <c r="C395" s="24" t="b">
        <f>AND(UPPER(Data!A395)&lt;&gt;"EMPTY",Data!B395&lt;&gt;"")</f>
        <v>1</v>
      </c>
      <c r="D395" s="1"/>
      <c r="E395" s="25" t="b">
        <f t="shared" ca="1" si="12"/>
        <v>1</v>
      </c>
      <c r="F395" s="26" t="b">
        <f ca="1">IF(UPPER(Data!C395)="SUB PROCESS",NOT(ISERROR(MATCH(RIGHT(Data!BY395,LEN(Data!BY395)-5),OFFSET(Data,0,0,ItemsCount,1),0))),TRUE)</f>
        <v>1</v>
      </c>
      <c r="G395" s="26" t="b">
        <f ca="1">IF(MID(UPPER(Data!A395),1,13)="MISCELLANEOUS",NOT(ISERROR(MATCH("path="&amp;Data!A395,OFFSET(Data,0,76,ItemsCount,1),0))),TRUE)</f>
        <v>1</v>
      </c>
      <c r="L395" s="25" t="b">
        <f t="shared" ca="1" si="13"/>
        <v>1</v>
      </c>
      <c r="M395" s="24" t="b">
        <f>IF(Checks!$C395,Data!A395&lt;&gt;"",TRUE)</f>
        <v>1</v>
      </c>
      <c r="N395" s="26" t="b">
        <f>IF(Checks!C395,Data!B395&lt;&gt;"",TRUE)</f>
        <v>1</v>
      </c>
      <c r="O395" s="26" t="b">
        <f>IF(Checks!C395,IF(AND(UPPER(Data!C395)="SERVICE TASK",UPPER(Data!BZ395)="TYPE=SAS"),NodeExists(TRIM(RIGHT(Data!CA395,LEN(Data!CA395)-FIND("=",Data!CA395)))),TRUE),TRUE)</f>
        <v>1</v>
      </c>
      <c r="P395" s="26" t="b">
        <f>IF(Checks!C395,IF(Data!C395="DATA OBJECT",OR(AND(Data!BW395&lt;&gt;"",Data!BX395=""),AND(Data!BW395="",Data!BX395&lt;&gt;"")),TRUE),TRUE)</f>
        <v>1</v>
      </c>
      <c r="Q395" s="26" t="b">
        <f>IF(Checks!C395,UPPER(RIGHT(Data!A395,5))=".BPMN",TRUE)</f>
        <v>1</v>
      </c>
      <c r="R395" s="26" t="b">
        <f>IF(Checks!C395,IF(UPPER(Data!C395)="SUB PROCESS",UPPER(RIGHT(Data!BY395,5))=".BPMN",TRUE),TRUE)</f>
        <v>1</v>
      </c>
      <c r="S395" s="26" t="b">
        <f>IF(Checks!C395,IF(UPPER(Data!C395)="SERVICE TASK",IF(UPPER(Data!BZ395)="TYPE=SAS",UPPER(RIGHT(Data!CA395,4))=".SAS",TRUE),TRUE),TRUE)</f>
        <v>1</v>
      </c>
      <c r="T395" s="26" t="b">
        <f>IF(Checks!C395,IF(Data!B395&lt;&gt;"",Data!D395&lt;&gt;"",TRUE),TRUE)</f>
        <v>1</v>
      </c>
      <c r="U395" s="26" t="b">
        <f ca="1">IF(Checks!C395,IF(UPPER(Data!C395)="DATA OBJECT",NOT(ISERROR(MATCH(Data!A395&amp;"||"&amp;Data!BW395&amp;Data!BX395,Key,0))),TRUE),TRUE)</f>
        <v>1</v>
      </c>
      <c r="V395" s="26" t="b">
        <f>IF(Checks!C395,IF(UPPER(Data!C395)="SUB PROCESS",Data!BY395&lt;&gt;"",TRUE),TRUE)</f>
        <v>1</v>
      </c>
      <c r="W395" s="26" t="b">
        <f>IF(Checks!C395,IF(UPPER(Data!C395)="SERVICE TASK",AND(Data!BZ395&lt;&gt;"",Data!CA395&lt;&gt;""),TRUE),TRUE)</f>
        <v>1</v>
      </c>
      <c r="X395" s="26" t="b">
        <f t="array" aca="1" ref="X395" ca="1">SUM((OFFSET(Data!B395,MAX(ROW(Data!$B$5)-ROW(Data!B395),-200),0,400,1)=Data!B395)*(OFFSET(Data!A395,MAX(ROW(Data!$B$5)-ROW(Data!B395),-200),0,400,1)=Data!A395))=1</f>
        <v>1</v>
      </c>
      <c r="Y395" s="26" t="b">
        <f t="array" aca="1" ref="Y395" ca="1">IF(UPPER(Data!C395)="START",SUM((OFFSET(Data!C395,MAX(ROW(Data!$C$5)-ROW(Data!C395),-200),0,400,1)="START")*(OFFSET(Data!A395,MAX(ROW(Data!$B$5)-ROW(Data!B395),-200),0,400,1)=Data!A395))=1,TRUE)</f>
        <v>1</v>
      </c>
      <c r="Z395" s="26" t="b">
        <f t="array" aca="1" ref="Z395" ca="1">IF(UPPER(Data!C395)="END",SUM((OFFSET(Data!C395,MAX(ROW(Data!$C$5)-ROW(Data!C395),-200),0,400,1)="END")*(OFFSET(Data!A395,MAX(ROW(Data!$B$5)-ROW(Data!B395),-200),0,400,1)=Data!A395))=1,TRUE)</f>
        <v>1</v>
      </c>
      <c r="AA395" s="26" t="b">
        <f>IF(Checks!C395,ISERROR(FIND("&amp;",Data!D395)),TRUE)</f>
        <v>1</v>
      </c>
      <c r="AB395" s="26" t="b">
        <f>IF(Checks!$C395,IF(AND(UPPER(Data!$C395)&lt;&gt;"START",UPPER(Data!$C395)&lt;&gt;"DATA OBJECT",Data!E395&lt;&gt;""),NOT(ISERROR(MATCH(Data!$A395&amp;"||"&amp;Data!E395,Key,0))),TRUE),TRUE)</f>
        <v>1</v>
      </c>
      <c r="AC395" s="27" t="b">
        <f>IF(Checks!C395,IF(UPPER(Data!C395)="END",Data!E395&lt;&gt;"",TRUE),TRUE)</f>
        <v>1</v>
      </c>
    </row>
    <row r="396" spans="1:29" x14ac:dyDescent="0.25">
      <c r="A396" s="1" t="str">
        <f>Data!A396&amp;"||"&amp;Data!B396</f>
        <v>Miscellaneous/subflow/irmifrs9_preprocess_stage2.bpmn||010_00_03</v>
      </c>
      <c r="B396" s="19"/>
      <c r="C396" s="24" t="b">
        <f>AND(UPPER(Data!A396)&lt;&gt;"EMPTY",Data!B396&lt;&gt;"")</f>
        <v>1</v>
      </c>
      <c r="D396" s="1"/>
      <c r="E396" s="25" t="b">
        <f t="shared" ca="1" si="12"/>
        <v>1</v>
      </c>
      <c r="F396" s="26" t="b">
        <f ca="1">IF(UPPER(Data!C396)="SUB PROCESS",NOT(ISERROR(MATCH(RIGHT(Data!BY396,LEN(Data!BY396)-5),OFFSET(Data,0,0,ItemsCount,1),0))),TRUE)</f>
        <v>1</v>
      </c>
      <c r="G396" s="26" t="b">
        <f ca="1">IF(MID(UPPER(Data!A396),1,13)="MISCELLANEOUS",NOT(ISERROR(MATCH("path="&amp;Data!A396,OFFSET(Data,0,76,ItemsCount,1),0))),TRUE)</f>
        <v>1</v>
      </c>
      <c r="L396" s="25" t="b">
        <f t="shared" ca="1" si="13"/>
        <v>1</v>
      </c>
      <c r="M396" s="24" t="b">
        <f>IF(Checks!$C396,Data!A396&lt;&gt;"",TRUE)</f>
        <v>1</v>
      </c>
      <c r="N396" s="26" t="b">
        <f>IF(Checks!C396,Data!B396&lt;&gt;"",TRUE)</f>
        <v>1</v>
      </c>
      <c r="O396" s="26" t="b">
        <f>IF(Checks!C396,IF(AND(UPPER(Data!C396)="SERVICE TASK",UPPER(Data!BZ396)="TYPE=SAS"),NodeExists(TRIM(RIGHT(Data!CA396,LEN(Data!CA396)-FIND("=",Data!CA396)))),TRUE),TRUE)</f>
        <v>1</v>
      </c>
      <c r="P396" s="26" t="b">
        <f>IF(Checks!C396,IF(Data!C396="DATA OBJECT",OR(AND(Data!BW396&lt;&gt;"",Data!BX396=""),AND(Data!BW396="",Data!BX396&lt;&gt;"")),TRUE),TRUE)</f>
        <v>1</v>
      </c>
      <c r="Q396" s="26" t="b">
        <f>IF(Checks!C396,UPPER(RIGHT(Data!A396,5))=".BPMN",TRUE)</f>
        <v>1</v>
      </c>
      <c r="R396" s="26" t="b">
        <f>IF(Checks!C396,IF(UPPER(Data!C396)="SUB PROCESS",UPPER(RIGHT(Data!BY396,5))=".BPMN",TRUE),TRUE)</f>
        <v>1</v>
      </c>
      <c r="S396" s="26" t="b">
        <f>IF(Checks!C396,IF(UPPER(Data!C396)="SERVICE TASK",IF(UPPER(Data!BZ396)="TYPE=SAS",UPPER(RIGHT(Data!CA396,4))=".SAS",TRUE),TRUE),TRUE)</f>
        <v>1</v>
      </c>
      <c r="T396" s="26" t="b">
        <f>IF(Checks!C396,IF(Data!B396&lt;&gt;"",Data!D396&lt;&gt;"",TRUE),TRUE)</f>
        <v>1</v>
      </c>
      <c r="U396" s="26" t="b">
        <f ca="1">IF(Checks!C396,IF(UPPER(Data!C396)="DATA OBJECT",NOT(ISERROR(MATCH(Data!A396&amp;"||"&amp;Data!BW396&amp;Data!BX396,Key,0))),TRUE),TRUE)</f>
        <v>1</v>
      </c>
      <c r="V396" s="26" t="b">
        <f>IF(Checks!C396,IF(UPPER(Data!C396)="SUB PROCESS",Data!BY396&lt;&gt;"",TRUE),TRUE)</f>
        <v>1</v>
      </c>
      <c r="W396" s="26" t="b">
        <f>IF(Checks!C396,IF(UPPER(Data!C396)="SERVICE TASK",AND(Data!BZ396&lt;&gt;"",Data!CA396&lt;&gt;""),TRUE),TRUE)</f>
        <v>1</v>
      </c>
      <c r="X396" s="26" t="b">
        <f t="array" aca="1" ref="X396" ca="1">SUM((OFFSET(Data!B396,MAX(ROW(Data!$B$5)-ROW(Data!B396),-200),0,400,1)=Data!B396)*(OFFSET(Data!A396,MAX(ROW(Data!$B$5)-ROW(Data!B396),-200),0,400,1)=Data!A396))=1</f>
        <v>1</v>
      </c>
      <c r="Y396" s="26" t="b">
        <f t="array" aca="1" ref="Y396" ca="1">IF(UPPER(Data!C396)="START",SUM((OFFSET(Data!C396,MAX(ROW(Data!$C$5)-ROW(Data!C396),-200),0,400,1)="START")*(OFFSET(Data!A396,MAX(ROW(Data!$B$5)-ROW(Data!B396),-200),0,400,1)=Data!A396))=1,TRUE)</f>
        <v>1</v>
      </c>
      <c r="Z396" s="26" t="b">
        <f t="array" aca="1" ref="Z396" ca="1">IF(UPPER(Data!C396)="END",SUM((OFFSET(Data!C396,MAX(ROW(Data!$C$5)-ROW(Data!C396),-200),0,400,1)="END")*(OFFSET(Data!A396,MAX(ROW(Data!$B$5)-ROW(Data!B396),-200),0,400,1)=Data!A396))=1,TRUE)</f>
        <v>1</v>
      </c>
      <c r="AA396" s="26" t="b">
        <f>IF(Checks!C396,ISERROR(FIND("&amp;",Data!D396)),TRUE)</f>
        <v>1</v>
      </c>
      <c r="AB396" s="26" t="b">
        <f>IF(Checks!$C396,IF(AND(UPPER(Data!$C396)&lt;&gt;"START",UPPER(Data!$C396)&lt;&gt;"DATA OBJECT",Data!E396&lt;&gt;""),NOT(ISERROR(MATCH(Data!$A396&amp;"||"&amp;Data!E396,Key,0))),TRUE),TRUE)</f>
        <v>1</v>
      </c>
      <c r="AC396" s="27" t="b">
        <f>IF(Checks!C396,IF(UPPER(Data!C396)="END",Data!E396&lt;&gt;"",TRUE),TRUE)</f>
        <v>1</v>
      </c>
    </row>
    <row r="397" spans="1:29" x14ac:dyDescent="0.25">
      <c r="A397" s="1" t="str">
        <f>Data!A397&amp;"||"&amp;Data!B397</f>
        <v>Miscellaneous/subflow/irmifrs9_preprocess_stage2.bpmn||010_01_00</v>
      </c>
      <c r="B397" s="19"/>
      <c r="C397" s="24" t="b">
        <f>AND(UPPER(Data!A397)&lt;&gt;"EMPTY",Data!B397&lt;&gt;"")</f>
        <v>1</v>
      </c>
      <c r="D397" s="1"/>
      <c r="E397" s="25" t="b">
        <f t="shared" ca="1" si="12"/>
        <v>1</v>
      </c>
      <c r="F397" s="26" t="b">
        <f ca="1">IF(UPPER(Data!C397)="SUB PROCESS",NOT(ISERROR(MATCH(RIGHT(Data!BY397,LEN(Data!BY397)-5),OFFSET(Data,0,0,ItemsCount,1),0))),TRUE)</f>
        <v>1</v>
      </c>
      <c r="G397" s="26" t="b">
        <f ca="1">IF(MID(UPPER(Data!A397),1,13)="MISCELLANEOUS",NOT(ISERROR(MATCH("path="&amp;Data!A397,OFFSET(Data,0,76,ItemsCount,1),0))),TRUE)</f>
        <v>1</v>
      </c>
      <c r="L397" s="25" t="b">
        <f t="shared" ca="1" si="13"/>
        <v>1</v>
      </c>
      <c r="M397" s="24" t="b">
        <f>IF(Checks!$C397,Data!A397&lt;&gt;"",TRUE)</f>
        <v>1</v>
      </c>
      <c r="N397" s="26" t="b">
        <f>IF(Checks!C397,Data!B397&lt;&gt;"",TRUE)</f>
        <v>1</v>
      </c>
      <c r="O397" s="26" t="b">
        <f>IF(Checks!C397,IF(AND(UPPER(Data!C397)="SERVICE TASK",UPPER(Data!BZ397)="TYPE=SAS"),NodeExists(TRIM(RIGHT(Data!CA397,LEN(Data!CA397)-FIND("=",Data!CA397)))),TRUE),TRUE)</f>
        <v>1</v>
      </c>
      <c r="P397" s="26" t="b">
        <f>IF(Checks!C397,IF(Data!C397="DATA OBJECT",OR(AND(Data!BW397&lt;&gt;"",Data!BX397=""),AND(Data!BW397="",Data!BX397&lt;&gt;"")),TRUE),TRUE)</f>
        <v>1</v>
      </c>
      <c r="Q397" s="26" t="b">
        <f>IF(Checks!C397,UPPER(RIGHT(Data!A397,5))=".BPMN",TRUE)</f>
        <v>1</v>
      </c>
      <c r="R397" s="26" t="b">
        <f>IF(Checks!C397,IF(UPPER(Data!C397)="SUB PROCESS",UPPER(RIGHT(Data!BY397,5))=".BPMN",TRUE),TRUE)</f>
        <v>1</v>
      </c>
      <c r="S397" s="26" t="b">
        <f>IF(Checks!C397,IF(UPPER(Data!C397)="SERVICE TASK",IF(UPPER(Data!BZ397)="TYPE=SAS",UPPER(RIGHT(Data!CA397,4))=".SAS",TRUE),TRUE),TRUE)</f>
        <v>1</v>
      </c>
      <c r="T397" s="26" t="b">
        <f>IF(Checks!C397,IF(Data!B397&lt;&gt;"",Data!D397&lt;&gt;"",TRUE),TRUE)</f>
        <v>1</v>
      </c>
      <c r="U397" s="26" t="b">
        <f ca="1">IF(Checks!C397,IF(UPPER(Data!C397)="DATA OBJECT",NOT(ISERROR(MATCH(Data!A397&amp;"||"&amp;Data!BW397&amp;Data!BX397,Key,0))),TRUE),TRUE)</f>
        <v>1</v>
      </c>
      <c r="V397" s="26" t="b">
        <f>IF(Checks!C397,IF(UPPER(Data!C397)="SUB PROCESS",Data!BY397&lt;&gt;"",TRUE),TRUE)</f>
        <v>1</v>
      </c>
      <c r="W397" s="26" t="b">
        <f>IF(Checks!C397,IF(UPPER(Data!C397)="SERVICE TASK",AND(Data!BZ397&lt;&gt;"",Data!CA397&lt;&gt;""),TRUE),TRUE)</f>
        <v>1</v>
      </c>
      <c r="X397" s="26" t="b">
        <f t="array" aca="1" ref="X397" ca="1">SUM((OFFSET(Data!B397,MAX(ROW(Data!$B$5)-ROW(Data!B397),-200),0,400,1)=Data!B397)*(OFFSET(Data!A397,MAX(ROW(Data!$B$5)-ROW(Data!B397),-200),0,400,1)=Data!A397))=1</f>
        <v>1</v>
      </c>
      <c r="Y397" s="26" t="b">
        <f t="array" aca="1" ref="Y397" ca="1">IF(UPPER(Data!C397)="START",SUM((OFFSET(Data!C397,MAX(ROW(Data!$C$5)-ROW(Data!C397),-200),0,400,1)="START")*(OFFSET(Data!A397,MAX(ROW(Data!$B$5)-ROW(Data!B397),-200),0,400,1)=Data!A397))=1,TRUE)</f>
        <v>1</v>
      </c>
      <c r="Z397" s="26" t="b">
        <f t="array" aca="1" ref="Z397" ca="1">IF(UPPER(Data!C397)="END",SUM((OFFSET(Data!C397,MAX(ROW(Data!$C$5)-ROW(Data!C397),-200),0,400,1)="END")*(OFFSET(Data!A397,MAX(ROW(Data!$B$5)-ROW(Data!B397),-200),0,400,1)=Data!A397))=1,TRUE)</f>
        <v>1</v>
      </c>
      <c r="AA397" s="26" t="b">
        <f>IF(Checks!C397,ISERROR(FIND("&amp;",Data!D397)),TRUE)</f>
        <v>1</v>
      </c>
      <c r="AB397" s="26" t="b">
        <f>IF(Checks!$C397,IF(AND(UPPER(Data!$C397)&lt;&gt;"START",UPPER(Data!$C397)&lt;&gt;"DATA OBJECT",Data!E397&lt;&gt;""),NOT(ISERROR(MATCH(Data!$A397&amp;"||"&amp;Data!E397,Key,0))),TRUE),TRUE)</f>
        <v>1</v>
      </c>
      <c r="AC397" s="27" t="b">
        <f>IF(Checks!C397,IF(UPPER(Data!C397)="END",Data!E397&lt;&gt;"",TRUE),TRUE)</f>
        <v>1</v>
      </c>
    </row>
    <row r="398" spans="1:29" x14ac:dyDescent="0.25">
      <c r="A398" s="1" t="str">
        <f>Data!A398&amp;"||"&amp;Data!B398</f>
        <v>Miscellaneous/subflow/irmifrs9_preprocess_stage2.bpmn||020_00_00</v>
      </c>
      <c r="B398" s="19"/>
      <c r="C398" s="24" t="b">
        <f>AND(UPPER(Data!A398)&lt;&gt;"EMPTY",Data!B398&lt;&gt;"")</f>
        <v>1</v>
      </c>
      <c r="D398" s="1"/>
      <c r="E398" s="25" t="b">
        <f t="shared" ca="1" si="12"/>
        <v>1</v>
      </c>
      <c r="F398" s="26" t="b">
        <f ca="1">IF(UPPER(Data!C398)="SUB PROCESS",NOT(ISERROR(MATCH(RIGHT(Data!BY398,LEN(Data!BY398)-5),OFFSET(Data,0,0,ItemsCount,1),0))),TRUE)</f>
        <v>1</v>
      </c>
      <c r="G398" s="26" t="b">
        <f ca="1">IF(MID(UPPER(Data!A398),1,13)="MISCELLANEOUS",NOT(ISERROR(MATCH("path="&amp;Data!A398,OFFSET(Data,0,76,ItemsCount,1),0))),TRUE)</f>
        <v>1</v>
      </c>
      <c r="L398" s="25" t="b">
        <f t="shared" ca="1" si="13"/>
        <v>1</v>
      </c>
      <c r="M398" s="24" t="b">
        <f>IF(Checks!$C398,Data!A398&lt;&gt;"",TRUE)</f>
        <v>1</v>
      </c>
      <c r="N398" s="26" t="b">
        <f>IF(Checks!C398,Data!B398&lt;&gt;"",TRUE)</f>
        <v>1</v>
      </c>
      <c r="O398" s="26" t="b">
        <f>IF(Checks!C398,IF(AND(UPPER(Data!C398)="SERVICE TASK",UPPER(Data!BZ398)="TYPE=SAS"),NodeExists(TRIM(RIGHT(Data!CA398,LEN(Data!CA398)-FIND("=",Data!CA398)))),TRUE),TRUE)</f>
        <v>1</v>
      </c>
      <c r="P398" s="26" t="b">
        <f>IF(Checks!C398,IF(Data!C398="DATA OBJECT",OR(AND(Data!BW398&lt;&gt;"",Data!BX398=""),AND(Data!BW398="",Data!BX398&lt;&gt;"")),TRUE),TRUE)</f>
        <v>1</v>
      </c>
      <c r="Q398" s="26" t="b">
        <f>IF(Checks!C398,UPPER(RIGHT(Data!A398,5))=".BPMN",TRUE)</f>
        <v>1</v>
      </c>
      <c r="R398" s="26" t="b">
        <f>IF(Checks!C398,IF(UPPER(Data!C398)="SUB PROCESS",UPPER(RIGHT(Data!BY398,5))=".BPMN",TRUE),TRUE)</f>
        <v>1</v>
      </c>
      <c r="S398" s="26" t="b">
        <f>IF(Checks!C398,IF(UPPER(Data!C398)="SERVICE TASK",IF(UPPER(Data!BZ398)="TYPE=SAS",UPPER(RIGHT(Data!CA398,4))=".SAS",TRUE),TRUE),TRUE)</f>
        <v>1</v>
      </c>
      <c r="T398" s="26" t="b">
        <f>IF(Checks!C398,IF(Data!B398&lt;&gt;"",Data!D398&lt;&gt;"",TRUE),TRUE)</f>
        <v>1</v>
      </c>
      <c r="U398" s="26" t="b">
        <f>IF(Checks!C398,IF(UPPER(Data!C398)="DATA OBJECT",NOT(ISERROR(MATCH(Data!A398&amp;"||"&amp;Data!BW398&amp;Data!BX398,Key,0))),TRUE),TRUE)</f>
        <v>1</v>
      </c>
      <c r="V398" s="26" t="b">
        <f>IF(Checks!C398,IF(UPPER(Data!C398)="SUB PROCESS",Data!BY398&lt;&gt;"",TRUE),TRUE)</f>
        <v>1</v>
      </c>
      <c r="W398" s="26" t="b">
        <f>IF(Checks!C398,IF(UPPER(Data!C398)="SERVICE TASK",AND(Data!BZ398&lt;&gt;"",Data!CA398&lt;&gt;""),TRUE),TRUE)</f>
        <v>1</v>
      </c>
      <c r="X398" s="26" t="b">
        <f t="array" aca="1" ref="X398" ca="1">SUM((OFFSET(Data!B398,MAX(ROW(Data!$B$5)-ROW(Data!B398),-200),0,400,1)=Data!B398)*(OFFSET(Data!A398,MAX(ROW(Data!$B$5)-ROW(Data!B398),-200),0,400,1)=Data!A398))=1</f>
        <v>1</v>
      </c>
      <c r="Y398" s="26" t="b">
        <f t="array" aca="1" ref="Y398" ca="1">IF(UPPER(Data!C398)="START",SUM((OFFSET(Data!C398,MAX(ROW(Data!$C$5)-ROW(Data!C398),-200),0,400,1)="START")*(OFFSET(Data!A398,MAX(ROW(Data!$B$5)-ROW(Data!B398),-200),0,400,1)=Data!A398))=1,TRUE)</f>
        <v>1</v>
      </c>
      <c r="Z398" s="26" t="b">
        <f t="array" aca="1" ref="Z398" ca="1">IF(UPPER(Data!C398)="END",SUM((OFFSET(Data!C398,MAX(ROW(Data!$C$5)-ROW(Data!C398),-200),0,400,1)="END")*(OFFSET(Data!A398,MAX(ROW(Data!$B$5)-ROW(Data!B398),-200),0,400,1)=Data!A398))=1,TRUE)</f>
        <v>1</v>
      </c>
      <c r="AA398" s="26" t="b">
        <f>IF(Checks!C398,ISERROR(FIND("&amp;",Data!D398)),TRUE)</f>
        <v>1</v>
      </c>
      <c r="AB398" s="26" t="b">
        <f ca="1">IF(Checks!$C398,IF(AND(UPPER(Data!$C398)&lt;&gt;"START",UPPER(Data!$C398)&lt;&gt;"DATA OBJECT",Data!E398&lt;&gt;""),NOT(ISERROR(MATCH(Data!$A398&amp;"||"&amp;Data!E398,Key,0))),TRUE),TRUE)</f>
        <v>1</v>
      </c>
      <c r="AC398" s="27" t="b">
        <f>IF(Checks!C398,IF(UPPER(Data!C398)="END",Data!E398&lt;&gt;"",TRUE),TRUE)</f>
        <v>1</v>
      </c>
    </row>
    <row r="399" spans="1:29" x14ac:dyDescent="0.25">
      <c r="A399" s="1" t="str">
        <f>Data!A399&amp;"||"&amp;Data!B399</f>
        <v>Miscellaneous/subflow/irmifrs9_preprocess_stage2.bpmn||020_00_01</v>
      </c>
      <c r="B399" s="19"/>
      <c r="C399" s="24" t="b">
        <f>AND(UPPER(Data!A399)&lt;&gt;"EMPTY",Data!B399&lt;&gt;"")</f>
        <v>1</v>
      </c>
      <c r="D399" s="1"/>
      <c r="E399" s="25" t="b">
        <f t="shared" ca="1" si="12"/>
        <v>1</v>
      </c>
      <c r="F399" s="26" t="b">
        <f ca="1">IF(UPPER(Data!C399)="SUB PROCESS",NOT(ISERROR(MATCH(RIGHT(Data!BY399,LEN(Data!BY399)-5),OFFSET(Data,0,0,ItemsCount,1),0))),TRUE)</f>
        <v>1</v>
      </c>
      <c r="G399" s="26" t="b">
        <f ca="1">IF(MID(UPPER(Data!A399),1,13)="MISCELLANEOUS",NOT(ISERROR(MATCH("path="&amp;Data!A399,OFFSET(Data,0,76,ItemsCount,1),0))),TRUE)</f>
        <v>1</v>
      </c>
      <c r="L399" s="25" t="b">
        <f t="shared" ca="1" si="13"/>
        <v>1</v>
      </c>
      <c r="M399" s="24" t="b">
        <f>IF(Checks!$C399,Data!A399&lt;&gt;"",TRUE)</f>
        <v>1</v>
      </c>
      <c r="N399" s="26" t="b">
        <f>IF(Checks!C399,Data!B399&lt;&gt;"",TRUE)</f>
        <v>1</v>
      </c>
      <c r="O399" s="26" t="b">
        <f>IF(Checks!C399,IF(AND(UPPER(Data!C399)="SERVICE TASK",UPPER(Data!BZ399)="TYPE=SAS"),NodeExists(TRIM(RIGHT(Data!CA399,LEN(Data!CA399)-FIND("=",Data!CA399)))),TRUE),TRUE)</f>
        <v>1</v>
      </c>
      <c r="P399" s="26" t="b">
        <f>IF(Checks!C399,IF(Data!C399="DATA OBJECT",OR(AND(Data!BW399&lt;&gt;"",Data!BX399=""),AND(Data!BW399="",Data!BX399&lt;&gt;"")),TRUE),TRUE)</f>
        <v>1</v>
      </c>
      <c r="Q399" s="26" t="b">
        <f>IF(Checks!C399,UPPER(RIGHT(Data!A399,5))=".BPMN",TRUE)</f>
        <v>1</v>
      </c>
      <c r="R399" s="26" t="b">
        <f>IF(Checks!C399,IF(UPPER(Data!C399)="SUB PROCESS",UPPER(RIGHT(Data!BY399,5))=".BPMN",TRUE),TRUE)</f>
        <v>1</v>
      </c>
      <c r="S399" s="26" t="b">
        <f>IF(Checks!C399,IF(UPPER(Data!C399)="SERVICE TASK",IF(UPPER(Data!BZ399)="TYPE=SAS",UPPER(RIGHT(Data!CA399,4))=".SAS",TRUE),TRUE),TRUE)</f>
        <v>1</v>
      </c>
      <c r="T399" s="26" t="b">
        <f>IF(Checks!C399,IF(Data!B399&lt;&gt;"",Data!D399&lt;&gt;"",TRUE),TRUE)</f>
        <v>1</v>
      </c>
      <c r="U399" s="26" t="b">
        <f ca="1">IF(Checks!C399,IF(UPPER(Data!C399)="DATA OBJECT",NOT(ISERROR(MATCH(Data!A399&amp;"||"&amp;Data!BW399&amp;Data!BX399,Key,0))),TRUE),TRUE)</f>
        <v>1</v>
      </c>
      <c r="V399" s="26" t="b">
        <f>IF(Checks!C399,IF(UPPER(Data!C399)="SUB PROCESS",Data!BY399&lt;&gt;"",TRUE),TRUE)</f>
        <v>1</v>
      </c>
      <c r="W399" s="26" t="b">
        <f>IF(Checks!C399,IF(UPPER(Data!C399)="SERVICE TASK",AND(Data!BZ399&lt;&gt;"",Data!CA399&lt;&gt;""),TRUE),TRUE)</f>
        <v>1</v>
      </c>
      <c r="X399" s="26" t="b">
        <f t="array" aca="1" ref="X399" ca="1">SUM((OFFSET(Data!B399,MAX(ROW(Data!$B$5)-ROW(Data!B399),-200),0,400,1)=Data!B399)*(OFFSET(Data!A399,MAX(ROW(Data!$B$5)-ROW(Data!B399),-200),0,400,1)=Data!A399))=1</f>
        <v>1</v>
      </c>
      <c r="Y399" s="26" t="b">
        <f t="array" aca="1" ref="Y399" ca="1">IF(UPPER(Data!C399)="START",SUM((OFFSET(Data!C399,MAX(ROW(Data!$C$5)-ROW(Data!C399),-200),0,400,1)="START")*(OFFSET(Data!A399,MAX(ROW(Data!$B$5)-ROW(Data!B399),-200),0,400,1)=Data!A399))=1,TRUE)</f>
        <v>1</v>
      </c>
      <c r="Z399" s="26" t="b">
        <f t="array" aca="1" ref="Z399" ca="1">IF(UPPER(Data!C399)="END",SUM((OFFSET(Data!C399,MAX(ROW(Data!$C$5)-ROW(Data!C399),-200),0,400,1)="END")*(OFFSET(Data!A399,MAX(ROW(Data!$B$5)-ROW(Data!B399),-200),0,400,1)=Data!A399))=1,TRUE)</f>
        <v>1</v>
      </c>
      <c r="AA399" s="26" t="b">
        <f>IF(Checks!C399,ISERROR(FIND("&amp;",Data!D399)),TRUE)</f>
        <v>1</v>
      </c>
      <c r="AB399" s="26" t="b">
        <f>IF(Checks!$C399,IF(AND(UPPER(Data!$C399)&lt;&gt;"START",UPPER(Data!$C399)&lt;&gt;"DATA OBJECT",Data!E399&lt;&gt;""),NOT(ISERROR(MATCH(Data!$A399&amp;"||"&amp;Data!E399,Key,0))),TRUE),TRUE)</f>
        <v>1</v>
      </c>
      <c r="AC399" s="27" t="b">
        <f>IF(Checks!C399,IF(UPPER(Data!C399)="END",Data!E399&lt;&gt;"",TRUE),TRUE)</f>
        <v>1</v>
      </c>
    </row>
    <row r="400" spans="1:29" x14ac:dyDescent="0.25">
      <c r="A400" s="1" t="str">
        <f>Data!A400&amp;"||"&amp;Data!B400</f>
        <v>Miscellaneous/subflow/irmifrs9_preprocess_stage2.bpmn||020_00_02</v>
      </c>
      <c r="B400" s="19"/>
      <c r="C400" s="24" t="b">
        <f>AND(UPPER(Data!A400)&lt;&gt;"EMPTY",Data!B400&lt;&gt;"")</f>
        <v>1</v>
      </c>
      <c r="D400" s="1"/>
      <c r="E400" s="25" t="b">
        <f t="shared" ca="1" si="12"/>
        <v>1</v>
      </c>
      <c r="F400" s="26" t="b">
        <f ca="1">IF(UPPER(Data!C400)="SUB PROCESS",NOT(ISERROR(MATCH(RIGHT(Data!BY400,LEN(Data!BY400)-5),OFFSET(Data,0,0,ItemsCount,1),0))),TRUE)</f>
        <v>1</v>
      </c>
      <c r="G400" s="26" t="b">
        <f ca="1">IF(MID(UPPER(Data!A400),1,13)="MISCELLANEOUS",NOT(ISERROR(MATCH("path="&amp;Data!A400,OFFSET(Data,0,76,ItemsCount,1),0))),TRUE)</f>
        <v>1</v>
      </c>
      <c r="L400" s="25" t="b">
        <f t="shared" ca="1" si="13"/>
        <v>1</v>
      </c>
      <c r="M400" s="24" t="b">
        <f>IF(Checks!$C400,Data!A400&lt;&gt;"",TRUE)</f>
        <v>1</v>
      </c>
      <c r="N400" s="26" t="b">
        <f>IF(Checks!C400,Data!B400&lt;&gt;"",TRUE)</f>
        <v>1</v>
      </c>
      <c r="O400" s="26" t="b">
        <f>IF(Checks!C400,IF(AND(UPPER(Data!C400)="SERVICE TASK",UPPER(Data!BZ400)="TYPE=SAS"),NodeExists(TRIM(RIGHT(Data!CA400,LEN(Data!CA400)-FIND("=",Data!CA400)))),TRUE),TRUE)</f>
        <v>1</v>
      </c>
      <c r="P400" s="26" t="b">
        <f>IF(Checks!C400,IF(Data!C400="DATA OBJECT",OR(AND(Data!BW400&lt;&gt;"",Data!BX400=""),AND(Data!BW400="",Data!BX400&lt;&gt;"")),TRUE),TRUE)</f>
        <v>1</v>
      </c>
      <c r="Q400" s="26" t="b">
        <f>IF(Checks!C400,UPPER(RIGHT(Data!A400,5))=".BPMN",TRUE)</f>
        <v>1</v>
      </c>
      <c r="R400" s="26" t="b">
        <f>IF(Checks!C400,IF(UPPER(Data!C400)="SUB PROCESS",UPPER(RIGHT(Data!BY400,5))=".BPMN",TRUE),TRUE)</f>
        <v>1</v>
      </c>
      <c r="S400" s="26" t="b">
        <f>IF(Checks!C400,IF(UPPER(Data!C400)="SERVICE TASK",IF(UPPER(Data!BZ400)="TYPE=SAS",UPPER(RIGHT(Data!CA400,4))=".SAS",TRUE),TRUE),TRUE)</f>
        <v>1</v>
      </c>
      <c r="T400" s="26" t="b">
        <f>IF(Checks!C400,IF(Data!B400&lt;&gt;"",Data!D400&lt;&gt;"",TRUE),TRUE)</f>
        <v>1</v>
      </c>
      <c r="U400" s="26" t="b">
        <f ca="1">IF(Checks!C400,IF(UPPER(Data!C400)="DATA OBJECT",NOT(ISERROR(MATCH(Data!A400&amp;"||"&amp;Data!BW400&amp;Data!BX400,Key,0))),TRUE),TRUE)</f>
        <v>1</v>
      </c>
      <c r="V400" s="26" t="b">
        <f>IF(Checks!C400,IF(UPPER(Data!C400)="SUB PROCESS",Data!BY400&lt;&gt;"",TRUE),TRUE)</f>
        <v>1</v>
      </c>
      <c r="W400" s="26" t="b">
        <f>IF(Checks!C400,IF(UPPER(Data!C400)="SERVICE TASK",AND(Data!BZ400&lt;&gt;"",Data!CA400&lt;&gt;""),TRUE),TRUE)</f>
        <v>1</v>
      </c>
      <c r="X400" s="26" t="b">
        <f t="array" aca="1" ref="X400" ca="1">SUM((OFFSET(Data!B400,MAX(ROW(Data!$B$5)-ROW(Data!B400),-200),0,400,1)=Data!B400)*(OFFSET(Data!A400,MAX(ROW(Data!$B$5)-ROW(Data!B400),-200),0,400,1)=Data!A400))=1</f>
        <v>1</v>
      </c>
      <c r="Y400" s="26" t="b">
        <f t="array" aca="1" ref="Y400" ca="1">IF(UPPER(Data!C400)="START",SUM((OFFSET(Data!C400,MAX(ROW(Data!$C$5)-ROW(Data!C400),-200),0,400,1)="START")*(OFFSET(Data!A400,MAX(ROW(Data!$B$5)-ROW(Data!B400),-200),0,400,1)=Data!A400))=1,TRUE)</f>
        <v>1</v>
      </c>
      <c r="Z400" s="26" t="b">
        <f t="array" aca="1" ref="Z400" ca="1">IF(UPPER(Data!C400)="END",SUM((OFFSET(Data!C400,MAX(ROW(Data!$C$5)-ROW(Data!C400),-200),0,400,1)="END")*(OFFSET(Data!A400,MAX(ROW(Data!$B$5)-ROW(Data!B400),-200),0,400,1)=Data!A400))=1,TRUE)</f>
        <v>1</v>
      </c>
      <c r="AA400" s="26" t="b">
        <f>IF(Checks!C400,ISERROR(FIND("&amp;",Data!D400)),TRUE)</f>
        <v>1</v>
      </c>
      <c r="AB400" s="26" t="b">
        <f>IF(Checks!$C400,IF(AND(UPPER(Data!$C400)&lt;&gt;"START",UPPER(Data!$C400)&lt;&gt;"DATA OBJECT",Data!E400&lt;&gt;""),NOT(ISERROR(MATCH(Data!$A400&amp;"||"&amp;Data!E400,Key,0))),TRUE),TRUE)</f>
        <v>1</v>
      </c>
      <c r="AC400" s="27" t="b">
        <f>IF(Checks!C400,IF(UPPER(Data!C400)="END",Data!E400&lt;&gt;"",TRUE),TRUE)</f>
        <v>1</v>
      </c>
    </row>
    <row r="401" spans="1:29" x14ac:dyDescent="0.25">
      <c r="A401" s="1" t="str">
        <f>Data!A401&amp;"||"&amp;Data!B401</f>
        <v>Miscellaneous/subflow/irmifrs9_preprocess_stage2.bpmn||020_00_03</v>
      </c>
      <c r="B401" s="19"/>
      <c r="C401" s="24" t="b">
        <f>AND(UPPER(Data!A401)&lt;&gt;"EMPTY",Data!B401&lt;&gt;"")</f>
        <v>1</v>
      </c>
      <c r="D401" s="1"/>
      <c r="E401" s="25" t="b">
        <f t="shared" ca="1" si="12"/>
        <v>1</v>
      </c>
      <c r="F401" s="26" t="b">
        <f ca="1">IF(UPPER(Data!C401)="SUB PROCESS",NOT(ISERROR(MATCH(RIGHT(Data!BY401,LEN(Data!BY401)-5),OFFSET(Data,0,0,ItemsCount,1),0))),TRUE)</f>
        <v>1</v>
      </c>
      <c r="G401" s="26" t="b">
        <f ca="1">IF(MID(UPPER(Data!A401),1,13)="MISCELLANEOUS",NOT(ISERROR(MATCH("path="&amp;Data!A401,OFFSET(Data,0,76,ItemsCount,1),0))),TRUE)</f>
        <v>1</v>
      </c>
      <c r="L401" s="25" t="b">
        <f t="shared" ca="1" si="13"/>
        <v>1</v>
      </c>
      <c r="M401" s="24" t="b">
        <f>IF(Checks!$C401,Data!A401&lt;&gt;"",TRUE)</f>
        <v>1</v>
      </c>
      <c r="N401" s="26" t="b">
        <f>IF(Checks!C401,Data!B401&lt;&gt;"",TRUE)</f>
        <v>1</v>
      </c>
      <c r="O401" s="26" t="b">
        <f>IF(Checks!C401,IF(AND(UPPER(Data!C401)="SERVICE TASK",UPPER(Data!BZ401)="TYPE=SAS"),NodeExists(TRIM(RIGHT(Data!CA401,LEN(Data!CA401)-FIND("=",Data!CA401)))),TRUE),TRUE)</f>
        <v>1</v>
      </c>
      <c r="P401" s="26" t="b">
        <f>IF(Checks!C401,IF(Data!C401="DATA OBJECT",OR(AND(Data!BW401&lt;&gt;"",Data!BX401=""),AND(Data!BW401="",Data!BX401&lt;&gt;"")),TRUE),TRUE)</f>
        <v>1</v>
      </c>
      <c r="Q401" s="26" t="b">
        <f>IF(Checks!C401,UPPER(RIGHT(Data!A401,5))=".BPMN",TRUE)</f>
        <v>1</v>
      </c>
      <c r="R401" s="26" t="b">
        <f>IF(Checks!C401,IF(UPPER(Data!C401)="SUB PROCESS",UPPER(RIGHT(Data!BY401,5))=".BPMN",TRUE),TRUE)</f>
        <v>1</v>
      </c>
      <c r="S401" s="26" t="b">
        <f>IF(Checks!C401,IF(UPPER(Data!C401)="SERVICE TASK",IF(UPPER(Data!BZ401)="TYPE=SAS",UPPER(RIGHT(Data!CA401,4))=".SAS",TRUE),TRUE),TRUE)</f>
        <v>1</v>
      </c>
      <c r="T401" s="26" t="b">
        <f>IF(Checks!C401,IF(Data!B401&lt;&gt;"",Data!D401&lt;&gt;"",TRUE),TRUE)</f>
        <v>1</v>
      </c>
      <c r="U401" s="26" t="b">
        <f ca="1">IF(Checks!C401,IF(UPPER(Data!C401)="DATA OBJECT",NOT(ISERROR(MATCH(Data!A401&amp;"||"&amp;Data!BW401&amp;Data!BX401,Key,0))),TRUE),TRUE)</f>
        <v>1</v>
      </c>
      <c r="V401" s="26" t="b">
        <f>IF(Checks!C401,IF(UPPER(Data!C401)="SUB PROCESS",Data!BY401&lt;&gt;"",TRUE),TRUE)</f>
        <v>1</v>
      </c>
      <c r="W401" s="26" t="b">
        <f>IF(Checks!C401,IF(UPPER(Data!C401)="SERVICE TASK",AND(Data!BZ401&lt;&gt;"",Data!CA401&lt;&gt;""),TRUE),TRUE)</f>
        <v>1</v>
      </c>
      <c r="X401" s="26" t="b">
        <f t="array" aca="1" ref="X401" ca="1">SUM((OFFSET(Data!B401,MAX(ROW(Data!$B$5)-ROW(Data!B401),-200),0,400,1)=Data!B401)*(OFFSET(Data!A401,MAX(ROW(Data!$B$5)-ROW(Data!B401),-200),0,400,1)=Data!A401))=1</f>
        <v>1</v>
      </c>
      <c r="Y401" s="26" t="b">
        <f t="array" aca="1" ref="Y401" ca="1">IF(UPPER(Data!C401)="START",SUM((OFFSET(Data!C401,MAX(ROW(Data!$C$5)-ROW(Data!C401),-200),0,400,1)="START")*(OFFSET(Data!A401,MAX(ROW(Data!$B$5)-ROW(Data!B401),-200),0,400,1)=Data!A401))=1,TRUE)</f>
        <v>1</v>
      </c>
      <c r="Z401" s="26" t="b">
        <f t="array" aca="1" ref="Z401" ca="1">IF(UPPER(Data!C401)="END",SUM((OFFSET(Data!C401,MAX(ROW(Data!$C$5)-ROW(Data!C401),-200),0,400,1)="END")*(OFFSET(Data!A401,MAX(ROW(Data!$B$5)-ROW(Data!B401),-200),0,400,1)=Data!A401))=1,TRUE)</f>
        <v>1</v>
      </c>
      <c r="AA401" s="26" t="b">
        <f>IF(Checks!C401,ISERROR(FIND("&amp;",Data!D401)),TRUE)</f>
        <v>1</v>
      </c>
      <c r="AB401" s="26" t="b">
        <f>IF(Checks!$C401,IF(AND(UPPER(Data!$C401)&lt;&gt;"START",UPPER(Data!$C401)&lt;&gt;"DATA OBJECT",Data!E401&lt;&gt;""),NOT(ISERROR(MATCH(Data!$A401&amp;"||"&amp;Data!E401,Key,0))),TRUE),TRUE)</f>
        <v>1</v>
      </c>
      <c r="AC401" s="27" t="b">
        <f>IF(Checks!C401,IF(UPPER(Data!C401)="END",Data!E401&lt;&gt;"",TRUE),TRUE)</f>
        <v>1</v>
      </c>
    </row>
    <row r="402" spans="1:29" x14ac:dyDescent="0.25">
      <c r="A402" s="1" t="str">
        <f>Data!A402&amp;"||"&amp;Data!B402</f>
        <v>Miscellaneous/subflow/irmifrs9_preprocess_stage2.bpmn||020_00_05</v>
      </c>
      <c r="B402" s="19"/>
      <c r="C402" s="24" t="b">
        <f>AND(UPPER(Data!A402)&lt;&gt;"EMPTY",Data!B402&lt;&gt;"")</f>
        <v>1</v>
      </c>
      <c r="D402" s="1"/>
      <c r="E402" s="25" t="b">
        <f t="shared" ca="1" si="12"/>
        <v>1</v>
      </c>
      <c r="F402" s="26" t="b">
        <f ca="1">IF(UPPER(Data!C402)="SUB PROCESS",NOT(ISERROR(MATCH(RIGHT(Data!BY402,LEN(Data!BY402)-5),OFFSET(Data,0,0,ItemsCount,1),0))),TRUE)</f>
        <v>1</v>
      </c>
      <c r="G402" s="26" t="b">
        <f ca="1">IF(MID(UPPER(Data!A402),1,13)="MISCELLANEOUS",NOT(ISERROR(MATCH("path="&amp;Data!A402,OFFSET(Data,0,76,ItemsCount,1),0))),TRUE)</f>
        <v>1</v>
      </c>
      <c r="L402" s="25" t="b">
        <f t="shared" ca="1" si="13"/>
        <v>1</v>
      </c>
      <c r="M402" s="24" t="b">
        <f>IF(Checks!$C402,Data!A402&lt;&gt;"",TRUE)</f>
        <v>1</v>
      </c>
      <c r="N402" s="26" t="b">
        <f>IF(Checks!C402,Data!B402&lt;&gt;"",TRUE)</f>
        <v>1</v>
      </c>
      <c r="O402" s="26" t="b">
        <f>IF(Checks!C402,IF(AND(UPPER(Data!C402)="SERVICE TASK",UPPER(Data!BZ402)="TYPE=SAS"),NodeExists(TRIM(RIGHT(Data!CA402,LEN(Data!CA402)-FIND("=",Data!CA402)))),TRUE),TRUE)</f>
        <v>1</v>
      </c>
      <c r="P402" s="26" t="b">
        <f>IF(Checks!C402,IF(Data!C402="DATA OBJECT",OR(AND(Data!BW402&lt;&gt;"",Data!BX402=""),AND(Data!BW402="",Data!BX402&lt;&gt;"")),TRUE),TRUE)</f>
        <v>1</v>
      </c>
      <c r="Q402" s="26" t="b">
        <f>IF(Checks!C402,UPPER(RIGHT(Data!A402,5))=".BPMN",TRUE)</f>
        <v>1</v>
      </c>
      <c r="R402" s="26" t="b">
        <f>IF(Checks!C402,IF(UPPER(Data!C402)="SUB PROCESS",UPPER(RIGHT(Data!BY402,5))=".BPMN",TRUE),TRUE)</f>
        <v>1</v>
      </c>
      <c r="S402" s="26" t="b">
        <f>IF(Checks!C402,IF(UPPER(Data!C402)="SERVICE TASK",IF(UPPER(Data!BZ402)="TYPE=SAS",UPPER(RIGHT(Data!CA402,4))=".SAS",TRUE),TRUE),TRUE)</f>
        <v>1</v>
      </c>
      <c r="T402" s="26" t="b">
        <f>IF(Checks!C402,IF(Data!B402&lt;&gt;"",Data!D402&lt;&gt;"",TRUE),TRUE)</f>
        <v>1</v>
      </c>
      <c r="U402" s="26" t="b">
        <f ca="1">IF(Checks!C402,IF(UPPER(Data!C402)="DATA OBJECT",NOT(ISERROR(MATCH(Data!A402&amp;"||"&amp;Data!BW402&amp;Data!BX402,Key,0))),TRUE),TRUE)</f>
        <v>1</v>
      </c>
      <c r="V402" s="26" t="b">
        <f>IF(Checks!C402,IF(UPPER(Data!C402)="SUB PROCESS",Data!BY402&lt;&gt;"",TRUE),TRUE)</f>
        <v>1</v>
      </c>
      <c r="W402" s="26" t="b">
        <f>IF(Checks!C402,IF(UPPER(Data!C402)="SERVICE TASK",AND(Data!BZ402&lt;&gt;"",Data!CA402&lt;&gt;""),TRUE),TRUE)</f>
        <v>1</v>
      </c>
      <c r="X402" s="26" t="b">
        <f t="array" aca="1" ref="X402" ca="1">SUM((OFFSET(Data!B402,MAX(ROW(Data!$B$5)-ROW(Data!B402),-200),0,400,1)=Data!B402)*(OFFSET(Data!A402,MAX(ROW(Data!$B$5)-ROW(Data!B402),-200),0,400,1)=Data!A402))=1</f>
        <v>1</v>
      </c>
      <c r="Y402" s="26" t="b">
        <f t="array" aca="1" ref="Y402" ca="1">IF(UPPER(Data!C402)="START",SUM((OFFSET(Data!C402,MAX(ROW(Data!$C$5)-ROW(Data!C402),-200),0,400,1)="START")*(OFFSET(Data!A402,MAX(ROW(Data!$B$5)-ROW(Data!B402),-200),0,400,1)=Data!A402))=1,TRUE)</f>
        <v>1</v>
      </c>
      <c r="Z402" s="26" t="b">
        <f t="array" aca="1" ref="Z402" ca="1">IF(UPPER(Data!C402)="END",SUM((OFFSET(Data!C402,MAX(ROW(Data!$C$5)-ROW(Data!C402),-200),0,400,1)="END")*(OFFSET(Data!A402,MAX(ROW(Data!$B$5)-ROW(Data!B402),-200),0,400,1)=Data!A402))=1,TRUE)</f>
        <v>1</v>
      </c>
      <c r="AA402" s="26" t="b">
        <f>IF(Checks!C402,ISERROR(FIND("&amp;",Data!D402)),TRUE)</f>
        <v>1</v>
      </c>
      <c r="AB402" s="26" t="b">
        <f>IF(Checks!$C402,IF(AND(UPPER(Data!$C402)&lt;&gt;"START",UPPER(Data!$C402)&lt;&gt;"DATA OBJECT",Data!E402&lt;&gt;""),NOT(ISERROR(MATCH(Data!$A402&amp;"||"&amp;Data!E402,Key,0))),TRUE),TRUE)</f>
        <v>1</v>
      </c>
      <c r="AC402" s="27" t="b">
        <f>IF(Checks!C402,IF(UPPER(Data!C402)="END",Data!E402&lt;&gt;"",TRUE),TRUE)</f>
        <v>1</v>
      </c>
    </row>
    <row r="403" spans="1:29" x14ac:dyDescent="0.25">
      <c r="A403" s="1" t="str">
        <f>Data!A403&amp;"||"&amp;Data!B403</f>
        <v>Miscellaneous/subflow/irmifrs9_preprocess_stage2.bpmn||020_00_06</v>
      </c>
      <c r="B403" s="19"/>
      <c r="C403" s="24" t="b">
        <f>AND(UPPER(Data!A403)&lt;&gt;"EMPTY",Data!B403&lt;&gt;"")</f>
        <v>1</v>
      </c>
      <c r="D403" s="1"/>
      <c r="E403" s="25" t="b">
        <f t="shared" ca="1" si="12"/>
        <v>1</v>
      </c>
      <c r="F403" s="26" t="b">
        <f ca="1">IF(UPPER(Data!C403)="SUB PROCESS",NOT(ISERROR(MATCH(RIGHT(Data!BY403,LEN(Data!BY403)-5),OFFSET(Data,0,0,ItemsCount,1),0))),TRUE)</f>
        <v>1</v>
      </c>
      <c r="G403" s="26" t="b">
        <f ca="1">IF(MID(UPPER(Data!A403),1,13)="MISCELLANEOUS",NOT(ISERROR(MATCH("path="&amp;Data!A403,OFFSET(Data,0,76,ItemsCount,1),0))),TRUE)</f>
        <v>1</v>
      </c>
      <c r="L403" s="25" t="b">
        <f t="shared" ca="1" si="13"/>
        <v>1</v>
      </c>
      <c r="M403" s="24" t="b">
        <f>IF(Checks!$C403,Data!A403&lt;&gt;"",TRUE)</f>
        <v>1</v>
      </c>
      <c r="N403" s="26" t="b">
        <f>IF(Checks!C403,Data!B403&lt;&gt;"",TRUE)</f>
        <v>1</v>
      </c>
      <c r="O403" s="26" t="b">
        <f>IF(Checks!C403,IF(AND(UPPER(Data!C403)="SERVICE TASK",UPPER(Data!BZ403)="TYPE=SAS"),NodeExists(TRIM(RIGHT(Data!CA403,LEN(Data!CA403)-FIND("=",Data!CA403)))),TRUE),TRUE)</f>
        <v>1</v>
      </c>
      <c r="P403" s="26" t="b">
        <f>IF(Checks!C403,IF(Data!C403="DATA OBJECT",OR(AND(Data!BW403&lt;&gt;"",Data!BX403=""),AND(Data!BW403="",Data!BX403&lt;&gt;"")),TRUE),TRUE)</f>
        <v>1</v>
      </c>
      <c r="Q403" s="26" t="b">
        <f>IF(Checks!C403,UPPER(RIGHT(Data!A403,5))=".BPMN",TRUE)</f>
        <v>1</v>
      </c>
      <c r="R403" s="26" t="b">
        <f>IF(Checks!C403,IF(UPPER(Data!C403)="SUB PROCESS",UPPER(RIGHT(Data!BY403,5))=".BPMN",TRUE),TRUE)</f>
        <v>1</v>
      </c>
      <c r="S403" s="26" t="b">
        <f>IF(Checks!C403,IF(UPPER(Data!C403)="SERVICE TASK",IF(UPPER(Data!BZ403)="TYPE=SAS",UPPER(RIGHT(Data!CA403,4))=".SAS",TRUE),TRUE),TRUE)</f>
        <v>1</v>
      </c>
      <c r="T403" s="26" t="b">
        <f>IF(Checks!C403,IF(Data!B403&lt;&gt;"",Data!D403&lt;&gt;"",TRUE),TRUE)</f>
        <v>1</v>
      </c>
      <c r="U403" s="26" t="b">
        <f ca="1">IF(Checks!C403,IF(UPPER(Data!C403)="DATA OBJECT",NOT(ISERROR(MATCH(Data!A403&amp;"||"&amp;Data!BW403&amp;Data!BX403,Key,0))),TRUE),TRUE)</f>
        <v>1</v>
      </c>
      <c r="V403" s="26" t="b">
        <f>IF(Checks!C403,IF(UPPER(Data!C403)="SUB PROCESS",Data!BY403&lt;&gt;"",TRUE),TRUE)</f>
        <v>1</v>
      </c>
      <c r="W403" s="26" t="b">
        <f>IF(Checks!C403,IF(UPPER(Data!C403)="SERVICE TASK",AND(Data!BZ403&lt;&gt;"",Data!CA403&lt;&gt;""),TRUE),TRUE)</f>
        <v>1</v>
      </c>
      <c r="X403" s="26" t="b">
        <f t="array" aca="1" ref="X403" ca="1">SUM((OFFSET(Data!B403,MAX(ROW(Data!$B$5)-ROW(Data!B403),-200),0,400,1)=Data!B403)*(OFFSET(Data!A403,MAX(ROW(Data!$B$5)-ROW(Data!B403),-200),0,400,1)=Data!A403))=1</f>
        <v>1</v>
      </c>
      <c r="Y403" s="26" t="b">
        <f t="array" aca="1" ref="Y403" ca="1">IF(UPPER(Data!C403)="START",SUM((OFFSET(Data!C403,MAX(ROW(Data!$C$5)-ROW(Data!C403),-200),0,400,1)="START")*(OFFSET(Data!A403,MAX(ROW(Data!$B$5)-ROW(Data!B403),-200),0,400,1)=Data!A403))=1,TRUE)</f>
        <v>1</v>
      </c>
      <c r="Z403" s="26" t="b">
        <f t="array" aca="1" ref="Z403" ca="1">IF(UPPER(Data!C403)="END",SUM((OFFSET(Data!C403,MAX(ROW(Data!$C$5)-ROW(Data!C403),-200),0,400,1)="END")*(OFFSET(Data!A403,MAX(ROW(Data!$B$5)-ROW(Data!B403),-200),0,400,1)=Data!A403))=1,TRUE)</f>
        <v>1</v>
      </c>
      <c r="AA403" s="26" t="b">
        <f>IF(Checks!C403,ISERROR(FIND("&amp;",Data!D403)),TRUE)</f>
        <v>1</v>
      </c>
      <c r="AB403" s="26" t="b">
        <f>IF(Checks!$C403,IF(AND(UPPER(Data!$C403)&lt;&gt;"START",UPPER(Data!$C403)&lt;&gt;"DATA OBJECT",Data!E403&lt;&gt;""),NOT(ISERROR(MATCH(Data!$A403&amp;"||"&amp;Data!E403,Key,0))),TRUE),TRUE)</f>
        <v>1</v>
      </c>
      <c r="AC403" s="27" t="b">
        <f>IF(Checks!C403,IF(UPPER(Data!C403)="END",Data!E403&lt;&gt;"",TRUE),TRUE)</f>
        <v>1</v>
      </c>
    </row>
    <row r="404" spans="1:29" x14ac:dyDescent="0.25">
      <c r="A404" s="1" t="str">
        <f>Data!A404&amp;"||"&amp;Data!B404</f>
        <v>Miscellaneous/subflow/irmifrs9_preprocess_stage2.bpmn||020_00_07</v>
      </c>
      <c r="B404" s="19"/>
      <c r="C404" s="24" t="b">
        <f>AND(UPPER(Data!A404)&lt;&gt;"EMPTY",Data!B404&lt;&gt;"")</f>
        <v>1</v>
      </c>
      <c r="D404" s="1"/>
      <c r="E404" s="25" t="b">
        <f t="shared" ca="1" si="12"/>
        <v>1</v>
      </c>
      <c r="F404" s="26" t="b">
        <f ca="1">IF(UPPER(Data!C404)="SUB PROCESS",NOT(ISERROR(MATCH(RIGHT(Data!BY404,LEN(Data!BY404)-5),OFFSET(Data,0,0,ItemsCount,1),0))),TRUE)</f>
        <v>1</v>
      </c>
      <c r="G404" s="26" t="b">
        <f ca="1">IF(MID(UPPER(Data!A404),1,13)="MISCELLANEOUS",NOT(ISERROR(MATCH("path="&amp;Data!A404,OFFSET(Data,0,76,ItemsCount,1),0))),TRUE)</f>
        <v>1</v>
      </c>
      <c r="L404" s="25" t="b">
        <f t="shared" ca="1" si="13"/>
        <v>1</v>
      </c>
      <c r="M404" s="24" t="b">
        <f>IF(Checks!$C404,Data!A404&lt;&gt;"",TRUE)</f>
        <v>1</v>
      </c>
      <c r="N404" s="26" t="b">
        <f>IF(Checks!C404,Data!B404&lt;&gt;"",TRUE)</f>
        <v>1</v>
      </c>
      <c r="O404" s="26" t="b">
        <f>IF(Checks!C404,IF(AND(UPPER(Data!C404)="SERVICE TASK",UPPER(Data!BZ404)="TYPE=SAS"),NodeExists(TRIM(RIGHT(Data!CA404,LEN(Data!CA404)-FIND("=",Data!CA404)))),TRUE),TRUE)</f>
        <v>1</v>
      </c>
      <c r="P404" s="26" t="b">
        <f>IF(Checks!C404,IF(Data!C404="DATA OBJECT",OR(AND(Data!BW404&lt;&gt;"",Data!BX404=""),AND(Data!BW404="",Data!BX404&lt;&gt;"")),TRUE),TRUE)</f>
        <v>1</v>
      </c>
      <c r="Q404" s="26" t="b">
        <f>IF(Checks!C404,UPPER(RIGHT(Data!A404,5))=".BPMN",TRUE)</f>
        <v>1</v>
      </c>
      <c r="R404" s="26" t="b">
        <f>IF(Checks!C404,IF(UPPER(Data!C404)="SUB PROCESS",UPPER(RIGHT(Data!BY404,5))=".BPMN",TRUE),TRUE)</f>
        <v>1</v>
      </c>
      <c r="S404" s="26" t="b">
        <f>IF(Checks!C404,IF(UPPER(Data!C404)="SERVICE TASK",IF(UPPER(Data!BZ404)="TYPE=SAS",UPPER(RIGHT(Data!CA404,4))=".SAS",TRUE),TRUE),TRUE)</f>
        <v>1</v>
      </c>
      <c r="T404" s="26" t="b">
        <f>IF(Checks!C404,IF(Data!B404&lt;&gt;"",Data!D404&lt;&gt;"",TRUE),TRUE)</f>
        <v>1</v>
      </c>
      <c r="U404" s="26" t="b">
        <f ca="1">IF(Checks!C404,IF(UPPER(Data!C404)="DATA OBJECT",NOT(ISERROR(MATCH(Data!A404&amp;"||"&amp;Data!BW404&amp;Data!BX404,Key,0))),TRUE),TRUE)</f>
        <v>1</v>
      </c>
      <c r="V404" s="26" t="b">
        <f>IF(Checks!C404,IF(UPPER(Data!C404)="SUB PROCESS",Data!BY404&lt;&gt;"",TRUE),TRUE)</f>
        <v>1</v>
      </c>
      <c r="W404" s="26" t="b">
        <f>IF(Checks!C404,IF(UPPER(Data!C404)="SERVICE TASK",AND(Data!BZ404&lt;&gt;"",Data!CA404&lt;&gt;""),TRUE),TRUE)</f>
        <v>1</v>
      </c>
      <c r="X404" s="26" t="b">
        <f t="array" aca="1" ref="X404" ca="1">SUM((OFFSET(Data!B404,MAX(ROW(Data!$B$5)-ROW(Data!B404),-200),0,400,1)=Data!B404)*(OFFSET(Data!A404,MAX(ROW(Data!$B$5)-ROW(Data!B404),-200),0,400,1)=Data!A404))=1</f>
        <v>1</v>
      </c>
      <c r="Y404" s="26" t="b">
        <f t="array" aca="1" ref="Y404" ca="1">IF(UPPER(Data!C404)="START",SUM((OFFSET(Data!C404,MAX(ROW(Data!$C$5)-ROW(Data!C404),-200),0,400,1)="START")*(OFFSET(Data!A404,MAX(ROW(Data!$B$5)-ROW(Data!B404),-200),0,400,1)=Data!A404))=1,TRUE)</f>
        <v>1</v>
      </c>
      <c r="Z404" s="26" t="b">
        <f t="array" aca="1" ref="Z404" ca="1">IF(UPPER(Data!C404)="END",SUM((OFFSET(Data!C404,MAX(ROW(Data!$C$5)-ROW(Data!C404),-200),0,400,1)="END")*(OFFSET(Data!A404,MAX(ROW(Data!$B$5)-ROW(Data!B404),-200),0,400,1)=Data!A404))=1,TRUE)</f>
        <v>1</v>
      </c>
      <c r="AA404" s="26" t="b">
        <f>IF(Checks!C404,ISERROR(FIND("&amp;",Data!D404)),TRUE)</f>
        <v>1</v>
      </c>
      <c r="AB404" s="26" t="b">
        <f>IF(Checks!$C404,IF(AND(UPPER(Data!$C404)&lt;&gt;"START",UPPER(Data!$C404)&lt;&gt;"DATA OBJECT",Data!E404&lt;&gt;""),NOT(ISERROR(MATCH(Data!$A404&amp;"||"&amp;Data!E404,Key,0))),TRUE),TRUE)</f>
        <v>1</v>
      </c>
      <c r="AC404" s="27" t="b">
        <f>IF(Checks!C404,IF(UPPER(Data!C404)="END",Data!E404&lt;&gt;"",TRUE),TRUE)</f>
        <v>1</v>
      </c>
    </row>
    <row r="405" spans="1:29" x14ac:dyDescent="0.25">
      <c r="A405" s="1" t="str">
        <f>Data!A405&amp;"||"&amp;Data!B405</f>
        <v>Miscellaneous/subflow/irmifrs9_preprocess_stage2.bpmn||020_00_08</v>
      </c>
      <c r="B405" s="19"/>
      <c r="C405" s="24" t="b">
        <f>AND(UPPER(Data!A405)&lt;&gt;"EMPTY",Data!B405&lt;&gt;"")</f>
        <v>1</v>
      </c>
      <c r="D405" s="1"/>
      <c r="E405" s="25" t="b">
        <f t="shared" ca="1" si="12"/>
        <v>1</v>
      </c>
      <c r="F405" s="26" t="b">
        <f ca="1">IF(UPPER(Data!C405)="SUB PROCESS",NOT(ISERROR(MATCH(RIGHT(Data!BY405,LEN(Data!BY405)-5),OFFSET(Data,0,0,ItemsCount,1),0))),TRUE)</f>
        <v>1</v>
      </c>
      <c r="G405" s="26" t="b">
        <f ca="1">IF(MID(UPPER(Data!A405),1,13)="MISCELLANEOUS",NOT(ISERROR(MATCH("path="&amp;Data!A405,OFFSET(Data,0,76,ItemsCount,1),0))),TRUE)</f>
        <v>1</v>
      </c>
      <c r="L405" s="25" t="b">
        <f t="shared" ca="1" si="13"/>
        <v>1</v>
      </c>
      <c r="M405" s="24" t="b">
        <f>IF(Checks!$C405,Data!A405&lt;&gt;"",TRUE)</f>
        <v>1</v>
      </c>
      <c r="N405" s="26" t="b">
        <f>IF(Checks!C405,Data!B405&lt;&gt;"",TRUE)</f>
        <v>1</v>
      </c>
      <c r="O405" s="26" t="b">
        <f>IF(Checks!C405,IF(AND(UPPER(Data!C405)="SERVICE TASK",UPPER(Data!BZ405)="TYPE=SAS"),NodeExists(TRIM(RIGHT(Data!CA405,LEN(Data!CA405)-FIND("=",Data!CA405)))),TRUE),TRUE)</f>
        <v>1</v>
      </c>
      <c r="P405" s="26" t="b">
        <f>IF(Checks!C405,IF(Data!C405="DATA OBJECT",OR(AND(Data!BW405&lt;&gt;"",Data!BX405=""),AND(Data!BW405="",Data!BX405&lt;&gt;"")),TRUE),TRUE)</f>
        <v>1</v>
      </c>
      <c r="Q405" s="26" t="b">
        <f>IF(Checks!C405,UPPER(RIGHT(Data!A405,5))=".BPMN",TRUE)</f>
        <v>1</v>
      </c>
      <c r="R405" s="26" t="b">
        <f>IF(Checks!C405,IF(UPPER(Data!C405)="SUB PROCESS",UPPER(RIGHT(Data!BY405,5))=".BPMN",TRUE),TRUE)</f>
        <v>1</v>
      </c>
      <c r="S405" s="26" t="b">
        <f>IF(Checks!C405,IF(UPPER(Data!C405)="SERVICE TASK",IF(UPPER(Data!BZ405)="TYPE=SAS",UPPER(RIGHT(Data!CA405,4))=".SAS",TRUE),TRUE),TRUE)</f>
        <v>1</v>
      </c>
      <c r="T405" s="26" t="b">
        <f>IF(Checks!C405,IF(Data!B405&lt;&gt;"",Data!D405&lt;&gt;"",TRUE),TRUE)</f>
        <v>1</v>
      </c>
      <c r="U405" s="26" t="b">
        <f ca="1">IF(Checks!C405,IF(UPPER(Data!C405)="DATA OBJECT",NOT(ISERROR(MATCH(Data!A405&amp;"||"&amp;Data!BW405&amp;Data!BX405,Key,0))),TRUE),TRUE)</f>
        <v>1</v>
      </c>
      <c r="V405" s="26" t="b">
        <f>IF(Checks!C405,IF(UPPER(Data!C405)="SUB PROCESS",Data!BY405&lt;&gt;"",TRUE),TRUE)</f>
        <v>1</v>
      </c>
      <c r="W405" s="26" t="b">
        <f>IF(Checks!C405,IF(UPPER(Data!C405)="SERVICE TASK",AND(Data!BZ405&lt;&gt;"",Data!CA405&lt;&gt;""),TRUE),TRUE)</f>
        <v>1</v>
      </c>
      <c r="X405" s="26" t="b">
        <f t="array" aca="1" ref="X405" ca="1">SUM((OFFSET(Data!B405,MAX(ROW(Data!$B$5)-ROW(Data!B405),-200),0,400,1)=Data!B405)*(OFFSET(Data!A405,MAX(ROW(Data!$B$5)-ROW(Data!B405),-200),0,400,1)=Data!A405))=1</f>
        <v>1</v>
      </c>
      <c r="Y405" s="26" t="b">
        <f t="array" aca="1" ref="Y405" ca="1">IF(UPPER(Data!C405)="START",SUM((OFFSET(Data!C405,MAX(ROW(Data!$C$5)-ROW(Data!C405),-200),0,400,1)="START")*(OFFSET(Data!A405,MAX(ROW(Data!$B$5)-ROW(Data!B405),-200),0,400,1)=Data!A405))=1,TRUE)</f>
        <v>1</v>
      </c>
      <c r="Z405" s="26" t="b">
        <f t="array" aca="1" ref="Z405" ca="1">IF(UPPER(Data!C405)="END",SUM((OFFSET(Data!C405,MAX(ROW(Data!$C$5)-ROW(Data!C405),-200),0,400,1)="END")*(OFFSET(Data!A405,MAX(ROW(Data!$B$5)-ROW(Data!B405),-200),0,400,1)=Data!A405))=1,TRUE)</f>
        <v>1</v>
      </c>
      <c r="AA405" s="26" t="b">
        <f>IF(Checks!C405,ISERROR(FIND("&amp;",Data!D405)),TRUE)</f>
        <v>1</v>
      </c>
      <c r="AB405" s="26" t="b">
        <f>IF(Checks!$C405,IF(AND(UPPER(Data!$C405)&lt;&gt;"START",UPPER(Data!$C405)&lt;&gt;"DATA OBJECT",Data!E405&lt;&gt;""),NOT(ISERROR(MATCH(Data!$A405&amp;"||"&amp;Data!E405,Key,0))),TRUE),TRUE)</f>
        <v>1</v>
      </c>
      <c r="AC405" s="27" t="b">
        <f>IF(Checks!C405,IF(UPPER(Data!C405)="END",Data!E405&lt;&gt;"",TRUE),TRUE)</f>
        <v>1</v>
      </c>
    </row>
    <row r="406" spans="1:29" x14ac:dyDescent="0.25">
      <c r="A406" s="1" t="str">
        <f>Data!A406&amp;"||"&amp;Data!B406</f>
        <v>Miscellaneous/subflow/irmifrs9_preprocess_stage2.bpmn||020_00_09</v>
      </c>
      <c r="B406" s="19"/>
      <c r="C406" s="24" t="b">
        <f>AND(UPPER(Data!A406)&lt;&gt;"EMPTY",Data!B406&lt;&gt;"")</f>
        <v>1</v>
      </c>
      <c r="D406" s="1"/>
      <c r="E406" s="25" t="b">
        <f t="shared" ca="1" si="12"/>
        <v>1</v>
      </c>
      <c r="F406" s="26" t="b">
        <f ca="1">IF(UPPER(Data!C406)="SUB PROCESS",NOT(ISERROR(MATCH(RIGHT(Data!BY406,LEN(Data!BY406)-5),OFFSET(Data,0,0,ItemsCount,1),0))),TRUE)</f>
        <v>1</v>
      </c>
      <c r="G406" s="26" t="b">
        <f ca="1">IF(MID(UPPER(Data!A406),1,13)="MISCELLANEOUS",NOT(ISERROR(MATCH("path="&amp;Data!A406,OFFSET(Data,0,76,ItemsCount,1),0))),TRUE)</f>
        <v>1</v>
      </c>
      <c r="L406" s="25" t="b">
        <f t="shared" ca="1" si="13"/>
        <v>1</v>
      </c>
      <c r="M406" s="24" t="b">
        <f>IF(Checks!$C406,Data!A406&lt;&gt;"",TRUE)</f>
        <v>1</v>
      </c>
      <c r="N406" s="26" t="b">
        <f>IF(Checks!C406,Data!B406&lt;&gt;"",TRUE)</f>
        <v>1</v>
      </c>
      <c r="O406" s="26" t="b">
        <f>IF(Checks!C406,IF(AND(UPPER(Data!C406)="SERVICE TASK",UPPER(Data!BZ406)="TYPE=SAS"),NodeExists(TRIM(RIGHT(Data!CA406,LEN(Data!CA406)-FIND("=",Data!CA406)))),TRUE),TRUE)</f>
        <v>1</v>
      </c>
      <c r="P406" s="26" t="b">
        <f>IF(Checks!C406,IF(Data!C406="DATA OBJECT",OR(AND(Data!BW406&lt;&gt;"",Data!BX406=""),AND(Data!BW406="",Data!BX406&lt;&gt;"")),TRUE),TRUE)</f>
        <v>1</v>
      </c>
      <c r="Q406" s="26" t="b">
        <f>IF(Checks!C406,UPPER(RIGHT(Data!A406,5))=".BPMN",TRUE)</f>
        <v>1</v>
      </c>
      <c r="R406" s="26" t="b">
        <f>IF(Checks!C406,IF(UPPER(Data!C406)="SUB PROCESS",UPPER(RIGHT(Data!BY406,5))=".BPMN",TRUE),TRUE)</f>
        <v>1</v>
      </c>
      <c r="S406" s="26" t="b">
        <f>IF(Checks!C406,IF(UPPER(Data!C406)="SERVICE TASK",IF(UPPER(Data!BZ406)="TYPE=SAS",UPPER(RIGHT(Data!CA406,4))=".SAS",TRUE),TRUE),TRUE)</f>
        <v>1</v>
      </c>
      <c r="T406" s="26" t="b">
        <f>IF(Checks!C406,IF(Data!B406&lt;&gt;"",Data!D406&lt;&gt;"",TRUE),TRUE)</f>
        <v>1</v>
      </c>
      <c r="U406" s="26" t="b">
        <f ca="1">IF(Checks!C406,IF(UPPER(Data!C406)="DATA OBJECT",NOT(ISERROR(MATCH(Data!A406&amp;"||"&amp;Data!BW406&amp;Data!BX406,Key,0))),TRUE),TRUE)</f>
        <v>1</v>
      </c>
      <c r="V406" s="26" t="b">
        <f>IF(Checks!C406,IF(UPPER(Data!C406)="SUB PROCESS",Data!BY406&lt;&gt;"",TRUE),TRUE)</f>
        <v>1</v>
      </c>
      <c r="W406" s="26" t="b">
        <f>IF(Checks!C406,IF(UPPER(Data!C406)="SERVICE TASK",AND(Data!BZ406&lt;&gt;"",Data!CA406&lt;&gt;""),TRUE),TRUE)</f>
        <v>1</v>
      </c>
      <c r="X406" s="26" t="b">
        <f t="array" aca="1" ref="X406" ca="1">SUM((OFFSET(Data!B406,MAX(ROW(Data!$B$5)-ROW(Data!B406),-200),0,400,1)=Data!B406)*(OFFSET(Data!A406,MAX(ROW(Data!$B$5)-ROW(Data!B406),-200),0,400,1)=Data!A406))=1</f>
        <v>1</v>
      </c>
      <c r="Y406" s="26" t="b">
        <f t="array" aca="1" ref="Y406" ca="1">IF(UPPER(Data!C406)="START",SUM((OFFSET(Data!C406,MAX(ROW(Data!$C$5)-ROW(Data!C406),-200),0,400,1)="START")*(OFFSET(Data!A406,MAX(ROW(Data!$B$5)-ROW(Data!B406),-200),0,400,1)=Data!A406))=1,TRUE)</f>
        <v>1</v>
      </c>
      <c r="Z406" s="26" t="b">
        <f t="array" aca="1" ref="Z406" ca="1">IF(UPPER(Data!C406)="END",SUM((OFFSET(Data!C406,MAX(ROW(Data!$C$5)-ROW(Data!C406),-200),0,400,1)="END")*(OFFSET(Data!A406,MAX(ROW(Data!$B$5)-ROW(Data!B406),-200),0,400,1)=Data!A406))=1,TRUE)</f>
        <v>1</v>
      </c>
      <c r="AA406" s="26" t="b">
        <f>IF(Checks!C406,ISERROR(FIND("&amp;",Data!D406)),TRUE)</f>
        <v>1</v>
      </c>
      <c r="AB406" s="26" t="b">
        <f>IF(Checks!$C406,IF(AND(UPPER(Data!$C406)&lt;&gt;"START",UPPER(Data!$C406)&lt;&gt;"DATA OBJECT",Data!E406&lt;&gt;""),NOT(ISERROR(MATCH(Data!$A406&amp;"||"&amp;Data!E406,Key,0))),TRUE),TRUE)</f>
        <v>1</v>
      </c>
      <c r="AC406" s="27" t="b">
        <f>IF(Checks!C406,IF(UPPER(Data!C406)="END",Data!E406&lt;&gt;"",TRUE),TRUE)</f>
        <v>1</v>
      </c>
    </row>
    <row r="407" spans="1:29" x14ac:dyDescent="0.25">
      <c r="A407" s="1" t="str">
        <f>Data!A407&amp;"||"&amp;Data!B407</f>
        <v>Miscellaneous/subflow/irmifrs9_preprocess_stage2.bpmn||020_01_00</v>
      </c>
      <c r="B407" s="19"/>
      <c r="C407" s="24" t="b">
        <f>AND(UPPER(Data!A407)&lt;&gt;"EMPTY",Data!B407&lt;&gt;"")</f>
        <v>1</v>
      </c>
      <c r="D407" s="1"/>
      <c r="E407" s="25" t="b">
        <f t="shared" ca="1" si="12"/>
        <v>1</v>
      </c>
      <c r="F407" s="26" t="b">
        <f ca="1">IF(UPPER(Data!C407)="SUB PROCESS",NOT(ISERROR(MATCH(RIGHT(Data!BY407,LEN(Data!BY407)-5),OFFSET(Data,0,0,ItemsCount,1),0))),TRUE)</f>
        <v>1</v>
      </c>
      <c r="G407" s="26" t="b">
        <f ca="1">IF(MID(UPPER(Data!A407),1,13)="MISCELLANEOUS",NOT(ISERROR(MATCH("path="&amp;Data!A407,OFFSET(Data,0,76,ItemsCount,1),0))),TRUE)</f>
        <v>1</v>
      </c>
      <c r="L407" s="25" t="b">
        <f t="shared" ca="1" si="13"/>
        <v>1</v>
      </c>
      <c r="M407" s="24" t="b">
        <f>IF(Checks!$C407,Data!A407&lt;&gt;"",TRUE)</f>
        <v>1</v>
      </c>
      <c r="N407" s="26" t="b">
        <f>IF(Checks!C407,Data!B407&lt;&gt;"",TRUE)</f>
        <v>1</v>
      </c>
      <c r="O407" s="26" t="b">
        <f>IF(Checks!C407,IF(AND(UPPER(Data!C407)="SERVICE TASK",UPPER(Data!BZ407)="TYPE=SAS"),NodeExists(TRIM(RIGHT(Data!CA407,LEN(Data!CA407)-FIND("=",Data!CA407)))),TRUE),TRUE)</f>
        <v>1</v>
      </c>
      <c r="P407" s="26" t="b">
        <f>IF(Checks!C407,IF(Data!C407="DATA OBJECT",OR(AND(Data!BW407&lt;&gt;"",Data!BX407=""),AND(Data!BW407="",Data!BX407&lt;&gt;"")),TRUE),TRUE)</f>
        <v>1</v>
      </c>
      <c r="Q407" s="26" t="b">
        <f>IF(Checks!C407,UPPER(RIGHT(Data!A407,5))=".BPMN",TRUE)</f>
        <v>1</v>
      </c>
      <c r="R407" s="26" t="b">
        <f>IF(Checks!C407,IF(UPPER(Data!C407)="SUB PROCESS",UPPER(RIGHT(Data!BY407,5))=".BPMN",TRUE),TRUE)</f>
        <v>1</v>
      </c>
      <c r="S407" s="26" t="b">
        <f>IF(Checks!C407,IF(UPPER(Data!C407)="SERVICE TASK",IF(UPPER(Data!BZ407)="TYPE=SAS",UPPER(RIGHT(Data!CA407,4))=".SAS",TRUE),TRUE),TRUE)</f>
        <v>1</v>
      </c>
      <c r="T407" s="26" t="b">
        <f>IF(Checks!C407,IF(Data!B407&lt;&gt;"",Data!D407&lt;&gt;"",TRUE),TRUE)</f>
        <v>1</v>
      </c>
      <c r="U407" s="26" t="b">
        <f ca="1">IF(Checks!C407,IF(UPPER(Data!C407)="DATA OBJECT",NOT(ISERROR(MATCH(Data!A407&amp;"||"&amp;Data!BW407&amp;Data!BX407,Key,0))),TRUE),TRUE)</f>
        <v>1</v>
      </c>
      <c r="V407" s="26" t="b">
        <f>IF(Checks!C407,IF(UPPER(Data!C407)="SUB PROCESS",Data!BY407&lt;&gt;"",TRUE),TRUE)</f>
        <v>1</v>
      </c>
      <c r="W407" s="26" t="b">
        <f>IF(Checks!C407,IF(UPPER(Data!C407)="SERVICE TASK",AND(Data!BZ407&lt;&gt;"",Data!CA407&lt;&gt;""),TRUE),TRUE)</f>
        <v>1</v>
      </c>
      <c r="X407" s="26" t="b">
        <f t="array" aca="1" ref="X407" ca="1">SUM((OFFSET(Data!B407,MAX(ROW(Data!$B$5)-ROW(Data!B407),-200),0,400,1)=Data!B407)*(OFFSET(Data!A407,MAX(ROW(Data!$B$5)-ROW(Data!B407),-200),0,400,1)=Data!A407))=1</f>
        <v>1</v>
      </c>
      <c r="Y407" s="26" t="b">
        <f t="array" aca="1" ref="Y407" ca="1">IF(UPPER(Data!C407)="START",SUM((OFFSET(Data!C407,MAX(ROW(Data!$C$5)-ROW(Data!C407),-200),0,400,1)="START")*(OFFSET(Data!A407,MAX(ROW(Data!$B$5)-ROW(Data!B407),-200),0,400,1)=Data!A407))=1,TRUE)</f>
        <v>1</v>
      </c>
      <c r="Z407" s="26" t="b">
        <f t="array" aca="1" ref="Z407" ca="1">IF(UPPER(Data!C407)="END",SUM((OFFSET(Data!C407,MAX(ROW(Data!$C$5)-ROW(Data!C407),-200),0,400,1)="END")*(OFFSET(Data!A407,MAX(ROW(Data!$B$5)-ROW(Data!B407),-200),0,400,1)=Data!A407))=1,TRUE)</f>
        <v>1</v>
      </c>
      <c r="AA407" s="26" t="b">
        <f>IF(Checks!C407,ISERROR(FIND("&amp;",Data!D407)),TRUE)</f>
        <v>1</v>
      </c>
      <c r="AB407" s="26" t="b">
        <f>IF(Checks!$C407,IF(AND(UPPER(Data!$C407)&lt;&gt;"START",UPPER(Data!$C407)&lt;&gt;"DATA OBJECT",Data!E407&lt;&gt;""),NOT(ISERROR(MATCH(Data!$A407&amp;"||"&amp;Data!E407,Key,0))),TRUE),TRUE)</f>
        <v>1</v>
      </c>
      <c r="AC407" s="27" t="b">
        <f>IF(Checks!C407,IF(UPPER(Data!C407)="END",Data!E407&lt;&gt;"",TRUE),TRUE)</f>
        <v>1</v>
      </c>
    </row>
    <row r="408" spans="1:29" x14ac:dyDescent="0.25">
      <c r="A408" s="1" t="str">
        <f>Data!A408&amp;"||"&amp;Data!B408</f>
        <v>Miscellaneous/subflow/irmifrs9_preprocess_stage2.bpmn||030_00_00</v>
      </c>
      <c r="B408" s="19"/>
      <c r="C408" s="24" t="b">
        <f>AND(UPPER(Data!A408)&lt;&gt;"EMPTY",Data!B408&lt;&gt;"")</f>
        <v>1</v>
      </c>
      <c r="D408" s="1"/>
      <c r="E408" s="25" t="b">
        <f t="shared" ca="1" si="12"/>
        <v>1</v>
      </c>
      <c r="F408" s="26" t="b">
        <f ca="1">IF(UPPER(Data!C408)="SUB PROCESS",NOT(ISERROR(MATCH(RIGHT(Data!BY408,LEN(Data!BY408)-5),OFFSET(Data,0,0,ItemsCount,1),0))),TRUE)</f>
        <v>1</v>
      </c>
      <c r="G408" s="26" t="b">
        <f ca="1">IF(MID(UPPER(Data!A408),1,13)="MISCELLANEOUS",NOT(ISERROR(MATCH("path="&amp;Data!A408,OFFSET(Data,0,76,ItemsCount,1),0))),TRUE)</f>
        <v>1</v>
      </c>
      <c r="L408" s="25" t="b">
        <f t="shared" ca="1" si="13"/>
        <v>1</v>
      </c>
      <c r="M408" s="24" t="b">
        <f>IF(Checks!$C408,Data!A408&lt;&gt;"",TRUE)</f>
        <v>1</v>
      </c>
      <c r="N408" s="26" t="b">
        <f>IF(Checks!C408,Data!B408&lt;&gt;"",TRUE)</f>
        <v>1</v>
      </c>
      <c r="O408" s="26" t="b">
        <f>IF(Checks!C408,IF(AND(UPPER(Data!C408)="SERVICE TASK",UPPER(Data!BZ408)="TYPE=SAS"),NodeExists(TRIM(RIGHT(Data!CA408,LEN(Data!CA408)-FIND("=",Data!CA408)))),TRUE),TRUE)</f>
        <v>1</v>
      </c>
      <c r="P408" s="26" t="b">
        <f>IF(Checks!C408,IF(Data!C408="DATA OBJECT",OR(AND(Data!BW408&lt;&gt;"",Data!BX408=""),AND(Data!BW408="",Data!BX408&lt;&gt;"")),TRUE),TRUE)</f>
        <v>1</v>
      </c>
      <c r="Q408" s="26" t="b">
        <f>IF(Checks!C408,UPPER(RIGHT(Data!A408,5))=".BPMN",TRUE)</f>
        <v>1</v>
      </c>
      <c r="R408" s="26" t="b">
        <f>IF(Checks!C408,IF(UPPER(Data!C408)="SUB PROCESS",UPPER(RIGHT(Data!BY408,5))=".BPMN",TRUE),TRUE)</f>
        <v>1</v>
      </c>
      <c r="S408" s="26" t="b">
        <f>IF(Checks!C408,IF(UPPER(Data!C408)="SERVICE TASK",IF(UPPER(Data!BZ408)="TYPE=SAS",UPPER(RIGHT(Data!CA408,4))=".SAS",TRUE),TRUE),TRUE)</f>
        <v>1</v>
      </c>
      <c r="T408" s="26" t="b">
        <f>IF(Checks!C408,IF(Data!B408&lt;&gt;"",Data!D408&lt;&gt;"",TRUE),TRUE)</f>
        <v>1</v>
      </c>
      <c r="U408" s="26" t="b">
        <f>IF(Checks!C408,IF(UPPER(Data!C408)="DATA OBJECT",NOT(ISERROR(MATCH(Data!A408&amp;"||"&amp;Data!BW408&amp;Data!BX408,Key,0))),TRUE),TRUE)</f>
        <v>1</v>
      </c>
      <c r="V408" s="26" t="b">
        <f>IF(Checks!C408,IF(UPPER(Data!C408)="SUB PROCESS",Data!BY408&lt;&gt;"",TRUE),TRUE)</f>
        <v>1</v>
      </c>
      <c r="W408" s="26" t="b">
        <f>IF(Checks!C408,IF(UPPER(Data!C408)="SERVICE TASK",AND(Data!BZ408&lt;&gt;"",Data!CA408&lt;&gt;""),TRUE),TRUE)</f>
        <v>1</v>
      </c>
      <c r="X408" s="26" t="b">
        <f t="array" aca="1" ref="X408" ca="1">SUM((OFFSET(Data!B408,MAX(ROW(Data!$B$5)-ROW(Data!B408),-200),0,400,1)=Data!B408)*(OFFSET(Data!A408,MAX(ROW(Data!$B$5)-ROW(Data!B408),-200),0,400,1)=Data!A408))=1</f>
        <v>1</v>
      </c>
      <c r="Y408" s="26" t="b">
        <f t="array" aca="1" ref="Y408" ca="1">IF(UPPER(Data!C408)="START",SUM((OFFSET(Data!C408,MAX(ROW(Data!$C$5)-ROW(Data!C408),-200),0,400,1)="START")*(OFFSET(Data!A408,MAX(ROW(Data!$B$5)-ROW(Data!B408),-200),0,400,1)=Data!A408))=1,TRUE)</f>
        <v>1</v>
      </c>
      <c r="Z408" s="26" t="b">
        <f t="array" aca="1" ref="Z408" ca="1">IF(UPPER(Data!C408)="END",SUM((OFFSET(Data!C408,MAX(ROW(Data!$C$5)-ROW(Data!C408),-200),0,400,1)="END")*(OFFSET(Data!A408,MAX(ROW(Data!$B$5)-ROW(Data!B408),-200),0,400,1)=Data!A408))=1,TRUE)</f>
        <v>1</v>
      </c>
      <c r="AA408" s="26" t="b">
        <f>IF(Checks!C408,ISERROR(FIND("&amp;",Data!D408)),TRUE)</f>
        <v>1</v>
      </c>
      <c r="AB408" s="26" t="b">
        <f ca="1">IF(Checks!$C408,IF(AND(UPPER(Data!$C408)&lt;&gt;"START",UPPER(Data!$C408)&lt;&gt;"DATA OBJECT",Data!E408&lt;&gt;""),NOT(ISERROR(MATCH(Data!$A408&amp;"||"&amp;Data!E408,Key,0))),TRUE),TRUE)</f>
        <v>1</v>
      </c>
      <c r="AC408" s="27" t="b">
        <f>IF(Checks!C408,IF(UPPER(Data!C408)="END",Data!E408&lt;&gt;"",TRUE),TRUE)</f>
        <v>1</v>
      </c>
    </row>
    <row r="409" spans="1:29" x14ac:dyDescent="0.25">
      <c r="A409" s="1" t="str">
        <f>Data!A409&amp;"||"&amp;Data!B409</f>
        <v>Miscellaneous/subflow/irmifrs9_preprocess_stage2.bpmn||030_00_01</v>
      </c>
      <c r="B409" s="19"/>
      <c r="C409" s="24" t="b">
        <f>AND(UPPER(Data!A409)&lt;&gt;"EMPTY",Data!B409&lt;&gt;"")</f>
        <v>1</v>
      </c>
      <c r="D409" s="1"/>
      <c r="E409" s="25" t="b">
        <f t="shared" ca="1" si="12"/>
        <v>1</v>
      </c>
      <c r="F409" s="26" t="b">
        <f ca="1">IF(UPPER(Data!C409)="SUB PROCESS",NOT(ISERROR(MATCH(RIGHT(Data!BY409,LEN(Data!BY409)-5),OFFSET(Data,0,0,ItemsCount,1),0))),TRUE)</f>
        <v>1</v>
      </c>
      <c r="G409" s="26" t="b">
        <f ca="1">IF(MID(UPPER(Data!A409),1,13)="MISCELLANEOUS",NOT(ISERROR(MATCH("path="&amp;Data!A409,OFFSET(Data,0,76,ItemsCount,1),0))),TRUE)</f>
        <v>1</v>
      </c>
      <c r="L409" s="25" t="b">
        <f t="shared" ca="1" si="13"/>
        <v>1</v>
      </c>
      <c r="M409" s="24" t="b">
        <f>IF(Checks!$C409,Data!A409&lt;&gt;"",TRUE)</f>
        <v>1</v>
      </c>
      <c r="N409" s="26" t="b">
        <f>IF(Checks!C409,Data!B409&lt;&gt;"",TRUE)</f>
        <v>1</v>
      </c>
      <c r="O409" s="26" t="b">
        <f>IF(Checks!C409,IF(AND(UPPER(Data!C409)="SERVICE TASK",UPPER(Data!BZ409)="TYPE=SAS"),NodeExists(TRIM(RIGHT(Data!CA409,LEN(Data!CA409)-FIND("=",Data!CA409)))),TRUE),TRUE)</f>
        <v>1</v>
      </c>
      <c r="P409" s="26" t="b">
        <f>IF(Checks!C409,IF(Data!C409="DATA OBJECT",OR(AND(Data!BW409&lt;&gt;"",Data!BX409=""),AND(Data!BW409="",Data!BX409&lt;&gt;"")),TRUE),TRUE)</f>
        <v>1</v>
      </c>
      <c r="Q409" s="26" t="b">
        <f>IF(Checks!C409,UPPER(RIGHT(Data!A409,5))=".BPMN",TRUE)</f>
        <v>1</v>
      </c>
      <c r="R409" s="26" t="b">
        <f>IF(Checks!C409,IF(UPPER(Data!C409)="SUB PROCESS",UPPER(RIGHT(Data!BY409,5))=".BPMN",TRUE),TRUE)</f>
        <v>1</v>
      </c>
      <c r="S409" s="26" t="b">
        <f>IF(Checks!C409,IF(UPPER(Data!C409)="SERVICE TASK",IF(UPPER(Data!BZ409)="TYPE=SAS",UPPER(RIGHT(Data!CA409,4))=".SAS",TRUE),TRUE),TRUE)</f>
        <v>1</v>
      </c>
      <c r="T409" s="26" t="b">
        <f>IF(Checks!C409,IF(Data!B409&lt;&gt;"",Data!D409&lt;&gt;"",TRUE),TRUE)</f>
        <v>1</v>
      </c>
      <c r="U409" s="26" t="b">
        <f ca="1">IF(Checks!C409,IF(UPPER(Data!C409)="DATA OBJECT",NOT(ISERROR(MATCH(Data!A409&amp;"||"&amp;Data!BW409&amp;Data!BX409,Key,0))),TRUE),TRUE)</f>
        <v>1</v>
      </c>
      <c r="V409" s="26" t="b">
        <f>IF(Checks!C409,IF(UPPER(Data!C409)="SUB PROCESS",Data!BY409&lt;&gt;"",TRUE),TRUE)</f>
        <v>1</v>
      </c>
      <c r="W409" s="26" t="b">
        <f>IF(Checks!C409,IF(UPPER(Data!C409)="SERVICE TASK",AND(Data!BZ409&lt;&gt;"",Data!CA409&lt;&gt;""),TRUE),TRUE)</f>
        <v>1</v>
      </c>
      <c r="X409" s="26" t="b">
        <f t="array" aca="1" ref="X409" ca="1">SUM((OFFSET(Data!B409,MAX(ROW(Data!$B$5)-ROW(Data!B409),-200),0,400,1)=Data!B409)*(OFFSET(Data!A409,MAX(ROW(Data!$B$5)-ROW(Data!B409),-200),0,400,1)=Data!A409))=1</f>
        <v>1</v>
      </c>
      <c r="Y409" s="26" t="b">
        <f t="array" aca="1" ref="Y409" ca="1">IF(UPPER(Data!C409)="START",SUM((OFFSET(Data!C409,MAX(ROW(Data!$C$5)-ROW(Data!C409),-200),0,400,1)="START")*(OFFSET(Data!A409,MAX(ROW(Data!$B$5)-ROW(Data!B409),-200),0,400,1)=Data!A409))=1,TRUE)</f>
        <v>1</v>
      </c>
      <c r="Z409" s="26" t="b">
        <f t="array" aca="1" ref="Z409" ca="1">IF(UPPER(Data!C409)="END",SUM((OFFSET(Data!C409,MAX(ROW(Data!$C$5)-ROW(Data!C409),-200),0,400,1)="END")*(OFFSET(Data!A409,MAX(ROW(Data!$B$5)-ROW(Data!B409),-200),0,400,1)=Data!A409))=1,TRUE)</f>
        <v>1</v>
      </c>
      <c r="AA409" s="26" t="b">
        <f>IF(Checks!C409,ISERROR(FIND("&amp;",Data!D409)),TRUE)</f>
        <v>1</v>
      </c>
      <c r="AB409" s="26" t="b">
        <f>IF(Checks!$C409,IF(AND(UPPER(Data!$C409)&lt;&gt;"START",UPPER(Data!$C409)&lt;&gt;"DATA OBJECT",Data!E409&lt;&gt;""),NOT(ISERROR(MATCH(Data!$A409&amp;"||"&amp;Data!E409,Key,0))),TRUE),TRUE)</f>
        <v>1</v>
      </c>
      <c r="AC409" s="27" t="b">
        <f>IF(Checks!C409,IF(UPPER(Data!C409)="END",Data!E409&lt;&gt;"",TRUE),TRUE)</f>
        <v>1</v>
      </c>
    </row>
    <row r="410" spans="1:29" x14ac:dyDescent="0.25">
      <c r="A410" s="1" t="str">
        <f>Data!A410&amp;"||"&amp;Data!B410</f>
        <v>Miscellaneous/subflow/irmifrs9_preprocess_stage2.bpmn||030_00_02</v>
      </c>
      <c r="B410" s="19"/>
      <c r="C410" s="24" t="b">
        <f>AND(UPPER(Data!A410)&lt;&gt;"EMPTY",Data!B410&lt;&gt;"")</f>
        <v>1</v>
      </c>
      <c r="D410" s="1"/>
      <c r="E410" s="25" t="b">
        <f t="shared" ca="1" si="12"/>
        <v>1</v>
      </c>
      <c r="F410" s="26" t="b">
        <f ca="1">IF(UPPER(Data!C410)="SUB PROCESS",NOT(ISERROR(MATCH(RIGHT(Data!BY410,LEN(Data!BY410)-5),OFFSET(Data,0,0,ItemsCount,1),0))),TRUE)</f>
        <v>1</v>
      </c>
      <c r="G410" s="26" t="b">
        <f ca="1">IF(MID(UPPER(Data!A410),1,13)="MISCELLANEOUS",NOT(ISERROR(MATCH("path="&amp;Data!A410,OFFSET(Data,0,76,ItemsCount,1),0))),TRUE)</f>
        <v>1</v>
      </c>
      <c r="L410" s="25" t="b">
        <f t="shared" ca="1" si="13"/>
        <v>1</v>
      </c>
      <c r="M410" s="24" t="b">
        <f>IF(Checks!$C410,Data!A410&lt;&gt;"",TRUE)</f>
        <v>1</v>
      </c>
      <c r="N410" s="26" t="b">
        <f>IF(Checks!C410,Data!B410&lt;&gt;"",TRUE)</f>
        <v>1</v>
      </c>
      <c r="O410" s="26" t="b">
        <f>IF(Checks!C410,IF(AND(UPPER(Data!C410)="SERVICE TASK",UPPER(Data!BZ410)="TYPE=SAS"),NodeExists(TRIM(RIGHT(Data!CA410,LEN(Data!CA410)-FIND("=",Data!CA410)))),TRUE),TRUE)</f>
        <v>1</v>
      </c>
      <c r="P410" s="26" t="b">
        <f>IF(Checks!C410,IF(Data!C410="DATA OBJECT",OR(AND(Data!BW410&lt;&gt;"",Data!BX410=""),AND(Data!BW410="",Data!BX410&lt;&gt;"")),TRUE),TRUE)</f>
        <v>1</v>
      </c>
      <c r="Q410" s="26" t="b">
        <f>IF(Checks!C410,UPPER(RIGHT(Data!A410,5))=".BPMN",TRUE)</f>
        <v>1</v>
      </c>
      <c r="R410" s="26" t="b">
        <f>IF(Checks!C410,IF(UPPER(Data!C410)="SUB PROCESS",UPPER(RIGHT(Data!BY410,5))=".BPMN",TRUE),TRUE)</f>
        <v>1</v>
      </c>
      <c r="S410" s="26" t="b">
        <f>IF(Checks!C410,IF(UPPER(Data!C410)="SERVICE TASK",IF(UPPER(Data!BZ410)="TYPE=SAS",UPPER(RIGHT(Data!CA410,4))=".SAS",TRUE),TRUE),TRUE)</f>
        <v>1</v>
      </c>
      <c r="T410" s="26" t="b">
        <f>IF(Checks!C410,IF(Data!B410&lt;&gt;"",Data!D410&lt;&gt;"",TRUE),TRUE)</f>
        <v>1</v>
      </c>
      <c r="U410" s="26" t="b">
        <f ca="1">IF(Checks!C410,IF(UPPER(Data!C410)="DATA OBJECT",NOT(ISERROR(MATCH(Data!A410&amp;"||"&amp;Data!BW410&amp;Data!BX410,Key,0))),TRUE),TRUE)</f>
        <v>1</v>
      </c>
      <c r="V410" s="26" t="b">
        <f>IF(Checks!C410,IF(UPPER(Data!C410)="SUB PROCESS",Data!BY410&lt;&gt;"",TRUE),TRUE)</f>
        <v>1</v>
      </c>
      <c r="W410" s="26" t="b">
        <f>IF(Checks!C410,IF(UPPER(Data!C410)="SERVICE TASK",AND(Data!BZ410&lt;&gt;"",Data!CA410&lt;&gt;""),TRUE),TRUE)</f>
        <v>1</v>
      </c>
      <c r="X410" s="26" t="b">
        <f t="array" aca="1" ref="X410" ca="1">SUM((OFFSET(Data!B410,MAX(ROW(Data!$B$5)-ROW(Data!B410),-200),0,400,1)=Data!B410)*(OFFSET(Data!A410,MAX(ROW(Data!$B$5)-ROW(Data!B410),-200),0,400,1)=Data!A410))=1</f>
        <v>1</v>
      </c>
      <c r="Y410" s="26" t="b">
        <f t="array" aca="1" ref="Y410" ca="1">IF(UPPER(Data!C410)="START",SUM((OFFSET(Data!C410,MAX(ROW(Data!$C$5)-ROW(Data!C410),-200),0,400,1)="START")*(OFFSET(Data!A410,MAX(ROW(Data!$B$5)-ROW(Data!B410),-200),0,400,1)=Data!A410))=1,TRUE)</f>
        <v>1</v>
      </c>
      <c r="Z410" s="26" t="b">
        <f t="array" aca="1" ref="Z410" ca="1">IF(UPPER(Data!C410)="END",SUM((OFFSET(Data!C410,MAX(ROW(Data!$C$5)-ROW(Data!C410),-200),0,400,1)="END")*(OFFSET(Data!A410,MAX(ROW(Data!$B$5)-ROW(Data!B410),-200),0,400,1)=Data!A410))=1,TRUE)</f>
        <v>1</v>
      </c>
      <c r="AA410" s="26" t="b">
        <f>IF(Checks!C410,ISERROR(FIND("&amp;",Data!D410)),TRUE)</f>
        <v>1</v>
      </c>
      <c r="AB410" s="26" t="b">
        <f>IF(Checks!$C410,IF(AND(UPPER(Data!$C410)&lt;&gt;"START",UPPER(Data!$C410)&lt;&gt;"DATA OBJECT",Data!E410&lt;&gt;""),NOT(ISERROR(MATCH(Data!$A410&amp;"||"&amp;Data!E410,Key,0))),TRUE),TRUE)</f>
        <v>1</v>
      </c>
      <c r="AC410" s="27" t="b">
        <f>IF(Checks!C410,IF(UPPER(Data!C410)="END",Data!E410&lt;&gt;"",TRUE),TRUE)</f>
        <v>1</v>
      </c>
    </row>
    <row r="411" spans="1:29" x14ac:dyDescent="0.25">
      <c r="A411" s="1" t="str">
        <f>Data!A411&amp;"||"&amp;Data!B411</f>
        <v>Miscellaneous/subflow/irmifrs9_preprocess_stage2.bpmn||030_01_00</v>
      </c>
      <c r="B411" s="19"/>
      <c r="C411" s="24" t="b">
        <f>AND(UPPER(Data!A411)&lt;&gt;"EMPTY",Data!B411&lt;&gt;"")</f>
        <v>1</v>
      </c>
      <c r="D411" s="1"/>
      <c r="E411" s="25" t="b">
        <f t="shared" ca="1" si="12"/>
        <v>1</v>
      </c>
      <c r="F411" s="26" t="b">
        <f ca="1">IF(UPPER(Data!C411)="SUB PROCESS",NOT(ISERROR(MATCH(RIGHT(Data!BY411,LEN(Data!BY411)-5),OFFSET(Data,0,0,ItemsCount,1),0))),TRUE)</f>
        <v>1</v>
      </c>
      <c r="G411" s="26" t="b">
        <f ca="1">IF(MID(UPPER(Data!A411),1,13)="MISCELLANEOUS",NOT(ISERROR(MATCH("path="&amp;Data!A411,OFFSET(Data,0,76,ItemsCount,1),0))),TRUE)</f>
        <v>1</v>
      </c>
      <c r="L411" s="25" t="b">
        <f t="shared" ca="1" si="13"/>
        <v>1</v>
      </c>
      <c r="M411" s="24" t="b">
        <f>IF(Checks!$C411,Data!A411&lt;&gt;"",TRUE)</f>
        <v>1</v>
      </c>
      <c r="N411" s="26" t="b">
        <f>IF(Checks!C411,Data!B411&lt;&gt;"",TRUE)</f>
        <v>1</v>
      </c>
      <c r="O411" s="26" t="b">
        <f>IF(Checks!C411,IF(AND(UPPER(Data!C411)="SERVICE TASK",UPPER(Data!BZ411)="TYPE=SAS"),NodeExists(TRIM(RIGHT(Data!CA411,LEN(Data!CA411)-FIND("=",Data!CA411)))),TRUE),TRUE)</f>
        <v>1</v>
      </c>
      <c r="P411" s="26" t="b">
        <f>IF(Checks!C411,IF(Data!C411="DATA OBJECT",OR(AND(Data!BW411&lt;&gt;"",Data!BX411=""),AND(Data!BW411="",Data!BX411&lt;&gt;"")),TRUE),TRUE)</f>
        <v>1</v>
      </c>
      <c r="Q411" s="26" t="b">
        <f>IF(Checks!C411,UPPER(RIGHT(Data!A411,5))=".BPMN",TRUE)</f>
        <v>1</v>
      </c>
      <c r="R411" s="26" t="b">
        <f>IF(Checks!C411,IF(UPPER(Data!C411)="SUB PROCESS",UPPER(RIGHT(Data!BY411,5))=".BPMN",TRUE),TRUE)</f>
        <v>1</v>
      </c>
      <c r="S411" s="26" t="b">
        <f>IF(Checks!C411,IF(UPPER(Data!C411)="SERVICE TASK",IF(UPPER(Data!BZ411)="TYPE=SAS",UPPER(RIGHT(Data!CA411,4))=".SAS",TRUE),TRUE),TRUE)</f>
        <v>1</v>
      </c>
      <c r="T411" s="26" t="b">
        <f>IF(Checks!C411,IF(Data!B411&lt;&gt;"",Data!D411&lt;&gt;"",TRUE),TRUE)</f>
        <v>1</v>
      </c>
      <c r="U411" s="26" t="b">
        <f ca="1">IF(Checks!C411,IF(UPPER(Data!C411)="DATA OBJECT",NOT(ISERROR(MATCH(Data!A411&amp;"||"&amp;Data!BW411&amp;Data!BX411,Key,0))),TRUE),TRUE)</f>
        <v>1</v>
      </c>
      <c r="V411" s="26" t="b">
        <f>IF(Checks!C411,IF(UPPER(Data!C411)="SUB PROCESS",Data!BY411&lt;&gt;"",TRUE),TRUE)</f>
        <v>1</v>
      </c>
      <c r="W411" s="26" t="b">
        <f>IF(Checks!C411,IF(UPPER(Data!C411)="SERVICE TASK",AND(Data!BZ411&lt;&gt;"",Data!CA411&lt;&gt;""),TRUE),TRUE)</f>
        <v>1</v>
      </c>
      <c r="X411" s="26" t="b">
        <f t="array" aca="1" ref="X411" ca="1">SUM((OFFSET(Data!B411,MAX(ROW(Data!$B$5)-ROW(Data!B411),-200),0,400,1)=Data!B411)*(OFFSET(Data!A411,MAX(ROW(Data!$B$5)-ROW(Data!B411),-200),0,400,1)=Data!A411))=1</f>
        <v>1</v>
      </c>
      <c r="Y411" s="26" t="b">
        <f t="array" aca="1" ref="Y411" ca="1">IF(UPPER(Data!C411)="START",SUM((OFFSET(Data!C411,MAX(ROW(Data!$C$5)-ROW(Data!C411),-200),0,400,1)="START")*(OFFSET(Data!A411,MAX(ROW(Data!$B$5)-ROW(Data!B411),-200),0,400,1)=Data!A411))=1,TRUE)</f>
        <v>1</v>
      </c>
      <c r="Z411" s="26" t="b">
        <f t="array" aca="1" ref="Z411" ca="1">IF(UPPER(Data!C411)="END",SUM((OFFSET(Data!C411,MAX(ROW(Data!$C$5)-ROW(Data!C411),-200),0,400,1)="END")*(OFFSET(Data!A411,MAX(ROW(Data!$B$5)-ROW(Data!B411),-200),0,400,1)=Data!A411))=1,TRUE)</f>
        <v>1</v>
      </c>
      <c r="AA411" s="26" t="b">
        <f>IF(Checks!C411,ISERROR(FIND("&amp;",Data!D411)),TRUE)</f>
        <v>1</v>
      </c>
      <c r="AB411" s="26" t="b">
        <f>IF(Checks!$C411,IF(AND(UPPER(Data!$C411)&lt;&gt;"START",UPPER(Data!$C411)&lt;&gt;"DATA OBJECT",Data!E411&lt;&gt;""),NOT(ISERROR(MATCH(Data!$A411&amp;"||"&amp;Data!E411,Key,0))),TRUE),TRUE)</f>
        <v>1</v>
      </c>
      <c r="AC411" s="27" t="b">
        <f>IF(Checks!C411,IF(UPPER(Data!C411)="END",Data!E411&lt;&gt;"",TRUE),TRUE)</f>
        <v>1</v>
      </c>
    </row>
    <row r="412" spans="1:29" x14ac:dyDescent="0.25">
      <c r="A412" s="1" t="str">
        <f>Data!A412&amp;"||"&amp;Data!B412</f>
        <v>Miscellaneous/subflow/irmifrs9_preprocess_stage2.bpmn||999_00_00</v>
      </c>
      <c r="B412" s="19"/>
      <c r="C412" s="24" t="b">
        <f>AND(UPPER(Data!A412)&lt;&gt;"EMPTY",Data!B412&lt;&gt;"")</f>
        <v>1</v>
      </c>
      <c r="D412" s="1"/>
      <c r="E412" s="25" t="b">
        <f t="shared" ca="1" si="12"/>
        <v>1</v>
      </c>
      <c r="F412" s="26" t="b">
        <f ca="1">IF(UPPER(Data!C412)="SUB PROCESS",NOT(ISERROR(MATCH(RIGHT(Data!BY412,LEN(Data!BY412)-5),OFFSET(Data,0,0,ItemsCount,1),0))),TRUE)</f>
        <v>1</v>
      </c>
      <c r="G412" s="26" t="b">
        <f ca="1">IF(MID(UPPER(Data!A412),1,13)="MISCELLANEOUS",NOT(ISERROR(MATCH("path="&amp;Data!A412,OFFSET(Data,0,76,ItemsCount,1),0))),TRUE)</f>
        <v>1</v>
      </c>
      <c r="L412" s="25" t="b">
        <f t="shared" ca="1" si="13"/>
        <v>1</v>
      </c>
      <c r="M412" s="24" t="b">
        <f>IF(Checks!$C412,Data!A412&lt;&gt;"",TRUE)</f>
        <v>1</v>
      </c>
      <c r="N412" s="26" t="b">
        <f>IF(Checks!C412,Data!B412&lt;&gt;"",TRUE)</f>
        <v>1</v>
      </c>
      <c r="O412" s="26" t="b">
        <f>IF(Checks!C412,IF(AND(UPPER(Data!C412)="SERVICE TASK",UPPER(Data!BZ412)="TYPE=SAS"),NodeExists(TRIM(RIGHT(Data!CA412,LEN(Data!CA412)-FIND("=",Data!CA412)))),TRUE),TRUE)</f>
        <v>1</v>
      </c>
      <c r="P412" s="26" t="b">
        <f>IF(Checks!C412,IF(Data!C412="DATA OBJECT",OR(AND(Data!BW412&lt;&gt;"",Data!BX412=""),AND(Data!BW412="",Data!BX412&lt;&gt;"")),TRUE),TRUE)</f>
        <v>1</v>
      </c>
      <c r="Q412" s="26" t="b">
        <f>IF(Checks!C412,UPPER(RIGHT(Data!A412,5))=".BPMN",TRUE)</f>
        <v>1</v>
      </c>
      <c r="R412" s="26" t="b">
        <f>IF(Checks!C412,IF(UPPER(Data!C412)="SUB PROCESS",UPPER(RIGHT(Data!BY412,5))=".BPMN",TRUE),TRUE)</f>
        <v>1</v>
      </c>
      <c r="S412" s="26" t="b">
        <f>IF(Checks!C412,IF(UPPER(Data!C412)="SERVICE TASK",IF(UPPER(Data!BZ412)="TYPE=SAS",UPPER(RIGHT(Data!CA412,4))=".SAS",TRUE),TRUE),TRUE)</f>
        <v>1</v>
      </c>
      <c r="T412" s="26" t="b">
        <f>IF(Checks!C412,IF(Data!B412&lt;&gt;"",Data!D412&lt;&gt;"",TRUE),TRUE)</f>
        <v>1</v>
      </c>
      <c r="U412" s="26" t="b">
        <f>IF(Checks!C412,IF(UPPER(Data!C412)="DATA OBJECT",NOT(ISERROR(MATCH(Data!A412&amp;"||"&amp;Data!BW412&amp;Data!BX412,Key,0))),TRUE),TRUE)</f>
        <v>1</v>
      </c>
      <c r="V412" s="26" t="b">
        <f>IF(Checks!C412,IF(UPPER(Data!C412)="SUB PROCESS",Data!BY412&lt;&gt;"",TRUE),TRUE)</f>
        <v>1</v>
      </c>
      <c r="W412" s="26" t="b">
        <f>IF(Checks!C412,IF(UPPER(Data!C412)="SERVICE TASK",AND(Data!BZ412&lt;&gt;"",Data!CA412&lt;&gt;""),TRUE),TRUE)</f>
        <v>1</v>
      </c>
      <c r="X412" s="26" t="b">
        <f t="array" aca="1" ref="X412" ca="1">SUM((OFFSET(Data!B412,MAX(ROW(Data!$B$5)-ROW(Data!B412),-200),0,400,1)=Data!B412)*(OFFSET(Data!A412,MAX(ROW(Data!$B$5)-ROW(Data!B412),-200),0,400,1)=Data!A412))=1</f>
        <v>1</v>
      </c>
      <c r="Y412" s="26" t="b">
        <f t="array" aca="1" ref="Y412" ca="1">IF(UPPER(Data!C412)="START",SUM((OFFSET(Data!C412,MAX(ROW(Data!$C$5)-ROW(Data!C412),-200),0,400,1)="START")*(OFFSET(Data!A412,MAX(ROW(Data!$B$5)-ROW(Data!B412),-200),0,400,1)=Data!A412))=1,TRUE)</f>
        <v>1</v>
      </c>
      <c r="Z412" s="26" t="b">
        <f t="array" aca="1" ref="Z412" ca="1">IF(UPPER(Data!C412)="END",SUM((OFFSET(Data!C412,MAX(ROW(Data!$C$5)-ROW(Data!C412),-200),0,400,1)="END")*(OFFSET(Data!A412,MAX(ROW(Data!$B$5)-ROW(Data!B412),-200),0,400,1)=Data!A412))=1,TRUE)</f>
        <v>1</v>
      </c>
      <c r="AA412" s="26" t="b">
        <f>IF(Checks!C412,ISERROR(FIND("&amp;",Data!D412)),TRUE)</f>
        <v>1</v>
      </c>
      <c r="AB412" s="26" t="b">
        <f ca="1">IF(Checks!$C412,IF(AND(UPPER(Data!$C412)&lt;&gt;"START",UPPER(Data!$C412)&lt;&gt;"DATA OBJECT",Data!E412&lt;&gt;""),NOT(ISERROR(MATCH(Data!$A412&amp;"||"&amp;Data!E412,Key,0))),TRUE),TRUE)</f>
        <v>1</v>
      </c>
      <c r="AC412" s="27" t="b">
        <f>IF(Checks!C412,IF(UPPER(Data!C412)="END",Data!E412&lt;&gt;"",TRUE),TRUE)</f>
        <v>1</v>
      </c>
    </row>
    <row r="413" spans="1:29" x14ac:dyDescent="0.25">
      <c r="A413" s="1" t="str">
        <f>Data!A413&amp;"||"&amp;Data!B413</f>
        <v>Miscellaneous/subflow/irmifrs9_preprocess_stage3.bpmn||000_00_00</v>
      </c>
      <c r="B413" s="19"/>
      <c r="C413" s="24" t="b">
        <f>AND(UPPER(Data!A413)&lt;&gt;"EMPTY",Data!B413&lt;&gt;"")</f>
        <v>1</v>
      </c>
      <c r="D413" s="1"/>
      <c r="E413" s="25" t="b">
        <f t="shared" ca="1" si="12"/>
        <v>1</v>
      </c>
      <c r="F413" s="26" t="b">
        <f ca="1">IF(UPPER(Data!C413)="SUB PROCESS",NOT(ISERROR(MATCH(RIGHT(Data!BY413,LEN(Data!BY413)-5),OFFSET(Data,0,0,ItemsCount,1),0))),TRUE)</f>
        <v>1</v>
      </c>
      <c r="G413" s="26" t="b">
        <f ca="1">IF(MID(UPPER(Data!A413),1,13)="MISCELLANEOUS",NOT(ISERROR(MATCH("path="&amp;Data!A413,OFFSET(Data,0,76,ItemsCount,1),0))),TRUE)</f>
        <v>1</v>
      </c>
      <c r="L413" s="25" t="b">
        <f t="shared" ca="1" si="13"/>
        <v>1</v>
      </c>
      <c r="M413" s="24" t="b">
        <f>IF(Checks!$C413,Data!A413&lt;&gt;"",TRUE)</f>
        <v>1</v>
      </c>
      <c r="N413" s="26" t="b">
        <f>IF(Checks!C413,Data!B413&lt;&gt;"",TRUE)</f>
        <v>1</v>
      </c>
      <c r="O413" s="26" t="b">
        <f>IF(Checks!C413,IF(AND(UPPER(Data!C413)="SERVICE TASK",UPPER(Data!BZ413)="TYPE=SAS"),NodeExists(TRIM(RIGHT(Data!CA413,LEN(Data!CA413)-FIND("=",Data!CA413)))),TRUE),TRUE)</f>
        <v>1</v>
      </c>
      <c r="P413" s="26" t="b">
        <f>IF(Checks!C413,IF(Data!C413="DATA OBJECT",OR(AND(Data!BW413&lt;&gt;"",Data!BX413=""),AND(Data!BW413="",Data!BX413&lt;&gt;"")),TRUE),TRUE)</f>
        <v>1</v>
      </c>
      <c r="Q413" s="26" t="b">
        <f>IF(Checks!C413,UPPER(RIGHT(Data!A413,5))=".BPMN",TRUE)</f>
        <v>1</v>
      </c>
      <c r="R413" s="26" t="b">
        <f>IF(Checks!C413,IF(UPPER(Data!C413)="SUB PROCESS",UPPER(RIGHT(Data!BY413,5))=".BPMN",TRUE),TRUE)</f>
        <v>1</v>
      </c>
      <c r="S413" s="26" t="b">
        <f>IF(Checks!C413,IF(UPPER(Data!C413)="SERVICE TASK",IF(UPPER(Data!BZ413)="TYPE=SAS",UPPER(RIGHT(Data!CA413,4))=".SAS",TRUE),TRUE),TRUE)</f>
        <v>1</v>
      </c>
      <c r="T413" s="26" t="b">
        <f>IF(Checks!C413,IF(Data!B413&lt;&gt;"",Data!D413&lt;&gt;"",TRUE),TRUE)</f>
        <v>1</v>
      </c>
      <c r="U413" s="26" t="b">
        <f>IF(Checks!C413,IF(UPPER(Data!C413)="DATA OBJECT",NOT(ISERROR(MATCH(Data!A413&amp;"||"&amp;Data!BW413&amp;Data!BX413,Key,0))),TRUE),TRUE)</f>
        <v>1</v>
      </c>
      <c r="V413" s="26" t="b">
        <f>IF(Checks!C413,IF(UPPER(Data!C413)="SUB PROCESS",Data!BY413&lt;&gt;"",TRUE),TRUE)</f>
        <v>1</v>
      </c>
      <c r="W413" s="26" t="b">
        <f>IF(Checks!C413,IF(UPPER(Data!C413)="SERVICE TASK",AND(Data!BZ413&lt;&gt;"",Data!CA413&lt;&gt;""),TRUE),TRUE)</f>
        <v>1</v>
      </c>
      <c r="X413" s="26" t="b">
        <f t="array" aca="1" ref="X413" ca="1">SUM((OFFSET(Data!B413,MAX(ROW(Data!$B$5)-ROW(Data!B413),-200),0,400,1)=Data!B413)*(OFFSET(Data!A413,MAX(ROW(Data!$B$5)-ROW(Data!B413),-200),0,400,1)=Data!A413))=1</f>
        <v>1</v>
      </c>
      <c r="Y413" s="26" t="b">
        <f t="array" aca="1" ref="Y413" ca="1">IF(UPPER(Data!C413)="START",SUM((OFFSET(Data!C413,MAX(ROW(Data!$C$5)-ROW(Data!C413),-200),0,400,1)="START")*(OFFSET(Data!A413,MAX(ROW(Data!$B$5)-ROW(Data!B413),-200),0,400,1)=Data!A413))=1,TRUE)</f>
        <v>1</v>
      </c>
      <c r="Z413" s="26" t="b">
        <f t="array" aca="1" ref="Z413" ca="1">IF(UPPER(Data!C413)="END",SUM((OFFSET(Data!C413,MAX(ROW(Data!$C$5)-ROW(Data!C413),-200),0,400,1)="END")*(OFFSET(Data!A413,MAX(ROW(Data!$B$5)-ROW(Data!B413),-200),0,400,1)=Data!A413))=1,TRUE)</f>
        <v>1</v>
      </c>
      <c r="AA413" s="26" t="b">
        <f>IF(Checks!C413,ISERROR(FIND("&amp;",Data!D413)),TRUE)</f>
        <v>1</v>
      </c>
      <c r="AB413" s="26" t="b">
        <f>IF(Checks!$C413,IF(AND(UPPER(Data!$C413)&lt;&gt;"START",UPPER(Data!$C413)&lt;&gt;"DATA OBJECT",Data!E413&lt;&gt;""),NOT(ISERROR(MATCH(Data!$A413&amp;"||"&amp;Data!E413,Key,0))),TRUE),TRUE)</f>
        <v>1</v>
      </c>
      <c r="AC413" s="27" t="b">
        <f>IF(Checks!C413,IF(UPPER(Data!C413)="END",Data!E413&lt;&gt;"",TRUE),TRUE)</f>
        <v>1</v>
      </c>
    </row>
    <row r="414" spans="1:29" x14ac:dyDescent="0.25">
      <c r="A414" s="1" t="str">
        <f>Data!A414&amp;"||"&amp;Data!B414</f>
        <v>Miscellaneous/subflow/irmifrs9_preprocess_stage3.bpmn||010_00_00</v>
      </c>
      <c r="B414" s="19"/>
      <c r="C414" s="24" t="b">
        <f>AND(UPPER(Data!A414)&lt;&gt;"EMPTY",Data!B414&lt;&gt;"")</f>
        <v>1</v>
      </c>
      <c r="D414" s="1"/>
      <c r="E414" s="25" t="b">
        <f t="shared" ca="1" si="12"/>
        <v>1</v>
      </c>
      <c r="F414" s="26" t="b">
        <f ca="1">IF(UPPER(Data!C414)="SUB PROCESS",NOT(ISERROR(MATCH(RIGHT(Data!BY414,LEN(Data!BY414)-5),OFFSET(Data,0,0,ItemsCount,1),0))),TRUE)</f>
        <v>1</v>
      </c>
      <c r="G414" s="26" t="b">
        <f ca="1">IF(MID(UPPER(Data!A414),1,13)="MISCELLANEOUS",NOT(ISERROR(MATCH("path="&amp;Data!A414,OFFSET(Data,0,76,ItemsCount,1),0))),TRUE)</f>
        <v>1</v>
      </c>
      <c r="L414" s="25" t="b">
        <f t="shared" ca="1" si="13"/>
        <v>1</v>
      </c>
      <c r="M414" s="24" t="b">
        <f>IF(Checks!$C414,Data!A414&lt;&gt;"",TRUE)</f>
        <v>1</v>
      </c>
      <c r="N414" s="26" t="b">
        <f>IF(Checks!C414,Data!B414&lt;&gt;"",TRUE)</f>
        <v>1</v>
      </c>
      <c r="O414" s="26" t="b">
        <f>IF(Checks!C414,IF(AND(UPPER(Data!C414)="SERVICE TASK",UPPER(Data!BZ414)="TYPE=SAS"),NodeExists(TRIM(RIGHT(Data!CA414,LEN(Data!CA414)-FIND("=",Data!CA414)))),TRUE),TRUE)</f>
        <v>1</v>
      </c>
      <c r="P414" s="26" t="b">
        <f>IF(Checks!C414,IF(Data!C414="DATA OBJECT",OR(AND(Data!BW414&lt;&gt;"",Data!BX414=""),AND(Data!BW414="",Data!BX414&lt;&gt;"")),TRUE),TRUE)</f>
        <v>1</v>
      </c>
      <c r="Q414" s="26" t="b">
        <f>IF(Checks!C414,UPPER(RIGHT(Data!A414,5))=".BPMN",TRUE)</f>
        <v>1</v>
      </c>
      <c r="R414" s="26" t="b">
        <f>IF(Checks!C414,IF(UPPER(Data!C414)="SUB PROCESS",UPPER(RIGHT(Data!BY414,5))=".BPMN",TRUE),TRUE)</f>
        <v>1</v>
      </c>
      <c r="S414" s="26" t="b">
        <f>IF(Checks!C414,IF(UPPER(Data!C414)="SERVICE TASK",IF(UPPER(Data!BZ414)="TYPE=SAS",UPPER(RIGHT(Data!CA414,4))=".SAS",TRUE),TRUE),TRUE)</f>
        <v>1</v>
      </c>
      <c r="T414" s="26" t="b">
        <f>IF(Checks!C414,IF(Data!B414&lt;&gt;"",Data!D414&lt;&gt;"",TRUE),TRUE)</f>
        <v>1</v>
      </c>
      <c r="U414" s="26" t="b">
        <f>IF(Checks!C414,IF(UPPER(Data!C414)="DATA OBJECT",NOT(ISERROR(MATCH(Data!A414&amp;"||"&amp;Data!BW414&amp;Data!BX414,Key,0))),TRUE),TRUE)</f>
        <v>1</v>
      </c>
      <c r="V414" s="26" t="b">
        <f>IF(Checks!C414,IF(UPPER(Data!C414)="SUB PROCESS",Data!BY414&lt;&gt;"",TRUE),TRUE)</f>
        <v>1</v>
      </c>
      <c r="W414" s="26" t="b">
        <f>IF(Checks!C414,IF(UPPER(Data!C414)="SERVICE TASK",AND(Data!BZ414&lt;&gt;"",Data!CA414&lt;&gt;""),TRUE),TRUE)</f>
        <v>1</v>
      </c>
      <c r="X414" s="26" t="b">
        <f t="array" aca="1" ref="X414" ca="1">SUM((OFFSET(Data!B414,MAX(ROW(Data!$B$5)-ROW(Data!B414),-200),0,400,1)=Data!B414)*(OFFSET(Data!A414,MAX(ROW(Data!$B$5)-ROW(Data!B414),-200),0,400,1)=Data!A414))=1</f>
        <v>1</v>
      </c>
      <c r="Y414" s="26" t="b">
        <f t="array" aca="1" ref="Y414" ca="1">IF(UPPER(Data!C414)="START",SUM((OFFSET(Data!C414,MAX(ROW(Data!$C$5)-ROW(Data!C414),-200),0,400,1)="START")*(OFFSET(Data!A414,MAX(ROW(Data!$B$5)-ROW(Data!B414),-200),0,400,1)=Data!A414))=1,TRUE)</f>
        <v>1</v>
      </c>
      <c r="Z414" s="26" t="b">
        <f t="array" aca="1" ref="Z414" ca="1">IF(UPPER(Data!C414)="END",SUM((OFFSET(Data!C414,MAX(ROW(Data!$C$5)-ROW(Data!C414),-200),0,400,1)="END")*(OFFSET(Data!A414,MAX(ROW(Data!$B$5)-ROW(Data!B414),-200),0,400,1)=Data!A414))=1,TRUE)</f>
        <v>1</v>
      </c>
      <c r="AA414" s="26" t="b">
        <f>IF(Checks!C414,ISERROR(FIND("&amp;",Data!D414)),TRUE)</f>
        <v>1</v>
      </c>
      <c r="AB414" s="26" t="b">
        <f ca="1">IF(Checks!$C414,IF(AND(UPPER(Data!$C414)&lt;&gt;"START",UPPER(Data!$C414)&lt;&gt;"DATA OBJECT",Data!E414&lt;&gt;""),NOT(ISERROR(MATCH(Data!$A414&amp;"||"&amp;Data!E414,Key,0))),TRUE),TRUE)</f>
        <v>1</v>
      </c>
      <c r="AC414" s="27" t="b">
        <f>IF(Checks!C414,IF(UPPER(Data!C414)="END",Data!E414&lt;&gt;"",TRUE),TRUE)</f>
        <v>1</v>
      </c>
    </row>
    <row r="415" spans="1:29" x14ac:dyDescent="0.25">
      <c r="A415" s="1" t="str">
        <f>Data!A415&amp;"||"&amp;Data!B415</f>
        <v>Miscellaneous/subflow/irmifrs9_preprocess_stage3.bpmn||010_00_01</v>
      </c>
      <c r="B415" s="19"/>
      <c r="C415" s="24" t="b">
        <f>AND(UPPER(Data!A415)&lt;&gt;"EMPTY",Data!B415&lt;&gt;"")</f>
        <v>1</v>
      </c>
      <c r="D415" s="1"/>
      <c r="E415" s="25" t="b">
        <f t="shared" ca="1" si="12"/>
        <v>1</v>
      </c>
      <c r="F415" s="26" t="b">
        <f ca="1">IF(UPPER(Data!C415)="SUB PROCESS",NOT(ISERROR(MATCH(RIGHT(Data!BY415,LEN(Data!BY415)-5),OFFSET(Data,0,0,ItemsCount,1),0))),TRUE)</f>
        <v>1</v>
      </c>
      <c r="G415" s="26" t="b">
        <f ca="1">IF(MID(UPPER(Data!A415),1,13)="MISCELLANEOUS",NOT(ISERROR(MATCH("path="&amp;Data!A415,OFFSET(Data,0,76,ItemsCount,1),0))),TRUE)</f>
        <v>1</v>
      </c>
      <c r="L415" s="25" t="b">
        <f t="shared" ca="1" si="13"/>
        <v>1</v>
      </c>
      <c r="M415" s="24" t="b">
        <f>IF(Checks!$C415,Data!A415&lt;&gt;"",TRUE)</f>
        <v>1</v>
      </c>
      <c r="N415" s="26" t="b">
        <f>IF(Checks!C415,Data!B415&lt;&gt;"",TRUE)</f>
        <v>1</v>
      </c>
      <c r="O415" s="26" t="b">
        <f>IF(Checks!C415,IF(AND(UPPER(Data!C415)="SERVICE TASK",UPPER(Data!BZ415)="TYPE=SAS"),NodeExists(TRIM(RIGHT(Data!CA415,LEN(Data!CA415)-FIND("=",Data!CA415)))),TRUE),TRUE)</f>
        <v>1</v>
      </c>
      <c r="P415" s="26" t="b">
        <f>IF(Checks!C415,IF(Data!C415="DATA OBJECT",OR(AND(Data!BW415&lt;&gt;"",Data!BX415=""),AND(Data!BW415="",Data!BX415&lt;&gt;"")),TRUE),TRUE)</f>
        <v>1</v>
      </c>
      <c r="Q415" s="26" t="b">
        <f>IF(Checks!C415,UPPER(RIGHT(Data!A415,5))=".BPMN",TRUE)</f>
        <v>1</v>
      </c>
      <c r="R415" s="26" t="b">
        <f>IF(Checks!C415,IF(UPPER(Data!C415)="SUB PROCESS",UPPER(RIGHT(Data!BY415,5))=".BPMN",TRUE),TRUE)</f>
        <v>1</v>
      </c>
      <c r="S415" s="26" t="b">
        <f>IF(Checks!C415,IF(UPPER(Data!C415)="SERVICE TASK",IF(UPPER(Data!BZ415)="TYPE=SAS",UPPER(RIGHT(Data!CA415,4))=".SAS",TRUE),TRUE),TRUE)</f>
        <v>1</v>
      </c>
      <c r="T415" s="26" t="b">
        <f>IF(Checks!C415,IF(Data!B415&lt;&gt;"",Data!D415&lt;&gt;"",TRUE),TRUE)</f>
        <v>1</v>
      </c>
      <c r="U415" s="26" t="b">
        <f ca="1">IF(Checks!C415,IF(UPPER(Data!C415)="DATA OBJECT",NOT(ISERROR(MATCH(Data!A415&amp;"||"&amp;Data!BW415&amp;Data!BX415,Key,0))),TRUE),TRUE)</f>
        <v>1</v>
      </c>
      <c r="V415" s="26" t="b">
        <f>IF(Checks!C415,IF(UPPER(Data!C415)="SUB PROCESS",Data!BY415&lt;&gt;"",TRUE),TRUE)</f>
        <v>1</v>
      </c>
      <c r="W415" s="26" t="b">
        <f>IF(Checks!C415,IF(UPPER(Data!C415)="SERVICE TASK",AND(Data!BZ415&lt;&gt;"",Data!CA415&lt;&gt;""),TRUE),TRUE)</f>
        <v>1</v>
      </c>
      <c r="X415" s="26" t="b">
        <f t="array" aca="1" ref="X415" ca="1">SUM((OFFSET(Data!B415,MAX(ROW(Data!$B$5)-ROW(Data!B415),-200),0,400,1)=Data!B415)*(OFFSET(Data!A415,MAX(ROW(Data!$B$5)-ROW(Data!B415),-200),0,400,1)=Data!A415))=1</f>
        <v>1</v>
      </c>
      <c r="Y415" s="26" t="b">
        <f t="array" aca="1" ref="Y415" ca="1">IF(UPPER(Data!C415)="START",SUM((OFFSET(Data!C415,MAX(ROW(Data!$C$5)-ROW(Data!C415),-200),0,400,1)="START")*(OFFSET(Data!A415,MAX(ROW(Data!$B$5)-ROW(Data!B415),-200),0,400,1)=Data!A415))=1,TRUE)</f>
        <v>1</v>
      </c>
      <c r="Z415" s="26" t="b">
        <f t="array" aca="1" ref="Z415" ca="1">IF(UPPER(Data!C415)="END",SUM((OFFSET(Data!C415,MAX(ROW(Data!$C$5)-ROW(Data!C415),-200),0,400,1)="END")*(OFFSET(Data!A415,MAX(ROW(Data!$B$5)-ROW(Data!B415),-200),0,400,1)=Data!A415))=1,TRUE)</f>
        <v>1</v>
      </c>
      <c r="AA415" s="26" t="b">
        <f>IF(Checks!C415,ISERROR(FIND("&amp;",Data!D415)),TRUE)</f>
        <v>1</v>
      </c>
      <c r="AB415" s="26" t="b">
        <f>IF(Checks!$C415,IF(AND(UPPER(Data!$C415)&lt;&gt;"START",UPPER(Data!$C415)&lt;&gt;"DATA OBJECT",Data!E415&lt;&gt;""),NOT(ISERROR(MATCH(Data!$A415&amp;"||"&amp;Data!E415,Key,0))),TRUE),TRUE)</f>
        <v>1</v>
      </c>
      <c r="AC415" s="27" t="b">
        <f>IF(Checks!C415,IF(UPPER(Data!C415)="END",Data!E415&lt;&gt;"",TRUE),TRUE)</f>
        <v>1</v>
      </c>
    </row>
    <row r="416" spans="1:29" x14ac:dyDescent="0.25">
      <c r="A416" s="1" t="str">
        <f>Data!A416&amp;"||"&amp;Data!B416</f>
        <v>Miscellaneous/subflow/irmifrs9_preprocess_stage3.bpmn||010_00_02</v>
      </c>
      <c r="B416" s="19"/>
      <c r="C416" s="24" t="b">
        <f>AND(UPPER(Data!A416)&lt;&gt;"EMPTY",Data!B416&lt;&gt;"")</f>
        <v>1</v>
      </c>
      <c r="D416" s="1"/>
      <c r="E416" s="25" t="b">
        <f t="shared" ca="1" si="12"/>
        <v>1</v>
      </c>
      <c r="F416" s="26" t="b">
        <f ca="1">IF(UPPER(Data!C416)="SUB PROCESS",NOT(ISERROR(MATCH(RIGHT(Data!BY416,LEN(Data!BY416)-5),OFFSET(Data,0,0,ItemsCount,1),0))),TRUE)</f>
        <v>1</v>
      </c>
      <c r="G416" s="26" t="b">
        <f ca="1">IF(MID(UPPER(Data!A416),1,13)="MISCELLANEOUS",NOT(ISERROR(MATCH("path="&amp;Data!A416,OFFSET(Data,0,76,ItemsCount,1),0))),TRUE)</f>
        <v>1</v>
      </c>
      <c r="L416" s="25" t="b">
        <f t="shared" ca="1" si="13"/>
        <v>1</v>
      </c>
      <c r="M416" s="24" t="b">
        <f>IF(Checks!$C416,Data!A416&lt;&gt;"",TRUE)</f>
        <v>1</v>
      </c>
      <c r="N416" s="26" t="b">
        <f>IF(Checks!C416,Data!B416&lt;&gt;"",TRUE)</f>
        <v>1</v>
      </c>
      <c r="O416" s="26" t="b">
        <f>IF(Checks!C416,IF(AND(UPPER(Data!C416)="SERVICE TASK",UPPER(Data!BZ416)="TYPE=SAS"),NodeExists(TRIM(RIGHT(Data!CA416,LEN(Data!CA416)-FIND("=",Data!CA416)))),TRUE),TRUE)</f>
        <v>1</v>
      </c>
      <c r="P416" s="26" t="b">
        <f>IF(Checks!C416,IF(Data!C416="DATA OBJECT",OR(AND(Data!BW416&lt;&gt;"",Data!BX416=""),AND(Data!BW416="",Data!BX416&lt;&gt;"")),TRUE),TRUE)</f>
        <v>1</v>
      </c>
      <c r="Q416" s="26" t="b">
        <f>IF(Checks!C416,UPPER(RIGHT(Data!A416,5))=".BPMN",TRUE)</f>
        <v>1</v>
      </c>
      <c r="R416" s="26" t="b">
        <f>IF(Checks!C416,IF(UPPER(Data!C416)="SUB PROCESS",UPPER(RIGHT(Data!BY416,5))=".BPMN",TRUE),TRUE)</f>
        <v>1</v>
      </c>
      <c r="S416" s="26" t="b">
        <f>IF(Checks!C416,IF(UPPER(Data!C416)="SERVICE TASK",IF(UPPER(Data!BZ416)="TYPE=SAS",UPPER(RIGHT(Data!CA416,4))=".SAS",TRUE),TRUE),TRUE)</f>
        <v>1</v>
      </c>
      <c r="T416" s="26" t="b">
        <f>IF(Checks!C416,IF(Data!B416&lt;&gt;"",Data!D416&lt;&gt;"",TRUE),TRUE)</f>
        <v>1</v>
      </c>
      <c r="U416" s="26" t="b">
        <f ca="1">IF(Checks!C416,IF(UPPER(Data!C416)="DATA OBJECT",NOT(ISERROR(MATCH(Data!A416&amp;"||"&amp;Data!BW416&amp;Data!BX416,Key,0))),TRUE),TRUE)</f>
        <v>1</v>
      </c>
      <c r="V416" s="26" t="b">
        <f>IF(Checks!C416,IF(UPPER(Data!C416)="SUB PROCESS",Data!BY416&lt;&gt;"",TRUE),TRUE)</f>
        <v>1</v>
      </c>
      <c r="W416" s="26" t="b">
        <f>IF(Checks!C416,IF(UPPER(Data!C416)="SERVICE TASK",AND(Data!BZ416&lt;&gt;"",Data!CA416&lt;&gt;""),TRUE),TRUE)</f>
        <v>1</v>
      </c>
      <c r="X416" s="26" t="b">
        <f t="array" aca="1" ref="X416" ca="1">SUM((OFFSET(Data!B416,MAX(ROW(Data!$B$5)-ROW(Data!B416),-200),0,400,1)=Data!B416)*(OFFSET(Data!A416,MAX(ROW(Data!$B$5)-ROW(Data!B416),-200),0,400,1)=Data!A416))=1</f>
        <v>1</v>
      </c>
      <c r="Y416" s="26" t="b">
        <f t="array" aca="1" ref="Y416" ca="1">IF(UPPER(Data!C416)="START",SUM((OFFSET(Data!C416,MAX(ROW(Data!$C$5)-ROW(Data!C416),-200),0,400,1)="START")*(OFFSET(Data!A416,MAX(ROW(Data!$B$5)-ROW(Data!B416),-200),0,400,1)=Data!A416))=1,TRUE)</f>
        <v>1</v>
      </c>
      <c r="Z416" s="26" t="b">
        <f t="array" aca="1" ref="Z416" ca="1">IF(UPPER(Data!C416)="END",SUM((OFFSET(Data!C416,MAX(ROW(Data!$C$5)-ROW(Data!C416),-200),0,400,1)="END")*(OFFSET(Data!A416,MAX(ROW(Data!$B$5)-ROW(Data!B416),-200),0,400,1)=Data!A416))=1,TRUE)</f>
        <v>1</v>
      </c>
      <c r="AA416" s="26" t="b">
        <f>IF(Checks!C416,ISERROR(FIND("&amp;",Data!D416)),TRUE)</f>
        <v>1</v>
      </c>
      <c r="AB416" s="26" t="b">
        <f>IF(Checks!$C416,IF(AND(UPPER(Data!$C416)&lt;&gt;"START",UPPER(Data!$C416)&lt;&gt;"DATA OBJECT",Data!E416&lt;&gt;""),NOT(ISERROR(MATCH(Data!$A416&amp;"||"&amp;Data!E416,Key,0))),TRUE),TRUE)</f>
        <v>1</v>
      </c>
      <c r="AC416" s="27" t="b">
        <f>IF(Checks!C416,IF(UPPER(Data!C416)="END",Data!E416&lt;&gt;"",TRUE),TRUE)</f>
        <v>1</v>
      </c>
    </row>
    <row r="417" spans="1:29" x14ac:dyDescent="0.25">
      <c r="A417" s="1" t="str">
        <f>Data!A417&amp;"||"&amp;Data!B417</f>
        <v>Miscellaneous/subflow/irmifrs9_preprocess_stage3.bpmn||010_00_03</v>
      </c>
      <c r="B417" s="19"/>
      <c r="C417" s="24" t="b">
        <f>AND(UPPER(Data!A417)&lt;&gt;"EMPTY",Data!B417&lt;&gt;"")</f>
        <v>1</v>
      </c>
      <c r="D417" s="1"/>
      <c r="E417" s="25" t="b">
        <f t="shared" ca="1" si="12"/>
        <v>1</v>
      </c>
      <c r="F417" s="26" t="b">
        <f ca="1">IF(UPPER(Data!C417)="SUB PROCESS",NOT(ISERROR(MATCH(RIGHT(Data!BY417,LEN(Data!BY417)-5),OFFSET(Data,0,0,ItemsCount,1),0))),TRUE)</f>
        <v>1</v>
      </c>
      <c r="G417" s="26" t="b">
        <f ca="1">IF(MID(UPPER(Data!A417),1,13)="MISCELLANEOUS",NOT(ISERROR(MATCH("path="&amp;Data!A417,OFFSET(Data,0,76,ItemsCount,1),0))),TRUE)</f>
        <v>1</v>
      </c>
      <c r="L417" s="25" t="b">
        <f t="shared" ca="1" si="13"/>
        <v>1</v>
      </c>
      <c r="M417" s="24" t="b">
        <f>IF(Checks!$C417,Data!A417&lt;&gt;"",TRUE)</f>
        <v>1</v>
      </c>
      <c r="N417" s="26" t="b">
        <f>IF(Checks!C417,Data!B417&lt;&gt;"",TRUE)</f>
        <v>1</v>
      </c>
      <c r="O417" s="26" t="b">
        <f>IF(Checks!C417,IF(AND(UPPER(Data!C417)="SERVICE TASK",UPPER(Data!BZ417)="TYPE=SAS"),NodeExists(TRIM(RIGHT(Data!CA417,LEN(Data!CA417)-FIND("=",Data!CA417)))),TRUE),TRUE)</f>
        <v>1</v>
      </c>
      <c r="P417" s="26" t="b">
        <f>IF(Checks!C417,IF(Data!C417="DATA OBJECT",OR(AND(Data!BW417&lt;&gt;"",Data!BX417=""),AND(Data!BW417="",Data!BX417&lt;&gt;"")),TRUE),TRUE)</f>
        <v>1</v>
      </c>
      <c r="Q417" s="26" t="b">
        <f>IF(Checks!C417,UPPER(RIGHT(Data!A417,5))=".BPMN",TRUE)</f>
        <v>1</v>
      </c>
      <c r="R417" s="26" t="b">
        <f>IF(Checks!C417,IF(UPPER(Data!C417)="SUB PROCESS",UPPER(RIGHT(Data!BY417,5))=".BPMN",TRUE),TRUE)</f>
        <v>1</v>
      </c>
      <c r="S417" s="26" t="b">
        <f>IF(Checks!C417,IF(UPPER(Data!C417)="SERVICE TASK",IF(UPPER(Data!BZ417)="TYPE=SAS",UPPER(RIGHT(Data!CA417,4))=".SAS",TRUE),TRUE),TRUE)</f>
        <v>1</v>
      </c>
      <c r="T417" s="26" t="b">
        <f>IF(Checks!C417,IF(Data!B417&lt;&gt;"",Data!D417&lt;&gt;"",TRUE),TRUE)</f>
        <v>1</v>
      </c>
      <c r="U417" s="26" t="b">
        <f ca="1">IF(Checks!C417,IF(UPPER(Data!C417)="DATA OBJECT",NOT(ISERROR(MATCH(Data!A417&amp;"||"&amp;Data!BW417&amp;Data!BX417,Key,0))),TRUE),TRUE)</f>
        <v>1</v>
      </c>
      <c r="V417" s="26" t="b">
        <f>IF(Checks!C417,IF(UPPER(Data!C417)="SUB PROCESS",Data!BY417&lt;&gt;"",TRUE),TRUE)</f>
        <v>1</v>
      </c>
      <c r="W417" s="26" t="b">
        <f>IF(Checks!C417,IF(UPPER(Data!C417)="SERVICE TASK",AND(Data!BZ417&lt;&gt;"",Data!CA417&lt;&gt;""),TRUE),TRUE)</f>
        <v>1</v>
      </c>
      <c r="X417" s="26" t="b">
        <f t="array" aca="1" ref="X417" ca="1">SUM((OFFSET(Data!B417,MAX(ROW(Data!$B$5)-ROW(Data!B417),-200),0,400,1)=Data!B417)*(OFFSET(Data!A417,MAX(ROW(Data!$B$5)-ROW(Data!B417),-200),0,400,1)=Data!A417))=1</f>
        <v>1</v>
      </c>
      <c r="Y417" s="26" t="b">
        <f t="array" aca="1" ref="Y417" ca="1">IF(UPPER(Data!C417)="START",SUM((OFFSET(Data!C417,MAX(ROW(Data!$C$5)-ROW(Data!C417),-200),0,400,1)="START")*(OFFSET(Data!A417,MAX(ROW(Data!$B$5)-ROW(Data!B417),-200),0,400,1)=Data!A417))=1,TRUE)</f>
        <v>1</v>
      </c>
      <c r="Z417" s="26" t="b">
        <f t="array" aca="1" ref="Z417" ca="1">IF(UPPER(Data!C417)="END",SUM((OFFSET(Data!C417,MAX(ROW(Data!$C$5)-ROW(Data!C417),-200),0,400,1)="END")*(OFFSET(Data!A417,MAX(ROW(Data!$B$5)-ROW(Data!B417),-200),0,400,1)=Data!A417))=1,TRUE)</f>
        <v>1</v>
      </c>
      <c r="AA417" s="26" t="b">
        <f>IF(Checks!C417,ISERROR(FIND("&amp;",Data!D417)),TRUE)</f>
        <v>1</v>
      </c>
      <c r="AB417" s="26" t="b">
        <f>IF(Checks!$C417,IF(AND(UPPER(Data!$C417)&lt;&gt;"START",UPPER(Data!$C417)&lt;&gt;"DATA OBJECT",Data!E417&lt;&gt;""),NOT(ISERROR(MATCH(Data!$A417&amp;"||"&amp;Data!E417,Key,0))),TRUE),TRUE)</f>
        <v>1</v>
      </c>
      <c r="AC417" s="27" t="b">
        <f>IF(Checks!C417,IF(UPPER(Data!C417)="END",Data!E417&lt;&gt;"",TRUE),TRUE)</f>
        <v>1</v>
      </c>
    </row>
    <row r="418" spans="1:29" x14ac:dyDescent="0.25">
      <c r="A418" s="1" t="str">
        <f>Data!A418&amp;"||"&amp;Data!B418</f>
        <v>Miscellaneous/subflow/irmifrs9_preprocess_stage3.bpmn||010_01_00</v>
      </c>
      <c r="B418" s="19"/>
      <c r="C418" s="24" t="b">
        <f>AND(UPPER(Data!A418)&lt;&gt;"EMPTY",Data!B418&lt;&gt;"")</f>
        <v>1</v>
      </c>
      <c r="D418" s="1"/>
      <c r="E418" s="25" t="b">
        <f t="shared" ca="1" si="12"/>
        <v>1</v>
      </c>
      <c r="F418" s="26" t="b">
        <f ca="1">IF(UPPER(Data!C418)="SUB PROCESS",NOT(ISERROR(MATCH(RIGHT(Data!BY418,LEN(Data!BY418)-5),OFFSET(Data,0,0,ItemsCount,1),0))),TRUE)</f>
        <v>1</v>
      </c>
      <c r="G418" s="26" t="b">
        <f ca="1">IF(MID(UPPER(Data!A418),1,13)="MISCELLANEOUS",NOT(ISERROR(MATCH("path="&amp;Data!A418,OFFSET(Data,0,76,ItemsCount,1),0))),TRUE)</f>
        <v>1</v>
      </c>
      <c r="L418" s="25" t="b">
        <f t="shared" ca="1" si="13"/>
        <v>1</v>
      </c>
      <c r="M418" s="24" t="b">
        <f>IF(Checks!$C418,Data!A418&lt;&gt;"",TRUE)</f>
        <v>1</v>
      </c>
      <c r="N418" s="26" t="b">
        <f>IF(Checks!C418,Data!B418&lt;&gt;"",TRUE)</f>
        <v>1</v>
      </c>
      <c r="O418" s="26" t="b">
        <f>IF(Checks!C418,IF(AND(UPPER(Data!C418)="SERVICE TASK",UPPER(Data!BZ418)="TYPE=SAS"),NodeExists(TRIM(RIGHT(Data!CA418,LEN(Data!CA418)-FIND("=",Data!CA418)))),TRUE),TRUE)</f>
        <v>1</v>
      </c>
      <c r="P418" s="26" t="b">
        <f>IF(Checks!C418,IF(Data!C418="DATA OBJECT",OR(AND(Data!BW418&lt;&gt;"",Data!BX418=""),AND(Data!BW418="",Data!BX418&lt;&gt;"")),TRUE),TRUE)</f>
        <v>1</v>
      </c>
      <c r="Q418" s="26" t="b">
        <f>IF(Checks!C418,UPPER(RIGHT(Data!A418,5))=".BPMN",TRUE)</f>
        <v>1</v>
      </c>
      <c r="R418" s="26" t="b">
        <f>IF(Checks!C418,IF(UPPER(Data!C418)="SUB PROCESS",UPPER(RIGHT(Data!BY418,5))=".BPMN",TRUE),TRUE)</f>
        <v>1</v>
      </c>
      <c r="S418" s="26" t="b">
        <f>IF(Checks!C418,IF(UPPER(Data!C418)="SERVICE TASK",IF(UPPER(Data!BZ418)="TYPE=SAS",UPPER(RIGHT(Data!CA418,4))=".SAS",TRUE),TRUE),TRUE)</f>
        <v>1</v>
      </c>
      <c r="T418" s="26" t="b">
        <f>IF(Checks!C418,IF(Data!B418&lt;&gt;"",Data!D418&lt;&gt;"",TRUE),TRUE)</f>
        <v>1</v>
      </c>
      <c r="U418" s="26" t="b">
        <f ca="1">IF(Checks!C418,IF(UPPER(Data!C418)="DATA OBJECT",NOT(ISERROR(MATCH(Data!A418&amp;"||"&amp;Data!BW418&amp;Data!BX418,Key,0))),TRUE),TRUE)</f>
        <v>1</v>
      </c>
      <c r="V418" s="26" t="b">
        <f>IF(Checks!C418,IF(UPPER(Data!C418)="SUB PROCESS",Data!BY418&lt;&gt;"",TRUE),TRUE)</f>
        <v>1</v>
      </c>
      <c r="W418" s="26" t="b">
        <f>IF(Checks!C418,IF(UPPER(Data!C418)="SERVICE TASK",AND(Data!BZ418&lt;&gt;"",Data!CA418&lt;&gt;""),TRUE),TRUE)</f>
        <v>1</v>
      </c>
      <c r="X418" s="26" t="b">
        <f t="array" aca="1" ref="X418" ca="1">SUM((OFFSET(Data!B418,MAX(ROW(Data!$B$5)-ROW(Data!B418),-200),0,400,1)=Data!B418)*(OFFSET(Data!A418,MAX(ROW(Data!$B$5)-ROW(Data!B418),-200),0,400,1)=Data!A418))=1</f>
        <v>1</v>
      </c>
      <c r="Y418" s="26" t="b">
        <f t="array" aca="1" ref="Y418" ca="1">IF(UPPER(Data!C418)="START",SUM((OFFSET(Data!C418,MAX(ROW(Data!$C$5)-ROW(Data!C418),-200),0,400,1)="START")*(OFFSET(Data!A418,MAX(ROW(Data!$B$5)-ROW(Data!B418),-200),0,400,1)=Data!A418))=1,TRUE)</f>
        <v>1</v>
      </c>
      <c r="Z418" s="26" t="b">
        <f t="array" aca="1" ref="Z418" ca="1">IF(UPPER(Data!C418)="END",SUM((OFFSET(Data!C418,MAX(ROW(Data!$C$5)-ROW(Data!C418),-200),0,400,1)="END")*(OFFSET(Data!A418,MAX(ROW(Data!$B$5)-ROW(Data!B418),-200),0,400,1)=Data!A418))=1,TRUE)</f>
        <v>1</v>
      </c>
      <c r="AA418" s="26" t="b">
        <f>IF(Checks!C418,ISERROR(FIND("&amp;",Data!D418)),TRUE)</f>
        <v>1</v>
      </c>
      <c r="AB418" s="26" t="b">
        <f>IF(Checks!$C418,IF(AND(UPPER(Data!$C418)&lt;&gt;"START",UPPER(Data!$C418)&lt;&gt;"DATA OBJECT",Data!E418&lt;&gt;""),NOT(ISERROR(MATCH(Data!$A418&amp;"||"&amp;Data!E418,Key,0))),TRUE),TRUE)</f>
        <v>1</v>
      </c>
      <c r="AC418" s="27" t="b">
        <f>IF(Checks!C418,IF(UPPER(Data!C418)="END",Data!E418&lt;&gt;"",TRUE),TRUE)</f>
        <v>1</v>
      </c>
    </row>
    <row r="419" spans="1:29" x14ac:dyDescent="0.25">
      <c r="A419" s="1" t="str">
        <f>Data!A419&amp;"||"&amp;Data!B419</f>
        <v>Miscellaneous/subflow/irmifrs9_preprocess_stage3.bpmn||020_00_00</v>
      </c>
      <c r="B419" s="19"/>
      <c r="C419" s="24" t="b">
        <f>AND(UPPER(Data!A419)&lt;&gt;"EMPTY",Data!B419&lt;&gt;"")</f>
        <v>1</v>
      </c>
      <c r="D419" s="1"/>
      <c r="E419" s="25" t="b">
        <f t="shared" ca="1" si="12"/>
        <v>1</v>
      </c>
      <c r="F419" s="26" t="b">
        <f ca="1">IF(UPPER(Data!C419)="SUB PROCESS",NOT(ISERROR(MATCH(RIGHT(Data!BY419,LEN(Data!BY419)-5),OFFSET(Data,0,0,ItemsCount,1),0))),TRUE)</f>
        <v>1</v>
      </c>
      <c r="G419" s="26" t="b">
        <f ca="1">IF(MID(UPPER(Data!A419),1,13)="MISCELLANEOUS",NOT(ISERROR(MATCH("path="&amp;Data!A419,OFFSET(Data,0,76,ItemsCount,1),0))),TRUE)</f>
        <v>1</v>
      </c>
      <c r="L419" s="25" t="b">
        <f t="shared" ca="1" si="13"/>
        <v>1</v>
      </c>
      <c r="M419" s="24" t="b">
        <f>IF(Checks!$C419,Data!A419&lt;&gt;"",TRUE)</f>
        <v>1</v>
      </c>
      <c r="N419" s="26" t="b">
        <f>IF(Checks!C419,Data!B419&lt;&gt;"",TRUE)</f>
        <v>1</v>
      </c>
      <c r="O419" s="26" t="b">
        <f>IF(Checks!C419,IF(AND(UPPER(Data!C419)="SERVICE TASK",UPPER(Data!BZ419)="TYPE=SAS"),NodeExists(TRIM(RIGHT(Data!CA419,LEN(Data!CA419)-FIND("=",Data!CA419)))),TRUE),TRUE)</f>
        <v>1</v>
      </c>
      <c r="P419" s="26" t="b">
        <f>IF(Checks!C419,IF(Data!C419="DATA OBJECT",OR(AND(Data!BW419&lt;&gt;"",Data!BX419=""),AND(Data!BW419="",Data!BX419&lt;&gt;"")),TRUE),TRUE)</f>
        <v>1</v>
      </c>
      <c r="Q419" s="26" t="b">
        <f>IF(Checks!C419,UPPER(RIGHT(Data!A419,5))=".BPMN",TRUE)</f>
        <v>1</v>
      </c>
      <c r="R419" s="26" t="b">
        <f>IF(Checks!C419,IF(UPPER(Data!C419)="SUB PROCESS",UPPER(RIGHT(Data!BY419,5))=".BPMN",TRUE),TRUE)</f>
        <v>1</v>
      </c>
      <c r="S419" s="26" t="b">
        <f>IF(Checks!C419,IF(UPPER(Data!C419)="SERVICE TASK",IF(UPPER(Data!BZ419)="TYPE=SAS",UPPER(RIGHT(Data!CA419,4))=".SAS",TRUE),TRUE),TRUE)</f>
        <v>1</v>
      </c>
      <c r="T419" s="26" t="b">
        <f>IF(Checks!C419,IF(Data!B419&lt;&gt;"",Data!D419&lt;&gt;"",TRUE),TRUE)</f>
        <v>1</v>
      </c>
      <c r="U419" s="26" t="b">
        <f>IF(Checks!C419,IF(UPPER(Data!C419)="DATA OBJECT",NOT(ISERROR(MATCH(Data!A419&amp;"||"&amp;Data!BW419&amp;Data!BX419,Key,0))),TRUE),TRUE)</f>
        <v>1</v>
      </c>
      <c r="V419" s="26" t="b">
        <f>IF(Checks!C419,IF(UPPER(Data!C419)="SUB PROCESS",Data!BY419&lt;&gt;"",TRUE),TRUE)</f>
        <v>1</v>
      </c>
      <c r="W419" s="26" t="b">
        <f>IF(Checks!C419,IF(UPPER(Data!C419)="SERVICE TASK",AND(Data!BZ419&lt;&gt;"",Data!CA419&lt;&gt;""),TRUE),TRUE)</f>
        <v>1</v>
      </c>
      <c r="X419" s="26" t="b">
        <f t="array" aca="1" ref="X419" ca="1">SUM((OFFSET(Data!B419,MAX(ROW(Data!$B$5)-ROW(Data!B419),-200),0,400,1)=Data!B419)*(OFFSET(Data!A419,MAX(ROW(Data!$B$5)-ROW(Data!B419),-200),0,400,1)=Data!A419))=1</f>
        <v>1</v>
      </c>
      <c r="Y419" s="26" t="b">
        <f t="array" aca="1" ref="Y419" ca="1">IF(UPPER(Data!C419)="START",SUM((OFFSET(Data!C419,MAX(ROW(Data!$C$5)-ROW(Data!C419),-200),0,400,1)="START")*(OFFSET(Data!A419,MAX(ROW(Data!$B$5)-ROW(Data!B419),-200),0,400,1)=Data!A419))=1,TRUE)</f>
        <v>1</v>
      </c>
      <c r="Z419" s="26" t="b">
        <f t="array" aca="1" ref="Z419" ca="1">IF(UPPER(Data!C419)="END",SUM((OFFSET(Data!C419,MAX(ROW(Data!$C$5)-ROW(Data!C419),-200),0,400,1)="END")*(OFFSET(Data!A419,MAX(ROW(Data!$B$5)-ROW(Data!B419),-200),0,400,1)=Data!A419))=1,TRUE)</f>
        <v>1</v>
      </c>
      <c r="AA419" s="26" t="b">
        <f>IF(Checks!C419,ISERROR(FIND("&amp;",Data!D419)),TRUE)</f>
        <v>1</v>
      </c>
      <c r="AB419" s="26" t="b">
        <f ca="1">IF(Checks!$C419,IF(AND(UPPER(Data!$C419)&lt;&gt;"START",UPPER(Data!$C419)&lt;&gt;"DATA OBJECT",Data!E419&lt;&gt;""),NOT(ISERROR(MATCH(Data!$A419&amp;"||"&amp;Data!E419,Key,0))),TRUE),TRUE)</f>
        <v>1</v>
      </c>
      <c r="AC419" s="27" t="b">
        <f>IF(Checks!C419,IF(UPPER(Data!C419)="END",Data!E419&lt;&gt;"",TRUE),TRUE)</f>
        <v>1</v>
      </c>
    </row>
    <row r="420" spans="1:29" x14ac:dyDescent="0.25">
      <c r="A420" s="1" t="str">
        <f>Data!A420&amp;"||"&amp;Data!B420</f>
        <v>Miscellaneous/subflow/irmifrs9_preprocess_stage3.bpmn||020_00_01</v>
      </c>
      <c r="B420" s="19"/>
      <c r="C420" s="24" t="b">
        <f>AND(UPPER(Data!A420)&lt;&gt;"EMPTY",Data!B420&lt;&gt;"")</f>
        <v>1</v>
      </c>
      <c r="D420" s="1"/>
      <c r="E420" s="25" t="b">
        <f t="shared" ca="1" si="12"/>
        <v>1</v>
      </c>
      <c r="F420" s="26" t="b">
        <f ca="1">IF(UPPER(Data!C420)="SUB PROCESS",NOT(ISERROR(MATCH(RIGHT(Data!BY420,LEN(Data!BY420)-5),OFFSET(Data,0,0,ItemsCount,1),0))),TRUE)</f>
        <v>1</v>
      </c>
      <c r="G420" s="26" t="b">
        <f ca="1">IF(MID(UPPER(Data!A420),1,13)="MISCELLANEOUS",NOT(ISERROR(MATCH("path="&amp;Data!A420,OFFSET(Data,0,76,ItemsCount,1),0))),TRUE)</f>
        <v>1</v>
      </c>
      <c r="L420" s="25" t="b">
        <f t="shared" ca="1" si="13"/>
        <v>1</v>
      </c>
      <c r="M420" s="24" t="b">
        <f>IF(Checks!$C420,Data!A420&lt;&gt;"",TRUE)</f>
        <v>1</v>
      </c>
      <c r="N420" s="26" t="b">
        <f>IF(Checks!C420,Data!B420&lt;&gt;"",TRUE)</f>
        <v>1</v>
      </c>
      <c r="O420" s="26" t="b">
        <f>IF(Checks!C420,IF(AND(UPPER(Data!C420)="SERVICE TASK",UPPER(Data!BZ420)="TYPE=SAS"),NodeExists(TRIM(RIGHT(Data!CA420,LEN(Data!CA420)-FIND("=",Data!CA420)))),TRUE),TRUE)</f>
        <v>1</v>
      </c>
      <c r="P420" s="26" t="b">
        <f>IF(Checks!C420,IF(Data!C420="DATA OBJECT",OR(AND(Data!BW420&lt;&gt;"",Data!BX420=""),AND(Data!BW420="",Data!BX420&lt;&gt;"")),TRUE),TRUE)</f>
        <v>1</v>
      </c>
      <c r="Q420" s="26" t="b">
        <f>IF(Checks!C420,UPPER(RIGHT(Data!A420,5))=".BPMN",TRUE)</f>
        <v>1</v>
      </c>
      <c r="R420" s="26" t="b">
        <f>IF(Checks!C420,IF(UPPER(Data!C420)="SUB PROCESS",UPPER(RIGHT(Data!BY420,5))=".BPMN",TRUE),TRUE)</f>
        <v>1</v>
      </c>
      <c r="S420" s="26" t="b">
        <f>IF(Checks!C420,IF(UPPER(Data!C420)="SERVICE TASK",IF(UPPER(Data!BZ420)="TYPE=SAS",UPPER(RIGHT(Data!CA420,4))=".SAS",TRUE),TRUE),TRUE)</f>
        <v>1</v>
      </c>
      <c r="T420" s="26" t="b">
        <f>IF(Checks!C420,IF(Data!B420&lt;&gt;"",Data!D420&lt;&gt;"",TRUE),TRUE)</f>
        <v>1</v>
      </c>
      <c r="U420" s="26" t="b">
        <f ca="1">IF(Checks!C420,IF(UPPER(Data!C420)="DATA OBJECT",NOT(ISERROR(MATCH(Data!A420&amp;"||"&amp;Data!BW420&amp;Data!BX420,Key,0))),TRUE),TRUE)</f>
        <v>1</v>
      </c>
      <c r="V420" s="26" t="b">
        <f>IF(Checks!C420,IF(UPPER(Data!C420)="SUB PROCESS",Data!BY420&lt;&gt;"",TRUE),TRUE)</f>
        <v>1</v>
      </c>
      <c r="W420" s="26" t="b">
        <f>IF(Checks!C420,IF(UPPER(Data!C420)="SERVICE TASK",AND(Data!BZ420&lt;&gt;"",Data!CA420&lt;&gt;""),TRUE),TRUE)</f>
        <v>1</v>
      </c>
      <c r="X420" s="26" t="b">
        <f t="array" aca="1" ref="X420" ca="1">SUM((OFFSET(Data!B420,MAX(ROW(Data!$B$5)-ROW(Data!B420),-200),0,400,1)=Data!B420)*(OFFSET(Data!A420,MAX(ROW(Data!$B$5)-ROW(Data!B420),-200),0,400,1)=Data!A420))=1</f>
        <v>1</v>
      </c>
      <c r="Y420" s="26" t="b">
        <f t="array" aca="1" ref="Y420" ca="1">IF(UPPER(Data!C420)="START",SUM((OFFSET(Data!C420,MAX(ROW(Data!$C$5)-ROW(Data!C420),-200),0,400,1)="START")*(OFFSET(Data!A420,MAX(ROW(Data!$B$5)-ROW(Data!B420),-200),0,400,1)=Data!A420))=1,TRUE)</f>
        <v>1</v>
      </c>
      <c r="Z420" s="26" t="b">
        <f t="array" aca="1" ref="Z420" ca="1">IF(UPPER(Data!C420)="END",SUM((OFFSET(Data!C420,MAX(ROW(Data!$C$5)-ROW(Data!C420),-200),0,400,1)="END")*(OFFSET(Data!A420,MAX(ROW(Data!$B$5)-ROW(Data!B420),-200),0,400,1)=Data!A420))=1,TRUE)</f>
        <v>1</v>
      </c>
      <c r="AA420" s="26" t="b">
        <f>IF(Checks!C420,ISERROR(FIND("&amp;",Data!D420)),TRUE)</f>
        <v>1</v>
      </c>
      <c r="AB420" s="26" t="b">
        <f>IF(Checks!$C420,IF(AND(UPPER(Data!$C420)&lt;&gt;"START",UPPER(Data!$C420)&lt;&gt;"DATA OBJECT",Data!E420&lt;&gt;""),NOT(ISERROR(MATCH(Data!$A420&amp;"||"&amp;Data!E420,Key,0))),TRUE),TRUE)</f>
        <v>1</v>
      </c>
      <c r="AC420" s="27" t="b">
        <f>IF(Checks!C420,IF(UPPER(Data!C420)="END",Data!E420&lt;&gt;"",TRUE),TRUE)</f>
        <v>1</v>
      </c>
    </row>
    <row r="421" spans="1:29" x14ac:dyDescent="0.25">
      <c r="A421" s="1" t="str">
        <f>Data!A421&amp;"||"&amp;Data!B421</f>
        <v>Miscellaneous/subflow/irmifrs9_preprocess_stage3.bpmn||020_00_02</v>
      </c>
      <c r="B421" s="19"/>
      <c r="C421" s="24" t="b">
        <f>AND(UPPER(Data!A421)&lt;&gt;"EMPTY",Data!B421&lt;&gt;"")</f>
        <v>1</v>
      </c>
      <c r="D421" s="1"/>
      <c r="E421" s="25" t="b">
        <f t="shared" ca="1" si="12"/>
        <v>1</v>
      </c>
      <c r="F421" s="26" t="b">
        <f ca="1">IF(UPPER(Data!C421)="SUB PROCESS",NOT(ISERROR(MATCH(RIGHT(Data!BY421,LEN(Data!BY421)-5),OFFSET(Data,0,0,ItemsCount,1),0))),TRUE)</f>
        <v>1</v>
      </c>
      <c r="G421" s="26" t="b">
        <f ca="1">IF(MID(UPPER(Data!A421),1,13)="MISCELLANEOUS",NOT(ISERROR(MATCH("path="&amp;Data!A421,OFFSET(Data,0,76,ItemsCount,1),0))),TRUE)</f>
        <v>1</v>
      </c>
      <c r="L421" s="25" t="b">
        <f t="shared" ca="1" si="13"/>
        <v>1</v>
      </c>
      <c r="M421" s="24" t="b">
        <f>IF(Checks!$C421,Data!A421&lt;&gt;"",TRUE)</f>
        <v>1</v>
      </c>
      <c r="N421" s="26" t="b">
        <f>IF(Checks!C421,Data!B421&lt;&gt;"",TRUE)</f>
        <v>1</v>
      </c>
      <c r="O421" s="26" t="b">
        <f>IF(Checks!C421,IF(AND(UPPER(Data!C421)="SERVICE TASK",UPPER(Data!BZ421)="TYPE=SAS"),NodeExists(TRIM(RIGHT(Data!CA421,LEN(Data!CA421)-FIND("=",Data!CA421)))),TRUE),TRUE)</f>
        <v>1</v>
      </c>
      <c r="P421" s="26" t="b">
        <f>IF(Checks!C421,IF(Data!C421="DATA OBJECT",OR(AND(Data!BW421&lt;&gt;"",Data!BX421=""),AND(Data!BW421="",Data!BX421&lt;&gt;"")),TRUE),TRUE)</f>
        <v>1</v>
      </c>
      <c r="Q421" s="26" t="b">
        <f>IF(Checks!C421,UPPER(RIGHT(Data!A421,5))=".BPMN",TRUE)</f>
        <v>1</v>
      </c>
      <c r="R421" s="26" t="b">
        <f>IF(Checks!C421,IF(UPPER(Data!C421)="SUB PROCESS",UPPER(RIGHT(Data!BY421,5))=".BPMN",TRUE),TRUE)</f>
        <v>1</v>
      </c>
      <c r="S421" s="26" t="b">
        <f>IF(Checks!C421,IF(UPPER(Data!C421)="SERVICE TASK",IF(UPPER(Data!BZ421)="TYPE=SAS",UPPER(RIGHT(Data!CA421,4))=".SAS",TRUE),TRUE),TRUE)</f>
        <v>1</v>
      </c>
      <c r="T421" s="26" t="b">
        <f>IF(Checks!C421,IF(Data!B421&lt;&gt;"",Data!D421&lt;&gt;"",TRUE),TRUE)</f>
        <v>1</v>
      </c>
      <c r="U421" s="26" t="b">
        <f ca="1">IF(Checks!C421,IF(UPPER(Data!C421)="DATA OBJECT",NOT(ISERROR(MATCH(Data!A421&amp;"||"&amp;Data!BW421&amp;Data!BX421,Key,0))),TRUE),TRUE)</f>
        <v>1</v>
      </c>
      <c r="V421" s="26" t="b">
        <f>IF(Checks!C421,IF(UPPER(Data!C421)="SUB PROCESS",Data!BY421&lt;&gt;"",TRUE),TRUE)</f>
        <v>1</v>
      </c>
      <c r="W421" s="26" t="b">
        <f>IF(Checks!C421,IF(UPPER(Data!C421)="SERVICE TASK",AND(Data!BZ421&lt;&gt;"",Data!CA421&lt;&gt;""),TRUE),TRUE)</f>
        <v>1</v>
      </c>
      <c r="X421" s="26" t="b">
        <f t="array" aca="1" ref="X421" ca="1">SUM((OFFSET(Data!B421,MAX(ROW(Data!$B$5)-ROW(Data!B421),-200),0,400,1)=Data!B421)*(OFFSET(Data!A421,MAX(ROW(Data!$B$5)-ROW(Data!B421),-200),0,400,1)=Data!A421))=1</f>
        <v>1</v>
      </c>
      <c r="Y421" s="26" t="b">
        <f t="array" aca="1" ref="Y421" ca="1">IF(UPPER(Data!C421)="START",SUM((OFFSET(Data!C421,MAX(ROW(Data!$C$5)-ROW(Data!C421),-200),0,400,1)="START")*(OFFSET(Data!A421,MAX(ROW(Data!$B$5)-ROW(Data!B421),-200),0,400,1)=Data!A421))=1,TRUE)</f>
        <v>1</v>
      </c>
      <c r="Z421" s="26" t="b">
        <f t="array" aca="1" ref="Z421" ca="1">IF(UPPER(Data!C421)="END",SUM((OFFSET(Data!C421,MAX(ROW(Data!$C$5)-ROW(Data!C421),-200),0,400,1)="END")*(OFFSET(Data!A421,MAX(ROW(Data!$B$5)-ROW(Data!B421),-200),0,400,1)=Data!A421))=1,TRUE)</f>
        <v>1</v>
      </c>
      <c r="AA421" s="26" t="b">
        <f>IF(Checks!C421,ISERROR(FIND("&amp;",Data!D421)),TRUE)</f>
        <v>1</v>
      </c>
      <c r="AB421" s="26" t="b">
        <f>IF(Checks!$C421,IF(AND(UPPER(Data!$C421)&lt;&gt;"START",UPPER(Data!$C421)&lt;&gt;"DATA OBJECT",Data!E421&lt;&gt;""),NOT(ISERROR(MATCH(Data!$A421&amp;"||"&amp;Data!E421,Key,0))),TRUE),TRUE)</f>
        <v>1</v>
      </c>
      <c r="AC421" s="27" t="b">
        <f>IF(Checks!C421,IF(UPPER(Data!C421)="END",Data!E421&lt;&gt;"",TRUE),TRUE)</f>
        <v>1</v>
      </c>
    </row>
    <row r="422" spans="1:29" x14ac:dyDescent="0.25">
      <c r="A422" s="1" t="str">
        <f>Data!A422&amp;"||"&amp;Data!B422</f>
        <v>Miscellaneous/subflow/irmifrs9_preprocess_stage3.bpmn||020_00_03</v>
      </c>
      <c r="B422" s="19"/>
      <c r="C422" s="24" t="b">
        <f>AND(UPPER(Data!A422)&lt;&gt;"EMPTY",Data!B422&lt;&gt;"")</f>
        <v>1</v>
      </c>
      <c r="D422" s="1"/>
      <c r="E422" s="25" t="b">
        <f t="shared" ca="1" si="12"/>
        <v>1</v>
      </c>
      <c r="F422" s="26" t="b">
        <f ca="1">IF(UPPER(Data!C422)="SUB PROCESS",NOT(ISERROR(MATCH(RIGHT(Data!BY422,LEN(Data!BY422)-5),OFFSET(Data,0,0,ItemsCount,1),0))),TRUE)</f>
        <v>1</v>
      </c>
      <c r="G422" s="26" t="b">
        <f ca="1">IF(MID(UPPER(Data!A422),1,13)="MISCELLANEOUS",NOT(ISERROR(MATCH("path="&amp;Data!A422,OFFSET(Data,0,76,ItemsCount,1),0))),TRUE)</f>
        <v>1</v>
      </c>
      <c r="L422" s="25" t="b">
        <f t="shared" ca="1" si="13"/>
        <v>1</v>
      </c>
      <c r="M422" s="24" t="b">
        <f>IF(Checks!$C422,Data!A422&lt;&gt;"",TRUE)</f>
        <v>1</v>
      </c>
      <c r="N422" s="26" t="b">
        <f>IF(Checks!C422,Data!B422&lt;&gt;"",TRUE)</f>
        <v>1</v>
      </c>
      <c r="O422" s="26" t="b">
        <f>IF(Checks!C422,IF(AND(UPPER(Data!C422)="SERVICE TASK",UPPER(Data!BZ422)="TYPE=SAS"),NodeExists(TRIM(RIGHT(Data!CA422,LEN(Data!CA422)-FIND("=",Data!CA422)))),TRUE),TRUE)</f>
        <v>1</v>
      </c>
      <c r="P422" s="26" t="b">
        <f>IF(Checks!C422,IF(Data!C422="DATA OBJECT",OR(AND(Data!BW422&lt;&gt;"",Data!BX422=""),AND(Data!BW422="",Data!BX422&lt;&gt;"")),TRUE),TRUE)</f>
        <v>1</v>
      </c>
      <c r="Q422" s="26" t="b">
        <f>IF(Checks!C422,UPPER(RIGHT(Data!A422,5))=".BPMN",TRUE)</f>
        <v>1</v>
      </c>
      <c r="R422" s="26" t="b">
        <f>IF(Checks!C422,IF(UPPER(Data!C422)="SUB PROCESS",UPPER(RIGHT(Data!BY422,5))=".BPMN",TRUE),TRUE)</f>
        <v>1</v>
      </c>
      <c r="S422" s="26" t="b">
        <f>IF(Checks!C422,IF(UPPER(Data!C422)="SERVICE TASK",IF(UPPER(Data!BZ422)="TYPE=SAS",UPPER(RIGHT(Data!CA422,4))=".SAS",TRUE),TRUE),TRUE)</f>
        <v>1</v>
      </c>
      <c r="T422" s="26" t="b">
        <f>IF(Checks!C422,IF(Data!B422&lt;&gt;"",Data!D422&lt;&gt;"",TRUE),TRUE)</f>
        <v>1</v>
      </c>
      <c r="U422" s="26" t="b">
        <f ca="1">IF(Checks!C422,IF(UPPER(Data!C422)="DATA OBJECT",NOT(ISERROR(MATCH(Data!A422&amp;"||"&amp;Data!BW422&amp;Data!BX422,Key,0))),TRUE),TRUE)</f>
        <v>1</v>
      </c>
      <c r="V422" s="26" t="b">
        <f>IF(Checks!C422,IF(UPPER(Data!C422)="SUB PROCESS",Data!BY422&lt;&gt;"",TRUE),TRUE)</f>
        <v>1</v>
      </c>
      <c r="W422" s="26" t="b">
        <f>IF(Checks!C422,IF(UPPER(Data!C422)="SERVICE TASK",AND(Data!BZ422&lt;&gt;"",Data!CA422&lt;&gt;""),TRUE),TRUE)</f>
        <v>1</v>
      </c>
      <c r="X422" s="26" t="b">
        <f t="array" aca="1" ref="X422" ca="1">SUM((OFFSET(Data!B422,MAX(ROW(Data!$B$5)-ROW(Data!B422),-200),0,400,1)=Data!B422)*(OFFSET(Data!A422,MAX(ROW(Data!$B$5)-ROW(Data!B422),-200),0,400,1)=Data!A422))=1</f>
        <v>1</v>
      </c>
      <c r="Y422" s="26" t="b">
        <f t="array" aca="1" ref="Y422" ca="1">IF(UPPER(Data!C422)="START",SUM((OFFSET(Data!C422,MAX(ROW(Data!$C$5)-ROW(Data!C422),-200),0,400,1)="START")*(OFFSET(Data!A422,MAX(ROW(Data!$B$5)-ROW(Data!B422),-200),0,400,1)=Data!A422))=1,TRUE)</f>
        <v>1</v>
      </c>
      <c r="Z422" s="26" t="b">
        <f t="array" aca="1" ref="Z422" ca="1">IF(UPPER(Data!C422)="END",SUM((OFFSET(Data!C422,MAX(ROW(Data!$C$5)-ROW(Data!C422),-200),0,400,1)="END")*(OFFSET(Data!A422,MAX(ROW(Data!$B$5)-ROW(Data!B422),-200),0,400,1)=Data!A422))=1,TRUE)</f>
        <v>1</v>
      </c>
      <c r="AA422" s="26" t="b">
        <f>IF(Checks!C422,ISERROR(FIND("&amp;",Data!D422)),TRUE)</f>
        <v>1</v>
      </c>
      <c r="AB422" s="26" t="b">
        <f>IF(Checks!$C422,IF(AND(UPPER(Data!$C422)&lt;&gt;"START",UPPER(Data!$C422)&lt;&gt;"DATA OBJECT",Data!E422&lt;&gt;""),NOT(ISERROR(MATCH(Data!$A422&amp;"||"&amp;Data!E422,Key,0))),TRUE),TRUE)</f>
        <v>1</v>
      </c>
      <c r="AC422" s="27" t="b">
        <f>IF(Checks!C422,IF(UPPER(Data!C422)="END",Data!E422&lt;&gt;"",TRUE),TRUE)</f>
        <v>1</v>
      </c>
    </row>
    <row r="423" spans="1:29" x14ac:dyDescent="0.25">
      <c r="A423" s="1" t="str">
        <f>Data!A423&amp;"||"&amp;Data!B423</f>
        <v>Miscellaneous/subflow/irmifrs9_preprocess_stage3.bpmn||020_00_05</v>
      </c>
      <c r="B423" s="19"/>
      <c r="C423" s="24" t="b">
        <f>AND(UPPER(Data!A423)&lt;&gt;"EMPTY",Data!B423&lt;&gt;"")</f>
        <v>1</v>
      </c>
      <c r="D423" s="1"/>
      <c r="E423" s="25" t="b">
        <f t="shared" ca="1" si="12"/>
        <v>1</v>
      </c>
      <c r="F423" s="26" t="b">
        <f ca="1">IF(UPPER(Data!C423)="SUB PROCESS",NOT(ISERROR(MATCH(RIGHT(Data!BY423,LEN(Data!BY423)-5),OFFSET(Data,0,0,ItemsCount,1),0))),TRUE)</f>
        <v>1</v>
      </c>
      <c r="G423" s="26" t="b">
        <f ca="1">IF(MID(UPPER(Data!A423),1,13)="MISCELLANEOUS",NOT(ISERROR(MATCH("path="&amp;Data!A423,OFFSET(Data,0,76,ItemsCount,1),0))),TRUE)</f>
        <v>1</v>
      </c>
      <c r="L423" s="25" t="b">
        <f t="shared" ca="1" si="13"/>
        <v>1</v>
      </c>
      <c r="M423" s="24" t="b">
        <f>IF(Checks!$C423,Data!A423&lt;&gt;"",TRUE)</f>
        <v>1</v>
      </c>
      <c r="N423" s="26" t="b">
        <f>IF(Checks!C423,Data!B423&lt;&gt;"",TRUE)</f>
        <v>1</v>
      </c>
      <c r="O423" s="26" t="b">
        <f>IF(Checks!C423,IF(AND(UPPER(Data!C423)="SERVICE TASK",UPPER(Data!BZ423)="TYPE=SAS"),NodeExists(TRIM(RIGHT(Data!CA423,LEN(Data!CA423)-FIND("=",Data!CA423)))),TRUE),TRUE)</f>
        <v>1</v>
      </c>
      <c r="P423" s="26" t="b">
        <f>IF(Checks!C423,IF(Data!C423="DATA OBJECT",OR(AND(Data!BW423&lt;&gt;"",Data!BX423=""),AND(Data!BW423="",Data!BX423&lt;&gt;"")),TRUE),TRUE)</f>
        <v>1</v>
      </c>
      <c r="Q423" s="26" t="b">
        <f>IF(Checks!C423,UPPER(RIGHT(Data!A423,5))=".BPMN",TRUE)</f>
        <v>1</v>
      </c>
      <c r="R423" s="26" t="b">
        <f>IF(Checks!C423,IF(UPPER(Data!C423)="SUB PROCESS",UPPER(RIGHT(Data!BY423,5))=".BPMN",TRUE),TRUE)</f>
        <v>1</v>
      </c>
      <c r="S423" s="26" t="b">
        <f>IF(Checks!C423,IF(UPPER(Data!C423)="SERVICE TASK",IF(UPPER(Data!BZ423)="TYPE=SAS",UPPER(RIGHT(Data!CA423,4))=".SAS",TRUE),TRUE),TRUE)</f>
        <v>1</v>
      </c>
      <c r="T423" s="26" t="b">
        <f>IF(Checks!C423,IF(Data!B423&lt;&gt;"",Data!D423&lt;&gt;"",TRUE),TRUE)</f>
        <v>1</v>
      </c>
      <c r="U423" s="26" t="b">
        <f ca="1">IF(Checks!C423,IF(UPPER(Data!C423)="DATA OBJECT",NOT(ISERROR(MATCH(Data!A423&amp;"||"&amp;Data!BW423&amp;Data!BX423,Key,0))),TRUE),TRUE)</f>
        <v>1</v>
      </c>
      <c r="V423" s="26" t="b">
        <f>IF(Checks!C423,IF(UPPER(Data!C423)="SUB PROCESS",Data!BY423&lt;&gt;"",TRUE),TRUE)</f>
        <v>1</v>
      </c>
      <c r="W423" s="26" t="b">
        <f>IF(Checks!C423,IF(UPPER(Data!C423)="SERVICE TASK",AND(Data!BZ423&lt;&gt;"",Data!CA423&lt;&gt;""),TRUE),TRUE)</f>
        <v>1</v>
      </c>
      <c r="X423" s="26" t="b">
        <f t="array" aca="1" ref="X423" ca="1">SUM((OFFSET(Data!B423,MAX(ROW(Data!$B$5)-ROW(Data!B423),-200),0,400,1)=Data!B423)*(OFFSET(Data!A423,MAX(ROW(Data!$B$5)-ROW(Data!B423),-200),0,400,1)=Data!A423))=1</f>
        <v>1</v>
      </c>
      <c r="Y423" s="26" t="b">
        <f t="array" aca="1" ref="Y423" ca="1">IF(UPPER(Data!C423)="START",SUM((OFFSET(Data!C423,MAX(ROW(Data!$C$5)-ROW(Data!C423),-200),0,400,1)="START")*(OFFSET(Data!A423,MAX(ROW(Data!$B$5)-ROW(Data!B423),-200),0,400,1)=Data!A423))=1,TRUE)</f>
        <v>1</v>
      </c>
      <c r="Z423" s="26" t="b">
        <f t="array" aca="1" ref="Z423" ca="1">IF(UPPER(Data!C423)="END",SUM((OFFSET(Data!C423,MAX(ROW(Data!$C$5)-ROW(Data!C423),-200),0,400,1)="END")*(OFFSET(Data!A423,MAX(ROW(Data!$B$5)-ROW(Data!B423),-200),0,400,1)=Data!A423))=1,TRUE)</f>
        <v>1</v>
      </c>
      <c r="AA423" s="26" t="b">
        <f>IF(Checks!C423,ISERROR(FIND("&amp;",Data!D423)),TRUE)</f>
        <v>1</v>
      </c>
      <c r="AB423" s="26" t="b">
        <f>IF(Checks!$C423,IF(AND(UPPER(Data!$C423)&lt;&gt;"START",UPPER(Data!$C423)&lt;&gt;"DATA OBJECT",Data!E423&lt;&gt;""),NOT(ISERROR(MATCH(Data!$A423&amp;"||"&amp;Data!E423,Key,0))),TRUE),TRUE)</f>
        <v>1</v>
      </c>
      <c r="AC423" s="27" t="b">
        <f>IF(Checks!C423,IF(UPPER(Data!C423)="END",Data!E423&lt;&gt;"",TRUE),TRUE)</f>
        <v>1</v>
      </c>
    </row>
    <row r="424" spans="1:29" x14ac:dyDescent="0.25">
      <c r="A424" s="1" t="str">
        <f>Data!A424&amp;"||"&amp;Data!B424</f>
        <v>Miscellaneous/subflow/irmifrs9_preprocess_stage3.bpmn||020_00_06</v>
      </c>
      <c r="B424" s="19"/>
      <c r="C424" s="24" t="b">
        <f>AND(UPPER(Data!A424)&lt;&gt;"EMPTY",Data!B424&lt;&gt;"")</f>
        <v>1</v>
      </c>
      <c r="D424" s="1"/>
      <c r="E424" s="25" t="b">
        <f t="shared" ca="1" si="12"/>
        <v>1</v>
      </c>
      <c r="F424" s="26" t="b">
        <f ca="1">IF(UPPER(Data!C424)="SUB PROCESS",NOT(ISERROR(MATCH(RIGHT(Data!BY424,LEN(Data!BY424)-5),OFFSET(Data,0,0,ItemsCount,1),0))),TRUE)</f>
        <v>1</v>
      </c>
      <c r="G424" s="26" t="b">
        <f ca="1">IF(MID(UPPER(Data!A424),1,13)="MISCELLANEOUS",NOT(ISERROR(MATCH("path="&amp;Data!A424,OFFSET(Data,0,76,ItemsCount,1),0))),TRUE)</f>
        <v>1</v>
      </c>
      <c r="L424" s="25" t="b">
        <f t="shared" ca="1" si="13"/>
        <v>1</v>
      </c>
      <c r="M424" s="24" t="b">
        <f>IF(Checks!$C424,Data!A424&lt;&gt;"",TRUE)</f>
        <v>1</v>
      </c>
      <c r="N424" s="26" t="b">
        <f>IF(Checks!C424,Data!B424&lt;&gt;"",TRUE)</f>
        <v>1</v>
      </c>
      <c r="O424" s="26" t="b">
        <f>IF(Checks!C424,IF(AND(UPPER(Data!C424)="SERVICE TASK",UPPER(Data!BZ424)="TYPE=SAS"),NodeExists(TRIM(RIGHT(Data!CA424,LEN(Data!CA424)-FIND("=",Data!CA424)))),TRUE),TRUE)</f>
        <v>1</v>
      </c>
      <c r="P424" s="26" t="b">
        <f>IF(Checks!C424,IF(Data!C424="DATA OBJECT",OR(AND(Data!BW424&lt;&gt;"",Data!BX424=""),AND(Data!BW424="",Data!BX424&lt;&gt;"")),TRUE),TRUE)</f>
        <v>1</v>
      </c>
      <c r="Q424" s="26" t="b">
        <f>IF(Checks!C424,UPPER(RIGHT(Data!A424,5))=".BPMN",TRUE)</f>
        <v>1</v>
      </c>
      <c r="R424" s="26" t="b">
        <f>IF(Checks!C424,IF(UPPER(Data!C424)="SUB PROCESS",UPPER(RIGHT(Data!BY424,5))=".BPMN",TRUE),TRUE)</f>
        <v>1</v>
      </c>
      <c r="S424" s="26" t="b">
        <f>IF(Checks!C424,IF(UPPER(Data!C424)="SERVICE TASK",IF(UPPER(Data!BZ424)="TYPE=SAS",UPPER(RIGHT(Data!CA424,4))=".SAS",TRUE),TRUE),TRUE)</f>
        <v>1</v>
      </c>
      <c r="T424" s="26" t="b">
        <f>IF(Checks!C424,IF(Data!B424&lt;&gt;"",Data!D424&lt;&gt;"",TRUE),TRUE)</f>
        <v>1</v>
      </c>
      <c r="U424" s="26" t="b">
        <f ca="1">IF(Checks!C424,IF(UPPER(Data!C424)="DATA OBJECT",NOT(ISERROR(MATCH(Data!A424&amp;"||"&amp;Data!BW424&amp;Data!BX424,Key,0))),TRUE),TRUE)</f>
        <v>1</v>
      </c>
      <c r="V424" s="26" t="b">
        <f>IF(Checks!C424,IF(UPPER(Data!C424)="SUB PROCESS",Data!BY424&lt;&gt;"",TRUE),TRUE)</f>
        <v>1</v>
      </c>
      <c r="W424" s="26" t="b">
        <f>IF(Checks!C424,IF(UPPER(Data!C424)="SERVICE TASK",AND(Data!BZ424&lt;&gt;"",Data!CA424&lt;&gt;""),TRUE),TRUE)</f>
        <v>1</v>
      </c>
      <c r="X424" s="26" t="b">
        <f t="array" aca="1" ref="X424" ca="1">SUM((OFFSET(Data!B424,MAX(ROW(Data!$B$5)-ROW(Data!B424),-200),0,400,1)=Data!B424)*(OFFSET(Data!A424,MAX(ROW(Data!$B$5)-ROW(Data!B424),-200),0,400,1)=Data!A424))=1</f>
        <v>1</v>
      </c>
      <c r="Y424" s="26" t="b">
        <f t="array" aca="1" ref="Y424" ca="1">IF(UPPER(Data!C424)="START",SUM((OFFSET(Data!C424,MAX(ROW(Data!$C$5)-ROW(Data!C424),-200),0,400,1)="START")*(OFFSET(Data!A424,MAX(ROW(Data!$B$5)-ROW(Data!B424),-200),0,400,1)=Data!A424))=1,TRUE)</f>
        <v>1</v>
      </c>
      <c r="Z424" s="26" t="b">
        <f t="array" aca="1" ref="Z424" ca="1">IF(UPPER(Data!C424)="END",SUM((OFFSET(Data!C424,MAX(ROW(Data!$C$5)-ROW(Data!C424),-200),0,400,1)="END")*(OFFSET(Data!A424,MAX(ROW(Data!$B$5)-ROW(Data!B424),-200),0,400,1)=Data!A424))=1,TRUE)</f>
        <v>1</v>
      </c>
      <c r="AA424" s="26" t="b">
        <f>IF(Checks!C424,ISERROR(FIND("&amp;",Data!D424)),TRUE)</f>
        <v>1</v>
      </c>
      <c r="AB424" s="26" t="b">
        <f>IF(Checks!$C424,IF(AND(UPPER(Data!$C424)&lt;&gt;"START",UPPER(Data!$C424)&lt;&gt;"DATA OBJECT",Data!E424&lt;&gt;""),NOT(ISERROR(MATCH(Data!$A424&amp;"||"&amp;Data!E424,Key,0))),TRUE),TRUE)</f>
        <v>1</v>
      </c>
      <c r="AC424" s="27" t="b">
        <f>IF(Checks!C424,IF(UPPER(Data!C424)="END",Data!E424&lt;&gt;"",TRUE),TRUE)</f>
        <v>1</v>
      </c>
    </row>
    <row r="425" spans="1:29" x14ac:dyDescent="0.25">
      <c r="A425" s="1" t="str">
        <f>Data!A425&amp;"||"&amp;Data!B425</f>
        <v>Miscellaneous/subflow/irmifrs9_preprocess_stage3.bpmn||020_00_07</v>
      </c>
      <c r="B425" s="19"/>
      <c r="C425" s="24" t="b">
        <f>AND(UPPER(Data!A425)&lt;&gt;"EMPTY",Data!B425&lt;&gt;"")</f>
        <v>1</v>
      </c>
      <c r="D425" s="1"/>
      <c r="E425" s="25" t="b">
        <f t="shared" ca="1" si="12"/>
        <v>1</v>
      </c>
      <c r="F425" s="26" t="b">
        <f ca="1">IF(UPPER(Data!C425)="SUB PROCESS",NOT(ISERROR(MATCH(RIGHT(Data!BY425,LEN(Data!BY425)-5),OFFSET(Data,0,0,ItemsCount,1),0))),TRUE)</f>
        <v>1</v>
      </c>
      <c r="G425" s="26" t="b">
        <f ca="1">IF(MID(UPPER(Data!A425),1,13)="MISCELLANEOUS",NOT(ISERROR(MATCH("path="&amp;Data!A425,OFFSET(Data,0,76,ItemsCount,1),0))),TRUE)</f>
        <v>1</v>
      </c>
      <c r="L425" s="25" t="b">
        <f t="shared" ca="1" si="13"/>
        <v>1</v>
      </c>
      <c r="M425" s="24" t="b">
        <f>IF(Checks!$C425,Data!A425&lt;&gt;"",TRUE)</f>
        <v>1</v>
      </c>
      <c r="N425" s="26" t="b">
        <f>IF(Checks!C425,Data!B425&lt;&gt;"",TRUE)</f>
        <v>1</v>
      </c>
      <c r="O425" s="26" t="b">
        <f>IF(Checks!C425,IF(AND(UPPER(Data!C425)="SERVICE TASK",UPPER(Data!BZ425)="TYPE=SAS"),NodeExists(TRIM(RIGHT(Data!CA425,LEN(Data!CA425)-FIND("=",Data!CA425)))),TRUE),TRUE)</f>
        <v>1</v>
      </c>
      <c r="P425" s="26" t="b">
        <f>IF(Checks!C425,IF(Data!C425="DATA OBJECT",OR(AND(Data!BW425&lt;&gt;"",Data!BX425=""),AND(Data!BW425="",Data!BX425&lt;&gt;"")),TRUE),TRUE)</f>
        <v>1</v>
      </c>
      <c r="Q425" s="26" t="b">
        <f>IF(Checks!C425,UPPER(RIGHT(Data!A425,5))=".BPMN",TRUE)</f>
        <v>1</v>
      </c>
      <c r="R425" s="26" t="b">
        <f>IF(Checks!C425,IF(UPPER(Data!C425)="SUB PROCESS",UPPER(RIGHT(Data!BY425,5))=".BPMN",TRUE),TRUE)</f>
        <v>1</v>
      </c>
      <c r="S425" s="26" t="b">
        <f>IF(Checks!C425,IF(UPPER(Data!C425)="SERVICE TASK",IF(UPPER(Data!BZ425)="TYPE=SAS",UPPER(RIGHT(Data!CA425,4))=".SAS",TRUE),TRUE),TRUE)</f>
        <v>1</v>
      </c>
      <c r="T425" s="26" t="b">
        <f>IF(Checks!C425,IF(Data!B425&lt;&gt;"",Data!D425&lt;&gt;"",TRUE),TRUE)</f>
        <v>1</v>
      </c>
      <c r="U425" s="26" t="b">
        <f ca="1">IF(Checks!C425,IF(UPPER(Data!C425)="DATA OBJECT",NOT(ISERROR(MATCH(Data!A425&amp;"||"&amp;Data!BW425&amp;Data!BX425,Key,0))),TRUE),TRUE)</f>
        <v>1</v>
      </c>
      <c r="V425" s="26" t="b">
        <f>IF(Checks!C425,IF(UPPER(Data!C425)="SUB PROCESS",Data!BY425&lt;&gt;"",TRUE),TRUE)</f>
        <v>1</v>
      </c>
      <c r="W425" s="26" t="b">
        <f>IF(Checks!C425,IF(UPPER(Data!C425)="SERVICE TASK",AND(Data!BZ425&lt;&gt;"",Data!CA425&lt;&gt;""),TRUE),TRUE)</f>
        <v>1</v>
      </c>
      <c r="X425" s="26" t="b">
        <f t="array" aca="1" ref="X425" ca="1">SUM((OFFSET(Data!B425,MAX(ROW(Data!$B$5)-ROW(Data!B425),-200),0,400,1)=Data!B425)*(OFFSET(Data!A425,MAX(ROW(Data!$B$5)-ROW(Data!B425),-200),0,400,1)=Data!A425))=1</f>
        <v>1</v>
      </c>
      <c r="Y425" s="26" t="b">
        <f t="array" aca="1" ref="Y425" ca="1">IF(UPPER(Data!C425)="START",SUM((OFFSET(Data!C425,MAX(ROW(Data!$C$5)-ROW(Data!C425),-200),0,400,1)="START")*(OFFSET(Data!A425,MAX(ROW(Data!$B$5)-ROW(Data!B425),-200),0,400,1)=Data!A425))=1,TRUE)</f>
        <v>1</v>
      </c>
      <c r="Z425" s="26" t="b">
        <f t="array" aca="1" ref="Z425" ca="1">IF(UPPER(Data!C425)="END",SUM((OFFSET(Data!C425,MAX(ROW(Data!$C$5)-ROW(Data!C425),-200),0,400,1)="END")*(OFFSET(Data!A425,MAX(ROW(Data!$B$5)-ROW(Data!B425),-200),0,400,1)=Data!A425))=1,TRUE)</f>
        <v>1</v>
      </c>
      <c r="AA425" s="26" t="b">
        <f>IF(Checks!C425,ISERROR(FIND("&amp;",Data!D425)),TRUE)</f>
        <v>1</v>
      </c>
      <c r="AB425" s="26" t="b">
        <f>IF(Checks!$C425,IF(AND(UPPER(Data!$C425)&lt;&gt;"START",UPPER(Data!$C425)&lt;&gt;"DATA OBJECT",Data!E425&lt;&gt;""),NOT(ISERROR(MATCH(Data!$A425&amp;"||"&amp;Data!E425,Key,0))),TRUE),TRUE)</f>
        <v>1</v>
      </c>
      <c r="AC425" s="27" t="b">
        <f>IF(Checks!C425,IF(UPPER(Data!C425)="END",Data!E425&lt;&gt;"",TRUE),TRUE)</f>
        <v>1</v>
      </c>
    </row>
    <row r="426" spans="1:29" x14ac:dyDescent="0.25">
      <c r="A426" s="1" t="str">
        <f>Data!A426&amp;"||"&amp;Data!B426</f>
        <v>Miscellaneous/subflow/irmifrs9_preprocess_stage3.bpmn||020_00_08</v>
      </c>
      <c r="B426" s="19"/>
      <c r="C426" s="24" t="b">
        <f>AND(UPPER(Data!A426)&lt;&gt;"EMPTY",Data!B426&lt;&gt;"")</f>
        <v>1</v>
      </c>
      <c r="D426" s="1"/>
      <c r="E426" s="25" t="b">
        <f t="shared" ca="1" si="12"/>
        <v>1</v>
      </c>
      <c r="F426" s="26" t="b">
        <f ca="1">IF(UPPER(Data!C426)="SUB PROCESS",NOT(ISERROR(MATCH(RIGHT(Data!BY426,LEN(Data!BY426)-5),OFFSET(Data,0,0,ItemsCount,1),0))),TRUE)</f>
        <v>1</v>
      </c>
      <c r="G426" s="26" t="b">
        <f ca="1">IF(MID(UPPER(Data!A426),1,13)="MISCELLANEOUS",NOT(ISERROR(MATCH("path="&amp;Data!A426,OFFSET(Data,0,76,ItemsCount,1),0))),TRUE)</f>
        <v>1</v>
      </c>
      <c r="L426" s="25" t="b">
        <f t="shared" ca="1" si="13"/>
        <v>1</v>
      </c>
      <c r="M426" s="24" t="b">
        <f>IF(Checks!$C426,Data!A426&lt;&gt;"",TRUE)</f>
        <v>1</v>
      </c>
      <c r="N426" s="26" t="b">
        <f>IF(Checks!C426,Data!B426&lt;&gt;"",TRUE)</f>
        <v>1</v>
      </c>
      <c r="O426" s="26" t="b">
        <f>IF(Checks!C426,IF(AND(UPPER(Data!C426)="SERVICE TASK",UPPER(Data!BZ426)="TYPE=SAS"),NodeExists(TRIM(RIGHT(Data!CA426,LEN(Data!CA426)-FIND("=",Data!CA426)))),TRUE),TRUE)</f>
        <v>1</v>
      </c>
      <c r="P426" s="26" t="b">
        <f>IF(Checks!C426,IF(Data!C426="DATA OBJECT",OR(AND(Data!BW426&lt;&gt;"",Data!BX426=""),AND(Data!BW426="",Data!BX426&lt;&gt;"")),TRUE),TRUE)</f>
        <v>1</v>
      </c>
      <c r="Q426" s="26" t="b">
        <f>IF(Checks!C426,UPPER(RIGHT(Data!A426,5))=".BPMN",TRUE)</f>
        <v>1</v>
      </c>
      <c r="R426" s="26" t="b">
        <f>IF(Checks!C426,IF(UPPER(Data!C426)="SUB PROCESS",UPPER(RIGHT(Data!BY426,5))=".BPMN",TRUE),TRUE)</f>
        <v>1</v>
      </c>
      <c r="S426" s="26" t="b">
        <f>IF(Checks!C426,IF(UPPER(Data!C426)="SERVICE TASK",IF(UPPER(Data!BZ426)="TYPE=SAS",UPPER(RIGHT(Data!CA426,4))=".SAS",TRUE),TRUE),TRUE)</f>
        <v>1</v>
      </c>
      <c r="T426" s="26" t="b">
        <f>IF(Checks!C426,IF(Data!B426&lt;&gt;"",Data!D426&lt;&gt;"",TRUE),TRUE)</f>
        <v>1</v>
      </c>
      <c r="U426" s="26" t="b">
        <f ca="1">IF(Checks!C426,IF(UPPER(Data!C426)="DATA OBJECT",NOT(ISERROR(MATCH(Data!A426&amp;"||"&amp;Data!BW426&amp;Data!BX426,Key,0))),TRUE),TRUE)</f>
        <v>1</v>
      </c>
      <c r="V426" s="26" t="b">
        <f>IF(Checks!C426,IF(UPPER(Data!C426)="SUB PROCESS",Data!BY426&lt;&gt;"",TRUE),TRUE)</f>
        <v>1</v>
      </c>
      <c r="W426" s="26" t="b">
        <f>IF(Checks!C426,IF(UPPER(Data!C426)="SERVICE TASK",AND(Data!BZ426&lt;&gt;"",Data!CA426&lt;&gt;""),TRUE),TRUE)</f>
        <v>1</v>
      </c>
      <c r="X426" s="26" t="b">
        <f t="array" aca="1" ref="X426" ca="1">SUM((OFFSET(Data!B426,MAX(ROW(Data!$B$5)-ROW(Data!B426),-200),0,400,1)=Data!B426)*(OFFSET(Data!A426,MAX(ROW(Data!$B$5)-ROW(Data!B426),-200),0,400,1)=Data!A426))=1</f>
        <v>1</v>
      </c>
      <c r="Y426" s="26" t="b">
        <f t="array" aca="1" ref="Y426" ca="1">IF(UPPER(Data!C426)="START",SUM((OFFSET(Data!C426,MAX(ROW(Data!$C$5)-ROW(Data!C426),-200),0,400,1)="START")*(OFFSET(Data!A426,MAX(ROW(Data!$B$5)-ROW(Data!B426),-200),0,400,1)=Data!A426))=1,TRUE)</f>
        <v>1</v>
      </c>
      <c r="Z426" s="26" t="b">
        <f t="array" aca="1" ref="Z426" ca="1">IF(UPPER(Data!C426)="END",SUM((OFFSET(Data!C426,MAX(ROW(Data!$C$5)-ROW(Data!C426),-200),0,400,1)="END")*(OFFSET(Data!A426,MAX(ROW(Data!$B$5)-ROW(Data!B426),-200),0,400,1)=Data!A426))=1,TRUE)</f>
        <v>1</v>
      </c>
      <c r="AA426" s="26" t="b">
        <f>IF(Checks!C426,ISERROR(FIND("&amp;",Data!D426)),TRUE)</f>
        <v>1</v>
      </c>
      <c r="AB426" s="26" t="b">
        <f>IF(Checks!$C426,IF(AND(UPPER(Data!$C426)&lt;&gt;"START",UPPER(Data!$C426)&lt;&gt;"DATA OBJECT",Data!E426&lt;&gt;""),NOT(ISERROR(MATCH(Data!$A426&amp;"||"&amp;Data!E426,Key,0))),TRUE),TRUE)</f>
        <v>1</v>
      </c>
      <c r="AC426" s="27" t="b">
        <f>IF(Checks!C426,IF(UPPER(Data!C426)="END",Data!E426&lt;&gt;"",TRUE),TRUE)</f>
        <v>1</v>
      </c>
    </row>
    <row r="427" spans="1:29" x14ac:dyDescent="0.25">
      <c r="A427" s="1" t="str">
        <f>Data!A427&amp;"||"&amp;Data!B427</f>
        <v>Miscellaneous/subflow/irmifrs9_preprocess_stage3.bpmn||020_00_09</v>
      </c>
      <c r="B427" s="19"/>
      <c r="C427" s="24" t="b">
        <f>AND(UPPER(Data!A427)&lt;&gt;"EMPTY",Data!B427&lt;&gt;"")</f>
        <v>1</v>
      </c>
      <c r="D427" s="1"/>
      <c r="E427" s="25" t="b">
        <f t="shared" ca="1" si="12"/>
        <v>1</v>
      </c>
      <c r="F427" s="26" t="b">
        <f ca="1">IF(UPPER(Data!C427)="SUB PROCESS",NOT(ISERROR(MATCH(RIGHT(Data!BY427,LEN(Data!BY427)-5),OFFSET(Data,0,0,ItemsCount,1),0))),TRUE)</f>
        <v>1</v>
      </c>
      <c r="G427" s="26" t="b">
        <f ca="1">IF(MID(UPPER(Data!A427),1,13)="MISCELLANEOUS",NOT(ISERROR(MATCH("path="&amp;Data!A427,OFFSET(Data,0,76,ItemsCount,1),0))),TRUE)</f>
        <v>1</v>
      </c>
      <c r="L427" s="25" t="b">
        <f t="shared" ca="1" si="13"/>
        <v>1</v>
      </c>
      <c r="M427" s="24" t="b">
        <f>IF(Checks!$C427,Data!A427&lt;&gt;"",TRUE)</f>
        <v>1</v>
      </c>
      <c r="N427" s="26" t="b">
        <f>IF(Checks!C427,Data!B427&lt;&gt;"",TRUE)</f>
        <v>1</v>
      </c>
      <c r="O427" s="26" t="b">
        <f>IF(Checks!C427,IF(AND(UPPER(Data!C427)="SERVICE TASK",UPPER(Data!BZ427)="TYPE=SAS"),NodeExists(TRIM(RIGHT(Data!CA427,LEN(Data!CA427)-FIND("=",Data!CA427)))),TRUE),TRUE)</f>
        <v>1</v>
      </c>
      <c r="P427" s="26" t="b">
        <f>IF(Checks!C427,IF(Data!C427="DATA OBJECT",OR(AND(Data!BW427&lt;&gt;"",Data!BX427=""),AND(Data!BW427="",Data!BX427&lt;&gt;"")),TRUE),TRUE)</f>
        <v>1</v>
      </c>
      <c r="Q427" s="26" t="b">
        <f>IF(Checks!C427,UPPER(RIGHT(Data!A427,5))=".BPMN",TRUE)</f>
        <v>1</v>
      </c>
      <c r="R427" s="26" t="b">
        <f>IF(Checks!C427,IF(UPPER(Data!C427)="SUB PROCESS",UPPER(RIGHT(Data!BY427,5))=".BPMN",TRUE),TRUE)</f>
        <v>1</v>
      </c>
      <c r="S427" s="26" t="b">
        <f>IF(Checks!C427,IF(UPPER(Data!C427)="SERVICE TASK",IF(UPPER(Data!BZ427)="TYPE=SAS",UPPER(RIGHT(Data!CA427,4))=".SAS",TRUE),TRUE),TRUE)</f>
        <v>1</v>
      </c>
      <c r="T427" s="26" t="b">
        <f>IF(Checks!C427,IF(Data!B427&lt;&gt;"",Data!D427&lt;&gt;"",TRUE),TRUE)</f>
        <v>1</v>
      </c>
      <c r="U427" s="26" t="b">
        <f ca="1">IF(Checks!C427,IF(UPPER(Data!C427)="DATA OBJECT",NOT(ISERROR(MATCH(Data!A427&amp;"||"&amp;Data!BW427&amp;Data!BX427,Key,0))),TRUE),TRUE)</f>
        <v>1</v>
      </c>
      <c r="V427" s="26" t="b">
        <f>IF(Checks!C427,IF(UPPER(Data!C427)="SUB PROCESS",Data!BY427&lt;&gt;"",TRUE),TRUE)</f>
        <v>1</v>
      </c>
      <c r="W427" s="26" t="b">
        <f>IF(Checks!C427,IF(UPPER(Data!C427)="SERVICE TASK",AND(Data!BZ427&lt;&gt;"",Data!CA427&lt;&gt;""),TRUE),TRUE)</f>
        <v>1</v>
      </c>
      <c r="X427" s="26" t="b">
        <f t="array" aca="1" ref="X427" ca="1">SUM((OFFSET(Data!B427,MAX(ROW(Data!$B$5)-ROW(Data!B427),-200),0,400,1)=Data!B427)*(OFFSET(Data!A427,MAX(ROW(Data!$B$5)-ROW(Data!B427),-200),0,400,1)=Data!A427))=1</f>
        <v>1</v>
      </c>
      <c r="Y427" s="26" t="b">
        <f t="array" aca="1" ref="Y427" ca="1">IF(UPPER(Data!C427)="START",SUM((OFFSET(Data!C427,MAX(ROW(Data!$C$5)-ROW(Data!C427),-200),0,400,1)="START")*(OFFSET(Data!A427,MAX(ROW(Data!$B$5)-ROW(Data!B427),-200),0,400,1)=Data!A427))=1,TRUE)</f>
        <v>1</v>
      </c>
      <c r="Z427" s="26" t="b">
        <f t="array" aca="1" ref="Z427" ca="1">IF(UPPER(Data!C427)="END",SUM((OFFSET(Data!C427,MAX(ROW(Data!$C$5)-ROW(Data!C427),-200),0,400,1)="END")*(OFFSET(Data!A427,MAX(ROW(Data!$B$5)-ROW(Data!B427),-200),0,400,1)=Data!A427))=1,TRUE)</f>
        <v>1</v>
      </c>
      <c r="AA427" s="26" t="b">
        <f>IF(Checks!C427,ISERROR(FIND("&amp;",Data!D427)),TRUE)</f>
        <v>1</v>
      </c>
      <c r="AB427" s="26" t="b">
        <f>IF(Checks!$C427,IF(AND(UPPER(Data!$C427)&lt;&gt;"START",UPPER(Data!$C427)&lt;&gt;"DATA OBJECT",Data!E427&lt;&gt;""),NOT(ISERROR(MATCH(Data!$A427&amp;"||"&amp;Data!E427,Key,0))),TRUE),TRUE)</f>
        <v>1</v>
      </c>
      <c r="AC427" s="27" t="b">
        <f>IF(Checks!C427,IF(UPPER(Data!C427)="END",Data!E427&lt;&gt;"",TRUE),TRUE)</f>
        <v>1</v>
      </c>
    </row>
    <row r="428" spans="1:29" x14ac:dyDescent="0.25">
      <c r="A428" s="1" t="str">
        <f>Data!A428&amp;"||"&amp;Data!B428</f>
        <v>Miscellaneous/subflow/irmifrs9_preprocess_stage3.bpmn||020_01_00</v>
      </c>
      <c r="B428" s="19"/>
      <c r="C428" s="24" t="b">
        <f>AND(UPPER(Data!A428)&lt;&gt;"EMPTY",Data!B428&lt;&gt;"")</f>
        <v>1</v>
      </c>
      <c r="D428" s="1"/>
      <c r="E428" s="25" t="b">
        <f t="shared" ca="1" si="12"/>
        <v>1</v>
      </c>
      <c r="F428" s="26" t="b">
        <f ca="1">IF(UPPER(Data!C428)="SUB PROCESS",NOT(ISERROR(MATCH(RIGHT(Data!BY428,LEN(Data!BY428)-5),OFFSET(Data,0,0,ItemsCount,1),0))),TRUE)</f>
        <v>1</v>
      </c>
      <c r="G428" s="26" t="b">
        <f ca="1">IF(MID(UPPER(Data!A428),1,13)="MISCELLANEOUS",NOT(ISERROR(MATCH("path="&amp;Data!A428,OFFSET(Data,0,76,ItemsCount,1),0))),TRUE)</f>
        <v>1</v>
      </c>
      <c r="L428" s="25" t="b">
        <f t="shared" ca="1" si="13"/>
        <v>1</v>
      </c>
      <c r="M428" s="24" t="b">
        <f>IF(Checks!$C428,Data!A428&lt;&gt;"",TRUE)</f>
        <v>1</v>
      </c>
      <c r="N428" s="26" t="b">
        <f>IF(Checks!C428,Data!B428&lt;&gt;"",TRUE)</f>
        <v>1</v>
      </c>
      <c r="O428" s="26" t="b">
        <f>IF(Checks!C428,IF(AND(UPPER(Data!C428)="SERVICE TASK",UPPER(Data!BZ428)="TYPE=SAS"),NodeExists(TRIM(RIGHT(Data!CA428,LEN(Data!CA428)-FIND("=",Data!CA428)))),TRUE),TRUE)</f>
        <v>1</v>
      </c>
      <c r="P428" s="26" t="b">
        <f>IF(Checks!C428,IF(Data!C428="DATA OBJECT",OR(AND(Data!BW428&lt;&gt;"",Data!BX428=""),AND(Data!BW428="",Data!BX428&lt;&gt;"")),TRUE),TRUE)</f>
        <v>1</v>
      </c>
      <c r="Q428" s="26" t="b">
        <f>IF(Checks!C428,UPPER(RIGHT(Data!A428,5))=".BPMN",TRUE)</f>
        <v>1</v>
      </c>
      <c r="R428" s="26" t="b">
        <f>IF(Checks!C428,IF(UPPER(Data!C428)="SUB PROCESS",UPPER(RIGHT(Data!BY428,5))=".BPMN",TRUE),TRUE)</f>
        <v>1</v>
      </c>
      <c r="S428" s="26" t="b">
        <f>IF(Checks!C428,IF(UPPER(Data!C428)="SERVICE TASK",IF(UPPER(Data!BZ428)="TYPE=SAS",UPPER(RIGHT(Data!CA428,4))=".SAS",TRUE),TRUE),TRUE)</f>
        <v>1</v>
      </c>
      <c r="T428" s="26" t="b">
        <f>IF(Checks!C428,IF(Data!B428&lt;&gt;"",Data!D428&lt;&gt;"",TRUE),TRUE)</f>
        <v>1</v>
      </c>
      <c r="U428" s="26" t="b">
        <f ca="1">IF(Checks!C428,IF(UPPER(Data!C428)="DATA OBJECT",NOT(ISERROR(MATCH(Data!A428&amp;"||"&amp;Data!BW428&amp;Data!BX428,Key,0))),TRUE),TRUE)</f>
        <v>1</v>
      </c>
      <c r="V428" s="26" t="b">
        <f>IF(Checks!C428,IF(UPPER(Data!C428)="SUB PROCESS",Data!BY428&lt;&gt;"",TRUE),TRUE)</f>
        <v>1</v>
      </c>
      <c r="W428" s="26" t="b">
        <f>IF(Checks!C428,IF(UPPER(Data!C428)="SERVICE TASK",AND(Data!BZ428&lt;&gt;"",Data!CA428&lt;&gt;""),TRUE),TRUE)</f>
        <v>1</v>
      </c>
      <c r="X428" s="26" t="b">
        <f t="array" aca="1" ref="X428" ca="1">SUM((OFFSET(Data!B428,MAX(ROW(Data!$B$5)-ROW(Data!B428),-200),0,400,1)=Data!B428)*(OFFSET(Data!A428,MAX(ROW(Data!$B$5)-ROW(Data!B428),-200),0,400,1)=Data!A428))=1</f>
        <v>1</v>
      </c>
      <c r="Y428" s="26" t="b">
        <f t="array" aca="1" ref="Y428" ca="1">IF(UPPER(Data!C428)="START",SUM((OFFSET(Data!C428,MAX(ROW(Data!$C$5)-ROW(Data!C428),-200),0,400,1)="START")*(OFFSET(Data!A428,MAX(ROW(Data!$B$5)-ROW(Data!B428),-200),0,400,1)=Data!A428))=1,TRUE)</f>
        <v>1</v>
      </c>
      <c r="Z428" s="26" t="b">
        <f t="array" aca="1" ref="Z428" ca="1">IF(UPPER(Data!C428)="END",SUM((OFFSET(Data!C428,MAX(ROW(Data!$C$5)-ROW(Data!C428),-200),0,400,1)="END")*(OFFSET(Data!A428,MAX(ROW(Data!$B$5)-ROW(Data!B428),-200),0,400,1)=Data!A428))=1,TRUE)</f>
        <v>1</v>
      </c>
      <c r="AA428" s="26" t="b">
        <f>IF(Checks!C428,ISERROR(FIND("&amp;",Data!D428)),TRUE)</f>
        <v>1</v>
      </c>
      <c r="AB428" s="26" t="b">
        <f>IF(Checks!$C428,IF(AND(UPPER(Data!$C428)&lt;&gt;"START",UPPER(Data!$C428)&lt;&gt;"DATA OBJECT",Data!E428&lt;&gt;""),NOT(ISERROR(MATCH(Data!$A428&amp;"||"&amp;Data!E428,Key,0))),TRUE),TRUE)</f>
        <v>1</v>
      </c>
      <c r="AC428" s="27" t="b">
        <f>IF(Checks!C428,IF(UPPER(Data!C428)="END",Data!E428&lt;&gt;"",TRUE),TRUE)</f>
        <v>1</v>
      </c>
    </row>
    <row r="429" spans="1:29" x14ac:dyDescent="0.25">
      <c r="A429" s="1" t="str">
        <f>Data!A429&amp;"||"&amp;Data!B429</f>
        <v>Miscellaneous/subflow/irmifrs9_preprocess_stage3.bpmn||030_00_00</v>
      </c>
      <c r="B429" s="19"/>
      <c r="C429" s="24" t="b">
        <f>AND(UPPER(Data!A429)&lt;&gt;"EMPTY",Data!B429&lt;&gt;"")</f>
        <v>1</v>
      </c>
      <c r="D429" s="1"/>
      <c r="E429" s="25" t="b">
        <f t="shared" ca="1" si="12"/>
        <v>1</v>
      </c>
      <c r="F429" s="26" t="b">
        <f ca="1">IF(UPPER(Data!C429)="SUB PROCESS",NOT(ISERROR(MATCH(RIGHT(Data!BY429,LEN(Data!BY429)-5),OFFSET(Data,0,0,ItemsCount,1),0))),TRUE)</f>
        <v>1</v>
      </c>
      <c r="G429" s="26" t="b">
        <f ca="1">IF(MID(UPPER(Data!A429),1,13)="MISCELLANEOUS",NOT(ISERROR(MATCH("path="&amp;Data!A429,OFFSET(Data,0,76,ItemsCount,1),0))),TRUE)</f>
        <v>1</v>
      </c>
      <c r="L429" s="25" t="b">
        <f t="shared" ca="1" si="13"/>
        <v>1</v>
      </c>
      <c r="M429" s="24" t="b">
        <f>IF(Checks!$C429,Data!A429&lt;&gt;"",TRUE)</f>
        <v>1</v>
      </c>
      <c r="N429" s="26" t="b">
        <f>IF(Checks!C429,Data!B429&lt;&gt;"",TRUE)</f>
        <v>1</v>
      </c>
      <c r="O429" s="26" t="b">
        <f>IF(Checks!C429,IF(AND(UPPER(Data!C429)="SERVICE TASK",UPPER(Data!BZ429)="TYPE=SAS"),NodeExists(TRIM(RIGHT(Data!CA429,LEN(Data!CA429)-FIND("=",Data!CA429)))),TRUE),TRUE)</f>
        <v>1</v>
      </c>
      <c r="P429" s="26" t="b">
        <f>IF(Checks!C429,IF(Data!C429="DATA OBJECT",OR(AND(Data!BW429&lt;&gt;"",Data!BX429=""),AND(Data!BW429="",Data!BX429&lt;&gt;"")),TRUE),TRUE)</f>
        <v>1</v>
      </c>
      <c r="Q429" s="26" t="b">
        <f>IF(Checks!C429,UPPER(RIGHT(Data!A429,5))=".BPMN",TRUE)</f>
        <v>1</v>
      </c>
      <c r="R429" s="26" t="b">
        <f>IF(Checks!C429,IF(UPPER(Data!C429)="SUB PROCESS",UPPER(RIGHT(Data!BY429,5))=".BPMN",TRUE),TRUE)</f>
        <v>1</v>
      </c>
      <c r="S429" s="26" t="b">
        <f>IF(Checks!C429,IF(UPPER(Data!C429)="SERVICE TASK",IF(UPPER(Data!BZ429)="TYPE=SAS",UPPER(RIGHT(Data!CA429,4))=".SAS",TRUE),TRUE),TRUE)</f>
        <v>1</v>
      </c>
      <c r="T429" s="26" t="b">
        <f>IF(Checks!C429,IF(Data!B429&lt;&gt;"",Data!D429&lt;&gt;"",TRUE),TRUE)</f>
        <v>1</v>
      </c>
      <c r="U429" s="26" t="b">
        <f>IF(Checks!C429,IF(UPPER(Data!C429)="DATA OBJECT",NOT(ISERROR(MATCH(Data!A429&amp;"||"&amp;Data!BW429&amp;Data!BX429,Key,0))),TRUE),TRUE)</f>
        <v>1</v>
      </c>
      <c r="V429" s="26" t="b">
        <f>IF(Checks!C429,IF(UPPER(Data!C429)="SUB PROCESS",Data!BY429&lt;&gt;"",TRUE),TRUE)</f>
        <v>1</v>
      </c>
      <c r="W429" s="26" t="b">
        <f>IF(Checks!C429,IF(UPPER(Data!C429)="SERVICE TASK",AND(Data!BZ429&lt;&gt;"",Data!CA429&lt;&gt;""),TRUE),TRUE)</f>
        <v>1</v>
      </c>
      <c r="X429" s="26" t="b">
        <f t="array" aca="1" ref="X429" ca="1">SUM((OFFSET(Data!B429,MAX(ROW(Data!$B$5)-ROW(Data!B429),-200),0,400,1)=Data!B429)*(OFFSET(Data!A429,MAX(ROW(Data!$B$5)-ROW(Data!B429),-200),0,400,1)=Data!A429))=1</f>
        <v>1</v>
      </c>
      <c r="Y429" s="26" t="b">
        <f t="array" aca="1" ref="Y429" ca="1">IF(UPPER(Data!C429)="START",SUM((OFFSET(Data!C429,MAX(ROW(Data!$C$5)-ROW(Data!C429),-200),0,400,1)="START")*(OFFSET(Data!A429,MAX(ROW(Data!$B$5)-ROW(Data!B429),-200),0,400,1)=Data!A429))=1,TRUE)</f>
        <v>1</v>
      </c>
      <c r="Z429" s="26" t="b">
        <f t="array" aca="1" ref="Z429" ca="1">IF(UPPER(Data!C429)="END",SUM((OFFSET(Data!C429,MAX(ROW(Data!$C$5)-ROW(Data!C429),-200),0,400,1)="END")*(OFFSET(Data!A429,MAX(ROW(Data!$B$5)-ROW(Data!B429),-200),0,400,1)=Data!A429))=1,TRUE)</f>
        <v>1</v>
      </c>
      <c r="AA429" s="26" t="b">
        <f>IF(Checks!C429,ISERROR(FIND("&amp;",Data!D429)),TRUE)</f>
        <v>1</v>
      </c>
      <c r="AB429" s="26" t="b">
        <f ca="1">IF(Checks!$C429,IF(AND(UPPER(Data!$C429)&lt;&gt;"START",UPPER(Data!$C429)&lt;&gt;"DATA OBJECT",Data!E429&lt;&gt;""),NOT(ISERROR(MATCH(Data!$A429&amp;"||"&amp;Data!E429,Key,0))),TRUE),TRUE)</f>
        <v>1</v>
      </c>
      <c r="AC429" s="27" t="b">
        <f>IF(Checks!C429,IF(UPPER(Data!C429)="END",Data!E429&lt;&gt;"",TRUE),TRUE)</f>
        <v>1</v>
      </c>
    </row>
    <row r="430" spans="1:29" x14ac:dyDescent="0.25">
      <c r="A430" s="1" t="str">
        <f>Data!A430&amp;"||"&amp;Data!B430</f>
        <v>Miscellaneous/subflow/irmifrs9_preprocess_stage3.bpmn||030_00_01</v>
      </c>
      <c r="B430" s="19"/>
      <c r="C430" s="24" t="b">
        <f>AND(UPPER(Data!A430)&lt;&gt;"EMPTY",Data!B430&lt;&gt;"")</f>
        <v>1</v>
      </c>
      <c r="D430" s="1"/>
      <c r="E430" s="25" t="b">
        <f t="shared" ca="1" si="12"/>
        <v>1</v>
      </c>
      <c r="F430" s="26" t="b">
        <f ca="1">IF(UPPER(Data!C430)="SUB PROCESS",NOT(ISERROR(MATCH(RIGHT(Data!BY430,LEN(Data!BY430)-5),OFFSET(Data,0,0,ItemsCount,1),0))),TRUE)</f>
        <v>1</v>
      </c>
      <c r="G430" s="26" t="b">
        <f ca="1">IF(MID(UPPER(Data!A430),1,13)="MISCELLANEOUS",NOT(ISERROR(MATCH("path="&amp;Data!A430,OFFSET(Data,0,76,ItemsCount,1),0))),TRUE)</f>
        <v>1</v>
      </c>
      <c r="L430" s="25" t="b">
        <f t="shared" ca="1" si="13"/>
        <v>1</v>
      </c>
      <c r="M430" s="24" t="b">
        <f>IF(Checks!$C430,Data!A430&lt;&gt;"",TRUE)</f>
        <v>1</v>
      </c>
      <c r="N430" s="26" t="b">
        <f>IF(Checks!C430,Data!B430&lt;&gt;"",TRUE)</f>
        <v>1</v>
      </c>
      <c r="O430" s="26" t="b">
        <f>IF(Checks!C430,IF(AND(UPPER(Data!C430)="SERVICE TASK",UPPER(Data!BZ430)="TYPE=SAS"),NodeExists(TRIM(RIGHT(Data!CA430,LEN(Data!CA430)-FIND("=",Data!CA430)))),TRUE),TRUE)</f>
        <v>1</v>
      </c>
      <c r="P430" s="26" t="b">
        <f>IF(Checks!C430,IF(Data!C430="DATA OBJECT",OR(AND(Data!BW430&lt;&gt;"",Data!BX430=""),AND(Data!BW430="",Data!BX430&lt;&gt;"")),TRUE),TRUE)</f>
        <v>1</v>
      </c>
      <c r="Q430" s="26" t="b">
        <f>IF(Checks!C430,UPPER(RIGHT(Data!A430,5))=".BPMN",TRUE)</f>
        <v>1</v>
      </c>
      <c r="R430" s="26" t="b">
        <f>IF(Checks!C430,IF(UPPER(Data!C430)="SUB PROCESS",UPPER(RIGHT(Data!BY430,5))=".BPMN",TRUE),TRUE)</f>
        <v>1</v>
      </c>
      <c r="S430" s="26" t="b">
        <f>IF(Checks!C430,IF(UPPER(Data!C430)="SERVICE TASK",IF(UPPER(Data!BZ430)="TYPE=SAS",UPPER(RIGHT(Data!CA430,4))=".SAS",TRUE),TRUE),TRUE)</f>
        <v>1</v>
      </c>
      <c r="T430" s="26" t="b">
        <f>IF(Checks!C430,IF(Data!B430&lt;&gt;"",Data!D430&lt;&gt;"",TRUE),TRUE)</f>
        <v>1</v>
      </c>
      <c r="U430" s="26" t="b">
        <f ca="1">IF(Checks!C430,IF(UPPER(Data!C430)="DATA OBJECT",NOT(ISERROR(MATCH(Data!A430&amp;"||"&amp;Data!BW430&amp;Data!BX430,Key,0))),TRUE),TRUE)</f>
        <v>1</v>
      </c>
      <c r="V430" s="26" t="b">
        <f>IF(Checks!C430,IF(UPPER(Data!C430)="SUB PROCESS",Data!BY430&lt;&gt;"",TRUE),TRUE)</f>
        <v>1</v>
      </c>
      <c r="W430" s="26" t="b">
        <f>IF(Checks!C430,IF(UPPER(Data!C430)="SERVICE TASK",AND(Data!BZ430&lt;&gt;"",Data!CA430&lt;&gt;""),TRUE),TRUE)</f>
        <v>1</v>
      </c>
      <c r="X430" s="26" t="b">
        <f t="array" aca="1" ref="X430" ca="1">SUM((OFFSET(Data!B430,MAX(ROW(Data!$B$5)-ROW(Data!B430),-200),0,400,1)=Data!B430)*(OFFSET(Data!A430,MAX(ROW(Data!$B$5)-ROW(Data!B430),-200),0,400,1)=Data!A430))=1</f>
        <v>1</v>
      </c>
      <c r="Y430" s="26" t="b">
        <f t="array" aca="1" ref="Y430" ca="1">IF(UPPER(Data!C430)="START",SUM((OFFSET(Data!C430,MAX(ROW(Data!$C$5)-ROW(Data!C430),-200),0,400,1)="START")*(OFFSET(Data!A430,MAX(ROW(Data!$B$5)-ROW(Data!B430),-200),0,400,1)=Data!A430))=1,TRUE)</f>
        <v>1</v>
      </c>
      <c r="Z430" s="26" t="b">
        <f t="array" aca="1" ref="Z430" ca="1">IF(UPPER(Data!C430)="END",SUM((OFFSET(Data!C430,MAX(ROW(Data!$C$5)-ROW(Data!C430),-200),0,400,1)="END")*(OFFSET(Data!A430,MAX(ROW(Data!$B$5)-ROW(Data!B430),-200),0,400,1)=Data!A430))=1,TRUE)</f>
        <v>1</v>
      </c>
      <c r="AA430" s="26" t="b">
        <f>IF(Checks!C430,ISERROR(FIND("&amp;",Data!D430)),TRUE)</f>
        <v>1</v>
      </c>
      <c r="AB430" s="26" t="b">
        <f>IF(Checks!$C430,IF(AND(UPPER(Data!$C430)&lt;&gt;"START",UPPER(Data!$C430)&lt;&gt;"DATA OBJECT",Data!E430&lt;&gt;""),NOT(ISERROR(MATCH(Data!$A430&amp;"||"&amp;Data!E430,Key,0))),TRUE),TRUE)</f>
        <v>1</v>
      </c>
      <c r="AC430" s="27" t="b">
        <f>IF(Checks!C430,IF(UPPER(Data!C430)="END",Data!E430&lt;&gt;"",TRUE),TRUE)</f>
        <v>1</v>
      </c>
    </row>
    <row r="431" spans="1:29" x14ac:dyDescent="0.25">
      <c r="A431" s="1" t="str">
        <f>Data!A431&amp;"||"&amp;Data!B431</f>
        <v>Miscellaneous/subflow/irmifrs9_preprocess_stage3.bpmn||030_00_02</v>
      </c>
      <c r="B431" s="19"/>
      <c r="C431" s="24" t="b">
        <f>AND(UPPER(Data!A431)&lt;&gt;"EMPTY",Data!B431&lt;&gt;"")</f>
        <v>1</v>
      </c>
      <c r="D431" s="1"/>
      <c r="E431" s="25" t="b">
        <f t="shared" ca="1" si="12"/>
        <v>1</v>
      </c>
      <c r="F431" s="26" t="b">
        <f ca="1">IF(UPPER(Data!C431)="SUB PROCESS",NOT(ISERROR(MATCH(RIGHT(Data!BY431,LEN(Data!BY431)-5),OFFSET(Data,0,0,ItemsCount,1),0))),TRUE)</f>
        <v>1</v>
      </c>
      <c r="G431" s="26" t="b">
        <f ca="1">IF(MID(UPPER(Data!A431),1,13)="MISCELLANEOUS",NOT(ISERROR(MATCH("path="&amp;Data!A431,OFFSET(Data,0,76,ItemsCount,1),0))),TRUE)</f>
        <v>1</v>
      </c>
      <c r="L431" s="25" t="b">
        <f t="shared" ca="1" si="13"/>
        <v>1</v>
      </c>
      <c r="M431" s="24" t="b">
        <f>IF(Checks!$C431,Data!A431&lt;&gt;"",TRUE)</f>
        <v>1</v>
      </c>
      <c r="N431" s="26" t="b">
        <f>IF(Checks!C431,Data!B431&lt;&gt;"",TRUE)</f>
        <v>1</v>
      </c>
      <c r="O431" s="26" t="b">
        <f>IF(Checks!C431,IF(AND(UPPER(Data!C431)="SERVICE TASK",UPPER(Data!BZ431)="TYPE=SAS"),NodeExists(TRIM(RIGHT(Data!CA431,LEN(Data!CA431)-FIND("=",Data!CA431)))),TRUE),TRUE)</f>
        <v>1</v>
      </c>
      <c r="P431" s="26" t="b">
        <f>IF(Checks!C431,IF(Data!C431="DATA OBJECT",OR(AND(Data!BW431&lt;&gt;"",Data!BX431=""),AND(Data!BW431="",Data!BX431&lt;&gt;"")),TRUE),TRUE)</f>
        <v>1</v>
      </c>
      <c r="Q431" s="26" t="b">
        <f>IF(Checks!C431,UPPER(RIGHT(Data!A431,5))=".BPMN",TRUE)</f>
        <v>1</v>
      </c>
      <c r="R431" s="26" t="b">
        <f>IF(Checks!C431,IF(UPPER(Data!C431)="SUB PROCESS",UPPER(RIGHT(Data!BY431,5))=".BPMN",TRUE),TRUE)</f>
        <v>1</v>
      </c>
      <c r="S431" s="26" t="b">
        <f>IF(Checks!C431,IF(UPPER(Data!C431)="SERVICE TASK",IF(UPPER(Data!BZ431)="TYPE=SAS",UPPER(RIGHT(Data!CA431,4))=".SAS",TRUE),TRUE),TRUE)</f>
        <v>1</v>
      </c>
      <c r="T431" s="26" t="b">
        <f>IF(Checks!C431,IF(Data!B431&lt;&gt;"",Data!D431&lt;&gt;"",TRUE),TRUE)</f>
        <v>1</v>
      </c>
      <c r="U431" s="26" t="b">
        <f ca="1">IF(Checks!C431,IF(UPPER(Data!C431)="DATA OBJECT",NOT(ISERROR(MATCH(Data!A431&amp;"||"&amp;Data!BW431&amp;Data!BX431,Key,0))),TRUE),TRUE)</f>
        <v>1</v>
      </c>
      <c r="V431" s="26" t="b">
        <f>IF(Checks!C431,IF(UPPER(Data!C431)="SUB PROCESS",Data!BY431&lt;&gt;"",TRUE),TRUE)</f>
        <v>1</v>
      </c>
      <c r="W431" s="26" t="b">
        <f>IF(Checks!C431,IF(UPPER(Data!C431)="SERVICE TASK",AND(Data!BZ431&lt;&gt;"",Data!CA431&lt;&gt;""),TRUE),TRUE)</f>
        <v>1</v>
      </c>
      <c r="X431" s="26" t="b">
        <f t="array" aca="1" ref="X431" ca="1">SUM((OFFSET(Data!B431,MAX(ROW(Data!$B$5)-ROW(Data!B431),-200),0,400,1)=Data!B431)*(OFFSET(Data!A431,MAX(ROW(Data!$B$5)-ROW(Data!B431),-200),0,400,1)=Data!A431))=1</f>
        <v>1</v>
      </c>
      <c r="Y431" s="26" t="b">
        <f t="array" aca="1" ref="Y431" ca="1">IF(UPPER(Data!C431)="START",SUM((OFFSET(Data!C431,MAX(ROW(Data!$C$5)-ROW(Data!C431),-200),0,400,1)="START")*(OFFSET(Data!A431,MAX(ROW(Data!$B$5)-ROW(Data!B431),-200),0,400,1)=Data!A431))=1,TRUE)</f>
        <v>1</v>
      </c>
      <c r="Z431" s="26" t="b">
        <f t="array" aca="1" ref="Z431" ca="1">IF(UPPER(Data!C431)="END",SUM((OFFSET(Data!C431,MAX(ROW(Data!$C$5)-ROW(Data!C431),-200),0,400,1)="END")*(OFFSET(Data!A431,MAX(ROW(Data!$B$5)-ROW(Data!B431),-200),0,400,1)=Data!A431))=1,TRUE)</f>
        <v>1</v>
      </c>
      <c r="AA431" s="26" t="b">
        <f>IF(Checks!C431,ISERROR(FIND("&amp;",Data!D431)),TRUE)</f>
        <v>1</v>
      </c>
      <c r="AB431" s="26" t="b">
        <f>IF(Checks!$C431,IF(AND(UPPER(Data!$C431)&lt;&gt;"START",UPPER(Data!$C431)&lt;&gt;"DATA OBJECT",Data!E431&lt;&gt;""),NOT(ISERROR(MATCH(Data!$A431&amp;"||"&amp;Data!E431,Key,0))),TRUE),TRUE)</f>
        <v>1</v>
      </c>
      <c r="AC431" s="27" t="b">
        <f>IF(Checks!C431,IF(UPPER(Data!C431)="END",Data!E431&lt;&gt;"",TRUE),TRUE)</f>
        <v>1</v>
      </c>
    </row>
    <row r="432" spans="1:29" x14ac:dyDescent="0.25">
      <c r="A432" s="1" t="str">
        <f>Data!A432&amp;"||"&amp;Data!B432</f>
        <v>Miscellaneous/subflow/irmifrs9_preprocess_stage3.bpmn||030_01_00</v>
      </c>
      <c r="B432" s="19"/>
      <c r="C432" s="24" t="b">
        <f>AND(UPPER(Data!A432)&lt;&gt;"EMPTY",Data!B432&lt;&gt;"")</f>
        <v>1</v>
      </c>
      <c r="D432" s="1"/>
      <c r="E432" s="25" t="b">
        <f t="shared" ca="1" si="12"/>
        <v>1</v>
      </c>
      <c r="F432" s="26" t="b">
        <f ca="1">IF(UPPER(Data!C432)="SUB PROCESS",NOT(ISERROR(MATCH(RIGHT(Data!BY432,LEN(Data!BY432)-5),OFFSET(Data,0,0,ItemsCount,1),0))),TRUE)</f>
        <v>1</v>
      </c>
      <c r="G432" s="26" t="b">
        <f ca="1">IF(MID(UPPER(Data!A432),1,13)="MISCELLANEOUS",NOT(ISERROR(MATCH("path="&amp;Data!A432,OFFSET(Data,0,76,ItemsCount,1),0))),TRUE)</f>
        <v>1</v>
      </c>
      <c r="L432" s="25" t="b">
        <f t="shared" ca="1" si="13"/>
        <v>1</v>
      </c>
      <c r="M432" s="24" t="b">
        <f>IF(Checks!$C432,Data!A432&lt;&gt;"",TRUE)</f>
        <v>1</v>
      </c>
      <c r="N432" s="26" t="b">
        <f>IF(Checks!C432,Data!B432&lt;&gt;"",TRUE)</f>
        <v>1</v>
      </c>
      <c r="O432" s="26" t="b">
        <f>IF(Checks!C432,IF(AND(UPPER(Data!C432)="SERVICE TASK",UPPER(Data!BZ432)="TYPE=SAS"),NodeExists(TRIM(RIGHT(Data!CA432,LEN(Data!CA432)-FIND("=",Data!CA432)))),TRUE),TRUE)</f>
        <v>1</v>
      </c>
      <c r="P432" s="26" t="b">
        <f>IF(Checks!C432,IF(Data!C432="DATA OBJECT",OR(AND(Data!BW432&lt;&gt;"",Data!BX432=""),AND(Data!BW432="",Data!BX432&lt;&gt;"")),TRUE),TRUE)</f>
        <v>1</v>
      </c>
      <c r="Q432" s="26" t="b">
        <f>IF(Checks!C432,UPPER(RIGHT(Data!A432,5))=".BPMN",TRUE)</f>
        <v>1</v>
      </c>
      <c r="R432" s="26" t="b">
        <f>IF(Checks!C432,IF(UPPER(Data!C432)="SUB PROCESS",UPPER(RIGHT(Data!BY432,5))=".BPMN",TRUE),TRUE)</f>
        <v>1</v>
      </c>
      <c r="S432" s="26" t="b">
        <f>IF(Checks!C432,IF(UPPER(Data!C432)="SERVICE TASK",IF(UPPER(Data!BZ432)="TYPE=SAS",UPPER(RIGHT(Data!CA432,4))=".SAS",TRUE),TRUE),TRUE)</f>
        <v>1</v>
      </c>
      <c r="T432" s="26" t="b">
        <f>IF(Checks!C432,IF(Data!B432&lt;&gt;"",Data!D432&lt;&gt;"",TRUE),TRUE)</f>
        <v>1</v>
      </c>
      <c r="U432" s="26" t="b">
        <f ca="1">IF(Checks!C432,IF(UPPER(Data!C432)="DATA OBJECT",NOT(ISERROR(MATCH(Data!A432&amp;"||"&amp;Data!BW432&amp;Data!BX432,Key,0))),TRUE),TRUE)</f>
        <v>1</v>
      </c>
      <c r="V432" s="26" t="b">
        <f>IF(Checks!C432,IF(UPPER(Data!C432)="SUB PROCESS",Data!BY432&lt;&gt;"",TRUE),TRUE)</f>
        <v>1</v>
      </c>
      <c r="W432" s="26" t="b">
        <f>IF(Checks!C432,IF(UPPER(Data!C432)="SERVICE TASK",AND(Data!BZ432&lt;&gt;"",Data!CA432&lt;&gt;""),TRUE),TRUE)</f>
        <v>1</v>
      </c>
      <c r="X432" s="26" t="b">
        <f t="array" aca="1" ref="X432" ca="1">SUM((OFFSET(Data!B432,MAX(ROW(Data!$B$5)-ROW(Data!B432),-200),0,400,1)=Data!B432)*(OFFSET(Data!A432,MAX(ROW(Data!$B$5)-ROW(Data!B432),-200),0,400,1)=Data!A432))=1</f>
        <v>1</v>
      </c>
      <c r="Y432" s="26" t="b">
        <f t="array" aca="1" ref="Y432" ca="1">IF(UPPER(Data!C432)="START",SUM((OFFSET(Data!C432,MAX(ROW(Data!$C$5)-ROW(Data!C432),-200),0,400,1)="START")*(OFFSET(Data!A432,MAX(ROW(Data!$B$5)-ROW(Data!B432),-200),0,400,1)=Data!A432))=1,TRUE)</f>
        <v>1</v>
      </c>
      <c r="Z432" s="26" t="b">
        <f t="array" aca="1" ref="Z432" ca="1">IF(UPPER(Data!C432)="END",SUM((OFFSET(Data!C432,MAX(ROW(Data!$C$5)-ROW(Data!C432),-200),0,400,1)="END")*(OFFSET(Data!A432,MAX(ROW(Data!$B$5)-ROW(Data!B432),-200),0,400,1)=Data!A432))=1,TRUE)</f>
        <v>1</v>
      </c>
      <c r="AA432" s="26" t="b">
        <f>IF(Checks!C432,ISERROR(FIND("&amp;",Data!D432)),TRUE)</f>
        <v>1</v>
      </c>
      <c r="AB432" s="26" t="b">
        <f>IF(Checks!$C432,IF(AND(UPPER(Data!$C432)&lt;&gt;"START",UPPER(Data!$C432)&lt;&gt;"DATA OBJECT",Data!E432&lt;&gt;""),NOT(ISERROR(MATCH(Data!$A432&amp;"||"&amp;Data!E432,Key,0))),TRUE),TRUE)</f>
        <v>1</v>
      </c>
      <c r="AC432" s="27" t="b">
        <f>IF(Checks!C432,IF(UPPER(Data!C432)="END",Data!E432&lt;&gt;"",TRUE),TRUE)</f>
        <v>1</v>
      </c>
    </row>
    <row r="433" spans="1:29" x14ac:dyDescent="0.25">
      <c r="A433" s="1" t="str">
        <f>Data!A433&amp;"||"&amp;Data!B433</f>
        <v>Miscellaneous/subflow/irmifrs9_preprocess_stage3.bpmn||999_00_00</v>
      </c>
      <c r="B433" s="19"/>
      <c r="C433" s="24" t="b">
        <f>AND(UPPER(Data!A433)&lt;&gt;"EMPTY",Data!B433&lt;&gt;"")</f>
        <v>1</v>
      </c>
      <c r="D433" s="1"/>
      <c r="E433" s="25" t="b">
        <f t="shared" ca="1" si="12"/>
        <v>1</v>
      </c>
      <c r="F433" s="26" t="b">
        <f ca="1">IF(UPPER(Data!C433)="SUB PROCESS",NOT(ISERROR(MATCH(RIGHT(Data!BY433,LEN(Data!BY433)-5),OFFSET(Data,0,0,ItemsCount,1),0))),TRUE)</f>
        <v>1</v>
      </c>
      <c r="G433" s="26" t="b">
        <f ca="1">IF(MID(UPPER(Data!A433),1,13)="MISCELLANEOUS",NOT(ISERROR(MATCH("path="&amp;Data!A433,OFFSET(Data,0,76,ItemsCount,1),0))),TRUE)</f>
        <v>1</v>
      </c>
      <c r="L433" s="25" t="b">
        <f t="shared" ca="1" si="13"/>
        <v>1</v>
      </c>
      <c r="M433" s="24" t="b">
        <f>IF(Checks!$C433,Data!A433&lt;&gt;"",TRUE)</f>
        <v>1</v>
      </c>
      <c r="N433" s="26" t="b">
        <f>IF(Checks!C433,Data!B433&lt;&gt;"",TRUE)</f>
        <v>1</v>
      </c>
      <c r="O433" s="26" t="b">
        <f>IF(Checks!C433,IF(AND(UPPER(Data!C433)="SERVICE TASK",UPPER(Data!BZ433)="TYPE=SAS"),NodeExists(TRIM(RIGHT(Data!CA433,LEN(Data!CA433)-FIND("=",Data!CA433)))),TRUE),TRUE)</f>
        <v>1</v>
      </c>
      <c r="P433" s="26" t="b">
        <f>IF(Checks!C433,IF(Data!C433="DATA OBJECT",OR(AND(Data!BW433&lt;&gt;"",Data!BX433=""),AND(Data!BW433="",Data!BX433&lt;&gt;"")),TRUE),TRUE)</f>
        <v>1</v>
      </c>
      <c r="Q433" s="26" t="b">
        <f>IF(Checks!C433,UPPER(RIGHT(Data!A433,5))=".BPMN",TRUE)</f>
        <v>1</v>
      </c>
      <c r="R433" s="26" t="b">
        <f>IF(Checks!C433,IF(UPPER(Data!C433)="SUB PROCESS",UPPER(RIGHT(Data!BY433,5))=".BPMN",TRUE),TRUE)</f>
        <v>1</v>
      </c>
      <c r="S433" s="26" t="b">
        <f>IF(Checks!C433,IF(UPPER(Data!C433)="SERVICE TASK",IF(UPPER(Data!BZ433)="TYPE=SAS",UPPER(RIGHT(Data!CA433,4))=".SAS",TRUE),TRUE),TRUE)</f>
        <v>1</v>
      </c>
      <c r="T433" s="26" t="b">
        <f>IF(Checks!C433,IF(Data!B433&lt;&gt;"",Data!D433&lt;&gt;"",TRUE),TRUE)</f>
        <v>1</v>
      </c>
      <c r="U433" s="26" t="b">
        <f>IF(Checks!C433,IF(UPPER(Data!C433)="DATA OBJECT",NOT(ISERROR(MATCH(Data!A433&amp;"||"&amp;Data!BW433&amp;Data!BX433,Key,0))),TRUE),TRUE)</f>
        <v>1</v>
      </c>
      <c r="V433" s="26" t="b">
        <f>IF(Checks!C433,IF(UPPER(Data!C433)="SUB PROCESS",Data!BY433&lt;&gt;"",TRUE),TRUE)</f>
        <v>1</v>
      </c>
      <c r="W433" s="26" t="b">
        <f>IF(Checks!C433,IF(UPPER(Data!C433)="SERVICE TASK",AND(Data!BZ433&lt;&gt;"",Data!CA433&lt;&gt;""),TRUE),TRUE)</f>
        <v>1</v>
      </c>
      <c r="X433" s="26" t="b">
        <f t="array" aca="1" ref="X433" ca="1">SUM((OFFSET(Data!B433,MAX(ROW(Data!$B$5)-ROW(Data!B433),-200),0,400,1)=Data!B433)*(OFFSET(Data!A433,MAX(ROW(Data!$B$5)-ROW(Data!B433),-200),0,400,1)=Data!A433))=1</f>
        <v>1</v>
      </c>
      <c r="Y433" s="26" t="b">
        <f t="array" aca="1" ref="Y433" ca="1">IF(UPPER(Data!C433)="START",SUM((OFFSET(Data!C433,MAX(ROW(Data!$C$5)-ROW(Data!C433),-200),0,400,1)="START")*(OFFSET(Data!A433,MAX(ROW(Data!$B$5)-ROW(Data!B433),-200),0,400,1)=Data!A433))=1,TRUE)</f>
        <v>1</v>
      </c>
      <c r="Z433" s="26" t="b">
        <f t="array" aca="1" ref="Z433" ca="1">IF(UPPER(Data!C433)="END",SUM((OFFSET(Data!C433,MAX(ROW(Data!$C$5)-ROW(Data!C433),-200),0,400,1)="END")*(OFFSET(Data!A433,MAX(ROW(Data!$B$5)-ROW(Data!B433),-200),0,400,1)=Data!A433))=1,TRUE)</f>
        <v>1</v>
      </c>
      <c r="AA433" s="26" t="b">
        <f>IF(Checks!C433,ISERROR(FIND("&amp;",Data!D433)),TRUE)</f>
        <v>1</v>
      </c>
      <c r="AB433" s="26" t="b">
        <f ca="1">IF(Checks!$C433,IF(AND(UPPER(Data!$C433)&lt;&gt;"START",UPPER(Data!$C433)&lt;&gt;"DATA OBJECT",Data!E433&lt;&gt;""),NOT(ISERROR(MATCH(Data!$A433&amp;"||"&amp;Data!E433,Key,0))),TRUE),TRUE)</f>
        <v>1</v>
      </c>
      <c r="AC433" s="27" t="b">
        <f>IF(Checks!C433,IF(UPPER(Data!C433)="END",Data!E433&lt;&gt;"",TRUE),TRUE)</f>
        <v>1</v>
      </c>
    </row>
    <row r="434" spans="1:29" x14ac:dyDescent="0.25">
      <c r="A434" s="1" t="str">
        <f>Data!A434&amp;"||"&amp;Data!B434</f>
        <v>Miscellaneous/subflow/irmifrs9_postprocess_stage1.bpmn||000_00_00</v>
      </c>
      <c r="B434" s="19"/>
      <c r="C434" s="24" t="b">
        <f>AND(UPPER(Data!A434)&lt;&gt;"EMPTY",Data!B434&lt;&gt;"")</f>
        <v>1</v>
      </c>
      <c r="D434" s="1"/>
      <c r="E434" s="25" t="b">
        <f t="shared" ca="1" si="12"/>
        <v>1</v>
      </c>
      <c r="F434" s="26" t="b">
        <f ca="1">IF(UPPER(Data!C434)="SUB PROCESS",NOT(ISERROR(MATCH(RIGHT(Data!BY434,LEN(Data!BY434)-5),OFFSET(Data,0,0,ItemsCount,1),0))),TRUE)</f>
        <v>1</v>
      </c>
      <c r="G434" s="26" t="b">
        <f ca="1">IF(MID(UPPER(Data!A434),1,13)="MISCELLANEOUS",NOT(ISERROR(MATCH("path="&amp;Data!A434,OFFSET(Data,0,76,ItemsCount,1),0))),TRUE)</f>
        <v>1</v>
      </c>
      <c r="L434" s="25" t="b">
        <f t="shared" ca="1" si="13"/>
        <v>1</v>
      </c>
      <c r="M434" s="24" t="b">
        <f>IF(Checks!$C434,Data!A434&lt;&gt;"",TRUE)</f>
        <v>1</v>
      </c>
      <c r="N434" s="26" t="b">
        <f>IF(Checks!C434,Data!B434&lt;&gt;"",TRUE)</f>
        <v>1</v>
      </c>
      <c r="O434" s="26" t="b">
        <f>IF(Checks!C434,IF(AND(UPPER(Data!C434)="SERVICE TASK",UPPER(Data!BZ434)="TYPE=SAS"),NodeExists(TRIM(RIGHT(Data!CA434,LEN(Data!CA434)-FIND("=",Data!CA434)))),TRUE),TRUE)</f>
        <v>1</v>
      </c>
      <c r="P434" s="26" t="b">
        <f>IF(Checks!C434,IF(Data!C434="DATA OBJECT",OR(AND(Data!BW434&lt;&gt;"",Data!BX434=""),AND(Data!BW434="",Data!BX434&lt;&gt;"")),TRUE),TRUE)</f>
        <v>1</v>
      </c>
      <c r="Q434" s="26" t="b">
        <f>IF(Checks!C434,UPPER(RIGHT(Data!A434,5))=".BPMN",TRUE)</f>
        <v>1</v>
      </c>
      <c r="R434" s="26" t="b">
        <f>IF(Checks!C434,IF(UPPER(Data!C434)="SUB PROCESS",UPPER(RIGHT(Data!BY434,5))=".BPMN",TRUE),TRUE)</f>
        <v>1</v>
      </c>
      <c r="S434" s="26" t="b">
        <f>IF(Checks!C434,IF(UPPER(Data!C434)="SERVICE TASK",IF(UPPER(Data!BZ434)="TYPE=SAS",UPPER(RIGHT(Data!CA434,4))=".SAS",TRUE),TRUE),TRUE)</f>
        <v>1</v>
      </c>
      <c r="T434" s="26" t="b">
        <f>IF(Checks!C434,IF(Data!B434&lt;&gt;"",Data!D434&lt;&gt;"",TRUE),TRUE)</f>
        <v>1</v>
      </c>
      <c r="U434" s="26" t="b">
        <f>IF(Checks!C434,IF(UPPER(Data!C434)="DATA OBJECT",NOT(ISERROR(MATCH(Data!A434&amp;"||"&amp;Data!BW434&amp;Data!BX434,Key,0))),TRUE),TRUE)</f>
        <v>1</v>
      </c>
      <c r="V434" s="26" t="b">
        <f>IF(Checks!C434,IF(UPPER(Data!C434)="SUB PROCESS",Data!BY434&lt;&gt;"",TRUE),TRUE)</f>
        <v>1</v>
      </c>
      <c r="W434" s="26" t="b">
        <f>IF(Checks!C434,IF(UPPER(Data!C434)="SERVICE TASK",AND(Data!BZ434&lt;&gt;"",Data!CA434&lt;&gt;""),TRUE),TRUE)</f>
        <v>1</v>
      </c>
      <c r="X434" s="26" t="b">
        <f t="array" aca="1" ref="X434" ca="1">SUM((OFFSET(Data!B434,MAX(ROW(Data!$B$5)-ROW(Data!B434),-200),0,400,1)=Data!B434)*(OFFSET(Data!A434,MAX(ROW(Data!$B$5)-ROW(Data!B434),-200),0,400,1)=Data!A434))=1</f>
        <v>1</v>
      </c>
      <c r="Y434" s="26" t="b">
        <f t="array" aca="1" ref="Y434" ca="1">IF(UPPER(Data!C434)="START",SUM((OFFSET(Data!C434,MAX(ROW(Data!$C$5)-ROW(Data!C434),-200),0,400,1)="START")*(OFFSET(Data!A434,MAX(ROW(Data!$B$5)-ROW(Data!B434),-200),0,400,1)=Data!A434))=1,TRUE)</f>
        <v>1</v>
      </c>
      <c r="Z434" s="26" t="b">
        <f t="array" aca="1" ref="Z434" ca="1">IF(UPPER(Data!C434)="END",SUM((OFFSET(Data!C434,MAX(ROW(Data!$C$5)-ROW(Data!C434),-200),0,400,1)="END")*(OFFSET(Data!A434,MAX(ROW(Data!$B$5)-ROW(Data!B434),-200),0,400,1)=Data!A434))=1,TRUE)</f>
        <v>1</v>
      </c>
      <c r="AA434" s="26" t="b">
        <f>IF(Checks!C434,ISERROR(FIND("&amp;",Data!D434)),TRUE)</f>
        <v>1</v>
      </c>
      <c r="AB434" s="26" t="b">
        <f>IF(Checks!$C434,IF(AND(UPPER(Data!$C434)&lt;&gt;"START",UPPER(Data!$C434)&lt;&gt;"DATA OBJECT",Data!E434&lt;&gt;""),NOT(ISERROR(MATCH(Data!$A434&amp;"||"&amp;Data!E434,Key,0))),TRUE),TRUE)</f>
        <v>1</v>
      </c>
      <c r="AC434" s="27" t="b">
        <f>IF(Checks!C434,IF(UPPER(Data!C434)="END",Data!E434&lt;&gt;"",TRUE),TRUE)</f>
        <v>1</v>
      </c>
    </row>
    <row r="435" spans="1:29" x14ac:dyDescent="0.25">
      <c r="A435" s="1" t="str">
        <f>Data!A435&amp;"||"&amp;Data!B435</f>
        <v>Miscellaneous/subflow/irmifrs9_postprocess_stage1.bpmn||010_00_00</v>
      </c>
      <c r="B435" s="19"/>
      <c r="C435" s="24" t="b">
        <f>AND(UPPER(Data!A435)&lt;&gt;"EMPTY",Data!B435&lt;&gt;"")</f>
        <v>1</v>
      </c>
      <c r="D435" s="1"/>
      <c r="E435" s="25" t="b">
        <f t="shared" ca="1" si="12"/>
        <v>1</v>
      </c>
      <c r="F435" s="26" t="b">
        <f ca="1">IF(UPPER(Data!C435)="SUB PROCESS",NOT(ISERROR(MATCH(RIGHT(Data!BY435,LEN(Data!BY435)-5),OFFSET(Data,0,0,ItemsCount,1),0))),TRUE)</f>
        <v>1</v>
      </c>
      <c r="G435" s="26" t="b">
        <f ca="1">IF(MID(UPPER(Data!A435),1,13)="MISCELLANEOUS",NOT(ISERROR(MATCH("path="&amp;Data!A435,OFFSET(Data,0,76,ItemsCount,1),0))),TRUE)</f>
        <v>1</v>
      </c>
      <c r="L435" s="25" t="b">
        <f t="shared" ca="1" si="13"/>
        <v>1</v>
      </c>
      <c r="M435" s="24" t="b">
        <f>IF(Checks!$C435,Data!A435&lt;&gt;"",TRUE)</f>
        <v>1</v>
      </c>
      <c r="N435" s="26" t="b">
        <f>IF(Checks!C435,Data!B435&lt;&gt;"",TRUE)</f>
        <v>1</v>
      </c>
      <c r="O435" s="26" t="b">
        <f>IF(Checks!C435,IF(AND(UPPER(Data!C435)="SERVICE TASK",UPPER(Data!BZ435)="TYPE=SAS"),NodeExists(TRIM(RIGHT(Data!CA435,LEN(Data!CA435)-FIND("=",Data!CA435)))),TRUE),TRUE)</f>
        <v>1</v>
      </c>
      <c r="P435" s="26" t="b">
        <f>IF(Checks!C435,IF(Data!C435="DATA OBJECT",OR(AND(Data!BW435&lt;&gt;"",Data!BX435=""),AND(Data!BW435="",Data!BX435&lt;&gt;"")),TRUE),TRUE)</f>
        <v>1</v>
      </c>
      <c r="Q435" s="26" t="b">
        <f>IF(Checks!C435,UPPER(RIGHT(Data!A435,5))=".BPMN",TRUE)</f>
        <v>1</v>
      </c>
      <c r="R435" s="26" t="b">
        <f>IF(Checks!C435,IF(UPPER(Data!C435)="SUB PROCESS",UPPER(RIGHT(Data!BY435,5))=".BPMN",TRUE),TRUE)</f>
        <v>1</v>
      </c>
      <c r="S435" s="26" t="b">
        <f>IF(Checks!C435,IF(UPPER(Data!C435)="SERVICE TASK",IF(UPPER(Data!BZ435)="TYPE=SAS",UPPER(RIGHT(Data!CA435,4))=".SAS",TRUE),TRUE),TRUE)</f>
        <v>1</v>
      </c>
      <c r="T435" s="26" t="b">
        <f>IF(Checks!C435,IF(Data!B435&lt;&gt;"",Data!D435&lt;&gt;"",TRUE),TRUE)</f>
        <v>1</v>
      </c>
      <c r="U435" s="26" t="b">
        <f>IF(Checks!C435,IF(UPPER(Data!C435)="DATA OBJECT",NOT(ISERROR(MATCH(Data!A435&amp;"||"&amp;Data!BW435&amp;Data!BX435,Key,0))),TRUE),TRUE)</f>
        <v>1</v>
      </c>
      <c r="V435" s="26" t="b">
        <f>IF(Checks!C435,IF(UPPER(Data!C435)="SUB PROCESS",Data!BY435&lt;&gt;"",TRUE),TRUE)</f>
        <v>1</v>
      </c>
      <c r="W435" s="26" t="b">
        <f>IF(Checks!C435,IF(UPPER(Data!C435)="SERVICE TASK",AND(Data!BZ435&lt;&gt;"",Data!CA435&lt;&gt;""),TRUE),TRUE)</f>
        <v>1</v>
      </c>
      <c r="X435" s="26" t="b">
        <f t="array" aca="1" ref="X435" ca="1">SUM((OFFSET(Data!B435,MAX(ROW(Data!$B$5)-ROW(Data!B435),-200),0,400,1)=Data!B435)*(OFFSET(Data!A435,MAX(ROW(Data!$B$5)-ROW(Data!B435),-200),0,400,1)=Data!A435))=1</f>
        <v>1</v>
      </c>
      <c r="Y435" s="26" t="b">
        <f t="array" aca="1" ref="Y435" ca="1">IF(UPPER(Data!C435)="START",SUM((OFFSET(Data!C435,MAX(ROW(Data!$C$5)-ROW(Data!C435),-200),0,400,1)="START")*(OFFSET(Data!A435,MAX(ROW(Data!$B$5)-ROW(Data!B435),-200),0,400,1)=Data!A435))=1,TRUE)</f>
        <v>1</v>
      </c>
      <c r="Z435" s="26" t="b">
        <f t="array" aca="1" ref="Z435" ca="1">IF(UPPER(Data!C435)="END",SUM((OFFSET(Data!C435,MAX(ROW(Data!$C$5)-ROW(Data!C435),-200),0,400,1)="END")*(OFFSET(Data!A435,MAX(ROW(Data!$B$5)-ROW(Data!B435),-200),0,400,1)=Data!A435))=1,TRUE)</f>
        <v>1</v>
      </c>
      <c r="AA435" s="26" t="b">
        <f>IF(Checks!C435,ISERROR(FIND("&amp;",Data!D435)),TRUE)</f>
        <v>1</v>
      </c>
      <c r="AB435" s="26" t="b">
        <f ca="1">IF(Checks!$C435,IF(AND(UPPER(Data!$C435)&lt;&gt;"START",UPPER(Data!$C435)&lt;&gt;"DATA OBJECT",Data!E435&lt;&gt;""),NOT(ISERROR(MATCH(Data!$A435&amp;"||"&amp;Data!E435,Key,0))),TRUE),TRUE)</f>
        <v>1</v>
      </c>
      <c r="AC435" s="27" t="b">
        <f>IF(Checks!C435,IF(UPPER(Data!C435)="END",Data!E435&lt;&gt;"",TRUE),TRUE)</f>
        <v>1</v>
      </c>
    </row>
    <row r="436" spans="1:29" x14ac:dyDescent="0.25">
      <c r="A436" s="1" t="str">
        <f>Data!A436&amp;"||"&amp;Data!B436</f>
        <v>Miscellaneous/subflow/irmifrs9_postprocess_stage1.bpmn||010_00_01</v>
      </c>
      <c r="B436" s="19"/>
      <c r="C436" s="24" t="b">
        <f>AND(UPPER(Data!A436)&lt;&gt;"EMPTY",Data!B436&lt;&gt;"")</f>
        <v>1</v>
      </c>
      <c r="D436" s="1"/>
      <c r="E436" s="25" t="b">
        <f t="shared" ca="1" si="12"/>
        <v>1</v>
      </c>
      <c r="F436" s="26" t="b">
        <f ca="1">IF(UPPER(Data!C436)="SUB PROCESS",NOT(ISERROR(MATCH(RIGHT(Data!BY436,LEN(Data!BY436)-5),OFFSET(Data,0,0,ItemsCount,1),0))),TRUE)</f>
        <v>1</v>
      </c>
      <c r="G436" s="26" t="b">
        <f ca="1">IF(MID(UPPER(Data!A436),1,13)="MISCELLANEOUS",NOT(ISERROR(MATCH("path="&amp;Data!A436,OFFSET(Data,0,76,ItemsCount,1),0))),TRUE)</f>
        <v>1</v>
      </c>
      <c r="L436" s="25" t="b">
        <f t="shared" ca="1" si="13"/>
        <v>1</v>
      </c>
      <c r="M436" s="24" t="b">
        <f>IF(Checks!$C436,Data!A436&lt;&gt;"",TRUE)</f>
        <v>1</v>
      </c>
      <c r="N436" s="26" t="b">
        <f>IF(Checks!C436,Data!B436&lt;&gt;"",TRUE)</f>
        <v>1</v>
      </c>
      <c r="O436" s="26" t="b">
        <f>IF(Checks!C436,IF(AND(UPPER(Data!C436)="SERVICE TASK",UPPER(Data!BZ436)="TYPE=SAS"),NodeExists(TRIM(RIGHT(Data!CA436,LEN(Data!CA436)-FIND("=",Data!CA436)))),TRUE),TRUE)</f>
        <v>1</v>
      </c>
      <c r="P436" s="26" t="b">
        <f>IF(Checks!C436,IF(Data!C436="DATA OBJECT",OR(AND(Data!BW436&lt;&gt;"",Data!BX436=""),AND(Data!BW436="",Data!BX436&lt;&gt;"")),TRUE),TRUE)</f>
        <v>1</v>
      </c>
      <c r="Q436" s="26" t="b">
        <f>IF(Checks!C436,UPPER(RIGHT(Data!A436,5))=".BPMN",TRUE)</f>
        <v>1</v>
      </c>
      <c r="R436" s="26" t="b">
        <f>IF(Checks!C436,IF(UPPER(Data!C436)="SUB PROCESS",UPPER(RIGHT(Data!BY436,5))=".BPMN",TRUE),TRUE)</f>
        <v>1</v>
      </c>
      <c r="S436" s="26" t="b">
        <f>IF(Checks!C436,IF(UPPER(Data!C436)="SERVICE TASK",IF(UPPER(Data!BZ436)="TYPE=SAS",UPPER(RIGHT(Data!CA436,4))=".SAS",TRUE),TRUE),TRUE)</f>
        <v>1</v>
      </c>
      <c r="T436" s="26" t="b">
        <f>IF(Checks!C436,IF(Data!B436&lt;&gt;"",Data!D436&lt;&gt;"",TRUE),TRUE)</f>
        <v>1</v>
      </c>
      <c r="U436" s="26" t="b">
        <f ca="1">IF(Checks!C436,IF(UPPER(Data!C436)="DATA OBJECT",NOT(ISERROR(MATCH(Data!A436&amp;"||"&amp;Data!BW436&amp;Data!BX436,Key,0))),TRUE),TRUE)</f>
        <v>1</v>
      </c>
      <c r="V436" s="26" t="b">
        <f>IF(Checks!C436,IF(UPPER(Data!C436)="SUB PROCESS",Data!BY436&lt;&gt;"",TRUE),TRUE)</f>
        <v>1</v>
      </c>
      <c r="W436" s="26" t="b">
        <f>IF(Checks!C436,IF(UPPER(Data!C436)="SERVICE TASK",AND(Data!BZ436&lt;&gt;"",Data!CA436&lt;&gt;""),TRUE),TRUE)</f>
        <v>1</v>
      </c>
      <c r="X436" s="26" t="b">
        <f t="array" aca="1" ref="X436" ca="1">SUM((OFFSET(Data!B436,MAX(ROW(Data!$B$5)-ROW(Data!B436),-200),0,400,1)=Data!B436)*(OFFSET(Data!A436,MAX(ROW(Data!$B$5)-ROW(Data!B436),-200),0,400,1)=Data!A436))=1</f>
        <v>1</v>
      </c>
      <c r="Y436" s="26" t="b">
        <f t="array" aca="1" ref="Y436" ca="1">IF(UPPER(Data!C436)="START",SUM((OFFSET(Data!C436,MAX(ROW(Data!$C$5)-ROW(Data!C436),-200),0,400,1)="START")*(OFFSET(Data!A436,MAX(ROW(Data!$B$5)-ROW(Data!B436),-200),0,400,1)=Data!A436))=1,TRUE)</f>
        <v>1</v>
      </c>
      <c r="Z436" s="26" t="b">
        <f t="array" aca="1" ref="Z436" ca="1">IF(UPPER(Data!C436)="END",SUM((OFFSET(Data!C436,MAX(ROW(Data!$C$5)-ROW(Data!C436),-200),0,400,1)="END")*(OFFSET(Data!A436,MAX(ROW(Data!$B$5)-ROW(Data!B436),-200),0,400,1)=Data!A436))=1,TRUE)</f>
        <v>1</v>
      </c>
      <c r="AA436" s="26" t="b">
        <f>IF(Checks!C436,ISERROR(FIND("&amp;",Data!D436)),TRUE)</f>
        <v>1</v>
      </c>
      <c r="AB436" s="26" t="b">
        <f>IF(Checks!$C436,IF(AND(UPPER(Data!$C436)&lt;&gt;"START",UPPER(Data!$C436)&lt;&gt;"DATA OBJECT",Data!E436&lt;&gt;""),NOT(ISERROR(MATCH(Data!$A436&amp;"||"&amp;Data!E436,Key,0))),TRUE),TRUE)</f>
        <v>1</v>
      </c>
      <c r="AC436" s="27" t="b">
        <f>IF(Checks!C436,IF(UPPER(Data!C436)="END",Data!E436&lt;&gt;"",TRUE),TRUE)</f>
        <v>1</v>
      </c>
    </row>
    <row r="437" spans="1:29" x14ac:dyDescent="0.25">
      <c r="A437" s="1" t="str">
        <f>Data!A437&amp;"||"&amp;Data!B437</f>
        <v>Miscellaneous/subflow/irmifrs9_postprocess_stage1.bpmn||010_00_02</v>
      </c>
      <c r="B437" s="19"/>
      <c r="C437" s="24" t="b">
        <f>AND(UPPER(Data!A437)&lt;&gt;"EMPTY",Data!B437&lt;&gt;"")</f>
        <v>1</v>
      </c>
      <c r="D437" s="1"/>
      <c r="E437" s="25" t="b">
        <f t="shared" ca="1" si="12"/>
        <v>1</v>
      </c>
      <c r="F437" s="26" t="b">
        <f ca="1">IF(UPPER(Data!C437)="SUB PROCESS",NOT(ISERROR(MATCH(RIGHT(Data!BY437,LEN(Data!BY437)-5),OFFSET(Data,0,0,ItemsCount,1),0))),TRUE)</f>
        <v>1</v>
      </c>
      <c r="G437" s="26" t="b">
        <f ca="1">IF(MID(UPPER(Data!A437),1,13)="MISCELLANEOUS",NOT(ISERROR(MATCH("path="&amp;Data!A437,OFFSET(Data,0,76,ItemsCount,1),0))),TRUE)</f>
        <v>1</v>
      </c>
      <c r="L437" s="25" t="b">
        <f t="shared" ca="1" si="13"/>
        <v>1</v>
      </c>
      <c r="M437" s="24" t="b">
        <f>IF(Checks!$C437,Data!A437&lt;&gt;"",TRUE)</f>
        <v>1</v>
      </c>
      <c r="N437" s="26" t="b">
        <f>IF(Checks!C437,Data!B437&lt;&gt;"",TRUE)</f>
        <v>1</v>
      </c>
      <c r="O437" s="26" t="b">
        <f>IF(Checks!C437,IF(AND(UPPER(Data!C437)="SERVICE TASK",UPPER(Data!BZ437)="TYPE=SAS"),NodeExists(TRIM(RIGHT(Data!CA437,LEN(Data!CA437)-FIND("=",Data!CA437)))),TRUE),TRUE)</f>
        <v>1</v>
      </c>
      <c r="P437" s="26" t="b">
        <f>IF(Checks!C437,IF(Data!C437="DATA OBJECT",OR(AND(Data!BW437&lt;&gt;"",Data!BX437=""),AND(Data!BW437="",Data!BX437&lt;&gt;"")),TRUE),TRUE)</f>
        <v>1</v>
      </c>
      <c r="Q437" s="26" t="b">
        <f>IF(Checks!C437,UPPER(RIGHT(Data!A437,5))=".BPMN",TRUE)</f>
        <v>1</v>
      </c>
      <c r="R437" s="26" t="b">
        <f>IF(Checks!C437,IF(UPPER(Data!C437)="SUB PROCESS",UPPER(RIGHT(Data!BY437,5))=".BPMN",TRUE),TRUE)</f>
        <v>1</v>
      </c>
      <c r="S437" s="26" t="b">
        <f>IF(Checks!C437,IF(UPPER(Data!C437)="SERVICE TASK",IF(UPPER(Data!BZ437)="TYPE=SAS",UPPER(RIGHT(Data!CA437,4))=".SAS",TRUE),TRUE),TRUE)</f>
        <v>1</v>
      </c>
      <c r="T437" s="26" t="b">
        <f>IF(Checks!C437,IF(Data!B437&lt;&gt;"",Data!D437&lt;&gt;"",TRUE),TRUE)</f>
        <v>1</v>
      </c>
      <c r="U437" s="26" t="b">
        <f ca="1">IF(Checks!C437,IF(UPPER(Data!C437)="DATA OBJECT",NOT(ISERROR(MATCH(Data!A437&amp;"||"&amp;Data!BW437&amp;Data!BX437,Key,0))),TRUE),TRUE)</f>
        <v>1</v>
      </c>
      <c r="V437" s="26" t="b">
        <f>IF(Checks!C437,IF(UPPER(Data!C437)="SUB PROCESS",Data!BY437&lt;&gt;"",TRUE),TRUE)</f>
        <v>1</v>
      </c>
      <c r="W437" s="26" t="b">
        <f>IF(Checks!C437,IF(UPPER(Data!C437)="SERVICE TASK",AND(Data!BZ437&lt;&gt;"",Data!CA437&lt;&gt;""),TRUE),TRUE)</f>
        <v>1</v>
      </c>
      <c r="X437" s="26" t="b">
        <f t="array" aca="1" ref="X437" ca="1">SUM((OFFSET(Data!B437,MAX(ROW(Data!$B$5)-ROW(Data!B437),-200),0,400,1)=Data!B437)*(OFFSET(Data!A437,MAX(ROW(Data!$B$5)-ROW(Data!B437),-200),0,400,1)=Data!A437))=1</f>
        <v>1</v>
      </c>
      <c r="Y437" s="26" t="b">
        <f t="array" aca="1" ref="Y437" ca="1">IF(UPPER(Data!C437)="START",SUM((OFFSET(Data!C437,MAX(ROW(Data!$C$5)-ROW(Data!C437),-200),0,400,1)="START")*(OFFSET(Data!A437,MAX(ROW(Data!$B$5)-ROW(Data!B437),-200),0,400,1)=Data!A437))=1,TRUE)</f>
        <v>1</v>
      </c>
      <c r="Z437" s="26" t="b">
        <f t="array" aca="1" ref="Z437" ca="1">IF(UPPER(Data!C437)="END",SUM((OFFSET(Data!C437,MAX(ROW(Data!$C$5)-ROW(Data!C437),-200),0,400,1)="END")*(OFFSET(Data!A437,MAX(ROW(Data!$B$5)-ROW(Data!B437),-200),0,400,1)=Data!A437))=1,TRUE)</f>
        <v>1</v>
      </c>
      <c r="AA437" s="26" t="b">
        <f>IF(Checks!C437,ISERROR(FIND("&amp;",Data!D437)),TRUE)</f>
        <v>1</v>
      </c>
      <c r="AB437" s="26" t="b">
        <f>IF(Checks!$C437,IF(AND(UPPER(Data!$C437)&lt;&gt;"START",UPPER(Data!$C437)&lt;&gt;"DATA OBJECT",Data!E437&lt;&gt;""),NOT(ISERROR(MATCH(Data!$A437&amp;"||"&amp;Data!E437,Key,0))),TRUE),TRUE)</f>
        <v>1</v>
      </c>
      <c r="AC437" s="27" t="b">
        <f>IF(Checks!C437,IF(UPPER(Data!C437)="END",Data!E437&lt;&gt;"",TRUE),TRUE)</f>
        <v>1</v>
      </c>
    </row>
    <row r="438" spans="1:29" x14ac:dyDescent="0.25">
      <c r="A438" s="1" t="str">
        <f>Data!A438&amp;"||"&amp;Data!B438</f>
        <v>Miscellaneous/subflow/irmifrs9_postprocess_stage1.bpmn||010_01_00</v>
      </c>
      <c r="B438" s="19"/>
      <c r="C438" s="24" t="b">
        <f>AND(UPPER(Data!A438)&lt;&gt;"EMPTY",Data!B438&lt;&gt;"")</f>
        <v>1</v>
      </c>
      <c r="D438" s="1"/>
      <c r="E438" s="25" t="b">
        <f t="shared" ca="1" si="12"/>
        <v>1</v>
      </c>
      <c r="F438" s="26" t="b">
        <f ca="1">IF(UPPER(Data!C438)="SUB PROCESS",NOT(ISERROR(MATCH(RIGHT(Data!BY438,LEN(Data!BY438)-5),OFFSET(Data,0,0,ItemsCount,1),0))),TRUE)</f>
        <v>1</v>
      </c>
      <c r="G438" s="26" t="b">
        <f ca="1">IF(MID(UPPER(Data!A438),1,13)="MISCELLANEOUS",NOT(ISERROR(MATCH("path="&amp;Data!A438,OFFSET(Data,0,76,ItemsCount,1),0))),TRUE)</f>
        <v>1</v>
      </c>
      <c r="L438" s="25" t="b">
        <f t="shared" ca="1" si="13"/>
        <v>1</v>
      </c>
      <c r="M438" s="24" t="b">
        <f>IF(Checks!$C438,Data!A438&lt;&gt;"",TRUE)</f>
        <v>1</v>
      </c>
      <c r="N438" s="26" t="b">
        <f>IF(Checks!C438,Data!B438&lt;&gt;"",TRUE)</f>
        <v>1</v>
      </c>
      <c r="O438" s="26" t="b">
        <f>IF(Checks!C438,IF(AND(UPPER(Data!C438)="SERVICE TASK",UPPER(Data!BZ438)="TYPE=SAS"),NodeExists(TRIM(RIGHT(Data!CA438,LEN(Data!CA438)-FIND("=",Data!CA438)))),TRUE),TRUE)</f>
        <v>1</v>
      </c>
      <c r="P438" s="26" t="b">
        <f>IF(Checks!C438,IF(Data!C438="DATA OBJECT",OR(AND(Data!BW438&lt;&gt;"",Data!BX438=""),AND(Data!BW438="",Data!BX438&lt;&gt;"")),TRUE),TRUE)</f>
        <v>1</v>
      </c>
      <c r="Q438" s="26" t="b">
        <f>IF(Checks!C438,UPPER(RIGHT(Data!A438,5))=".BPMN",TRUE)</f>
        <v>1</v>
      </c>
      <c r="R438" s="26" t="b">
        <f>IF(Checks!C438,IF(UPPER(Data!C438)="SUB PROCESS",UPPER(RIGHT(Data!BY438,5))=".BPMN",TRUE),TRUE)</f>
        <v>1</v>
      </c>
      <c r="S438" s="26" t="b">
        <f>IF(Checks!C438,IF(UPPER(Data!C438)="SERVICE TASK",IF(UPPER(Data!BZ438)="TYPE=SAS",UPPER(RIGHT(Data!CA438,4))=".SAS",TRUE),TRUE),TRUE)</f>
        <v>1</v>
      </c>
      <c r="T438" s="26" t="b">
        <f>IF(Checks!C438,IF(Data!B438&lt;&gt;"",Data!D438&lt;&gt;"",TRUE),TRUE)</f>
        <v>1</v>
      </c>
      <c r="U438" s="26" t="b">
        <f ca="1">IF(Checks!C438,IF(UPPER(Data!C438)="DATA OBJECT",NOT(ISERROR(MATCH(Data!A438&amp;"||"&amp;Data!BW438&amp;Data!BX438,Key,0))),TRUE),TRUE)</f>
        <v>1</v>
      </c>
      <c r="V438" s="26" t="b">
        <f>IF(Checks!C438,IF(UPPER(Data!C438)="SUB PROCESS",Data!BY438&lt;&gt;"",TRUE),TRUE)</f>
        <v>1</v>
      </c>
      <c r="W438" s="26" t="b">
        <f>IF(Checks!C438,IF(UPPER(Data!C438)="SERVICE TASK",AND(Data!BZ438&lt;&gt;"",Data!CA438&lt;&gt;""),TRUE),TRUE)</f>
        <v>1</v>
      </c>
      <c r="X438" s="26" t="b">
        <f t="array" aca="1" ref="X438" ca="1">SUM((OFFSET(Data!B438,MAX(ROW(Data!$B$5)-ROW(Data!B438),-200),0,400,1)=Data!B438)*(OFFSET(Data!A438,MAX(ROW(Data!$B$5)-ROW(Data!B438),-200),0,400,1)=Data!A438))=1</f>
        <v>1</v>
      </c>
      <c r="Y438" s="26" t="b">
        <f t="array" aca="1" ref="Y438" ca="1">IF(UPPER(Data!C438)="START",SUM((OFFSET(Data!C438,MAX(ROW(Data!$C$5)-ROW(Data!C438),-200),0,400,1)="START")*(OFFSET(Data!A438,MAX(ROW(Data!$B$5)-ROW(Data!B438),-200),0,400,1)=Data!A438))=1,TRUE)</f>
        <v>1</v>
      </c>
      <c r="Z438" s="26" t="b">
        <f t="array" aca="1" ref="Z438" ca="1">IF(UPPER(Data!C438)="END",SUM((OFFSET(Data!C438,MAX(ROW(Data!$C$5)-ROW(Data!C438),-200),0,400,1)="END")*(OFFSET(Data!A438,MAX(ROW(Data!$B$5)-ROW(Data!B438),-200),0,400,1)=Data!A438))=1,TRUE)</f>
        <v>1</v>
      </c>
      <c r="AA438" s="26" t="b">
        <f>IF(Checks!C438,ISERROR(FIND("&amp;",Data!D438)),TRUE)</f>
        <v>1</v>
      </c>
      <c r="AB438" s="26" t="b">
        <f>IF(Checks!$C438,IF(AND(UPPER(Data!$C438)&lt;&gt;"START",UPPER(Data!$C438)&lt;&gt;"DATA OBJECT",Data!E438&lt;&gt;""),NOT(ISERROR(MATCH(Data!$A438&amp;"||"&amp;Data!E438,Key,0))),TRUE),TRUE)</f>
        <v>1</v>
      </c>
      <c r="AC438" s="27" t="b">
        <f>IF(Checks!C438,IF(UPPER(Data!C438)="END",Data!E438&lt;&gt;"",TRUE),TRUE)</f>
        <v>1</v>
      </c>
    </row>
    <row r="439" spans="1:29" x14ac:dyDescent="0.25">
      <c r="A439" s="1" t="str">
        <f>Data!A439&amp;"||"&amp;Data!B439</f>
        <v>Miscellaneous/subflow/irmifrs9_postprocess_stage1.bpmn||020_00_00</v>
      </c>
      <c r="B439" s="19"/>
      <c r="C439" s="24" t="b">
        <f>AND(UPPER(Data!A439)&lt;&gt;"EMPTY",Data!B439&lt;&gt;"")</f>
        <v>1</v>
      </c>
      <c r="D439" s="1"/>
      <c r="E439" s="25" t="b">
        <f t="shared" ca="1" si="12"/>
        <v>1</v>
      </c>
      <c r="F439" s="26" t="b">
        <f ca="1">IF(UPPER(Data!C439)="SUB PROCESS",NOT(ISERROR(MATCH(RIGHT(Data!BY439,LEN(Data!BY439)-5),OFFSET(Data,0,0,ItemsCount,1),0))),TRUE)</f>
        <v>1</v>
      </c>
      <c r="G439" s="26" t="b">
        <f ca="1">IF(MID(UPPER(Data!A439),1,13)="MISCELLANEOUS",NOT(ISERROR(MATCH("path="&amp;Data!A439,OFFSET(Data,0,76,ItemsCount,1),0))),TRUE)</f>
        <v>1</v>
      </c>
      <c r="L439" s="25" t="b">
        <f t="shared" ca="1" si="13"/>
        <v>1</v>
      </c>
      <c r="M439" s="24" t="b">
        <f>IF(Checks!$C439,Data!A439&lt;&gt;"",TRUE)</f>
        <v>1</v>
      </c>
      <c r="N439" s="26" t="b">
        <f>IF(Checks!C439,Data!B439&lt;&gt;"",TRUE)</f>
        <v>1</v>
      </c>
      <c r="O439" s="26" t="b">
        <f>IF(Checks!C439,IF(AND(UPPER(Data!C439)="SERVICE TASK",UPPER(Data!BZ439)="TYPE=SAS"),NodeExists(TRIM(RIGHT(Data!CA439,LEN(Data!CA439)-FIND("=",Data!CA439)))),TRUE),TRUE)</f>
        <v>1</v>
      </c>
      <c r="P439" s="26" t="b">
        <f>IF(Checks!C439,IF(Data!C439="DATA OBJECT",OR(AND(Data!BW439&lt;&gt;"",Data!BX439=""),AND(Data!BW439="",Data!BX439&lt;&gt;"")),TRUE),TRUE)</f>
        <v>1</v>
      </c>
      <c r="Q439" s="26" t="b">
        <f>IF(Checks!C439,UPPER(RIGHT(Data!A439,5))=".BPMN",TRUE)</f>
        <v>1</v>
      </c>
      <c r="R439" s="26" t="b">
        <f>IF(Checks!C439,IF(UPPER(Data!C439)="SUB PROCESS",UPPER(RIGHT(Data!BY439,5))=".BPMN",TRUE),TRUE)</f>
        <v>1</v>
      </c>
      <c r="S439" s="26" t="b">
        <f>IF(Checks!C439,IF(UPPER(Data!C439)="SERVICE TASK",IF(UPPER(Data!BZ439)="TYPE=SAS",UPPER(RIGHT(Data!CA439,4))=".SAS",TRUE),TRUE),TRUE)</f>
        <v>1</v>
      </c>
      <c r="T439" s="26" t="b">
        <f>IF(Checks!C439,IF(Data!B439&lt;&gt;"",Data!D439&lt;&gt;"",TRUE),TRUE)</f>
        <v>1</v>
      </c>
      <c r="U439" s="26" t="b">
        <f>IF(Checks!C439,IF(UPPER(Data!C439)="DATA OBJECT",NOT(ISERROR(MATCH(Data!A439&amp;"||"&amp;Data!BW439&amp;Data!BX439,Key,0))),TRUE),TRUE)</f>
        <v>1</v>
      </c>
      <c r="V439" s="26" t="b">
        <f>IF(Checks!C439,IF(UPPER(Data!C439)="SUB PROCESS",Data!BY439&lt;&gt;"",TRUE),TRUE)</f>
        <v>1</v>
      </c>
      <c r="W439" s="26" t="b">
        <f>IF(Checks!C439,IF(UPPER(Data!C439)="SERVICE TASK",AND(Data!BZ439&lt;&gt;"",Data!CA439&lt;&gt;""),TRUE),TRUE)</f>
        <v>1</v>
      </c>
      <c r="X439" s="26" t="b">
        <f t="array" aca="1" ref="X439" ca="1">SUM((OFFSET(Data!B439,MAX(ROW(Data!$B$5)-ROW(Data!B439),-200),0,400,1)=Data!B439)*(OFFSET(Data!A439,MAX(ROW(Data!$B$5)-ROW(Data!B439),-200),0,400,1)=Data!A439))=1</f>
        <v>1</v>
      </c>
      <c r="Y439" s="26" t="b">
        <f t="array" aca="1" ref="Y439" ca="1">IF(UPPER(Data!C439)="START",SUM((OFFSET(Data!C439,MAX(ROW(Data!$C$5)-ROW(Data!C439),-200),0,400,1)="START")*(OFFSET(Data!A439,MAX(ROW(Data!$B$5)-ROW(Data!B439),-200),0,400,1)=Data!A439))=1,TRUE)</f>
        <v>1</v>
      </c>
      <c r="Z439" s="26" t="b">
        <f t="array" aca="1" ref="Z439" ca="1">IF(UPPER(Data!C439)="END",SUM((OFFSET(Data!C439,MAX(ROW(Data!$C$5)-ROW(Data!C439),-200),0,400,1)="END")*(OFFSET(Data!A439,MAX(ROW(Data!$B$5)-ROW(Data!B439),-200),0,400,1)=Data!A439))=1,TRUE)</f>
        <v>1</v>
      </c>
      <c r="AA439" s="26" t="b">
        <f>IF(Checks!C439,ISERROR(FIND("&amp;",Data!D439)),TRUE)</f>
        <v>1</v>
      </c>
      <c r="AB439" s="26" t="b">
        <f ca="1">IF(Checks!$C439,IF(AND(UPPER(Data!$C439)&lt;&gt;"START",UPPER(Data!$C439)&lt;&gt;"DATA OBJECT",Data!E439&lt;&gt;""),NOT(ISERROR(MATCH(Data!$A439&amp;"||"&amp;Data!E439,Key,0))),TRUE),TRUE)</f>
        <v>1</v>
      </c>
      <c r="AC439" s="27" t="b">
        <f>IF(Checks!C439,IF(UPPER(Data!C439)="END",Data!E439&lt;&gt;"",TRUE),TRUE)</f>
        <v>1</v>
      </c>
    </row>
    <row r="440" spans="1:29" x14ac:dyDescent="0.25">
      <c r="A440" s="1" t="str">
        <f>Data!A440&amp;"||"&amp;Data!B440</f>
        <v>Miscellaneous/subflow/irmifrs9_postprocess_stage1.bpmn||020_00_01</v>
      </c>
      <c r="B440" s="19"/>
      <c r="C440" s="24" t="b">
        <f>AND(UPPER(Data!A440)&lt;&gt;"EMPTY",Data!B440&lt;&gt;"")</f>
        <v>1</v>
      </c>
      <c r="D440" s="1"/>
      <c r="E440" s="25" t="b">
        <f t="shared" ca="1" si="12"/>
        <v>1</v>
      </c>
      <c r="F440" s="26" t="b">
        <f ca="1">IF(UPPER(Data!C440)="SUB PROCESS",NOT(ISERROR(MATCH(RIGHT(Data!BY440,LEN(Data!BY440)-5),OFFSET(Data,0,0,ItemsCount,1),0))),TRUE)</f>
        <v>1</v>
      </c>
      <c r="G440" s="26" t="b">
        <f ca="1">IF(MID(UPPER(Data!A440),1,13)="MISCELLANEOUS",NOT(ISERROR(MATCH("path="&amp;Data!A440,OFFSET(Data,0,76,ItemsCount,1),0))),TRUE)</f>
        <v>1</v>
      </c>
      <c r="L440" s="25" t="b">
        <f t="shared" ca="1" si="13"/>
        <v>1</v>
      </c>
      <c r="M440" s="24" t="b">
        <f>IF(Checks!$C440,Data!A440&lt;&gt;"",TRUE)</f>
        <v>1</v>
      </c>
      <c r="N440" s="26" t="b">
        <f>IF(Checks!C440,Data!B440&lt;&gt;"",TRUE)</f>
        <v>1</v>
      </c>
      <c r="O440" s="26" t="b">
        <f>IF(Checks!C440,IF(AND(UPPER(Data!C440)="SERVICE TASK",UPPER(Data!BZ440)="TYPE=SAS"),NodeExists(TRIM(RIGHT(Data!CA440,LEN(Data!CA440)-FIND("=",Data!CA440)))),TRUE),TRUE)</f>
        <v>1</v>
      </c>
      <c r="P440" s="26" t="b">
        <f>IF(Checks!C440,IF(Data!C440="DATA OBJECT",OR(AND(Data!BW440&lt;&gt;"",Data!BX440=""),AND(Data!BW440="",Data!BX440&lt;&gt;"")),TRUE),TRUE)</f>
        <v>1</v>
      </c>
      <c r="Q440" s="26" t="b">
        <f>IF(Checks!C440,UPPER(RIGHT(Data!A440,5))=".BPMN",TRUE)</f>
        <v>1</v>
      </c>
      <c r="R440" s="26" t="b">
        <f>IF(Checks!C440,IF(UPPER(Data!C440)="SUB PROCESS",UPPER(RIGHT(Data!BY440,5))=".BPMN",TRUE),TRUE)</f>
        <v>1</v>
      </c>
      <c r="S440" s="26" t="b">
        <f>IF(Checks!C440,IF(UPPER(Data!C440)="SERVICE TASK",IF(UPPER(Data!BZ440)="TYPE=SAS",UPPER(RIGHT(Data!CA440,4))=".SAS",TRUE),TRUE),TRUE)</f>
        <v>1</v>
      </c>
      <c r="T440" s="26" t="b">
        <f>IF(Checks!C440,IF(Data!B440&lt;&gt;"",Data!D440&lt;&gt;"",TRUE),TRUE)</f>
        <v>1</v>
      </c>
      <c r="U440" s="26" t="b">
        <f ca="1">IF(Checks!C440,IF(UPPER(Data!C440)="DATA OBJECT",NOT(ISERROR(MATCH(Data!A440&amp;"||"&amp;Data!BW440&amp;Data!BX440,Key,0))),TRUE),TRUE)</f>
        <v>1</v>
      </c>
      <c r="V440" s="26" t="b">
        <f>IF(Checks!C440,IF(UPPER(Data!C440)="SUB PROCESS",Data!BY440&lt;&gt;"",TRUE),TRUE)</f>
        <v>1</v>
      </c>
      <c r="W440" s="26" t="b">
        <f>IF(Checks!C440,IF(UPPER(Data!C440)="SERVICE TASK",AND(Data!BZ440&lt;&gt;"",Data!CA440&lt;&gt;""),TRUE),TRUE)</f>
        <v>1</v>
      </c>
      <c r="X440" s="26" t="b">
        <f t="array" aca="1" ref="X440" ca="1">SUM((OFFSET(Data!B440,MAX(ROW(Data!$B$5)-ROW(Data!B440),-200),0,400,1)=Data!B440)*(OFFSET(Data!A440,MAX(ROW(Data!$B$5)-ROW(Data!B440),-200),0,400,1)=Data!A440))=1</f>
        <v>1</v>
      </c>
      <c r="Y440" s="26" t="b">
        <f t="array" aca="1" ref="Y440" ca="1">IF(UPPER(Data!C440)="START",SUM((OFFSET(Data!C440,MAX(ROW(Data!$C$5)-ROW(Data!C440),-200),0,400,1)="START")*(OFFSET(Data!A440,MAX(ROW(Data!$B$5)-ROW(Data!B440),-200),0,400,1)=Data!A440))=1,TRUE)</f>
        <v>1</v>
      </c>
      <c r="Z440" s="26" t="b">
        <f t="array" aca="1" ref="Z440" ca="1">IF(UPPER(Data!C440)="END",SUM((OFFSET(Data!C440,MAX(ROW(Data!$C$5)-ROW(Data!C440),-200),0,400,1)="END")*(OFFSET(Data!A440,MAX(ROW(Data!$B$5)-ROW(Data!B440),-200),0,400,1)=Data!A440))=1,TRUE)</f>
        <v>1</v>
      </c>
      <c r="AA440" s="26" t="b">
        <f>IF(Checks!C440,ISERROR(FIND("&amp;",Data!D440)),TRUE)</f>
        <v>1</v>
      </c>
      <c r="AB440" s="26" t="b">
        <f>IF(Checks!$C440,IF(AND(UPPER(Data!$C440)&lt;&gt;"START",UPPER(Data!$C440)&lt;&gt;"DATA OBJECT",Data!E440&lt;&gt;""),NOT(ISERROR(MATCH(Data!$A440&amp;"||"&amp;Data!E440,Key,0))),TRUE),TRUE)</f>
        <v>1</v>
      </c>
      <c r="AC440" s="27" t="b">
        <f>IF(Checks!C440,IF(UPPER(Data!C440)="END",Data!E440&lt;&gt;"",TRUE),TRUE)</f>
        <v>1</v>
      </c>
    </row>
    <row r="441" spans="1:29" x14ac:dyDescent="0.25">
      <c r="A441" s="1" t="str">
        <f>Data!A441&amp;"||"&amp;Data!B441</f>
        <v>Miscellaneous/subflow/irmifrs9_postprocess_stage1.bpmn||020_00_02</v>
      </c>
      <c r="B441" s="19"/>
      <c r="C441" s="24" t="b">
        <f>AND(UPPER(Data!A441)&lt;&gt;"EMPTY",Data!B441&lt;&gt;"")</f>
        <v>1</v>
      </c>
      <c r="D441" s="1"/>
      <c r="E441" s="25" t="b">
        <f t="shared" ca="1" si="12"/>
        <v>1</v>
      </c>
      <c r="F441" s="26" t="b">
        <f ca="1">IF(UPPER(Data!C441)="SUB PROCESS",NOT(ISERROR(MATCH(RIGHT(Data!BY441,LEN(Data!BY441)-5),OFFSET(Data,0,0,ItemsCount,1),0))),TRUE)</f>
        <v>1</v>
      </c>
      <c r="G441" s="26" t="b">
        <f ca="1">IF(MID(UPPER(Data!A441),1,13)="MISCELLANEOUS",NOT(ISERROR(MATCH("path="&amp;Data!A441,OFFSET(Data,0,76,ItemsCount,1),0))),TRUE)</f>
        <v>1</v>
      </c>
      <c r="L441" s="25" t="b">
        <f t="shared" ca="1" si="13"/>
        <v>1</v>
      </c>
      <c r="M441" s="24" t="b">
        <f>IF(Checks!$C441,Data!A441&lt;&gt;"",TRUE)</f>
        <v>1</v>
      </c>
      <c r="N441" s="26" t="b">
        <f>IF(Checks!C441,Data!B441&lt;&gt;"",TRUE)</f>
        <v>1</v>
      </c>
      <c r="O441" s="26" t="b">
        <f>IF(Checks!C441,IF(AND(UPPER(Data!C441)="SERVICE TASK",UPPER(Data!BZ441)="TYPE=SAS"),NodeExists(TRIM(RIGHT(Data!CA441,LEN(Data!CA441)-FIND("=",Data!CA441)))),TRUE),TRUE)</f>
        <v>1</v>
      </c>
      <c r="P441" s="26" t="b">
        <f>IF(Checks!C441,IF(Data!C441="DATA OBJECT",OR(AND(Data!BW441&lt;&gt;"",Data!BX441=""),AND(Data!BW441="",Data!BX441&lt;&gt;"")),TRUE),TRUE)</f>
        <v>1</v>
      </c>
      <c r="Q441" s="26" t="b">
        <f>IF(Checks!C441,UPPER(RIGHT(Data!A441,5))=".BPMN",TRUE)</f>
        <v>1</v>
      </c>
      <c r="R441" s="26" t="b">
        <f>IF(Checks!C441,IF(UPPER(Data!C441)="SUB PROCESS",UPPER(RIGHT(Data!BY441,5))=".BPMN",TRUE),TRUE)</f>
        <v>1</v>
      </c>
      <c r="S441" s="26" t="b">
        <f>IF(Checks!C441,IF(UPPER(Data!C441)="SERVICE TASK",IF(UPPER(Data!BZ441)="TYPE=SAS",UPPER(RIGHT(Data!CA441,4))=".SAS",TRUE),TRUE),TRUE)</f>
        <v>1</v>
      </c>
      <c r="T441" s="26" t="b">
        <f>IF(Checks!C441,IF(Data!B441&lt;&gt;"",Data!D441&lt;&gt;"",TRUE),TRUE)</f>
        <v>1</v>
      </c>
      <c r="U441" s="26" t="b">
        <f ca="1">IF(Checks!C441,IF(UPPER(Data!C441)="DATA OBJECT",NOT(ISERROR(MATCH(Data!A441&amp;"||"&amp;Data!BW441&amp;Data!BX441,Key,0))),TRUE),TRUE)</f>
        <v>1</v>
      </c>
      <c r="V441" s="26" t="b">
        <f>IF(Checks!C441,IF(UPPER(Data!C441)="SUB PROCESS",Data!BY441&lt;&gt;"",TRUE),TRUE)</f>
        <v>1</v>
      </c>
      <c r="W441" s="26" t="b">
        <f>IF(Checks!C441,IF(UPPER(Data!C441)="SERVICE TASK",AND(Data!BZ441&lt;&gt;"",Data!CA441&lt;&gt;""),TRUE),TRUE)</f>
        <v>1</v>
      </c>
      <c r="X441" s="26" t="b">
        <f t="array" aca="1" ref="X441" ca="1">SUM((OFFSET(Data!B441,MAX(ROW(Data!$B$5)-ROW(Data!B441),-200),0,400,1)=Data!B441)*(OFFSET(Data!A441,MAX(ROW(Data!$B$5)-ROW(Data!B441),-200),0,400,1)=Data!A441))=1</f>
        <v>1</v>
      </c>
      <c r="Y441" s="26" t="b">
        <f t="array" aca="1" ref="Y441" ca="1">IF(UPPER(Data!C441)="START",SUM((OFFSET(Data!C441,MAX(ROW(Data!$C$5)-ROW(Data!C441),-200),0,400,1)="START")*(OFFSET(Data!A441,MAX(ROW(Data!$B$5)-ROW(Data!B441),-200),0,400,1)=Data!A441))=1,TRUE)</f>
        <v>1</v>
      </c>
      <c r="Z441" s="26" t="b">
        <f t="array" aca="1" ref="Z441" ca="1">IF(UPPER(Data!C441)="END",SUM((OFFSET(Data!C441,MAX(ROW(Data!$C$5)-ROW(Data!C441),-200),0,400,1)="END")*(OFFSET(Data!A441,MAX(ROW(Data!$B$5)-ROW(Data!B441),-200),0,400,1)=Data!A441))=1,TRUE)</f>
        <v>1</v>
      </c>
      <c r="AA441" s="26" t="b">
        <f>IF(Checks!C441,ISERROR(FIND("&amp;",Data!D441)),TRUE)</f>
        <v>1</v>
      </c>
      <c r="AB441" s="26" t="b">
        <f>IF(Checks!$C441,IF(AND(UPPER(Data!$C441)&lt;&gt;"START",UPPER(Data!$C441)&lt;&gt;"DATA OBJECT",Data!E441&lt;&gt;""),NOT(ISERROR(MATCH(Data!$A441&amp;"||"&amp;Data!E441,Key,0))),TRUE),TRUE)</f>
        <v>1</v>
      </c>
      <c r="AC441" s="27" t="b">
        <f>IF(Checks!C441,IF(UPPER(Data!C441)="END",Data!E441&lt;&gt;"",TRUE),TRUE)</f>
        <v>1</v>
      </c>
    </row>
    <row r="442" spans="1:29" x14ac:dyDescent="0.25">
      <c r="A442" s="1" t="str">
        <f>Data!A442&amp;"||"&amp;Data!B442</f>
        <v>Miscellaneous/subflow/irmifrs9_postprocess_stage1.bpmn||020_00_03</v>
      </c>
      <c r="B442" s="19"/>
      <c r="C442" s="24" t="b">
        <f>AND(UPPER(Data!A442)&lt;&gt;"EMPTY",Data!B442&lt;&gt;"")</f>
        <v>1</v>
      </c>
      <c r="D442" s="1"/>
      <c r="E442" s="25" t="b">
        <f t="shared" ca="1" si="12"/>
        <v>1</v>
      </c>
      <c r="F442" s="26" t="b">
        <f ca="1">IF(UPPER(Data!C442)="SUB PROCESS",NOT(ISERROR(MATCH(RIGHT(Data!BY442,LEN(Data!BY442)-5),OFFSET(Data,0,0,ItemsCount,1),0))),TRUE)</f>
        <v>1</v>
      </c>
      <c r="G442" s="26" t="b">
        <f ca="1">IF(MID(UPPER(Data!A442),1,13)="MISCELLANEOUS",NOT(ISERROR(MATCH("path="&amp;Data!A442,OFFSET(Data,0,76,ItemsCount,1),0))),TRUE)</f>
        <v>1</v>
      </c>
      <c r="L442" s="25" t="b">
        <f t="shared" ca="1" si="13"/>
        <v>1</v>
      </c>
      <c r="M442" s="24" t="b">
        <f>IF(Checks!$C442,Data!A442&lt;&gt;"",TRUE)</f>
        <v>1</v>
      </c>
      <c r="N442" s="26" t="b">
        <f>IF(Checks!C442,Data!B442&lt;&gt;"",TRUE)</f>
        <v>1</v>
      </c>
      <c r="O442" s="26" t="b">
        <f>IF(Checks!C442,IF(AND(UPPER(Data!C442)="SERVICE TASK",UPPER(Data!BZ442)="TYPE=SAS"),NodeExists(TRIM(RIGHT(Data!CA442,LEN(Data!CA442)-FIND("=",Data!CA442)))),TRUE),TRUE)</f>
        <v>1</v>
      </c>
      <c r="P442" s="26" t="b">
        <f>IF(Checks!C442,IF(Data!C442="DATA OBJECT",OR(AND(Data!BW442&lt;&gt;"",Data!BX442=""),AND(Data!BW442="",Data!BX442&lt;&gt;"")),TRUE),TRUE)</f>
        <v>1</v>
      </c>
      <c r="Q442" s="26" t="b">
        <f>IF(Checks!C442,UPPER(RIGHT(Data!A442,5))=".BPMN",TRUE)</f>
        <v>1</v>
      </c>
      <c r="R442" s="26" t="b">
        <f>IF(Checks!C442,IF(UPPER(Data!C442)="SUB PROCESS",UPPER(RIGHT(Data!BY442,5))=".BPMN",TRUE),TRUE)</f>
        <v>1</v>
      </c>
      <c r="S442" s="26" t="b">
        <f>IF(Checks!C442,IF(UPPER(Data!C442)="SERVICE TASK",IF(UPPER(Data!BZ442)="TYPE=SAS",UPPER(RIGHT(Data!CA442,4))=".SAS",TRUE),TRUE),TRUE)</f>
        <v>1</v>
      </c>
      <c r="T442" s="26" t="b">
        <f>IF(Checks!C442,IF(Data!B442&lt;&gt;"",Data!D442&lt;&gt;"",TRUE),TRUE)</f>
        <v>1</v>
      </c>
      <c r="U442" s="26" t="b">
        <f ca="1">IF(Checks!C442,IF(UPPER(Data!C442)="DATA OBJECT",NOT(ISERROR(MATCH(Data!A442&amp;"||"&amp;Data!BW442&amp;Data!BX442,Key,0))),TRUE),TRUE)</f>
        <v>1</v>
      </c>
      <c r="V442" s="26" t="b">
        <f>IF(Checks!C442,IF(UPPER(Data!C442)="SUB PROCESS",Data!BY442&lt;&gt;"",TRUE),TRUE)</f>
        <v>1</v>
      </c>
      <c r="W442" s="26" t="b">
        <f>IF(Checks!C442,IF(UPPER(Data!C442)="SERVICE TASK",AND(Data!BZ442&lt;&gt;"",Data!CA442&lt;&gt;""),TRUE),TRUE)</f>
        <v>1</v>
      </c>
      <c r="X442" s="26" t="b">
        <f t="array" aca="1" ref="X442" ca="1">SUM((OFFSET(Data!B442,MAX(ROW(Data!$B$5)-ROW(Data!B442),-200),0,400,1)=Data!B442)*(OFFSET(Data!A442,MAX(ROW(Data!$B$5)-ROW(Data!B442),-200),0,400,1)=Data!A442))=1</f>
        <v>1</v>
      </c>
      <c r="Y442" s="26" t="b">
        <f t="array" aca="1" ref="Y442" ca="1">IF(UPPER(Data!C442)="START",SUM((OFFSET(Data!C442,MAX(ROW(Data!$C$5)-ROW(Data!C442),-200),0,400,1)="START")*(OFFSET(Data!A442,MAX(ROW(Data!$B$5)-ROW(Data!B442),-200),0,400,1)=Data!A442))=1,TRUE)</f>
        <v>1</v>
      </c>
      <c r="Z442" s="26" t="b">
        <f t="array" aca="1" ref="Z442" ca="1">IF(UPPER(Data!C442)="END",SUM((OFFSET(Data!C442,MAX(ROW(Data!$C$5)-ROW(Data!C442),-200),0,400,1)="END")*(OFFSET(Data!A442,MAX(ROW(Data!$B$5)-ROW(Data!B442),-200),0,400,1)=Data!A442))=1,TRUE)</f>
        <v>1</v>
      </c>
      <c r="AA442" s="26" t="b">
        <f>IF(Checks!C442,ISERROR(FIND("&amp;",Data!D442)),TRUE)</f>
        <v>1</v>
      </c>
      <c r="AB442" s="26" t="b">
        <f>IF(Checks!$C442,IF(AND(UPPER(Data!$C442)&lt;&gt;"START",UPPER(Data!$C442)&lt;&gt;"DATA OBJECT",Data!E442&lt;&gt;""),NOT(ISERROR(MATCH(Data!$A442&amp;"||"&amp;Data!E442,Key,0))),TRUE),TRUE)</f>
        <v>1</v>
      </c>
      <c r="AC442" s="27" t="b">
        <f>IF(Checks!C442,IF(UPPER(Data!C442)="END",Data!E442&lt;&gt;"",TRUE),TRUE)</f>
        <v>1</v>
      </c>
    </row>
    <row r="443" spans="1:29" x14ac:dyDescent="0.25">
      <c r="A443" s="1" t="str">
        <f>Data!A443&amp;"||"&amp;Data!B443</f>
        <v>Miscellaneous/subflow/irmifrs9_postprocess_stage1.bpmn||020_00_05</v>
      </c>
      <c r="B443" s="19"/>
      <c r="C443" s="24" t="b">
        <f>AND(UPPER(Data!A443)&lt;&gt;"EMPTY",Data!B443&lt;&gt;"")</f>
        <v>1</v>
      </c>
      <c r="D443" s="1"/>
      <c r="E443" s="25" t="b">
        <f t="shared" ca="1" si="12"/>
        <v>1</v>
      </c>
      <c r="F443" s="26" t="b">
        <f ca="1">IF(UPPER(Data!C443)="SUB PROCESS",NOT(ISERROR(MATCH(RIGHT(Data!BY443,LEN(Data!BY443)-5),OFFSET(Data,0,0,ItemsCount,1),0))),TRUE)</f>
        <v>1</v>
      </c>
      <c r="G443" s="26" t="b">
        <f ca="1">IF(MID(UPPER(Data!A443),1,13)="MISCELLANEOUS",NOT(ISERROR(MATCH("path="&amp;Data!A443,OFFSET(Data,0,76,ItemsCount,1),0))),TRUE)</f>
        <v>1</v>
      </c>
      <c r="L443" s="25" t="b">
        <f t="shared" ca="1" si="13"/>
        <v>1</v>
      </c>
      <c r="M443" s="24" t="b">
        <f>IF(Checks!$C443,Data!A443&lt;&gt;"",TRUE)</f>
        <v>1</v>
      </c>
      <c r="N443" s="26" t="b">
        <f>IF(Checks!C443,Data!B443&lt;&gt;"",TRUE)</f>
        <v>1</v>
      </c>
      <c r="O443" s="26" t="b">
        <f>IF(Checks!C443,IF(AND(UPPER(Data!C443)="SERVICE TASK",UPPER(Data!BZ443)="TYPE=SAS"),NodeExists(TRIM(RIGHT(Data!CA443,LEN(Data!CA443)-FIND("=",Data!CA443)))),TRUE),TRUE)</f>
        <v>1</v>
      </c>
      <c r="P443" s="26" t="b">
        <f>IF(Checks!C443,IF(Data!C443="DATA OBJECT",OR(AND(Data!BW443&lt;&gt;"",Data!BX443=""),AND(Data!BW443="",Data!BX443&lt;&gt;"")),TRUE),TRUE)</f>
        <v>1</v>
      </c>
      <c r="Q443" s="26" t="b">
        <f>IF(Checks!C443,UPPER(RIGHT(Data!A443,5))=".BPMN",TRUE)</f>
        <v>1</v>
      </c>
      <c r="R443" s="26" t="b">
        <f>IF(Checks!C443,IF(UPPER(Data!C443)="SUB PROCESS",UPPER(RIGHT(Data!BY443,5))=".BPMN",TRUE),TRUE)</f>
        <v>1</v>
      </c>
      <c r="S443" s="26" t="b">
        <f>IF(Checks!C443,IF(UPPER(Data!C443)="SERVICE TASK",IF(UPPER(Data!BZ443)="TYPE=SAS",UPPER(RIGHT(Data!CA443,4))=".SAS",TRUE),TRUE),TRUE)</f>
        <v>1</v>
      </c>
      <c r="T443" s="26" t="b">
        <f>IF(Checks!C443,IF(Data!B443&lt;&gt;"",Data!D443&lt;&gt;"",TRUE),TRUE)</f>
        <v>1</v>
      </c>
      <c r="U443" s="26" t="b">
        <f ca="1">IF(Checks!C443,IF(UPPER(Data!C443)="DATA OBJECT",NOT(ISERROR(MATCH(Data!A443&amp;"||"&amp;Data!BW443&amp;Data!BX443,Key,0))),TRUE),TRUE)</f>
        <v>1</v>
      </c>
      <c r="V443" s="26" t="b">
        <f>IF(Checks!C443,IF(UPPER(Data!C443)="SUB PROCESS",Data!BY443&lt;&gt;"",TRUE),TRUE)</f>
        <v>1</v>
      </c>
      <c r="W443" s="26" t="b">
        <f>IF(Checks!C443,IF(UPPER(Data!C443)="SERVICE TASK",AND(Data!BZ443&lt;&gt;"",Data!CA443&lt;&gt;""),TRUE),TRUE)</f>
        <v>1</v>
      </c>
      <c r="X443" s="26" t="b">
        <f t="array" aca="1" ref="X443" ca="1">SUM((OFFSET(Data!B443,MAX(ROW(Data!$B$5)-ROW(Data!B443),-200),0,400,1)=Data!B443)*(OFFSET(Data!A443,MAX(ROW(Data!$B$5)-ROW(Data!B443),-200),0,400,1)=Data!A443))=1</f>
        <v>1</v>
      </c>
      <c r="Y443" s="26" t="b">
        <f t="array" aca="1" ref="Y443" ca="1">IF(UPPER(Data!C443)="START",SUM((OFFSET(Data!C443,MAX(ROW(Data!$C$5)-ROW(Data!C443),-200),0,400,1)="START")*(OFFSET(Data!A443,MAX(ROW(Data!$B$5)-ROW(Data!B443),-200),0,400,1)=Data!A443))=1,TRUE)</f>
        <v>1</v>
      </c>
      <c r="Z443" s="26" t="b">
        <f t="array" aca="1" ref="Z443" ca="1">IF(UPPER(Data!C443)="END",SUM((OFFSET(Data!C443,MAX(ROW(Data!$C$5)-ROW(Data!C443),-200),0,400,1)="END")*(OFFSET(Data!A443,MAX(ROW(Data!$B$5)-ROW(Data!B443),-200),0,400,1)=Data!A443))=1,TRUE)</f>
        <v>1</v>
      </c>
      <c r="AA443" s="26" t="b">
        <f>IF(Checks!C443,ISERROR(FIND("&amp;",Data!D443)),TRUE)</f>
        <v>1</v>
      </c>
      <c r="AB443" s="26" t="b">
        <f>IF(Checks!$C443,IF(AND(UPPER(Data!$C443)&lt;&gt;"START",UPPER(Data!$C443)&lt;&gt;"DATA OBJECT",Data!E443&lt;&gt;""),NOT(ISERROR(MATCH(Data!$A443&amp;"||"&amp;Data!E443,Key,0))),TRUE),TRUE)</f>
        <v>1</v>
      </c>
      <c r="AC443" s="27" t="b">
        <f>IF(Checks!C443,IF(UPPER(Data!C443)="END",Data!E443&lt;&gt;"",TRUE),TRUE)</f>
        <v>1</v>
      </c>
    </row>
    <row r="444" spans="1:29" x14ac:dyDescent="0.25">
      <c r="A444" s="1" t="str">
        <f>Data!A444&amp;"||"&amp;Data!B444</f>
        <v>Miscellaneous/subflow/irmifrs9_postprocess_stage1.bpmn||020_00_06</v>
      </c>
      <c r="B444" s="19"/>
      <c r="C444" s="24" t="b">
        <f>AND(UPPER(Data!A444)&lt;&gt;"EMPTY",Data!B444&lt;&gt;"")</f>
        <v>1</v>
      </c>
      <c r="D444" s="1"/>
      <c r="E444" s="25" t="b">
        <f t="shared" ca="1" si="12"/>
        <v>1</v>
      </c>
      <c r="F444" s="26" t="b">
        <f ca="1">IF(UPPER(Data!C444)="SUB PROCESS",NOT(ISERROR(MATCH(RIGHT(Data!BY444,LEN(Data!BY444)-5),OFFSET(Data,0,0,ItemsCount,1),0))),TRUE)</f>
        <v>1</v>
      </c>
      <c r="G444" s="26" t="b">
        <f ca="1">IF(MID(UPPER(Data!A444),1,13)="MISCELLANEOUS",NOT(ISERROR(MATCH("path="&amp;Data!A444,OFFSET(Data,0,76,ItemsCount,1),0))),TRUE)</f>
        <v>1</v>
      </c>
      <c r="L444" s="25" t="b">
        <f t="shared" ca="1" si="13"/>
        <v>1</v>
      </c>
      <c r="M444" s="24" t="b">
        <f>IF(Checks!$C444,Data!A444&lt;&gt;"",TRUE)</f>
        <v>1</v>
      </c>
      <c r="N444" s="26" t="b">
        <f>IF(Checks!C444,Data!B444&lt;&gt;"",TRUE)</f>
        <v>1</v>
      </c>
      <c r="O444" s="26" t="b">
        <f>IF(Checks!C444,IF(AND(UPPER(Data!C444)="SERVICE TASK",UPPER(Data!BZ444)="TYPE=SAS"),NodeExists(TRIM(RIGHT(Data!CA444,LEN(Data!CA444)-FIND("=",Data!CA444)))),TRUE),TRUE)</f>
        <v>1</v>
      </c>
      <c r="P444" s="26" t="b">
        <f>IF(Checks!C444,IF(Data!C444="DATA OBJECT",OR(AND(Data!BW444&lt;&gt;"",Data!BX444=""),AND(Data!BW444="",Data!BX444&lt;&gt;"")),TRUE),TRUE)</f>
        <v>1</v>
      </c>
      <c r="Q444" s="26" t="b">
        <f>IF(Checks!C444,UPPER(RIGHT(Data!A444,5))=".BPMN",TRUE)</f>
        <v>1</v>
      </c>
      <c r="R444" s="26" t="b">
        <f>IF(Checks!C444,IF(UPPER(Data!C444)="SUB PROCESS",UPPER(RIGHT(Data!BY444,5))=".BPMN",TRUE),TRUE)</f>
        <v>1</v>
      </c>
      <c r="S444" s="26" t="b">
        <f>IF(Checks!C444,IF(UPPER(Data!C444)="SERVICE TASK",IF(UPPER(Data!BZ444)="TYPE=SAS",UPPER(RIGHT(Data!CA444,4))=".SAS",TRUE),TRUE),TRUE)</f>
        <v>1</v>
      </c>
      <c r="T444" s="26" t="b">
        <f>IF(Checks!C444,IF(Data!B444&lt;&gt;"",Data!D444&lt;&gt;"",TRUE),TRUE)</f>
        <v>1</v>
      </c>
      <c r="U444" s="26" t="b">
        <f ca="1">IF(Checks!C444,IF(UPPER(Data!C444)="DATA OBJECT",NOT(ISERROR(MATCH(Data!A444&amp;"||"&amp;Data!BW444&amp;Data!BX444,Key,0))),TRUE),TRUE)</f>
        <v>1</v>
      </c>
      <c r="V444" s="26" t="b">
        <f>IF(Checks!C444,IF(UPPER(Data!C444)="SUB PROCESS",Data!BY444&lt;&gt;"",TRUE),TRUE)</f>
        <v>1</v>
      </c>
      <c r="W444" s="26" t="b">
        <f>IF(Checks!C444,IF(UPPER(Data!C444)="SERVICE TASK",AND(Data!BZ444&lt;&gt;"",Data!CA444&lt;&gt;""),TRUE),TRUE)</f>
        <v>1</v>
      </c>
      <c r="X444" s="26" t="b">
        <f t="array" aca="1" ref="X444" ca="1">SUM((OFFSET(Data!B444,MAX(ROW(Data!$B$5)-ROW(Data!B444),-200),0,400,1)=Data!B444)*(OFFSET(Data!A444,MAX(ROW(Data!$B$5)-ROW(Data!B444),-200),0,400,1)=Data!A444))=1</f>
        <v>1</v>
      </c>
      <c r="Y444" s="26" t="b">
        <f t="array" aca="1" ref="Y444" ca="1">IF(UPPER(Data!C444)="START",SUM((OFFSET(Data!C444,MAX(ROW(Data!$C$5)-ROW(Data!C444),-200),0,400,1)="START")*(OFFSET(Data!A444,MAX(ROW(Data!$B$5)-ROW(Data!B444),-200),0,400,1)=Data!A444))=1,TRUE)</f>
        <v>1</v>
      </c>
      <c r="Z444" s="26" t="b">
        <f t="array" aca="1" ref="Z444" ca="1">IF(UPPER(Data!C444)="END",SUM((OFFSET(Data!C444,MAX(ROW(Data!$C$5)-ROW(Data!C444),-200),0,400,1)="END")*(OFFSET(Data!A444,MAX(ROW(Data!$B$5)-ROW(Data!B444),-200),0,400,1)=Data!A444))=1,TRUE)</f>
        <v>1</v>
      </c>
      <c r="AA444" s="26" t="b">
        <f>IF(Checks!C444,ISERROR(FIND("&amp;",Data!D444)),TRUE)</f>
        <v>1</v>
      </c>
      <c r="AB444" s="26" t="b">
        <f>IF(Checks!$C444,IF(AND(UPPER(Data!$C444)&lt;&gt;"START",UPPER(Data!$C444)&lt;&gt;"DATA OBJECT",Data!E444&lt;&gt;""),NOT(ISERROR(MATCH(Data!$A444&amp;"||"&amp;Data!E444,Key,0))),TRUE),TRUE)</f>
        <v>1</v>
      </c>
      <c r="AC444" s="27" t="b">
        <f>IF(Checks!C444,IF(UPPER(Data!C444)="END",Data!E444&lt;&gt;"",TRUE),TRUE)</f>
        <v>1</v>
      </c>
    </row>
    <row r="445" spans="1:29" x14ac:dyDescent="0.25">
      <c r="A445" s="1" t="str">
        <f>Data!A445&amp;"||"&amp;Data!B445</f>
        <v>Miscellaneous/subflow/irmifrs9_postprocess_stage1.bpmn||020_00_07</v>
      </c>
      <c r="B445" s="19"/>
      <c r="C445" s="24" t="b">
        <f>AND(UPPER(Data!A445)&lt;&gt;"EMPTY",Data!B445&lt;&gt;"")</f>
        <v>1</v>
      </c>
      <c r="D445" s="1"/>
      <c r="E445" s="25" t="b">
        <f t="shared" ca="1" si="12"/>
        <v>1</v>
      </c>
      <c r="F445" s="26" t="b">
        <f ca="1">IF(UPPER(Data!C445)="SUB PROCESS",NOT(ISERROR(MATCH(RIGHT(Data!BY445,LEN(Data!BY445)-5),OFFSET(Data,0,0,ItemsCount,1),0))),TRUE)</f>
        <v>1</v>
      </c>
      <c r="G445" s="26" t="b">
        <f ca="1">IF(MID(UPPER(Data!A445),1,13)="MISCELLANEOUS",NOT(ISERROR(MATCH("path="&amp;Data!A445,OFFSET(Data,0,76,ItemsCount,1),0))),TRUE)</f>
        <v>1</v>
      </c>
      <c r="L445" s="25" t="b">
        <f t="shared" ca="1" si="13"/>
        <v>1</v>
      </c>
      <c r="M445" s="24" t="b">
        <f>IF(Checks!$C445,Data!A445&lt;&gt;"",TRUE)</f>
        <v>1</v>
      </c>
      <c r="N445" s="26" t="b">
        <f>IF(Checks!C445,Data!B445&lt;&gt;"",TRUE)</f>
        <v>1</v>
      </c>
      <c r="O445" s="26" t="b">
        <f>IF(Checks!C445,IF(AND(UPPER(Data!C445)="SERVICE TASK",UPPER(Data!BZ445)="TYPE=SAS"),NodeExists(TRIM(RIGHT(Data!CA445,LEN(Data!CA445)-FIND("=",Data!CA445)))),TRUE),TRUE)</f>
        <v>1</v>
      </c>
      <c r="P445" s="26" t="b">
        <f>IF(Checks!C445,IF(Data!C445="DATA OBJECT",OR(AND(Data!BW445&lt;&gt;"",Data!BX445=""),AND(Data!BW445="",Data!BX445&lt;&gt;"")),TRUE),TRUE)</f>
        <v>1</v>
      </c>
      <c r="Q445" s="26" t="b">
        <f>IF(Checks!C445,UPPER(RIGHT(Data!A445,5))=".BPMN",TRUE)</f>
        <v>1</v>
      </c>
      <c r="R445" s="26" t="b">
        <f>IF(Checks!C445,IF(UPPER(Data!C445)="SUB PROCESS",UPPER(RIGHT(Data!BY445,5))=".BPMN",TRUE),TRUE)</f>
        <v>1</v>
      </c>
      <c r="S445" s="26" t="b">
        <f>IF(Checks!C445,IF(UPPER(Data!C445)="SERVICE TASK",IF(UPPER(Data!BZ445)="TYPE=SAS",UPPER(RIGHT(Data!CA445,4))=".SAS",TRUE),TRUE),TRUE)</f>
        <v>1</v>
      </c>
      <c r="T445" s="26" t="b">
        <f>IF(Checks!C445,IF(Data!B445&lt;&gt;"",Data!D445&lt;&gt;"",TRUE),TRUE)</f>
        <v>1</v>
      </c>
      <c r="U445" s="26" t="b">
        <f ca="1">IF(Checks!C445,IF(UPPER(Data!C445)="DATA OBJECT",NOT(ISERROR(MATCH(Data!A445&amp;"||"&amp;Data!BW445&amp;Data!BX445,Key,0))),TRUE),TRUE)</f>
        <v>1</v>
      </c>
      <c r="V445" s="26" t="b">
        <f>IF(Checks!C445,IF(UPPER(Data!C445)="SUB PROCESS",Data!BY445&lt;&gt;"",TRUE),TRUE)</f>
        <v>1</v>
      </c>
      <c r="W445" s="26" t="b">
        <f>IF(Checks!C445,IF(UPPER(Data!C445)="SERVICE TASK",AND(Data!BZ445&lt;&gt;"",Data!CA445&lt;&gt;""),TRUE),TRUE)</f>
        <v>1</v>
      </c>
      <c r="X445" s="26" t="b">
        <f t="array" aca="1" ref="X445" ca="1">SUM((OFFSET(Data!B445,MAX(ROW(Data!$B$5)-ROW(Data!B445),-200),0,400,1)=Data!B445)*(OFFSET(Data!A445,MAX(ROW(Data!$B$5)-ROW(Data!B445),-200),0,400,1)=Data!A445))=1</f>
        <v>1</v>
      </c>
      <c r="Y445" s="26" t="b">
        <f t="array" aca="1" ref="Y445" ca="1">IF(UPPER(Data!C445)="START",SUM((OFFSET(Data!C445,MAX(ROW(Data!$C$5)-ROW(Data!C445),-200),0,400,1)="START")*(OFFSET(Data!A445,MAX(ROW(Data!$B$5)-ROW(Data!B445),-200),0,400,1)=Data!A445))=1,TRUE)</f>
        <v>1</v>
      </c>
      <c r="Z445" s="26" t="b">
        <f t="array" aca="1" ref="Z445" ca="1">IF(UPPER(Data!C445)="END",SUM((OFFSET(Data!C445,MAX(ROW(Data!$C$5)-ROW(Data!C445),-200),0,400,1)="END")*(OFFSET(Data!A445,MAX(ROW(Data!$B$5)-ROW(Data!B445),-200),0,400,1)=Data!A445))=1,TRUE)</f>
        <v>1</v>
      </c>
      <c r="AA445" s="26" t="b">
        <f>IF(Checks!C445,ISERROR(FIND("&amp;",Data!D445)),TRUE)</f>
        <v>1</v>
      </c>
      <c r="AB445" s="26" t="b">
        <f>IF(Checks!$C445,IF(AND(UPPER(Data!$C445)&lt;&gt;"START",UPPER(Data!$C445)&lt;&gt;"DATA OBJECT",Data!E445&lt;&gt;""),NOT(ISERROR(MATCH(Data!$A445&amp;"||"&amp;Data!E445,Key,0))),TRUE),TRUE)</f>
        <v>1</v>
      </c>
      <c r="AC445" s="27" t="b">
        <f>IF(Checks!C445,IF(UPPER(Data!C445)="END",Data!E445&lt;&gt;"",TRUE),TRUE)</f>
        <v>1</v>
      </c>
    </row>
    <row r="446" spans="1:29" x14ac:dyDescent="0.25">
      <c r="A446" s="1" t="str">
        <f>Data!A446&amp;"||"&amp;Data!B446</f>
        <v>Miscellaneous/subflow/irmifrs9_postprocess_stage1.bpmn||020_00_08</v>
      </c>
      <c r="B446" s="19"/>
      <c r="C446" s="24" t="b">
        <f>AND(UPPER(Data!A446)&lt;&gt;"EMPTY",Data!B446&lt;&gt;"")</f>
        <v>1</v>
      </c>
      <c r="D446" s="1"/>
      <c r="E446" s="25" t="b">
        <f t="shared" ca="1" si="12"/>
        <v>1</v>
      </c>
      <c r="F446" s="26" t="b">
        <f ca="1">IF(UPPER(Data!C446)="SUB PROCESS",NOT(ISERROR(MATCH(RIGHT(Data!BY446,LEN(Data!BY446)-5),OFFSET(Data,0,0,ItemsCount,1),0))),TRUE)</f>
        <v>1</v>
      </c>
      <c r="G446" s="26" t="b">
        <f ca="1">IF(MID(UPPER(Data!A446),1,13)="MISCELLANEOUS",NOT(ISERROR(MATCH("path="&amp;Data!A446,OFFSET(Data,0,76,ItemsCount,1),0))),TRUE)</f>
        <v>1</v>
      </c>
      <c r="L446" s="25" t="b">
        <f t="shared" ca="1" si="13"/>
        <v>1</v>
      </c>
      <c r="M446" s="24" t="b">
        <f>IF(Checks!$C446,Data!A446&lt;&gt;"",TRUE)</f>
        <v>1</v>
      </c>
      <c r="N446" s="26" t="b">
        <f>IF(Checks!C446,Data!B446&lt;&gt;"",TRUE)</f>
        <v>1</v>
      </c>
      <c r="O446" s="26" t="b">
        <f>IF(Checks!C446,IF(AND(UPPER(Data!C446)="SERVICE TASK",UPPER(Data!BZ446)="TYPE=SAS"),NodeExists(TRIM(RIGHT(Data!CA446,LEN(Data!CA446)-FIND("=",Data!CA446)))),TRUE),TRUE)</f>
        <v>1</v>
      </c>
      <c r="P446" s="26" t="b">
        <f>IF(Checks!C446,IF(Data!C446="DATA OBJECT",OR(AND(Data!BW446&lt;&gt;"",Data!BX446=""),AND(Data!BW446="",Data!BX446&lt;&gt;"")),TRUE),TRUE)</f>
        <v>1</v>
      </c>
      <c r="Q446" s="26" t="b">
        <f>IF(Checks!C446,UPPER(RIGHT(Data!A446,5))=".BPMN",TRUE)</f>
        <v>1</v>
      </c>
      <c r="R446" s="26" t="b">
        <f>IF(Checks!C446,IF(UPPER(Data!C446)="SUB PROCESS",UPPER(RIGHT(Data!BY446,5))=".BPMN",TRUE),TRUE)</f>
        <v>1</v>
      </c>
      <c r="S446" s="26" t="b">
        <f>IF(Checks!C446,IF(UPPER(Data!C446)="SERVICE TASK",IF(UPPER(Data!BZ446)="TYPE=SAS",UPPER(RIGHT(Data!CA446,4))=".SAS",TRUE),TRUE),TRUE)</f>
        <v>1</v>
      </c>
      <c r="T446" s="26" t="b">
        <f>IF(Checks!C446,IF(Data!B446&lt;&gt;"",Data!D446&lt;&gt;"",TRUE),TRUE)</f>
        <v>1</v>
      </c>
      <c r="U446" s="26" t="b">
        <f ca="1">IF(Checks!C446,IF(UPPER(Data!C446)="DATA OBJECT",NOT(ISERROR(MATCH(Data!A446&amp;"||"&amp;Data!BW446&amp;Data!BX446,Key,0))),TRUE),TRUE)</f>
        <v>1</v>
      </c>
      <c r="V446" s="26" t="b">
        <f>IF(Checks!C446,IF(UPPER(Data!C446)="SUB PROCESS",Data!BY446&lt;&gt;"",TRUE),TRUE)</f>
        <v>1</v>
      </c>
      <c r="W446" s="26" t="b">
        <f>IF(Checks!C446,IF(UPPER(Data!C446)="SERVICE TASK",AND(Data!BZ446&lt;&gt;"",Data!CA446&lt;&gt;""),TRUE),TRUE)</f>
        <v>1</v>
      </c>
      <c r="X446" s="26" t="b">
        <f t="array" aca="1" ref="X446" ca="1">SUM((OFFSET(Data!B446,MAX(ROW(Data!$B$5)-ROW(Data!B446),-200),0,400,1)=Data!B446)*(OFFSET(Data!A446,MAX(ROW(Data!$B$5)-ROW(Data!B446),-200),0,400,1)=Data!A446))=1</f>
        <v>1</v>
      </c>
      <c r="Y446" s="26" t="b">
        <f t="array" aca="1" ref="Y446" ca="1">IF(UPPER(Data!C446)="START",SUM((OFFSET(Data!C446,MAX(ROW(Data!$C$5)-ROW(Data!C446),-200),0,400,1)="START")*(OFFSET(Data!A446,MAX(ROW(Data!$B$5)-ROW(Data!B446),-200),0,400,1)=Data!A446))=1,TRUE)</f>
        <v>1</v>
      </c>
      <c r="Z446" s="26" t="b">
        <f t="array" aca="1" ref="Z446" ca="1">IF(UPPER(Data!C446)="END",SUM((OFFSET(Data!C446,MAX(ROW(Data!$C$5)-ROW(Data!C446),-200),0,400,1)="END")*(OFFSET(Data!A446,MAX(ROW(Data!$B$5)-ROW(Data!B446),-200),0,400,1)=Data!A446))=1,TRUE)</f>
        <v>1</v>
      </c>
      <c r="AA446" s="26" t="b">
        <f>IF(Checks!C446,ISERROR(FIND("&amp;",Data!D446)),TRUE)</f>
        <v>1</v>
      </c>
      <c r="AB446" s="26" t="b">
        <f>IF(Checks!$C446,IF(AND(UPPER(Data!$C446)&lt;&gt;"START",UPPER(Data!$C446)&lt;&gt;"DATA OBJECT",Data!E446&lt;&gt;""),NOT(ISERROR(MATCH(Data!$A446&amp;"||"&amp;Data!E446,Key,0))),TRUE),TRUE)</f>
        <v>1</v>
      </c>
      <c r="AC446" s="27" t="b">
        <f>IF(Checks!C446,IF(UPPER(Data!C446)="END",Data!E446&lt;&gt;"",TRUE),TRUE)</f>
        <v>1</v>
      </c>
    </row>
    <row r="447" spans="1:29" x14ac:dyDescent="0.25">
      <c r="A447" s="1" t="str">
        <f>Data!A447&amp;"||"&amp;Data!B447</f>
        <v>Miscellaneous/subflow/irmifrs9_postprocess_stage1.bpmn||020_00_09</v>
      </c>
      <c r="B447" s="19"/>
      <c r="C447" s="24" t="b">
        <f>AND(UPPER(Data!A447)&lt;&gt;"EMPTY",Data!B447&lt;&gt;"")</f>
        <v>1</v>
      </c>
      <c r="D447" s="1"/>
      <c r="E447" s="25" t="b">
        <f t="shared" ca="1" si="12"/>
        <v>1</v>
      </c>
      <c r="F447" s="26" t="b">
        <f ca="1">IF(UPPER(Data!C447)="SUB PROCESS",NOT(ISERROR(MATCH(RIGHT(Data!BY447,LEN(Data!BY447)-5),OFFSET(Data,0,0,ItemsCount,1),0))),TRUE)</f>
        <v>1</v>
      </c>
      <c r="G447" s="26" t="b">
        <f ca="1">IF(MID(UPPER(Data!A447),1,13)="MISCELLANEOUS",NOT(ISERROR(MATCH("path="&amp;Data!A447,OFFSET(Data,0,76,ItemsCount,1),0))),TRUE)</f>
        <v>1</v>
      </c>
      <c r="L447" s="25" t="b">
        <f t="shared" ca="1" si="13"/>
        <v>1</v>
      </c>
      <c r="M447" s="24" t="b">
        <f>IF(Checks!$C447,Data!A447&lt;&gt;"",TRUE)</f>
        <v>1</v>
      </c>
      <c r="N447" s="26" t="b">
        <f>IF(Checks!C447,Data!B447&lt;&gt;"",TRUE)</f>
        <v>1</v>
      </c>
      <c r="O447" s="26" t="b">
        <f>IF(Checks!C447,IF(AND(UPPER(Data!C447)="SERVICE TASK",UPPER(Data!BZ447)="TYPE=SAS"),NodeExists(TRIM(RIGHT(Data!CA447,LEN(Data!CA447)-FIND("=",Data!CA447)))),TRUE),TRUE)</f>
        <v>1</v>
      </c>
      <c r="P447" s="26" t="b">
        <f>IF(Checks!C447,IF(Data!C447="DATA OBJECT",OR(AND(Data!BW447&lt;&gt;"",Data!BX447=""),AND(Data!BW447="",Data!BX447&lt;&gt;"")),TRUE),TRUE)</f>
        <v>1</v>
      </c>
      <c r="Q447" s="26" t="b">
        <f>IF(Checks!C447,UPPER(RIGHT(Data!A447,5))=".BPMN",TRUE)</f>
        <v>1</v>
      </c>
      <c r="R447" s="26" t="b">
        <f>IF(Checks!C447,IF(UPPER(Data!C447)="SUB PROCESS",UPPER(RIGHT(Data!BY447,5))=".BPMN",TRUE),TRUE)</f>
        <v>1</v>
      </c>
      <c r="S447" s="26" t="b">
        <f>IF(Checks!C447,IF(UPPER(Data!C447)="SERVICE TASK",IF(UPPER(Data!BZ447)="TYPE=SAS",UPPER(RIGHT(Data!CA447,4))=".SAS",TRUE),TRUE),TRUE)</f>
        <v>1</v>
      </c>
      <c r="T447" s="26" t="b">
        <f>IF(Checks!C447,IF(Data!B447&lt;&gt;"",Data!D447&lt;&gt;"",TRUE),TRUE)</f>
        <v>1</v>
      </c>
      <c r="U447" s="26" t="b">
        <f ca="1">IF(Checks!C447,IF(UPPER(Data!C447)="DATA OBJECT",NOT(ISERROR(MATCH(Data!A447&amp;"||"&amp;Data!BW447&amp;Data!BX447,Key,0))),TRUE),TRUE)</f>
        <v>1</v>
      </c>
      <c r="V447" s="26" t="b">
        <f>IF(Checks!C447,IF(UPPER(Data!C447)="SUB PROCESS",Data!BY447&lt;&gt;"",TRUE),TRUE)</f>
        <v>1</v>
      </c>
      <c r="W447" s="26" t="b">
        <f>IF(Checks!C447,IF(UPPER(Data!C447)="SERVICE TASK",AND(Data!BZ447&lt;&gt;"",Data!CA447&lt;&gt;""),TRUE),TRUE)</f>
        <v>1</v>
      </c>
      <c r="X447" s="26" t="b">
        <f t="array" aca="1" ref="X447" ca="1">SUM((OFFSET(Data!B447,MAX(ROW(Data!$B$5)-ROW(Data!B447),-200),0,400,1)=Data!B447)*(OFFSET(Data!A447,MAX(ROW(Data!$B$5)-ROW(Data!B447),-200),0,400,1)=Data!A447))=1</f>
        <v>1</v>
      </c>
      <c r="Y447" s="26" t="b">
        <f t="array" aca="1" ref="Y447" ca="1">IF(UPPER(Data!C447)="START",SUM((OFFSET(Data!C447,MAX(ROW(Data!$C$5)-ROW(Data!C447),-200),0,400,1)="START")*(OFFSET(Data!A447,MAX(ROW(Data!$B$5)-ROW(Data!B447),-200),0,400,1)=Data!A447))=1,TRUE)</f>
        <v>1</v>
      </c>
      <c r="Z447" s="26" t="b">
        <f t="array" aca="1" ref="Z447" ca="1">IF(UPPER(Data!C447)="END",SUM((OFFSET(Data!C447,MAX(ROW(Data!$C$5)-ROW(Data!C447),-200),0,400,1)="END")*(OFFSET(Data!A447,MAX(ROW(Data!$B$5)-ROW(Data!B447),-200),0,400,1)=Data!A447))=1,TRUE)</f>
        <v>1</v>
      </c>
      <c r="AA447" s="26" t="b">
        <f>IF(Checks!C447,ISERROR(FIND("&amp;",Data!D447)),TRUE)</f>
        <v>1</v>
      </c>
      <c r="AB447" s="26" t="b">
        <f>IF(Checks!$C447,IF(AND(UPPER(Data!$C447)&lt;&gt;"START",UPPER(Data!$C447)&lt;&gt;"DATA OBJECT",Data!E447&lt;&gt;""),NOT(ISERROR(MATCH(Data!$A447&amp;"||"&amp;Data!E447,Key,0))),TRUE),TRUE)</f>
        <v>1</v>
      </c>
      <c r="AC447" s="27" t="b">
        <f>IF(Checks!C447,IF(UPPER(Data!C447)="END",Data!E447&lt;&gt;"",TRUE),TRUE)</f>
        <v>1</v>
      </c>
    </row>
    <row r="448" spans="1:29" x14ac:dyDescent="0.25">
      <c r="A448" s="1" t="str">
        <f>Data!A448&amp;"||"&amp;Data!B448</f>
        <v>Miscellaneous/subflow/irmifrs9_postprocess_stage1.bpmn||020_01_00</v>
      </c>
      <c r="B448" s="19"/>
      <c r="C448" s="24" t="b">
        <f>AND(UPPER(Data!A448)&lt;&gt;"EMPTY",Data!B448&lt;&gt;"")</f>
        <v>1</v>
      </c>
      <c r="D448" s="1"/>
      <c r="E448" s="25" t="b">
        <f t="shared" ca="1" si="12"/>
        <v>1</v>
      </c>
      <c r="F448" s="26" t="b">
        <f ca="1">IF(UPPER(Data!C448)="SUB PROCESS",NOT(ISERROR(MATCH(RIGHT(Data!BY448,LEN(Data!BY448)-5),OFFSET(Data,0,0,ItemsCount,1),0))),TRUE)</f>
        <v>1</v>
      </c>
      <c r="G448" s="26" t="b">
        <f ca="1">IF(MID(UPPER(Data!A448),1,13)="MISCELLANEOUS",NOT(ISERROR(MATCH("path="&amp;Data!A448,OFFSET(Data,0,76,ItemsCount,1),0))),TRUE)</f>
        <v>1</v>
      </c>
      <c r="L448" s="25" t="b">
        <f t="shared" ca="1" si="13"/>
        <v>1</v>
      </c>
      <c r="M448" s="24" t="b">
        <f>IF(Checks!$C448,Data!A448&lt;&gt;"",TRUE)</f>
        <v>1</v>
      </c>
      <c r="N448" s="26" t="b">
        <f>IF(Checks!C448,Data!B448&lt;&gt;"",TRUE)</f>
        <v>1</v>
      </c>
      <c r="O448" s="26" t="b">
        <f>IF(Checks!C448,IF(AND(UPPER(Data!C448)="SERVICE TASK",UPPER(Data!BZ448)="TYPE=SAS"),NodeExists(TRIM(RIGHT(Data!CA448,LEN(Data!CA448)-FIND("=",Data!CA448)))),TRUE),TRUE)</f>
        <v>1</v>
      </c>
      <c r="P448" s="26" t="b">
        <f>IF(Checks!C448,IF(Data!C448="DATA OBJECT",OR(AND(Data!BW448&lt;&gt;"",Data!BX448=""),AND(Data!BW448="",Data!BX448&lt;&gt;"")),TRUE),TRUE)</f>
        <v>1</v>
      </c>
      <c r="Q448" s="26" t="b">
        <f>IF(Checks!C448,UPPER(RIGHT(Data!A448,5))=".BPMN",TRUE)</f>
        <v>1</v>
      </c>
      <c r="R448" s="26" t="b">
        <f>IF(Checks!C448,IF(UPPER(Data!C448)="SUB PROCESS",UPPER(RIGHT(Data!BY448,5))=".BPMN",TRUE),TRUE)</f>
        <v>1</v>
      </c>
      <c r="S448" s="26" t="b">
        <f>IF(Checks!C448,IF(UPPER(Data!C448)="SERVICE TASK",IF(UPPER(Data!BZ448)="TYPE=SAS",UPPER(RIGHT(Data!CA448,4))=".SAS",TRUE),TRUE),TRUE)</f>
        <v>1</v>
      </c>
      <c r="T448" s="26" t="b">
        <f>IF(Checks!C448,IF(Data!B448&lt;&gt;"",Data!D448&lt;&gt;"",TRUE),TRUE)</f>
        <v>1</v>
      </c>
      <c r="U448" s="26" t="b">
        <f ca="1">IF(Checks!C448,IF(UPPER(Data!C448)="DATA OBJECT",NOT(ISERROR(MATCH(Data!A448&amp;"||"&amp;Data!BW448&amp;Data!BX448,Key,0))),TRUE),TRUE)</f>
        <v>1</v>
      </c>
      <c r="V448" s="26" t="b">
        <f>IF(Checks!C448,IF(UPPER(Data!C448)="SUB PROCESS",Data!BY448&lt;&gt;"",TRUE),TRUE)</f>
        <v>1</v>
      </c>
      <c r="W448" s="26" t="b">
        <f>IF(Checks!C448,IF(UPPER(Data!C448)="SERVICE TASK",AND(Data!BZ448&lt;&gt;"",Data!CA448&lt;&gt;""),TRUE),TRUE)</f>
        <v>1</v>
      </c>
      <c r="X448" s="26" t="b">
        <f t="array" aca="1" ref="X448" ca="1">SUM((OFFSET(Data!B448,MAX(ROW(Data!$B$5)-ROW(Data!B448),-200),0,400,1)=Data!B448)*(OFFSET(Data!A448,MAX(ROW(Data!$B$5)-ROW(Data!B448),-200),0,400,1)=Data!A448))=1</f>
        <v>1</v>
      </c>
      <c r="Y448" s="26" t="b">
        <f t="array" aca="1" ref="Y448" ca="1">IF(UPPER(Data!C448)="START",SUM((OFFSET(Data!C448,MAX(ROW(Data!$C$5)-ROW(Data!C448),-200),0,400,1)="START")*(OFFSET(Data!A448,MAX(ROW(Data!$B$5)-ROW(Data!B448),-200),0,400,1)=Data!A448))=1,TRUE)</f>
        <v>1</v>
      </c>
      <c r="Z448" s="26" t="b">
        <f t="array" aca="1" ref="Z448" ca="1">IF(UPPER(Data!C448)="END",SUM((OFFSET(Data!C448,MAX(ROW(Data!$C$5)-ROW(Data!C448),-200),0,400,1)="END")*(OFFSET(Data!A448,MAX(ROW(Data!$B$5)-ROW(Data!B448),-200),0,400,1)=Data!A448))=1,TRUE)</f>
        <v>1</v>
      </c>
      <c r="AA448" s="26" t="b">
        <f>IF(Checks!C448,ISERROR(FIND("&amp;",Data!D448)),TRUE)</f>
        <v>1</v>
      </c>
      <c r="AB448" s="26" t="b">
        <f>IF(Checks!$C448,IF(AND(UPPER(Data!$C448)&lt;&gt;"START",UPPER(Data!$C448)&lt;&gt;"DATA OBJECT",Data!E448&lt;&gt;""),NOT(ISERROR(MATCH(Data!$A448&amp;"||"&amp;Data!E448,Key,0))),TRUE),TRUE)</f>
        <v>1</v>
      </c>
      <c r="AC448" s="27" t="b">
        <f>IF(Checks!C448,IF(UPPER(Data!C448)="END",Data!E448&lt;&gt;"",TRUE),TRUE)</f>
        <v>1</v>
      </c>
    </row>
    <row r="449" spans="1:29" x14ac:dyDescent="0.25">
      <c r="A449" s="1" t="str">
        <f>Data!A449&amp;"||"&amp;Data!B449</f>
        <v>Miscellaneous/subflow/irmifrs9_postprocess_stage1.bpmn||030_00_00</v>
      </c>
      <c r="B449" s="19"/>
      <c r="C449" s="24" t="b">
        <f>AND(UPPER(Data!A449)&lt;&gt;"EMPTY",Data!B449&lt;&gt;"")</f>
        <v>1</v>
      </c>
      <c r="D449" s="1"/>
      <c r="E449" s="25" t="b">
        <f t="shared" ca="1" si="12"/>
        <v>1</v>
      </c>
      <c r="F449" s="26" t="b">
        <f ca="1">IF(UPPER(Data!C449)="SUB PROCESS",NOT(ISERROR(MATCH(RIGHT(Data!BY449,LEN(Data!BY449)-5),OFFSET(Data,0,0,ItemsCount,1),0))),TRUE)</f>
        <v>1</v>
      </c>
      <c r="G449" s="26" t="b">
        <f ca="1">IF(MID(UPPER(Data!A449),1,13)="MISCELLANEOUS",NOT(ISERROR(MATCH("path="&amp;Data!A449,OFFSET(Data,0,76,ItemsCount,1),0))),TRUE)</f>
        <v>1</v>
      </c>
      <c r="L449" s="25" t="b">
        <f t="shared" ca="1" si="13"/>
        <v>1</v>
      </c>
      <c r="M449" s="24" t="b">
        <f>IF(Checks!$C449,Data!A449&lt;&gt;"",TRUE)</f>
        <v>1</v>
      </c>
      <c r="N449" s="26" t="b">
        <f>IF(Checks!C449,Data!B449&lt;&gt;"",TRUE)</f>
        <v>1</v>
      </c>
      <c r="O449" s="26" t="b">
        <f>IF(Checks!C449,IF(AND(UPPER(Data!C449)="SERVICE TASK",UPPER(Data!BZ449)="TYPE=SAS"),NodeExists(TRIM(RIGHT(Data!CA449,LEN(Data!CA449)-FIND("=",Data!CA449)))),TRUE),TRUE)</f>
        <v>1</v>
      </c>
      <c r="P449" s="26" t="b">
        <f>IF(Checks!C449,IF(Data!C449="DATA OBJECT",OR(AND(Data!BW449&lt;&gt;"",Data!BX449=""),AND(Data!BW449="",Data!BX449&lt;&gt;"")),TRUE),TRUE)</f>
        <v>1</v>
      </c>
      <c r="Q449" s="26" t="b">
        <f>IF(Checks!C449,UPPER(RIGHT(Data!A449,5))=".BPMN",TRUE)</f>
        <v>1</v>
      </c>
      <c r="R449" s="26" t="b">
        <f>IF(Checks!C449,IF(UPPER(Data!C449)="SUB PROCESS",UPPER(RIGHT(Data!BY449,5))=".BPMN",TRUE),TRUE)</f>
        <v>1</v>
      </c>
      <c r="S449" s="26" t="b">
        <f>IF(Checks!C449,IF(UPPER(Data!C449)="SERVICE TASK",IF(UPPER(Data!BZ449)="TYPE=SAS",UPPER(RIGHT(Data!CA449,4))=".SAS",TRUE),TRUE),TRUE)</f>
        <v>1</v>
      </c>
      <c r="T449" s="26" t="b">
        <f>IF(Checks!C449,IF(Data!B449&lt;&gt;"",Data!D449&lt;&gt;"",TRUE),TRUE)</f>
        <v>1</v>
      </c>
      <c r="U449" s="26" t="b">
        <f>IF(Checks!C449,IF(UPPER(Data!C449)="DATA OBJECT",NOT(ISERROR(MATCH(Data!A449&amp;"||"&amp;Data!BW449&amp;Data!BX449,Key,0))),TRUE),TRUE)</f>
        <v>1</v>
      </c>
      <c r="V449" s="26" t="b">
        <f>IF(Checks!C449,IF(UPPER(Data!C449)="SUB PROCESS",Data!BY449&lt;&gt;"",TRUE),TRUE)</f>
        <v>1</v>
      </c>
      <c r="W449" s="26" t="b">
        <f>IF(Checks!C449,IF(UPPER(Data!C449)="SERVICE TASK",AND(Data!BZ449&lt;&gt;"",Data!CA449&lt;&gt;""),TRUE),TRUE)</f>
        <v>1</v>
      </c>
      <c r="X449" s="26" t="b">
        <f t="array" aca="1" ref="X449" ca="1">SUM((OFFSET(Data!B449,MAX(ROW(Data!$B$5)-ROW(Data!B449),-200),0,400,1)=Data!B449)*(OFFSET(Data!A449,MAX(ROW(Data!$B$5)-ROW(Data!B449),-200),0,400,1)=Data!A449))=1</f>
        <v>1</v>
      </c>
      <c r="Y449" s="26" t="b">
        <f t="array" aca="1" ref="Y449" ca="1">IF(UPPER(Data!C449)="START",SUM((OFFSET(Data!C449,MAX(ROW(Data!$C$5)-ROW(Data!C449),-200),0,400,1)="START")*(OFFSET(Data!A449,MAX(ROW(Data!$B$5)-ROW(Data!B449),-200),0,400,1)=Data!A449))=1,TRUE)</f>
        <v>1</v>
      </c>
      <c r="Z449" s="26" t="b">
        <f t="array" aca="1" ref="Z449" ca="1">IF(UPPER(Data!C449)="END",SUM((OFFSET(Data!C449,MAX(ROW(Data!$C$5)-ROW(Data!C449),-200),0,400,1)="END")*(OFFSET(Data!A449,MAX(ROW(Data!$B$5)-ROW(Data!B449),-200),0,400,1)=Data!A449))=1,TRUE)</f>
        <v>1</v>
      </c>
      <c r="AA449" s="26" t="b">
        <f>IF(Checks!C449,ISERROR(FIND("&amp;",Data!D449)),TRUE)</f>
        <v>1</v>
      </c>
      <c r="AB449" s="26" t="b">
        <f ca="1">IF(Checks!$C449,IF(AND(UPPER(Data!$C449)&lt;&gt;"START",UPPER(Data!$C449)&lt;&gt;"DATA OBJECT",Data!E449&lt;&gt;""),NOT(ISERROR(MATCH(Data!$A449&amp;"||"&amp;Data!E449,Key,0))),TRUE),TRUE)</f>
        <v>1</v>
      </c>
      <c r="AC449" s="27" t="b">
        <f>IF(Checks!C449,IF(UPPER(Data!C449)="END",Data!E449&lt;&gt;"",TRUE),TRUE)</f>
        <v>1</v>
      </c>
    </row>
    <row r="450" spans="1:29" x14ac:dyDescent="0.25">
      <c r="A450" s="1" t="str">
        <f>Data!A450&amp;"||"&amp;Data!B450</f>
        <v>Miscellaneous/subflow/irmifrs9_postprocess_stage1.bpmn||030_00_01</v>
      </c>
      <c r="B450" s="19"/>
      <c r="C450" s="24" t="b">
        <f>AND(UPPER(Data!A450)&lt;&gt;"EMPTY",Data!B450&lt;&gt;"")</f>
        <v>1</v>
      </c>
      <c r="D450" s="1"/>
      <c r="E450" s="25" t="b">
        <f t="shared" ca="1" si="12"/>
        <v>1</v>
      </c>
      <c r="F450" s="26" t="b">
        <f ca="1">IF(UPPER(Data!C450)="SUB PROCESS",NOT(ISERROR(MATCH(RIGHT(Data!BY450,LEN(Data!BY450)-5),OFFSET(Data,0,0,ItemsCount,1),0))),TRUE)</f>
        <v>1</v>
      </c>
      <c r="G450" s="26" t="b">
        <f ca="1">IF(MID(UPPER(Data!A450),1,13)="MISCELLANEOUS",NOT(ISERROR(MATCH("path="&amp;Data!A450,OFFSET(Data,0,76,ItemsCount,1),0))),TRUE)</f>
        <v>1</v>
      </c>
      <c r="L450" s="25" t="b">
        <f t="shared" ca="1" si="13"/>
        <v>1</v>
      </c>
      <c r="M450" s="24" t="b">
        <f>IF(Checks!$C450,Data!A450&lt;&gt;"",TRUE)</f>
        <v>1</v>
      </c>
      <c r="N450" s="26" t="b">
        <f>IF(Checks!C450,Data!B450&lt;&gt;"",TRUE)</f>
        <v>1</v>
      </c>
      <c r="O450" s="26" t="b">
        <f>IF(Checks!C450,IF(AND(UPPER(Data!C450)="SERVICE TASK",UPPER(Data!BZ450)="TYPE=SAS"),NodeExists(TRIM(RIGHT(Data!CA450,LEN(Data!CA450)-FIND("=",Data!CA450)))),TRUE),TRUE)</f>
        <v>1</v>
      </c>
      <c r="P450" s="26" t="b">
        <f>IF(Checks!C450,IF(Data!C450="DATA OBJECT",OR(AND(Data!BW450&lt;&gt;"",Data!BX450=""),AND(Data!BW450="",Data!BX450&lt;&gt;"")),TRUE),TRUE)</f>
        <v>1</v>
      </c>
      <c r="Q450" s="26" t="b">
        <f>IF(Checks!C450,UPPER(RIGHT(Data!A450,5))=".BPMN",TRUE)</f>
        <v>1</v>
      </c>
      <c r="R450" s="26" t="b">
        <f>IF(Checks!C450,IF(UPPER(Data!C450)="SUB PROCESS",UPPER(RIGHT(Data!BY450,5))=".BPMN",TRUE),TRUE)</f>
        <v>1</v>
      </c>
      <c r="S450" s="26" t="b">
        <f>IF(Checks!C450,IF(UPPER(Data!C450)="SERVICE TASK",IF(UPPER(Data!BZ450)="TYPE=SAS",UPPER(RIGHT(Data!CA450,4))=".SAS",TRUE),TRUE),TRUE)</f>
        <v>1</v>
      </c>
      <c r="T450" s="26" t="b">
        <f>IF(Checks!C450,IF(Data!B450&lt;&gt;"",Data!D450&lt;&gt;"",TRUE),TRUE)</f>
        <v>1</v>
      </c>
      <c r="U450" s="26" t="b">
        <f ca="1">IF(Checks!C450,IF(UPPER(Data!C450)="DATA OBJECT",NOT(ISERROR(MATCH(Data!A450&amp;"||"&amp;Data!BW450&amp;Data!BX450,Key,0))),TRUE),TRUE)</f>
        <v>1</v>
      </c>
      <c r="V450" s="26" t="b">
        <f>IF(Checks!C450,IF(UPPER(Data!C450)="SUB PROCESS",Data!BY450&lt;&gt;"",TRUE),TRUE)</f>
        <v>1</v>
      </c>
      <c r="W450" s="26" t="b">
        <f>IF(Checks!C450,IF(UPPER(Data!C450)="SERVICE TASK",AND(Data!BZ450&lt;&gt;"",Data!CA450&lt;&gt;""),TRUE),TRUE)</f>
        <v>1</v>
      </c>
      <c r="X450" s="26" t="b">
        <f t="array" aca="1" ref="X450" ca="1">SUM((OFFSET(Data!B450,MAX(ROW(Data!$B$5)-ROW(Data!B450),-200),0,400,1)=Data!B450)*(OFFSET(Data!A450,MAX(ROW(Data!$B$5)-ROW(Data!B450),-200),0,400,1)=Data!A450))=1</f>
        <v>1</v>
      </c>
      <c r="Y450" s="26" t="b">
        <f t="array" aca="1" ref="Y450" ca="1">IF(UPPER(Data!C450)="START",SUM((OFFSET(Data!C450,MAX(ROW(Data!$C$5)-ROW(Data!C450),-200),0,400,1)="START")*(OFFSET(Data!A450,MAX(ROW(Data!$B$5)-ROW(Data!B450),-200),0,400,1)=Data!A450))=1,TRUE)</f>
        <v>1</v>
      </c>
      <c r="Z450" s="26" t="b">
        <f t="array" aca="1" ref="Z450" ca="1">IF(UPPER(Data!C450)="END",SUM((OFFSET(Data!C450,MAX(ROW(Data!$C$5)-ROW(Data!C450),-200),0,400,1)="END")*(OFFSET(Data!A450,MAX(ROW(Data!$B$5)-ROW(Data!B450),-200),0,400,1)=Data!A450))=1,TRUE)</f>
        <v>1</v>
      </c>
      <c r="AA450" s="26" t="b">
        <f>IF(Checks!C450,ISERROR(FIND("&amp;",Data!D450)),TRUE)</f>
        <v>1</v>
      </c>
      <c r="AB450" s="26" t="b">
        <f>IF(Checks!$C450,IF(AND(UPPER(Data!$C450)&lt;&gt;"START",UPPER(Data!$C450)&lt;&gt;"DATA OBJECT",Data!E450&lt;&gt;""),NOT(ISERROR(MATCH(Data!$A450&amp;"||"&amp;Data!E450,Key,0))),TRUE),TRUE)</f>
        <v>1</v>
      </c>
      <c r="AC450" s="27" t="b">
        <f>IF(Checks!C450,IF(UPPER(Data!C450)="END",Data!E450&lt;&gt;"",TRUE),TRUE)</f>
        <v>1</v>
      </c>
    </row>
    <row r="451" spans="1:29" x14ac:dyDescent="0.25">
      <c r="A451" s="1" t="str">
        <f>Data!A451&amp;"||"&amp;Data!B451</f>
        <v>Miscellaneous/subflow/irmifrs9_postprocess_stage1.bpmn||030_00_02</v>
      </c>
      <c r="B451" s="19"/>
      <c r="C451" s="24" t="b">
        <f>AND(UPPER(Data!A451)&lt;&gt;"EMPTY",Data!B451&lt;&gt;"")</f>
        <v>1</v>
      </c>
      <c r="D451" s="1"/>
      <c r="E451" s="25" t="b">
        <f t="shared" ca="1" si="12"/>
        <v>1</v>
      </c>
      <c r="F451" s="26" t="b">
        <f ca="1">IF(UPPER(Data!C451)="SUB PROCESS",NOT(ISERROR(MATCH(RIGHT(Data!BY451,LEN(Data!BY451)-5),OFFSET(Data,0,0,ItemsCount,1),0))),TRUE)</f>
        <v>1</v>
      </c>
      <c r="G451" s="26" t="b">
        <f ca="1">IF(MID(UPPER(Data!A451),1,13)="MISCELLANEOUS",NOT(ISERROR(MATCH("path="&amp;Data!A451,OFFSET(Data,0,76,ItemsCount,1),0))),TRUE)</f>
        <v>1</v>
      </c>
      <c r="L451" s="25" t="b">
        <f t="shared" ca="1" si="13"/>
        <v>1</v>
      </c>
      <c r="M451" s="24" t="b">
        <f>IF(Checks!$C451,Data!A451&lt;&gt;"",TRUE)</f>
        <v>1</v>
      </c>
      <c r="N451" s="26" t="b">
        <f>IF(Checks!C451,Data!B451&lt;&gt;"",TRUE)</f>
        <v>1</v>
      </c>
      <c r="O451" s="26" t="b">
        <f>IF(Checks!C451,IF(AND(UPPER(Data!C451)="SERVICE TASK",UPPER(Data!BZ451)="TYPE=SAS"),NodeExists(TRIM(RIGHT(Data!CA451,LEN(Data!CA451)-FIND("=",Data!CA451)))),TRUE),TRUE)</f>
        <v>1</v>
      </c>
      <c r="P451" s="26" t="b">
        <f>IF(Checks!C451,IF(Data!C451="DATA OBJECT",OR(AND(Data!BW451&lt;&gt;"",Data!BX451=""),AND(Data!BW451="",Data!BX451&lt;&gt;"")),TRUE),TRUE)</f>
        <v>1</v>
      </c>
      <c r="Q451" s="26" t="b">
        <f>IF(Checks!C451,UPPER(RIGHT(Data!A451,5))=".BPMN",TRUE)</f>
        <v>1</v>
      </c>
      <c r="R451" s="26" t="b">
        <f>IF(Checks!C451,IF(UPPER(Data!C451)="SUB PROCESS",UPPER(RIGHT(Data!BY451,5))=".BPMN",TRUE),TRUE)</f>
        <v>1</v>
      </c>
      <c r="S451" s="26" t="b">
        <f>IF(Checks!C451,IF(UPPER(Data!C451)="SERVICE TASK",IF(UPPER(Data!BZ451)="TYPE=SAS",UPPER(RIGHT(Data!CA451,4))=".SAS",TRUE),TRUE),TRUE)</f>
        <v>1</v>
      </c>
      <c r="T451" s="26" t="b">
        <f>IF(Checks!C451,IF(Data!B451&lt;&gt;"",Data!D451&lt;&gt;"",TRUE),TRUE)</f>
        <v>1</v>
      </c>
      <c r="U451" s="26" t="b">
        <f ca="1">IF(Checks!C451,IF(UPPER(Data!C451)="DATA OBJECT",NOT(ISERROR(MATCH(Data!A451&amp;"||"&amp;Data!BW451&amp;Data!BX451,Key,0))),TRUE),TRUE)</f>
        <v>1</v>
      </c>
      <c r="V451" s="26" t="b">
        <f>IF(Checks!C451,IF(UPPER(Data!C451)="SUB PROCESS",Data!BY451&lt;&gt;"",TRUE),TRUE)</f>
        <v>1</v>
      </c>
      <c r="W451" s="26" t="b">
        <f>IF(Checks!C451,IF(UPPER(Data!C451)="SERVICE TASK",AND(Data!BZ451&lt;&gt;"",Data!CA451&lt;&gt;""),TRUE),TRUE)</f>
        <v>1</v>
      </c>
      <c r="X451" s="26" t="b">
        <f t="array" aca="1" ref="X451" ca="1">SUM((OFFSET(Data!B451,MAX(ROW(Data!$B$5)-ROW(Data!B451),-200),0,400,1)=Data!B451)*(OFFSET(Data!A451,MAX(ROW(Data!$B$5)-ROW(Data!B451),-200),0,400,1)=Data!A451))=1</f>
        <v>1</v>
      </c>
      <c r="Y451" s="26" t="b">
        <f t="array" aca="1" ref="Y451" ca="1">IF(UPPER(Data!C451)="START",SUM((OFFSET(Data!C451,MAX(ROW(Data!$C$5)-ROW(Data!C451),-200),0,400,1)="START")*(OFFSET(Data!A451,MAX(ROW(Data!$B$5)-ROW(Data!B451),-200),0,400,1)=Data!A451))=1,TRUE)</f>
        <v>1</v>
      </c>
      <c r="Z451" s="26" t="b">
        <f t="array" aca="1" ref="Z451" ca="1">IF(UPPER(Data!C451)="END",SUM((OFFSET(Data!C451,MAX(ROW(Data!$C$5)-ROW(Data!C451),-200),0,400,1)="END")*(OFFSET(Data!A451,MAX(ROW(Data!$B$5)-ROW(Data!B451),-200),0,400,1)=Data!A451))=1,TRUE)</f>
        <v>1</v>
      </c>
      <c r="AA451" s="26" t="b">
        <f>IF(Checks!C451,ISERROR(FIND("&amp;",Data!D451)),TRUE)</f>
        <v>1</v>
      </c>
      <c r="AB451" s="26" t="b">
        <f>IF(Checks!$C451,IF(AND(UPPER(Data!$C451)&lt;&gt;"START",UPPER(Data!$C451)&lt;&gt;"DATA OBJECT",Data!E451&lt;&gt;""),NOT(ISERROR(MATCH(Data!$A451&amp;"||"&amp;Data!E451,Key,0))),TRUE),TRUE)</f>
        <v>1</v>
      </c>
      <c r="AC451" s="27" t="b">
        <f>IF(Checks!C451,IF(UPPER(Data!C451)="END",Data!E451&lt;&gt;"",TRUE),TRUE)</f>
        <v>1</v>
      </c>
    </row>
    <row r="452" spans="1:29" x14ac:dyDescent="0.25">
      <c r="A452" s="1" t="str">
        <f>Data!A452&amp;"||"&amp;Data!B452</f>
        <v>Miscellaneous/subflow/irmifrs9_postprocess_stage1.bpmn||030_01_00</v>
      </c>
      <c r="B452" s="19"/>
      <c r="C452" s="24" t="b">
        <f>AND(UPPER(Data!A452)&lt;&gt;"EMPTY",Data!B452&lt;&gt;"")</f>
        <v>1</v>
      </c>
      <c r="D452" s="1"/>
      <c r="E452" s="25" t="b">
        <f t="shared" ca="1" si="12"/>
        <v>1</v>
      </c>
      <c r="F452" s="26" t="b">
        <f ca="1">IF(UPPER(Data!C452)="SUB PROCESS",NOT(ISERROR(MATCH(RIGHT(Data!BY452,LEN(Data!BY452)-5),OFFSET(Data,0,0,ItemsCount,1),0))),TRUE)</f>
        <v>1</v>
      </c>
      <c r="G452" s="26" t="b">
        <f ca="1">IF(MID(UPPER(Data!A452),1,13)="MISCELLANEOUS",NOT(ISERROR(MATCH("path="&amp;Data!A452,OFFSET(Data,0,76,ItemsCount,1),0))),TRUE)</f>
        <v>1</v>
      </c>
      <c r="L452" s="25" t="b">
        <f t="shared" ca="1" si="13"/>
        <v>1</v>
      </c>
      <c r="M452" s="24" t="b">
        <f>IF(Checks!$C452,Data!A452&lt;&gt;"",TRUE)</f>
        <v>1</v>
      </c>
      <c r="N452" s="26" t="b">
        <f>IF(Checks!C452,Data!B452&lt;&gt;"",TRUE)</f>
        <v>1</v>
      </c>
      <c r="O452" s="26" t="b">
        <f>IF(Checks!C452,IF(AND(UPPER(Data!C452)="SERVICE TASK",UPPER(Data!BZ452)="TYPE=SAS"),NodeExists(TRIM(RIGHT(Data!CA452,LEN(Data!CA452)-FIND("=",Data!CA452)))),TRUE),TRUE)</f>
        <v>1</v>
      </c>
      <c r="P452" s="26" t="b">
        <f>IF(Checks!C452,IF(Data!C452="DATA OBJECT",OR(AND(Data!BW452&lt;&gt;"",Data!BX452=""),AND(Data!BW452="",Data!BX452&lt;&gt;"")),TRUE),TRUE)</f>
        <v>1</v>
      </c>
      <c r="Q452" s="26" t="b">
        <f>IF(Checks!C452,UPPER(RIGHT(Data!A452,5))=".BPMN",TRUE)</f>
        <v>1</v>
      </c>
      <c r="R452" s="26" t="b">
        <f>IF(Checks!C452,IF(UPPER(Data!C452)="SUB PROCESS",UPPER(RIGHT(Data!BY452,5))=".BPMN",TRUE),TRUE)</f>
        <v>1</v>
      </c>
      <c r="S452" s="26" t="b">
        <f>IF(Checks!C452,IF(UPPER(Data!C452)="SERVICE TASK",IF(UPPER(Data!BZ452)="TYPE=SAS",UPPER(RIGHT(Data!CA452,4))=".SAS",TRUE),TRUE),TRUE)</f>
        <v>1</v>
      </c>
      <c r="T452" s="26" t="b">
        <f>IF(Checks!C452,IF(Data!B452&lt;&gt;"",Data!D452&lt;&gt;"",TRUE),TRUE)</f>
        <v>1</v>
      </c>
      <c r="U452" s="26" t="b">
        <f ca="1">IF(Checks!C452,IF(UPPER(Data!C452)="DATA OBJECT",NOT(ISERROR(MATCH(Data!A452&amp;"||"&amp;Data!BW452&amp;Data!BX452,Key,0))),TRUE),TRUE)</f>
        <v>1</v>
      </c>
      <c r="V452" s="26" t="b">
        <f>IF(Checks!C452,IF(UPPER(Data!C452)="SUB PROCESS",Data!BY452&lt;&gt;"",TRUE),TRUE)</f>
        <v>1</v>
      </c>
      <c r="W452" s="26" t="b">
        <f>IF(Checks!C452,IF(UPPER(Data!C452)="SERVICE TASK",AND(Data!BZ452&lt;&gt;"",Data!CA452&lt;&gt;""),TRUE),TRUE)</f>
        <v>1</v>
      </c>
      <c r="X452" s="26" t="b">
        <f t="array" aca="1" ref="X452" ca="1">SUM((OFFSET(Data!B452,MAX(ROW(Data!$B$5)-ROW(Data!B452),-200),0,400,1)=Data!B452)*(OFFSET(Data!A452,MAX(ROW(Data!$B$5)-ROW(Data!B452),-200),0,400,1)=Data!A452))=1</f>
        <v>1</v>
      </c>
      <c r="Y452" s="26" t="b">
        <f t="array" aca="1" ref="Y452" ca="1">IF(UPPER(Data!C452)="START",SUM((OFFSET(Data!C452,MAX(ROW(Data!$C$5)-ROW(Data!C452),-200),0,400,1)="START")*(OFFSET(Data!A452,MAX(ROW(Data!$B$5)-ROW(Data!B452),-200),0,400,1)=Data!A452))=1,TRUE)</f>
        <v>1</v>
      </c>
      <c r="Z452" s="26" t="b">
        <f t="array" aca="1" ref="Z452" ca="1">IF(UPPER(Data!C452)="END",SUM((OFFSET(Data!C452,MAX(ROW(Data!$C$5)-ROW(Data!C452),-200),0,400,1)="END")*(OFFSET(Data!A452,MAX(ROW(Data!$B$5)-ROW(Data!B452),-200),0,400,1)=Data!A452))=1,TRUE)</f>
        <v>1</v>
      </c>
      <c r="AA452" s="26" t="b">
        <f>IF(Checks!C452,ISERROR(FIND("&amp;",Data!D452)),TRUE)</f>
        <v>1</v>
      </c>
      <c r="AB452" s="26" t="b">
        <f>IF(Checks!$C452,IF(AND(UPPER(Data!$C452)&lt;&gt;"START",UPPER(Data!$C452)&lt;&gt;"DATA OBJECT",Data!E452&lt;&gt;""),NOT(ISERROR(MATCH(Data!$A452&amp;"||"&amp;Data!E452,Key,0))),TRUE),TRUE)</f>
        <v>1</v>
      </c>
      <c r="AC452" s="27" t="b">
        <f>IF(Checks!C452,IF(UPPER(Data!C452)="END",Data!E452&lt;&gt;"",TRUE),TRUE)</f>
        <v>1</v>
      </c>
    </row>
    <row r="453" spans="1:29" x14ac:dyDescent="0.25">
      <c r="A453" s="1" t="str">
        <f>Data!A453&amp;"||"&amp;Data!B453</f>
        <v>Miscellaneous/subflow/irmifrs9_postprocess_stage1.bpmn||999_00_00</v>
      </c>
      <c r="B453" s="19"/>
      <c r="C453" s="24" t="b">
        <f>AND(UPPER(Data!A453)&lt;&gt;"EMPTY",Data!B453&lt;&gt;"")</f>
        <v>1</v>
      </c>
      <c r="D453" s="1"/>
      <c r="E453" s="25" t="b">
        <f t="shared" ca="1" si="12"/>
        <v>1</v>
      </c>
      <c r="F453" s="26" t="b">
        <f ca="1">IF(UPPER(Data!C453)="SUB PROCESS",NOT(ISERROR(MATCH(RIGHT(Data!BY453,LEN(Data!BY453)-5),OFFSET(Data,0,0,ItemsCount,1),0))),TRUE)</f>
        <v>1</v>
      </c>
      <c r="G453" s="26" t="b">
        <f ca="1">IF(MID(UPPER(Data!A453),1,13)="MISCELLANEOUS",NOT(ISERROR(MATCH("path="&amp;Data!A453,OFFSET(Data,0,76,ItemsCount,1),0))),TRUE)</f>
        <v>1</v>
      </c>
      <c r="L453" s="25" t="b">
        <f t="shared" ca="1" si="13"/>
        <v>1</v>
      </c>
      <c r="M453" s="24" t="b">
        <f>IF(Checks!$C453,Data!A453&lt;&gt;"",TRUE)</f>
        <v>1</v>
      </c>
      <c r="N453" s="26" t="b">
        <f>IF(Checks!C453,Data!B453&lt;&gt;"",TRUE)</f>
        <v>1</v>
      </c>
      <c r="O453" s="26" t="b">
        <f>IF(Checks!C453,IF(AND(UPPER(Data!C453)="SERVICE TASK",UPPER(Data!BZ453)="TYPE=SAS"),NodeExists(TRIM(RIGHT(Data!CA453,LEN(Data!CA453)-FIND("=",Data!CA453)))),TRUE),TRUE)</f>
        <v>1</v>
      </c>
      <c r="P453" s="26" t="b">
        <f>IF(Checks!C453,IF(Data!C453="DATA OBJECT",OR(AND(Data!BW453&lt;&gt;"",Data!BX453=""),AND(Data!BW453="",Data!BX453&lt;&gt;"")),TRUE),TRUE)</f>
        <v>1</v>
      </c>
      <c r="Q453" s="26" t="b">
        <f>IF(Checks!C453,UPPER(RIGHT(Data!A453,5))=".BPMN",TRUE)</f>
        <v>1</v>
      </c>
      <c r="R453" s="26" t="b">
        <f>IF(Checks!C453,IF(UPPER(Data!C453)="SUB PROCESS",UPPER(RIGHT(Data!BY453,5))=".BPMN",TRUE),TRUE)</f>
        <v>1</v>
      </c>
      <c r="S453" s="26" t="b">
        <f>IF(Checks!C453,IF(UPPER(Data!C453)="SERVICE TASK",IF(UPPER(Data!BZ453)="TYPE=SAS",UPPER(RIGHT(Data!CA453,4))=".SAS",TRUE),TRUE),TRUE)</f>
        <v>1</v>
      </c>
      <c r="T453" s="26" t="b">
        <f>IF(Checks!C453,IF(Data!B453&lt;&gt;"",Data!D453&lt;&gt;"",TRUE),TRUE)</f>
        <v>1</v>
      </c>
      <c r="U453" s="26" t="b">
        <f>IF(Checks!C453,IF(UPPER(Data!C453)="DATA OBJECT",NOT(ISERROR(MATCH(Data!A453&amp;"||"&amp;Data!BW453&amp;Data!BX453,Key,0))),TRUE),TRUE)</f>
        <v>1</v>
      </c>
      <c r="V453" s="26" t="b">
        <f>IF(Checks!C453,IF(UPPER(Data!C453)="SUB PROCESS",Data!BY453&lt;&gt;"",TRUE),TRUE)</f>
        <v>1</v>
      </c>
      <c r="W453" s="26" t="b">
        <f>IF(Checks!C453,IF(UPPER(Data!C453)="SERVICE TASK",AND(Data!BZ453&lt;&gt;"",Data!CA453&lt;&gt;""),TRUE),TRUE)</f>
        <v>1</v>
      </c>
      <c r="X453" s="26" t="b">
        <f t="array" aca="1" ref="X453" ca="1">SUM((OFFSET(Data!B453,MAX(ROW(Data!$B$5)-ROW(Data!B453),-200),0,400,1)=Data!B453)*(OFFSET(Data!A453,MAX(ROW(Data!$B$5)-ROW(Data!B453),-200),0,400,1)=Data!A453))=1</f>
        <v>1</v>
      </c>
      <c r="Y453" s="26" t="b">
        <f t="array" aca="1" ref="Y453" ca="1">IF(UPPER(Data!C453)="START",SUM((OFFSET(Data!C453,MAX(ROW(Data!$C$5)-ROW(Data!C453),-200),0,400,1)="START")*(OFFSET(Data!A453,MAX(ROW(Data!$B$5)-ROW(Data!B453),-200),0,400,1)=Data!A453))=1,TRUE)</f>
        <v>1</v>
      </c>
      <c r="Z453" s="26" t="b">
        <f t="array" aca="1" ref="Z453" ca="1">IF(UPPER(Data!C453)="END",SUM((OFFSET(Data!C453,MAX(ROW(Data!$C$5)-ROW(Data!C453),-200),0,400,1)="END")*(OFFSET(Data!A453,MAX(ROW(Data!$B$5)-ROW(Data!B453),-200),0,400,1)=Data!A453))=1,TRUE)</f>
        <v>1</v>
      </c>
      <c r="AA453" s="26" t="b">
        <f>IF(Checks!C453,ISERROR(FIND("&amp;",Data!D453)),TRUE)</f>
        <v>1</v>
      </c>
      <c r="AB453" s="26" t="b">
        <f ca="1">IF(Checks!$C453,IF(AND(UPPER(Data!$C453)&lt;&gt;"START",UPPER(Data!$C453)&lt;&gt;"DATA OBJECT",Data!E453&lt;&gt;""),NOT(ISERROR(MATCH(Data!$A453&amp;"||"&amp;Data!E453,Key,0))),TRUE),TRUE)</f>
        <v>1</v>
      </c>
      <c r="AC453" s="27" t="b">
        <f>IF(Checks!C453,IF(UPPER(Data!C453)="END",Data!E453&lt;&gt;"",TRUE),TRUE)</f>
        <v>1</v>
      </c>
    </row>
    <row r="454" spans="1:29" x14ac:dyDescent="0.25">
      <c r="A454" s="1" t="str">
        <f>Data!A454&amp;"||"&amp;Data!B454</f>
        <v>Miscellaneous/subflow/irmifrs9_postprocess_stage2.bpmn||000_00_00</v>
      </c>
      <c r="B454" s="19"/>
      <c r="C454" s="24" t="b">
        <f>AND(UPPER(Data!A454)&lt;&gt;"EMPTY",Data!B454&lt;&gt;"")</f>
        <v>1</v>
      </c>
      <c r="D454" s="1"/>
      <c r="E454" s="25" t="b">
        <f t="shared" ref="E454:E517" ca="1" si="14">IF(C454,AND(F454:G454),TRUE)</f>
        <v>1</v>
      </c>
      <c r="F454" s="26" t="b">
        <f ca="1">IF(UPPER(Data!C454)="SUB PROCESS",NOT(ISERROR(MATCH(RIGHT(Data!BY454,LEN(Data!BY454)-5),OFFSET(Data,0,0,ItemsCount,1),0))),TRUE)</f>
        <v>1</v>
      </c>
      <c r="G454" s="26" t="b">
        <f ca="1">IF(MID(UPPER(Data!A454),1,13)="MISCELLANEOUS",NOT(ISERROR(MATCH("path="&amp;Data!A454,OFFSET(Data,0,76,ItemsCount,1),0))),TRUE)</f>
        <v>1</v>
      </c>
      <c r="L454" s="25" t="b">
        <f t="shared" ref="L454:L517" ca="1" si="15">IF(C454,AND(M454:AC454),TRUE)</f>
        <v>1</v>
      </c>
      <c r="M454" s="24" t="b">
        <f>IF(Checks!$C454,Data!A454&lt;&gt;"",TRUE)</f>
        <v>1</v>
      </c>
      <c r="N454" s="26" t="b">
        <f>IF(Checks!C454,Data!B454&lt;&gt;"",TRUE)</f>
        <v>1</v>
      </c>
      <c r="O454" s="26" t="b">
        <f>IF(Checks!C454,IF(AND(UPPER(Data!C454)="SERVICE TASK",UPPER(Data!BZ454)="TYPE=SAS"),NodeExists(TRIM(RIGHT(Data!CA454,LEN(Data!CA454)-FIND("=",Data!CA454)))),TRUE),TRUE)</f>
        <v>1</v>
      </c>
      <c r="P454" s="26" t="b">
        <f>IF(Checks!C454,IF(Data!C454="DATA OBJECT",OR(AND(Data!BW454&lt;&gt;"",Data!BX454=""),AND(Data!BW454="",Data!BX454&lt;&gt;"")),TRUE),TRUE)</f>
        <v>1</v>
      </c>
      <c r="Q454" s="26" t="b">
        <f>IF(Checks!C454,UPPER(RIGHT(Data!A454,5))=".BPMN",TRUE)</f>
        <v>1</v>
      </c>
      <c r="R454" s="26" t="b">
        <f>IF(Checks!C454,IF(UPPER(Data!C454)="SUB PROCESS",UPPER(RIGHT(Data!BY454,5))=".BPMN",TRUE),TRUE)</f>
        <v>1</v>
      </c>
      <c r="S454" s="26" t="b">
        <f>IF(Checks!C454,IF(UPPER(Data!C454)="SERVICE TASK",IF(UPPER(Data!BZ454)="TYPE=SAS",UPPER(RIGHT(Data!CA454,4))=".SAS",TRUE),TRUE),TRUE)</f>
        <v>1</v>
      </c>
      <c r="T454" s="26" t="b">
        <f>IF(Checks!C454,IF(Data!B454&lt;&gt;"",Data!D454&lt;&gt;"",TRUE),TRUE)</f>
        <v>1</v>
      </c>
      <c r="U454" s="26" t="b">
        <f>IF(Checks!C454,IF(UPPER(Data!C454)="DATA OBJECT",NOT(ISERROR(MATCH(Data!A454&amp;"||"&amp;Data!BW454&amp;Data!BX454,Key,0))),TRUE),TRUE)</f>
        <v>1</v>
      </c>
      <c r="V454" s="26" t="b">
        <f>IF(Checks!C454,IF(UPPER(Data!C454)="SUB PROCESS",Data!BY454&lt;&gt;"",TRUE),TRUE)</f>
        <v>1</v>
      </c>
      <c r="W454" s="26" t="b">
        <f>IF(Checks!C454,IF(UPPER(Data!C454)="SERVICE TASK",AND(Data!BZ454&lt;&gt;"",Data!CA454&lt;&gt;""),TRUE),TRUE)</f>
        <v>1</v>
      </c>
      <c r="X454" s="26" t="b">
        <f t="array" aca="1" ref="X454" ca="1">SUM((OFFSET(Data!B454,MAX(ROW(Data!$B$5)-ROW(Data!B454),-200),0,400,1)=Data!B454)*(OFFSET(Data!A454,MAX(ROW(Data!$B$5)-ROW(Data!B454),-200),0,400,1)=Data!A454))=1</f>
        <v>1</v>
      </c>
      <c r="Y454" s="26" t="b">
        <f t="array" aca="1" ref="Y454" ca="1">IF(UPPER(Data!C454)="START",SUM((OFFSET(Data!C454,MAX(ROW(Data!$C$5)-ROW(Data!C454),-200),0,400,1)="START")*(OFFSET(Data!A454,MAX(ROW(Data!$B$5)-ROW(Data!B454),-200),0,400,1)=Data!A454))=1,TRUE)</f>
        <v>1</v>
      </c>
      <c r="Z454" s="26" t="b">
        <f t="array" aca="1" ref="Z454" ca="1">IF(UPPER(Data!C454)="END",SUM((OFFSET(Data!C454,MAX(ROW(Data!$C$5)-ROW(Data!C454),-200),0,400,1)="END")*(OFFSET(Data!A454,MAX(ROW(Data!$B$5)-ROW(Data!B454),-200),0,400,1)=Data!A454))=1,TRUE)</f>
        <v>1</v>
      </c>
      <c r="AA454" s="26" t="b">
        <f>IF(Checks!C454,ISERROR(FIND("&amp;",Data!D454)),TRUE)</f>
        <v>1</v>
      </c>
      <c r="AB454" s="26" t="b">
        <f>IF(Checks!$C454,IF(AND(UPPER(Data!$C454)&lt;&gt;"START",UPPER(Data!$C454)&lt;&gt;"DATA OBJECT",Data!E454&lt;&gt;""),NOT(ISERROR(MATCH(Data!$A454&amp;"||"&amp;Data!E454,Key,0))),TRUE),TRUE)</f>
        <v>1</v>
      </c>
      <c r="AC454" s="27" t="b">
        <f>IF(Checks!C454,IF(UPPER(Data!C454)="END",Data!E454&lt;&gt;"",TRUE),TRUE)</f>
        <v>1</v>
      </c>
    </row>
    <row r="455" spans="1:29" x14ac:dyDescent="0.25">
      <c r="A455" s="1" t="str">
        <f>Data!A455&amp;"||"&amp;Data!B455</f>
        <v>Miscellaneous/subflow/irmifrs9_postprocess_stage2.bpmn||010_00_00</v>
      </c>
      <c r="B455" s="19"/>
      <c r="C455" s="24" t="b">
        <f>AND(UPPER(Data!A455)&lt;&gt;"EMPTY",Data!B455&lt;&gt;"")</f>
        <v>1</v>
      </c>
      <c r="D455" s="1"/>
      <c r="E455" s="25" t="b">
        <f t="shared" ca="1" si="14"/>
        <v>1</v>
      </c>
      <c r="F455" s="26" t="b">
        <f ca="1">IF(UPPER(Data!C455)="SUB PROCESS",NOT(ISERROR(MATCH(RIGHT(Data!BY455,LEN(Data!BY455)-5),OFFSET(Data,0,0,ItemsCount,1),0))),TRUE)</f>
        <v>1</v>
      </c>
      <c r="G455" s="26" t="b">
        <f ca="1">IF(MID(UPPER(Data!A455),1,13)="MISCELLANEOUS",NOT(ISERROR(MATCH("path="&amp;Data!A455,OFFSET(Data,0,76,ItemsCount,1),0))),TRUE)</f>
        <v>1</v>
      </c>
      <c r="L455" s="25" t="b">
        <f t="shared" ca="1" si="15"/>
        <v>1</v>
      </c>
      <c r="M455" s="24" t="b">
        <f>IF(Checks!$C455,Data!A455&lt;&gt;"",TRUE)</f>
        <v>1</v>
      </c>
      <c r="N455" s="26" t="b">
        <f>IF(Checks!C455,Data!B455&lt;&gt;"",TRUE)</f>
        <v>1</v>
      </c>
      <c r="O455" s="26" t="b">
        <f>IF(Checks!C455,IF(AND(UPPER(Data!C455)="SERVICE TASK",UPPER(Data!BZ455)="TYPE=SAS"),NodeExists(TRIM(RIGHT(Data!CA455,LEN(Data!CA455)-FIND("=",Data!CA455)))),TRUE),TRUE)</f>
        <v>1</v>
      </c>
      <c r="P455" s="26" t="b">
        <f>IF(Checks!C455,IF(Data!C455="DATA OBJECT",OR(AND(Data!BW455&lt;&gt;"",Data!BX455=""),AND(Data!BW455="",Data!BX455&lt;&gt;"")),TRUE),TRUE)</f>
        <v>1</v>
      </c>
      <c r="Q455" s="26" t="b">
        <f>IF(Checks!C455,UPPER(RIGHT(Data!A455,5))=".BPMN",TRUE)</f>
        <v>1</v>
      </c>
      <c r="R455" s="26" t="b">
        <f>IF(Checks!C455,IF(UPPER(Data!C455)="SUB PROCESS",UPPER(RIGHT(Data!BY455,5))=".BPMN",TRUE),TRUE)</f>
        <v>1</v>
      </c>
      <c r="S455" s="26" t="b">
        <f>IF(Checks!C455,IF(UPPER(Data!C455)="SERVICE TASK",IF(UPPER(Data!BZ455)="TYPE=SAS",UPPER(RIGHT(Data!CA455,4))=".SAS",TRUE),TRUE),TRUE)</f>
        <v>1</v>
      </c>
      <c r="T455" s="26" t="b">
        <f>IF(Checks!C455,IF(Data!B455&lt;&gt;"",Data!D455&lt;&gt;"",TRUE),TRUE)</f>
        <v>1</v>
      </c>
      <c r="U455" s="26" t="b">
        <f>IF(Checks!C455,IF(UPPER(Data!C455)="DATA OBJECT",NOT(ISERROR(MATCH(Data!A455&amp;"||"&amp;Data!BW455&amp;Data!BX455,Key,0))),TRUE),TRUE)</f>
        <v>1</v>
      </c>
      <c r="V455" s="26" t="b">
        <f>IF(Checks!C455,IF(UPPER(Data!C455)="SUB PROCESS",Data!BY455&lt;&gt;"",TRUE),TRUE)</f>
        <v>1</v>
      </c>
      <c r="W455" s="26" t="b">
        <f>IF(Checks!C455,IF(UPPER(Data!C455)="SERVICE TASK",AND(Data!BZ455&lt;&gt;"",Data!CA455&lt;&gt;""),TRUE),TRUE)</f>
        <v>1</v>
      </c>
      <c r="X455" s="26" t="b">
        <f t="array" aca="1" ref="X455" ca="1">SUM((OFFSET(Data!B455,MAX(ROW(Data!$B$5)-ROW(Data!B455),-200),0,400,1)=Data!B455)*(OFFSET(Data!A455,MAX(ROW(Data!$B$5)-ROW(Data!B455),-200),0,400,1)=Data!A455))=1</f>
        <v>1</v>
      </c>
      <c r="Y455" s="26" t="b">
        <f t="array" aca="1" ref="Y455" ca="1">IF(UPPER(Data!C455)="START",SUM((OFFSET(Data!C455,MAX(ROW(Data!$C$5)-ROW(Data!C455),-200),0,400,1)="START")*(OFFSET(Data!A455,MAX(ROW(Data!$B$5)-ROW(Data!B455),-200),0,400,1)=Data!A455))=1,TRUE)</f>
        <v>1</v>
      </c>
      <c r="Z455" s="26" t="b">
        <f t="array" aca="1" ref="Z455" ca="1">IF(UPPER(Data!C455)="END",SUM((OFFSET(Data!C455,MAX(ROW(Data!$C$5)-ROW(Data!C455),-200),0,400,1)="END")*(OFFSET(Data!A455,MAX(ROW(Data!$B$5)-ROW(Data!B455),-200),0,400,1)=Data!A455))=1,TRUE)</f>
        <v>1</v>
      </c>
      <c r="AA455" s="26" t="b">
        <f>IF(Checks!C455,ISERROR(FIND("&amp;",Data!D455)),TRUE)</f>
        <v>1</v>
      </c>
      <c r="AB455" s="26" t="b">
        <f ca="1">IF(Checks!$C455,IF(AND(UPPER(Data!$C455)&lt;&gt;"START",UPPER(Data!$C455)&lt;&gt;"DATA OBJECT",Data!E455&lt;&gt;""),NOT(ISERROR(MATCH(Data!$A455&amp;"||"&amp;Data!E455,Key,0))),TRUE),TRUE)</f>
        <v>1</v>
      </c>
      <c r="AC455" s="27" t="b">
        <f>IF(Checks!C455,IF(UPPER(Data!C455)="END",Data!E455&lt;&gt;"",TRUE),TRUE)</f>
        <v>1</v>
      </c>
    </row>
    <row r="456" spans="1:29" x14ac:dyDescent="0.25">
      <c r="A456" s="1" t="str">
        <f>Data!A456&amp;"||"&amp;Data!B456</f>
        <v>Miscellaneous/subflow/irmifrs9_postprocess_stage2.bpmn||010_00_01</v>
      </c>
      <c r="B456" s="19"/>
      <c r="C456" s="24" t="b">
        <f>AND(UPPER(Data!A456)&lt;&gt;"EMPTY",Data!B456&lt;&gt;"")</f>
        <v>1</v>
      </c>
      <c r="D456" s="1"/>
      <c r="E456" s="25" t="b">
        <f t="shared" ca="1" si="14"/>
        <v>1</v>
      </c>
      <c r="F456" s="26" t="b">
        <f ca="1">IF(UPPER(Data!C456)="SUB PROCESS",NOT(ISERROR(MATCH(RIGHT(Data!BY456,LEN(Data!BY456)-5),OFFSET(Data,0,0,ItemsCount,1),0))),TRUE)</f>
        <v>1</v>
      </c>
      <c r="G456" s="26" t="b">
        <f ca="1">IF(MID(UPPER(Data!A456),1,13)="MISCELLANEOUS",NOT(ISERROR(MATCH("path="&amp;Data!A456,OFFSET(Data,0,76,ItemsCount,1),0))),TRUE)</f>
        <v>1</v>
      </c>
      <c r="L456" s="25" t="b">
        <f t="shared" ca="1" si="15"/>
        <v>1</v>
      </c>
      <c r="M456" s="24" t="b">
        <f>IF(Checks!$C456,Data!A456&lt;&gt;"",TRUE)</f>
        <v>1</v>
      </c>
      <c r="N456" s="26" t="b">
        <f>IF(Checks!C456,Data!B456&lt;&gt;"",TRUE)</f>
        <v>1</v>
      </c>
      <c r="O456" s="26" t="b">
        <f>IF(Checks!C456,IF(AND(UPPER(Data!C456)="SERVICE TASK",UPPER(Data!BZ456)="TYPE=SAS"),NodeExists(TRIM(RIGHT(Data!CA456,LEN(Data!CA456)-FIND("=",Data!CA456)))),TRUE),TRUE)</f>
        <v>1</v>
      </c>
      <c r="P456" s="26" t="b">
        <f>IF(Checks!C456,IF(Data!C456="DATA OBJECT",OR(AND(Data!BW456&lt;&gt;"",Data!BX456=""),AND(Data!BW456="",Data!BX456&lt;&gt;"")),TRUE),TRUE)</f>
        <v>1</v>
      </c>
      <c r="Q456" s="26" t="b">
        <f>IF(Checks!C456,UPPER(RIGHT(Data!A456,5))=".BPMN",TRUE)</f>
        <v>1</v>
      </c>
      <c r="R456" s="26" t="b">
        <f>IF(Checks!C456,IF(UPPER(Data!C456)="SUB PROCESS",UPPER(RIGHT(Data!BY456,5))=".BPMN",TRUE),TRUE)</f>
        <v>1</v>
      </c>
      <c r="S456" s="26" t="b">
        <f>IF(Checks!C456,IF(UPPER(Data!C456)="SERVICE TASK",IF(UPPER(Data!BZ456)="TYPE=SAS",UPPER(RIGHT(Data!CA456,4))=".SAS",TRUE),TRUE),TRUE)</f>
        <v>1</v>
      </c>
      <c r="T456" s="26" t="b">
        <f>IF(Checks!C456,IF(Data!B456&lt;&gt;"",Data!D456&lt;&gt;"",TRUE),TRUE)</f>
        <v>1</v>
      </c>
      <c r="U456" s="26" t="b">
        <f ca="1">IF(Checks!C456,IF(UPPER(Data!C456)="DATA OBJECT",NOT(ISERROR(MATCH(Data!A456&amp;"||"&amp;Data!BW456&amp;Data!BX456,Key,0))),TRUE),TRUE)</f>
        <v>1</v>
      </c>
      <c r="V456" s="26" t="b">
        <f>IF(Checks!C456,IF(UPPER(Data!C456)="SUB PROCESS",Data!BY456&lt;&gt;"",TRUE),TRUE)</f>
        <v>1</v>
      </c>
      <c r="W456" s="26" t="b">
        <f>IF(Checks!C456,IF(UPPER(Data!C456)="SERVICE TASK",AND(Data!BZ456&lt;&gt;"",Data!CA456&lt;&gt;""),TRUE),TRUE)</f>
        <v>1</v>
      </c>
      <c r="X456" s="26" t="b">
        <f t="array" aca="1" ref="X456" ca="1">SUM((OFFSET(Data!B456,MAX(ROW(Data!$B$5)-ROW(Data!B456),-200),0,400,1)=Data!B456)*(OFFSET(Data!A456,MAX(ROW(Data!$B$5)-ROW(Data!B456),-200),0,400,1)=Data!A456))=1</f>
        <v>1</v>
      </c>
      <c r="Y456" s="26" t="b">
        <f t="array" aca="1" ref="Y456" ca="1">IF(UPPER(Data!C456)="START",SUM((OFFSET(Data!C456,MAX(ROW(Data!$C$5)-ROW(Data!C456),-200),0,400,1)="START")*(OFFSET(Data!A456,MAX(ROW(Data!$B$5)-ROW(Data!B456),-200),0,400,1)=Data!A456))=1,TRUE)</f>
        <v>1</v>
      </c>
      <c r="Z456" s="26" t="b">
        <f t="array" aca="1" ref="Z456" ca="1">IF(UPPER(Data!C456)="END",SUM((OFFSET(Data!C456,MAX(ROW(Data!$C$5)-ROW(Data!C456),-200),0,400,1)="END")*(OFFSET(Data!A456,MAX(ROW(Data!$B$5)-ROW(Data!B456),-200),0,400,1)=Data!A456))=1,TRUE)</f>
        <v>1</v>
      </c>
      <c r="AA456" s="26" t="b">
        <f>IF(Checks!C456,ISERROR(FIND("&amp;",Data!D456)),TRUE)</f>
        <v>1</v>
      </c>
      <c r="AB456" s="26" t="b">
        <f>IF(Checks!$C456,IF(AND(UPPER(Data!$C456)&lt;&gt;"START",UPPER(Data!$C456)&lt;&gt;"DATA OBJECT",Data!E456&lt;&gt;""),NOT(ISERROR(MATCH(Data!$A456&amp;"||"&amp;Data!E456,Key,0))),TRUE),TRUE)</f>
        <v>1</v>
      </c>
      <c r="AC456" s="27" t="b">
        <f>IF(Checks!C456,IF(UPPER(Data!C456)="END",Data!E456&lt;&gt;"",TRUE),TRUE)</f>
        <v>1</v>
      </c>
    </row>
    <row r="457" spans="1:29" x14ac:dyDescent="0.25">
      <c r="A457" s="1" t="str">
        <f>Data!A457&amp;"||"&amp;Data!B457</f>
        <v>Miscellaneous/subflow/irmifrs9_postprocess_stage2.bpmn||010_00_02</v>
      </c>
      <c r="B457" s="19"/>
      <c r="C457" s="24" t="b">
        <f>AND(UPPER(Data!A457)&lt;&gt;"EMPTY",Data!B457&lt;&gt;"")</f>
        <v>1</v>
      </c>
      <c r="D457" s="1"/>
      <c r="E457" s="25" t="b">
        <f t="shared" ca="1" si="14"/>
        <v>1</v>
      </c>
      <c r="F457" s="26" t="b">
        <f ca="1">IF(UPPER(Data!C457)="SUB PROCESS",NOT(ISERROR(MATCH(RIGHT(Data!BY457,LEN(Data!BY457)-5),OFFSET(Data,0,0,ItemsCount,1),0))),TRUE)</f>
        <v>1</v>
      </c>
      <c r="G457" s="26" t="b">
        <f ca="1">IF(MID(UPPER(Data!A457),1,13)="MISCELLANEOUS",NOT(ISERROR(MATCH("path="&amp;Data!A457,OFFSET(Data,0,76,ItemsCount,1),0))),TRUE)</f>
        <v>1</v>
      </c>
      <c r="L457" s="25" t="b">
        <f t="shared" ca="1" si="15"/>
        <v>1</v>
      </c>
      <c r="M457" s="24" t="b">
        <f>IF(Checks!$C457,Data!A457&lt;&gt;"",TRUE)</f>
        <v>1</v>
      </c>
      <c r="N457" s="26" t="b">
        <f>IF(Checks!C457,Data!B457&lt;&gt;"",TRUE)</f>
        <v>1</v>
      </c>
      <c r="O457" s="26" t="b">
        <f>IF(Checks!C457,IF(AND(UPPER(Data!C457)="SERVICE TASK",UPPER(Data!BZ457)="TYPE=SAS"),NodeExists(TRIM(RIGHT(Data!CA457,LEN(Data!CA457)-FIND("=",Data!CA457)))),TRUE),TRUE)</f>
        <v>1</v>
      </c>
      <c r="P457" s="26" t="b">
        <f>IF(Checks!C457,IF(Data!C457="DATA OBJECT",OR(AND(Data!BW457&lt;&gt;"",Data!BX457=""),AND(Data!BW457="",Data!BX457&lt;&gt;"")),TRUE),TRUE)</f>
        <v>1</v>
      </c>
      <c r="Q457" s="26" t="b">
        <f>IF(Checks!C457,UPPER(RIGHT(Data!A457,5))=".BPMN",TRUE)</f>
        <v>1</v>
      </c>
      <c r="R457" s="26" t="b">
        <f>IF(Checks!C457,IF(UPPER(Data!C457)="SUB PROCESS",UPPER(RIGHT(Data!BY457,5))=".BPMN",TRUE),TRUE)</f>
        <v>1</v>
      </c>
      <c r="S457" s="26" t="b">
        <f>IF(Checks!C457,IF(UPPER(Data!C457)="SERVICE TASK",IF(UPPER(Data!BZ457)="TYPE=SAS",UPPER(RIGHT(Data!CA457,4))=".SAS",TRUE),TRUE),TRUE)</f>
        <v>1</v>
      </c>
      <c r="T457" s="26" t="b">
        <f>IF(Checks!C457,IF(Data!B457&lt;&gt;"",Data!D457&lt;&gt;"",TRUE),TRUE)</f>
        <v>1</v>
      </c>
      <c r="U457" s="26" t="b">
        <f ca="1">IF(Checks!C457,IF(UPPER(Data!C457)="DATA OBJECT",NOT(ISERROR(MATCH(Data!A457&amp;"||"&amp;Data!BW457&amp;Data!BX457,Key,0))),TRUE),TRUE)</f>
        <v>1</v>
      </c>
      <c r="V457" s="26" t="b">
        <f>IF(Checks!C457,IF(UPPER(Data!C457)="SUB PROCESS",Data!BY457&lt;&gt;"",TRUE),TRUE)</f>
        <v>1</v>
      </c>
      <c r="W457" s="26" t="b">
        <f>IF(Checks!C457,IF(UPPER(Data!C457)="SERVICE TASK",AND(Data!BZ457&lt;&gt;"",Data!CA457&lt;&gt;""),TRUE),TRUE)</f>
        <v>1</v>
      </c>
      <c r="X457" s="26" t="b">
        <f t="array" aca="1" ref="X457" ca="1">SUM((OFFSET(Data!B457,MAX(ROW(Data!$B$5)-ROW(Data!B457),-200),0,400,1)=Data!B457)*(OFFSET(Data!A457,MAX(ROW(Data!$B$5)-ROW(Data!B457),-200),0,400,1)=Data!A457))=1</f>
        <v>1</v>
      </c>
      <c r="Y457" s="26" t="b">
        <f t="array" aca="1" ref="Y457" ca="1">IF(UPPER(Data!C457)="START",SUM((OFFSET(Data!C457,MAX(ROW(Data!$C$5)-ROW(Data!C457),-200),0,400,1)="START")*(OFFSET(Data!A457,MAX(ROW(Data!$B$5)-ROW(Data!B457),-200),0,400,1)=Data!A457))=1,TRUE)</f>
        <v>1</v>
      </c>
      <c r="Z457" s="26" t="b">
        <f t="array" aca="1" ref="Z457" ca="1">IF(UPPER(Data!C457)="END",SUM((OFFSET(Data!C457,MAX(ROW(Data!$C$5)-ROW(Data!C457),-200),0,400,1)="END")*(OFFSET(Data!A457,MAX(ROW(Data!$B$5)-ROW(Data!B457),-200),0,400,1)=Data!A457))=1,TRUE)</f>
        <v>1</v>
      </c>
      <c r="AA457" s="26" t="b">
        <f>IF(Checks!C457,ISERROR(FIND("&amp;",Data!D457)),TRUE)</f>
        <v>1</v>
      </c>
      <c r="AB457" s="26" t="b">
        <f>IF(Checks!$C457,IF(AND(UPPER(Data!$C457)&lt;&gt;"START",UPPER(Data!$C457)&lt;&gt;"DATA OBJECT",Data!E457&lt;&gt;""),NOT(ISERROR(MATCH(Data!$A457&amp;"||"&amp;Data!E457,Key,0))),TRUE),TRUE)</f>
        <v>1</v>
      </c>
      <c r="AC457" s="27" t="b">
        <f>IF(Checks!C457,IF(UPPER(Data!C457)="END",Data!E457&lt;&gt;"",TRUE),TRUE)</f>
        <v>1</v>
      </c>
    </row>
    <row r="458" spans="1:29" x14ac:dyDescent="0.25">
      <c r="A458" s="1" t="str">
        <f>Data!A458&amp;"||"&amp;Data!B458</f>
        <v>Miscellaneous/subflow/irmifrs9_postprocess_stage2.bpmn||010_00_03</v>
      </c>
      <c r="B458" s="19"/>
      <c r="C458" s="24" t="b">
        <f>AND(UPPER(Data!A458)&lt;&gt;"EMPTY",Data!B458&lt;&gt;"")</f>
        <v>1</v>
      </c>
      <c r="D458" s="1"/>
      <c r="E458" s="25" t="b">
        <f t="shared" ca="1" si="14"/>
        <v>1</v>
      </c>
      <c r="F458" s="26" t="b">
        <f ca="1">IF(UPPER(Data!C458)="SUB PROCESS",NOT(ISERROR(MATCH(RIGHT(Data!BY458,LEN(Data!BY458)-5),OFFSET(Data,0,0,ItemsCount,1),0))),TRUE)</f>
        <v>1</v>
      </c>
      <c r="G458" s="26" t="b">
        <f ca="1">IF(MID(UPPER(Data!A458),1,13)="MISCELLANEOUS",NOT(ISERROR(MATCH("path="&amp;Data!A458,OFFSET(Data,0,76,ItemsCount,1),0))),TRUE)</f>
        <v>1</v>
      </c>
      <c r="L458" s="25" t="b">
        <f t="shared" ca="1" si="15"/>
        <v>1</v>
      </c>
      <c r="M458" s="24" t="b">
        <f>IF(Checks!$C458,Data!A458&lt;&gt;"",TRUE)</f>
        <v>1</v>
      </c>
      <c r="N458" s="26" t="b">
        <f>IF(Checks!C458,Data!B458&lt;&gt;"",TRUE)</f>
        <v>1</v>
      </c>
      <c r="O458" s="26" t="b">
        <f>IF(Checks!C458,IF(AND(UPPER(Data!C458)="SERVICE TASK",UPPER(Data!BZ458)="TYPE=SAS"),NodeExists(TRIM(RIGHT(Data!CA458,LEN(Data!CA458)-FIND("=",Data!CA458)))),TRUE),TRUE)</f>
        <v>1</v>
      </c>
      <c r="P458" s="26" t="b">
        <f>IF(Checks!C458,IF(Data!C458="DATA OBJECT",OR(AND(Data!BW458&lt;&gt;"",Data!BX458=""),AND(Data!BW458="",Data!BX458&lt;&gt;"")),TRUE),TRUE)</f>
        <v>1</v>
      </c>
      <c r="Q458" s="26" t="b">
        <f>IF(Checks!C458,UPPER(RIGHT(Data!A458,5))=".BPMN",TRUE)</f>
        <v>1</v>
      </c>
      <c r="R458" s="26" t="b">
        <f>IF(Checks!C458,IF(UPPER(Data!C458)="SUB PROCESS",UPPER(RIGHT(Data!BY458,5))=".BPMN",TRUE),TRUE)</f>
        <v>1</v>
      </c>
      <c r="S458" s="26" t="b">
        <f>IF(Checks!C458,IF(UPPER(Data!C458)="SERVICE TASK",IF(UPPER(Data!BZ458)="TYPE=SAS",UPPER(RIGHT(Data!CA458,4))=".SAS",TRUE),TRUE),TRUE)</f>
        <v>1</v>
      </c>
      <c r="T458" s="26" t="b">
        <f>IF(Checks!C458,IF(Data!B458&lt;&gt;"",Data!D458&lt;&gt;"",TRUE),TRUE)</f>
        <v>1</v>
      </c>
      <c r="U458" s="26" t="b">
        <f ca="1">IF(Checks!C458,IF(UPPER(Data!C458)="DATA OBJECT",NOT(ISERROR(MATCH(Data!A458&amp;"||"&amp;Data!BW458&amp;Data!BX458,Key,0))),TRUE),TRUE)</f>
        <v>1</v>
      </c>
      <c r="V458" s="26" t="b">
        <f>IF(Checks!C458,IF(UPPER(Data!C458)="SUB PROCESS",Data!BY458&lt;&gt;"",TRUE),TRUE)</f>
        <v>1</v>
      </c>
      <c r="W458" s="26" t="b">
        <f>IF(Checks!C458,IF(UPPER(Data!C458)="SERVICE TASK",AND(Data!BZ458&lt;&gt;"",Data!CA458&lt;&gt;""),TRUE),TRUE)</f>
        <v>1</v>
      </c>
      <c r="X458" s="26" t="b">
        <f t="array" aca="1" ref="X458" ca="1">SUM((OFFSET(Data!B458,MAX(ROW(Data!$B$5)-ROW(Data!B458),-200),0,400,1)=Data!B458)*(OFFSET(Data!A458,MAX(ROW(Data!$B$5)-ROW(Data!B458),-200),0,400,1)=Data!A458))=1</f>
        <v>1</v>
      </c>
      <c r="Y458" s="26" t="b">
        <f t="array" aca="1" ref="Y458" ca="1">IF(UPPER(Data!C458)="START",SUM((OFFSET(Data!C458,MAX(ROW(Data!$C$5)-ROW(Data!C458),-200),0,400,1)="START")*(OFFSET(Data!A458,MAX(ROW(Data!$B$5)-ROW(Data!B458),-200),0,400,1)=Data!A458))=1,TRUE)</f>
        <v>1</v>
      </c>
      <c r="Z458" s="26" t="b">
        <f t="array" aca="1" ref="Z458" ca="1">IF(UPPER(Data!C458)="END",SUM((OFFSET(Data!C458,MAX(ROW(Data!$C$5)-ROW(Data!C458),-200),0,400,1)="END")*(OFFSET(Data!A458,MAX(ROW(Data!$B$5)-ROW(Data!B458),-200),0,400,1)=Data!A458))=1,TRUE)</f>
        <v>1</v>
      </c>
      <c r="AA458" s="26" t="b">
        <f>IF(Checks!C458,ISERROR(FIND("&amp;",Data!D458)),TRUE)</f>
        <v>1</v>
      </c>
      <c r="AB458" s="26" t="b">
        <f>IF(Checks!$C458,IF(AND(UPPER(Data!$C458)&lt;&gt;"START",UPPER(Data!$C458)&lt;&gt;"DATA OBJECT",Data!E458&lt;&gt;""),NOT(ISERROR(MATCH(Data!$A458&amp;"||"&amp;Data!E458,Key,0))),TRUE),TRUE)</f>
        <v>1</v>
      </c>
      <c r="AC458" s="27" t="b">
        <f>IF(Checks!C458,IF(UPPER(Data!C458)="END",Data!E458&lt;&gt;"",TRUE),TRUE)</f>
        <v>1</v>
      </c>
    </row>
    <row r="459" spans="1:29" x14ac:dyDescent="0.25">
      <c r="A459" s="1" t="str">
        <f>Data!A459&amp;"||"&amp;Data!B459</f>
        <v>Miscellaneous/subflow/irmifrs9_postprocess_stage2.bpmn||010_01_00</v>
      </c>
      <c r="B459" s="19"/>
      <c r="C459" s="24" t="b">
        <f>AND(UPPER(Data!A459)&lt;&gt;"EMPTY",Data!B459&lt;&gt;"")</f>
        <v>1</v>
      </c>
      <c r="D459" s="1"/>
      <c r="E459" s="25" t="b">
        <f t="shared" ca="1" si="14"/>
        <v>1</v>
      </c>
      <c r="F459" s="26" t="b">
        <f ca="1">IF(UPPER(Data!C459)="SUB PROCESS",NOT(ISERROR(MATCH(RIGHT(Data!BY459,LEN(Data!BY459)-5),OFFSET(Data,0,0,ItemsCount,1),0))),TRUE)</f>
        <v>1</v>
      </c>
      <c r="G459" s="26" t="b">
        <f ca="1">IF(MID(UPPER(Data!A459),1,13)="MISCELLANEOUS",NOT(ISERROR(MATCH("path="&amp;Data!A459,OFFSET(Data,0,76,ItemsCount,1),0))),TRUE)</f>
        <v>1</v>
      </c>
      <c r="L459" s="25" t="b">
        <f t="shared" ca="1" si="15"/>
        <v>1</v>
      </c>
      <c r="M459" s="24" t="b">
        <f>IF(Checks!$C459,Data!A459&lt;&gt;"",TRUE)</f>
        <v>1</v>
      </c>
      <c r="N459" s="26" t="b">
        <f>IF(Checks!C459,Data!B459&lt;&gt;"",TRUE)</f>
        <v>1</v>
      </c>
      <c r="O459" s="26" t="b">
        <f>IF(Checks!C459,IF(AND(UPPER(Data!C459)="SERVICE TASK",UPPER(Data!BZ459)="TYPE=SAS"),NodeExists(TRIM(RIGHT(Data!CA459,LEN(Data!CA459)-FIND("=",Data!CA459)))),TRUE),TRUE)</f>
        <v>1</v>
      </c>
      <c r="P459" s="26" t="b">
        <f>IF(Checks!C459,IF(Data!C459="DATA OBJECT",OR(AND(Data!BW459&lt;&gt;"",Data!BX459=""),AND(Data!BW459="",Data!BX459&lt;&gt;"")),TRUE),TRUE)</f>
        <v>1</v>
      </c>
      <c r="Q459" s="26" t="b">
        <f>IF(Checks!C459,UPPER(RIGHT(Data!A459,5))=".BPMN",TRUE)</f>
        <v>1</v>
      </c>
      <c r="R459" s="26" t="b">
        <f>IF(Checks!C459,IF(UPPER(Data!C459)="SUB PROCESS",UPPER(RIGHT(Data!BY459,5))=".BPMN",TRUE),TRUE)</f>
        <v>1</v>
      </c>
      <c r="S459" s="26" t="b">
        <f>IF(Checks!C459,IF(UPPER(Data!C459)="SERVICE TASK",IF(UPPER(Data!BZ459)="TYPE=SAS",UPPER(RIGHT(Data!CA459,4))=".SAS",TRUE),TRUE),TRUE)</f>
        <v>1</v>
      </c>
      <c r="T459" s="26" t="b">
        <f>IF(Checks!C459,IF(Data!B459&lt;&gt;"",Data!D459&lt;&gt;"",TRUE),TRUE)</f>
        <v>1</v>
      </c>
      <c r="U459" s="26" t="b">
        <f ca="1">IF(Checks!C459,IF(UPPER(Data!C459)="DATA OBJECT",NOT(ISERROR(MATCH(Data!A459&amp;"||"&amp;Data!BW459&amp;Data!BX459,Key,0))),TRUE),TRUE)</f>
        <v>1</v>
      </c>
      <c r="V459" s="26" t="b">
        <f>IF(Checks!C459,IF(UPPER(Data!C459)="SUB PROCESS",Data!BY459&lt;&gt;"",TRUE),TRUE)</f>
        <v>1</v>
      </c>
      <c r="W459" s="26" t="b">
        <f>IF(Checks!C459,IF(UPPER(Data!C459)="SERVICE TASK",AND(Data!BZ459&lt;&gt;"",Data!CA459&lt;&gt;""),TRUE),TRUE)</f>
        <v>1</v>
      </c>
      <c r="X459" s="26" t="b">
        <f t="array" aca="1" ref="X459" ca="1">SUM((OFFSET(Data!B459,MAX(ROW(Data!$B$5)-ROW(Data!B459),-200),0,400,1)=Data!B459)*(OFFSET(Data!A459,MAX(ROW(Data!$B$5)-ROW(Data!B459),-200),0,400,1)=Data!A459))=1</f>
        <v>1</v>
      </c>
      <c r="Y459" s="26" t="b">
        <f t="array" aca="1" ref="Y459" ca="1">IF(UPPER(Data!C459)="START",SUM((OFFSET(Data!C459,MAX(ROW(Data!$C$5)-ROW(Data!C459),-200),0,400,1)="START")*(OFFSET(Data!A459,MAX(ROW(Data!$B$5)-ROW(Data!B459),-200),0,400,1)=Data!A459))=1,TRUE)</f>
        <v>1</v>
      </c>
      <c r="Z459" s="26" t="b">
        <f t="array" aca="1" ref="Z459" ca="1">IF(UPPER(Data!C459)="END",SUM((OFFSET(Data!C459,MAX(ROW(Data!$C$5)-ROW(Data!C459),-200),0,400,1)="END")*(OFFSET(Data!A459,MAX(ROW(Data!$B$5)-ROW(Data!B459),-200),0,400,1)=Data!A459))=1,TRUE)</f>
        <v>1</v>
      </c>
      <c r="AA459" s="26" t="b">
        <f>IF(Checks!C459,ISERROR(FIND("&amp;",Data!D459)),TRUE)</f>
        <v>1</v>
      </c>
      <c r="AB459" s="26" t="b">
        <f>IF(Checks!$C459,IF(AND(UPPER(Data!$C459)&lt;&gt;"START",UPPER(Data!$C459)&lt;&gt;"DATA OBJECT",Data!E459&lt;&gt;""),NOT(ISERROR(MATCH(Data!$A459&amp;"||"&amp;Data!E459,Key,0))),TRUE),TRUE)</f>
        <v>1</v>
      </c>
      <c r="AC459" s="27" t="b">
        <f>IF(Checks!C459,IF(UPPER(Data!C459)="END",Data!E459&lt;&gt;"",TRUE),TRUE)</f>
        <v>1</v>
      </c>
    </row>
    <row r="460" spans="1:29" x14ac:dyDescent="0.25">
      <c r="A460" s="1" t="str">
        <f>Data!A460&amp;"||"&amp;Data!B460</f>
        <v>Miscellaneous/subflow/irmifrs9_postprocess_stage2.bpmn||020_00_00</v>
      </c>
      <c r="B460" s="19"/>
      <c r="C460" s="24" t="b">
        <f>AND(UPPER(Data!A460)&lt;&gt;"EMPTY",Data!B460&lt;&gt;"")</f>
        <v>1</v>
      </c>
      <c r="D460" s="1"/>
      <c r="E460" s="25" t="b">
        <f t="shared" ca="1" si="14"/>
        <v>1</v>
      </c>
      <c r="F460" s="26" t="b">
        <f ca="1">IF(UPPER(Data!C460)="SUB PROCESS",NOT(ISERROR(MATCH(RIGHT(Data!BY460,LEN(Data!BY460)-5),OFFSET(Data,0,0,ItemsCount,1),0))),TRUE)</f>
        <v>1</v>
      </c>
      <c r="G460" s="26" t="b">
        <f ca="1">IF(MID(UPPER(Data!A460),1,13)="MISCELLANEOUS",NOT(ISERROR(MATCH("path="&amp;Data!A460,OFFSET(Data,0,76,ItemsCount,1),0))),TRUE)</f>
        <v>1</v>
      </c>
      <c r="L460" s="25" t="b">
        <f t="shared" ca="1" si="15"/>
        <v>1</v>
      </c>
      <c r="M460" s="24" t="b">
        <f>IF(Checks!$C460,Data!A460&lt;&gt;"",TRUE)</f>
        <v>1</v>
      </c>
      <c r="N460" s="26" t="b">
        <f>IF(Checks!C460,Data!B460&lt;&gt;"",TRUE)</f>
        <v>1</v>
      </c>
      <c r="O460" s="26" t="b">
        <f>IF(Checks!C460,IF(AND(UPPER(Data!C460)="SERVICE TASK",UPPER(Data!BZ460)="TYPE=SAS"),NodeExists(TRIM(RIGHT(Data!CA460,LEN(Data!CA460)-FIND("=",Data!CA460)))),TRUE),TRUE)</f>
        <v>1</v>
      </c>
      <c r="P460" s="26" t="b">
        <f>IF(Checks!C460,IF(Data!C460="DATA OBJECT",OR(AND(Data!BW460&lt;&gt;"",Data!BX460=""),AND(Data!BW460="",Data!BX460&lt;&gt;"")),TRUE),TRUE)</f>
        <v>1</v>
      </c>
      <c r="Q460" s="26" t="b">
        <f>IF(Checks!C460,UPPER(RIGHT(Data!A460,5))=".BPMN",TRUE)</f>
        <v>1</v>
      </c>
      <c r="R460" s="26" t="b">
        <f>IF(Checks!C460,IF(UPPER(Data!C460)="SUB PROCESS",UPPER(RIGHT(Data!BY460,5))=".BPMN",TRUE),TRUE)</f>
        <v>1</v>
      </c>
      <c r="S460" s="26" t="b">
        <f>IF(Checks!C460,IF(UPPER(Data!C460)="SERVICE TASK",IF(UPPER(Data!BZ460)="TYPE=SAS",UPPER(RIGHT(Data!CA460,4))=".SAS",TRUE),TRUE),TRUE)</f>
        <v>1</v>
      </c>
      <c r="T460" s="26" t="b">
        <f>IF(Checks!C460,IF(Data!B460&lt;&gt;"",Data!D460&lt;&gt;"",TRUE),TRUE)</f>
        <v>1</v>
      </c>
      <c r="U460" s="26" t="b">
        <f>IF(Checks!C460,IF(UPPER(Data!C460)="DATA OBJECT",NOT(ISERROR(MATCH(Data!A460&amp;"||"&amp;Data!BW460&amp;Data!BX460,Key,0))),TRUE),TRUE)</f>
        <v>1</v>
      </c>
      <c r="V460" s="26" t="b">
        <f>IF(Checks!C460,IF(UPPER(Data!C460)="SUB PROCESS",Data!BY460&lt;&gt;"",TRUE),TRUE)</f>
        <v>1</v>
      </c>
      <c r="W460" s="26" t="b">
        <f>IF(Checks!C460,IF(UPPER(Data!C460)="SERVICE TASK",AND(Data!BZ460&lt;&gt;"",Data!CA460&lt;&gt;""),TRUE),TRUE)</f>
        <v>1</v>
      </c>
      <c r="X460" s="26" t="b">
        <f t="array" aca="1" ref="X460" ca="1">SUM((OFFSET(Data!B460,MAX(ROW(Data!$B$5)-ROW(Data!B460),-200),0,400,1)=Data!B460)*(OFFSET(Data!A460,MAX(ROW(Data!$B$5)-ROW(Data!B460),-200),0,400,1)=Data!A460))=1</f>
        <v>1</v>
      </c>
      <c r="Y460" s="26" t="b">
        <f t="array" aca="1" ref="Y460" ca="1">IF(UPPER(Data!C460)="START",SUM((OFFSET(Data!C460,MAX(ROW(Data!$C$5)-ROW(Data!C460),-200),0,400,1)="START")*(OFFSET(Data!A460,MAX(ROW(Data!$B$5)-ROW(Data!B460),-200),0,400,1)=Data!A460))=1,TRUE)</f>
        <v>1</v>
      </c>
      <c r="Z460" s="26" t="b">
        <f t="array" aca="1" ref="Z460" ca="1">IF(UPPER(Data!C460)="END",SUM((OFFSET(Data!C460,MAX(ROW(Data!$C$5)-ROW(Data!C460),-200),0,400,1)="END")*(OFFSET(Data!A460,MAX(ROW(Data!$B$5)-ROW(Data!B460),-200),0,400,1)=Data!A460))=1,TRUE)</f>
        <v>1</v>
      </c>
      <c r="AA460" s="26" t="b">
        <f>IF(Checks!C460,ISERROR(FIND("&amp;",Data!D460)),TRUE)</f>
        <v>1</v>
      </c>
      <c r="AB460" s="26" t="b">
        <f ca="1">IF(Checks!$C460,IF(AND(UPPER(Data!$C460)&lt;&gt;"START",UPPER(Data!$C460)&lt;&gt;"DATA OBJECT",Data!E460&lt;&gt;""),NOT(ISERROR(MATCH(Data!$A460&amp;"||"&amp;Data!E460,Key,0))),TRUE),TRUE)</f>
        <v>1</v>
      </c>
      <c r="AC460" s="27" t="b">
        <f>IF(Checks!C460,IF(UPPER(Data!C460)="END",Data!E460&lt;&gt;"",TRUE),TRUE)</f>
        <v>1</v>
      </c>
    </row>
    <row r="461" spans="1:29" x14ac:dyDescent="0.25">
      <c r="A461" s="1" t="str">
        <f>Data!A461&amp;"||"&amp;Data!B461</f>
        <v>Miscellaneous/subflow/irmifrs9_postprocess_stage2.bpmn||020_00_01</v>
      </c>
      <c r="B461" s="19"/>
      <c r="C461" s="24" t="b">
        <f>AND(UPPER(Data!A461)&lt;&gt;"EMPTY",Data!B461&lt;&gt;"")</f>
        <v>1</v>
      </c>
      <c r="D461" s="1"/>
      <c r="E461" s="25" t="b">
        <f t="shared" ca="1" si="14"/>
        <v>1</v>
      </c>
      <c r="F461" s="26" t="b">
        <f ca="1">IF(UPPER(Data!C461)="SUB PROCESS",NOT(ISERROR(MATCH(RIGHT(Data!BY461,LEN(Data!BY461)-5),OFFSET(Data,0,0,ItemsCount,1),0))),TRUE)</f>
        <v>1</v>
      </c>
      <c r="G461" s="26" t="b">
        <f ca="1">IF(MID(UPPER(Data!A461),1,13)="MISCELLANEOUS",NOT(ISERROR(MATCH("path="&amp;Data!A461,OFFSET(Data,0,76,ItemsCount,1),0))),TRUE)</f>
        <v>1</v>
      </c>
      <c r="L461" s="25" t="b">
        <f t="shared" ca="1" si="15"/>
        <v>1</v>
      </c>
      <c r="M461" s="24" t="b">
        <f>IF(Checks!$C461,Data!A461&lt;&gt;"",TRUE)</f>
        <v>1</v>
      </c>
      <c r="N461" s="26" t="b">
        <f>IF(Checks!C461,Data!B461&lt;&gt;"",TRUE)</f>
        <v>1</v>
      </c>
      <c r="O461" s="26" t="b">
        <f>IF(Checks!C461,IF(AND(UPPER(Data!C461)="SERVICE TASK",UPPER(Data!BZ461)="TYPE=SAS"),NodeExists(TRIM(RIGHT(Data!CA461,LEN(Data!CA461)-FIND("=",Data!CA461)))),TRUE),TRUE)</f>
        <v>1</v>
      </c>
      <c r="P461" s="26" t="b">
        <f>IF(Checks!C461,IF(Data!C461="DATA OBJECT",OR(AND(Data!BW461&lt;&gt;"",Data!BX461=""),AND(Data!BW461="",Data!BX461&lt;&gt;"")),TRUE),TRUE)</f>
        <v>1</v>
      </c>
      <c r="Q461" s="26" t="b">
        <f>IF(Checks!C461,UPPER(RIGHT(Data!A461,5))=".BPMN",TRUE)</f>
        <v>1</v>
      </c>
      <c r="R461" s="26" t="b">
        <f>IF(Checks!C461,IF(UPPER(Data!C461)="SUB PROCESS",UPPER(RIGHT(Data!BY461,5))=".BPMN",TRUE),TRUE)</f>
        <v>1</v>
      </c>
      <c r="S461" s="26" t="b">
        <f>IF(Checks!C461,IF(UPPER(Data!C461)="SERVICE TASK",IF(UPPER(Data!BZ461)="TYPE=SAS",UPPER(RIGHT(Data!CA461,4))=".SAS",TRUE),TRUE),TRUE)</f>
        <v>1</v>
      </c>
      <c r="T461" s="26" t="b">
        <f>IF(Checks!C461,IF(Data!B461&lt;&gt;"",Data!D461&lt;&gt;"",TRUE),TRUE)</f>
        <v>1</v>
      </c>
      <c r="U461" s="26" t="b">
        <f ca="1">IF(Checks!C461,IF(UPPER(Data!C461)="DATA OBJECT",NOT(ISERROR(MATCH(Data!A461&amp;"||"&amp;Data!BW461&amp;Data!BX461,Key,0))),TRUE),TRUE)</f>
        <v>1</v>
      </c>
      <c r="V461" s="26" t="b">
        <f>IF(Checks!C461,IF(UPPER(Data!C461)="SUB PROCESS",Data!BY461&lt;&gt;"",TRUE),TRUE)</f>
        <v>1</v>
      </c>
      <c r="W461" s="26" t="b">
        <f>IF(Checks!C461,IF(UPPER(Data!C461)="SERVICE TASK",AND(Data!BZ461&lt;&gt;"",Data!CA461&lt;&gt;""),TRUE),TRUE)</f>
        <v>1</v>
      </c>
      <c r="X461" s="26" t="b">
        <f t="array" aca="1" ref="X461" ca="1">SUM((OFFSET(Data!B461,MAX(ROW(Data!$B$5)-ROW(Data!B461),-200),0,400,1)=Data!B461)*(OFFSET(Data!A461,MAX(ROW(Data!$B$5)-ROW(Data!B461),-200),0,400,1)=Data!A461))=1</f>
        <v>1</v>
      </c>
      <c r="Y461" s="26" t="b">
        <f t="array" aca="1" ref="Y461" ca="1">IF(UPPER(Data!C461)="START",SUM((OFFSET(Data!C461,MAX(ROW(Data!$C$5)-ROW(Data!C461),-200),0,400,1)="START")*(OFFSET(Data!A461,MAX(ROW(Data!$B$5)-ROW(Data!B461),-200),0,400,1)=Data!A461))=1,TRUE)</f>
        <v>1</v>
      </c>
      <c r="Z461" s="26" t="b">
        <f t="array" aca="1" ref="Z461" ca="1">IF(UPPER(Data!C461)="END",SUM((OFFSET(Data!C461,MAX(ROW(Data!$C$5)-ROW(Data!C461),-200),0,400,1)="END")*(OFFSET(Data!A461,MAX(ROW(Data!$B$5)-ROW(Data!B461),-200),0,400,1)=Data!A461))=1,TRUE)</f>
        <v>1</v>
      </c>
      <c r="AA461" s="26" t="b">
        <f>IF(Checks!C461,ISERROR(FIND("&amp;",Data!D461)),TRUE)</f>
        <v>1</v>
      </c>
      <c r="AB461" s="26" t="b">
        <f>IF(Checks!$C461,IF(AND(UPPER(Data!$C461)&lt;&gt;"START",UPPER(Data!$C461)&lt;&gt;"DATA OBJECT",Data!E461&lt;&gt;""),NOT(ISERROR(MATCH(Data!$A461&amp;"||"&amp;Data!E461,Key,0))),TRUE),TRUE)</f>
        <v>1</v>
      </c>
      <c r="AC461" s="27" t="b">
        <f>IF(Checks!C461,IF(UPPER(Data!C461)="END",Data!E461&lt;&gt;"",TRUE),TRUE)</f>
        <v>1</v>
      </c>
    </row>
    <row r="462" spans="1:29" x14ac:dyDescent="0.25">
      <c r="A462" s="1" t="str">
        <f>Data!A462&amp;"||"&amp;Data!B462</f>
        <v>Miscellaneous/subflow/irmifrs9_postprocess_stage2.bpmn||020_00_02</v>
      </c>
      <c r="B462" s="19"/>
      <c r="C462" s="24" t="b">
        <f>AND(UPPER(Data!A462)&lt;&gt;"EMPTY",Data!B462&lt;&gt;"")</f>
        <v>1</v>
      </c>
      <c r="D462" s="1"/>
      <c r="E462" s="25" t="b">
        <f t="shared" ca="1" si="14"/>
        <v>1</v>
      </c>
      <c r="F462" s="26" t="b">
        <f ca="1">IF(UPPER(Data!C462)="SUB PROCESS",NOT(ISERROR(MATCH(RIGHT(Data!BY462,LEN(Data!BY462)-5),OFFSET(Data,0,0,ItemsCount,1),0))),TRUE)</f>
        <v>1</v>
      </c>
      <c r="G462" s="26" t="b">
        <f ca="1">IF(MID(UPPER(Data!A462),1,13)="MISCELLANEOUS",NOT(ISERROR(MATCH("path="&amp;Data!A462,OFFSET(Data,0,76,ItemsCount,1),0))),TRUE)</f>
        <v>1</v>
      </c>
      <c r="L462" s="25" t="b">
        <f t="shared" ca="1" si="15"/>
        <v>1</v>
      </c>
      <c r="M462" s="24" t="b">
        <f>IF(Checks!$C462,Data!A462&lt;&gt;"",TRUE)</f>
        <v>1</v>
      </c>
      <c r="N462" s="26" t="b">
        <f>IF(Checks!C462,Data!B462&lt;&gt;"",TRUE)</f>
        <v>1</v>
      </c>
      <c r="O462" s="26" t="b">
        <f>IF(Checks!C462,IF(AND(UPPER(Data!C462)="SERVICE TASK",UPPER(Data!BZ462)="TYPE=SAS"),NodeExists(TRIM(RIGHT(Data!CA462,LEN(Data!CA462)-FIND("=",Data!CA462)))),TRUE),TRUE)</f>
        <v>1</v>
      </c>
      <c r="P462" s="26" t="b">
        <f>IF(Checks!C462,IF(Data!C462="DATA OBJECT",OR(AND(Data!BW462&lt;&gt;"",Data!BX462=""),AND(Data!BW462="",Data!BX462&lt;&gt;"")),TRUE),TRUE)</f>
        <v>1</v>
      </c>
      <c r="Q462" s="26" t="b">
        <f>IF(Checks!C462,UPPER(RIGHT(Data!A462,5))=".BPMN",TRUE)</f>
        <v>1</v>
      </c>
      <c r="R462" s="26" t="b">
        <f>IF(Checks!C462,IF(UPPER(Data!C462)="SUB PROCESS",UPPER(RIGHT(Data!BY462,5))=".BPMN",TRUE),TRUE)</f>
        <v>1</v>
      </c>
      <c r="S462" s="26" t="b">
        <f>IF(Checks!C462,IF(UPPER(Data!C462)="SERVICE TASK",IF(UPPER(Data!BZ462)="TYPE=SAS",UPPER(RIGHT(Data!CA462,4))=".SAS",TRUE),TRUE),TRUE)</f>
        <v>1</v>
      </c>
      <c r="T462" s="26" t="b">
        <f>IF(Checks!C462,IF(Data!B462&lt;&gt;"",Data!D462&lt;&gt;"",TRUE),TRUE)</f>
        <v>1</v>
      </c>
      <c r="U462" s="26" t="b">
        <f ca="1">IF(Checks!C462,IF(UPPER(Data!C462)="DATA OBJECT",NOT(ISERROR(MATCH(Data!A462&amp;"||"&amp;Data!BW462&amp;Data!BX462,Key,0))),TRUE),TRUE)</f>
        <v>1</v>
      </c>
      <c r="V462" s="26" t="b">
        <f>IF(Checks!C462,IF(UPPER(Data!C462)="SUB PROCESS",Data!BY462&lt;&gt;"",TRUE),TRUE)</f>
        <v>1</v>
      </c>
      <c r="W462" s="26" t="b">
        <f>IF(Checks!C462,IF(UPPER(Data!C462)="SERVICE TASK",AND(Data!BZ462&lt;&gt;"",Data!CA462&lt;&gt;""),TRUE),TRUE)</f>
        <v>1</v>
      </c>
      <c r="X462" s="26" t="b">
        <f t="array" aca="1" ref="X462" ca="1">SUM((OFFSET(Data!B462,MAX(ROW(Data!$B$5)-ROW(Data!B462),-200),0,400,1)=Data!B462)*(OFFSET(Data!A462,MAX(ROW(Data!$B$5)-ROW(Data!B462),-200),0,400,1)=Data!A462))=1</f>
        <v>1</v>
      </c>
      <c r="Y462" s="26" t="b">
        <f t="array" aca="1" ref="Y462" ca="1">IF(UPPER(Data!C462)="START",SUM((OFFSET(Data!C462,MAX(ROW(Data!$C$5)-ROW(Data!C462),-200),0,400,1)="START")*(OFFSET(Data!A462,MAX(ROW(Data!$B$5)-ROW(Data!B462),-200),0,400,1)=Data!A462))=1,TRUE)</f>
        <v>1</v>
      </c>
      <c r="Z462" s="26" t="b">
        <f t="array" aca="1" ref="Z462" ca="1">IF(UPPER(Data!C462)="END",SUM((OFFSET(Data!C462,MAX(ROW(Data!$C$5)-ROW(Data!C462),-200),0,400,1)="END")*(OFFSET(Data!A462,MAX(ROW(Data!$B$5)-ROW(Data!B462),-200),0,400,1)=Data!A462))=1,TRUE)</f>
        <v>1</v>
      </c>
      <c r="AA462" s="26" t="b">
        <f>IF(Checks!C462,ISERROR(FIND("&amp;",Data!D462)),TRUE)</f>
        <v>1</v>
      </c>
      <c r="AB462" s="26" t="b">
        <f>IF(Checks!$C462,IF(AND(UPPER(Data!$C462)&lt;&gt;"START",UPPER(Data!$C462)&lt;&gt;"DATA OBJECT",Data!E462&lt;&gt;""),NOT(ISERROR(MATCH(Data!$A462&amp;"||"&amp;Data!E462,Key,0))),TRUE),TRUE)</f>
        <v>1</v>
      </c>
      <c r="AC462" s="27" t="b">
        <f>IF(Checks!C462,IF(UPPER(Data!C462)="END",Data!E462&lt;&gt;"",TRUE),TRUE)</f>
        <v>1</v>
      </c>
    </row>
    <row r="463" spans="1:29" x14ac:dyDescent="0.25">
      <c r="A463" s="1" t="str">
        <f>Data!A463&amp;"||"&amp;Data!B463</f>
        <v>Miscellaneous/subflow/irmifrs9_postprocess_stage2.bpmn||020_00_03</v>
      </c>
      <c r="B463" s="19"/>
      <c r="C463" s="24" t="b">
        <f>AND(UPPER(Data!A463)&lt;&gt;"EMPTY",Data!B463&lt;&gt;"")</f>
        <v>1</v>
      </c>
      <c r="D463" s="1"/>
      <c r="E463" s="25" t="b">
        <f t="shared" ca="1" si="14"/>
        <v>1</v>
      </c>
      <c r="F463" s="26" t="b">
        <f ca="1">IF(UPPER(Data!C463)="SUB PROCESS",NOT(ISERROR(MATCH(RIGHT(Data!BY463,LEN(Data!BY463)-5),OFFSET(Data,0,0,ItemsCount,1),0))),TRUE)</f>
        <v>1</v>
      </c>
      <c r="G463" s="26" t="b">
        <f ca="1">IF(MID(UPPER(Data!A463),1,13)="MISCELLANEOUS",NOT(ISERROR(MATCH("path="&amp;Data!A463,OFFSET(Data,0,76,ItemsCount,1),0))),TRUE)</f>
        <v>1</v>
      </c>
      <c r="L463" s="25" t="b">
        <f t="shared" ca="1" si="15"/>
        <v>1</v>
      </c>
      <c r="M463" s="24" t="b">
        <f>IF(Checks!$C463,Data!A463&lt;&gt;"",TRUE)</f>
        <v>1</v>
      </c>
      <c r="N463" s="26" t="b">
        <f>IF(Checks!C463,Data!B463&lt;&gt;"",TRUE)</f>
        <v>1</v>
      </c>
      <c r="O463" s="26" t="b">
        <f>IF(Checks!C463,IF(AND(UPPER(Data!C463)="SERVICE TASK",UPPER(Data!BZ463)="TYPE=SAS"),NodeExists(TRIM(RIGHT(Data!CA463,LEN(Data!CA463)-FIND("=",Data!CA463)))),TRUE),TRUE)</f>
        <v>1</v>
      </c>
      <c r="P463" s="26" t="b">
        <f>IF(Checks!C463,IF(Data!C463="DATA OBJECT",OR(AND(Data!BW463&lt;&gt;"",Data!BX463=""),AND(Data!BW463="",Data!BX463&lt;&gt;"")),TRUE),TRUE)</f>
        <v>1</v>
      </c>
      <c r="Q463" s="26" t="b">
        <f>IF(Checks!C463,UPPER(RIGHT(Data!A463,5))=".BPMN",TRUE)</f>
        <v>1</v>
      </c>
      <c r="R463" s="26" t="b">
        <f>IF(Checks!C463,IF(UPPER(Data!C463)="SUB PROCESS",UPPER(RIGHT(Data!BY463,5))=".BPMN",TRUE),TRUE)</f>
        <v>1</v>
      </c>
      <c r="S463" s="26" t="b">
        <f>IF(Checks!C463,IF(UPPER(Data!C463)="SERVICE TASK",IF(UPPER(Data!BZ463)="TYPE=SAS",UPPER(RIGHT(Data!CA463,4))=".SAS",TRUE),TRUE),TRUE)</f>
        <v>1</v>
      </c>
      <c r="T463" s="26" t="b">
        <f>IF(Checks!C463,IF(Data!B463&lt;&gt;"",Data!D463&lt;&gt;"",TRUE),TRUE)</f>
        <v>1</v>
      </c>
      <c r="U463" s="26" t="b">
        <f ca="1">IF(Checks!C463,IF(UPPER(Data!C463)="DATA OBJECT",NOT(ISERROR(MATCH(Data!A463&amp;"||"&amp;Data!BW463&amp;Data!BX463,Key,0))),TRUE),TRUE)</f>
        <v>1</v>
      </c>
      <c r="V463" s="26" t="b">
        <f>IF(Checks!C463,IF(UPPER(Data!C463)="SUB PROCESS",Data!BY463&lt;&gt;"",TRUE),TRUE)</f>
        <v>1</v>
      </c>
      <c r="W463" s="26" t="b">
        <f>IF(Checks!C463,IF(UPPER(Data!C463)="SERVICE TASK",AND(Data!BZ463&lt;&gt;"",Data!CA463&lt;&gt;""),TRUE),TRUE)</f>
        <v>1</v>
      </c>
      <c r="X463" s="26" t="b">
        <f t="array" aca="1" ref="X463" ca="1">SUM((OFFSET(Data!B463,MAX(ROW(Data!$B$5)-ROW(Data!B463),-200),0,400,1)=Data!B463)*(OFFSET(Data!A463,MAX(ROW(Data!$B$5)-ROW(Data!B463),-200),0,400,1)=Data!A463))=1</f>
        <v>1</v>
      </c>
      <c r="Y463" s="26" t="b">
        <f t="array" aca="1" ref="Y463" ca="1">IF(UPPER(Data!C463)="START",SUM((OFFSET(Data!C463,MAX(ROW(Data!$C$5)-ROW(Data!C463),-200),0,400,1)="START")*(OFFSET(Data!A463,MAX(ROW(Data!$B$5)-ROW(Data!B463),-200),0,400,1)=Data!A463))=1,TRUE)</f>
        <v>1</v>
      </c>
      <c r="Z463" s="26" t="b">
        <f t="array" aca="1" ref="Z463" ca="1">IF(UPPER(Data!C463)="END",SUM((OFFSET(Data!C463,MAX(ROW(Data!$C$5)-ROW(Data!C463),-200),0,400,1)="END")*(OFFSET(Data!A463,MAX(ROW(Data!$B$5)-ROW(Data!B463),-200),0,400,1)=Data!A463))=1,TRUE)</f>
        <v>1</v>
      </c>
      <c r="AA463" s="26" t="b">
        <f>IF(Checks!C463,ISERROR(FIND("&amp;",Data!D463)),TRUE)</f>
        <v>1</v>
      </c>
      <c r="AB463" s="26" t="b">
        <f>IF(Checks!$C463,IF(AND(UPPER(Data!$C463)&lt;&gt;"START",UPPER(Data!$C463)&lt;&gt;"DATA OBJECT",Data!E463&lt;&gt;""),NOT(ISERROR(MATCH(Data!$A463&amp;"||"&amp;Data!E463,Key,0))),TRUE),TRUE)</f>
        <v>1</v>
      </c>
      <c r="AC463" s="27" t="b">
        <f>IF(Checks!C463,IF(UPPER(Data!C463)="END",Data!E463&lt;&gt;"",TRUE),TRUE)</f>
        <v>1</v>
      </c>
    </row>
    <row r="464" spans="1:29" x14ac:dyDescent="0.25">
      <c r="A464" s="1" t="str">
        <f>Data!A464&amp;"||"&amp;Data!B464</f>
        <v>Miscellaneous/subflow/irmifrs9_postprocess_stage2.bpmn||020_00_05</v>
      </c>
      <c r="B464" s="19"/>
      <c r="C464" s="24" t="b">
        <f>AND(UPPER(Data!A464)&lt;&gt;"EMPTY",Data!B464&lt;&gt;"")</f>
        <v>1</v>
      </c>
      <c r="D464" s="1"/>
      <c r="E464" s="25" t="b">
        <f t="shared" ca="1" si="14"/>
        <v>1</v>
      </c>
      <c r="F464" s="26" t="b">
        <f ca="1">IF(UPPER(Data!C464)="SUB PROCESS",NOT(ISERROR(MATCH(RIGHT(Data!BY464,LEN(Data!BY464)-5),OFFSET(Data,0,0,ItemsCount,1),0))),TRUE)</f>
        <v>1</v>
      </c>
      <c r="G464" s="26" t="b">
        <f ca="1">IF(MID(UPPER(Data!A464),1,13)="MISCELLANEOUS",NOT(ISERROR(MATCH("path="&amp;Data!A464,OFFSET(Data,0,76,ItemsCount,1),0))),TRUE)</f>
        <v>1</v>
      </c>
      <c r="L464" s="25" t="b">
        <f t="shared" ca="1" si="15"/>
        <v>1</v>
      </c>
      <c r="M464" s="24" t="b">
        <f>IF(Checks!$C464,Data!A464&lt;&gt;"",TRUE)</f>
        <v>1</v>
      </c>
      <c r="N464" s="26" t="b">
        <f>IF(Checks!C464,Data!B464&lt;&gt;"",TRUE)</f>
        <v>1</v>
      </c>
      <c r="O464" s="26" t="b">
        <f>IF(Checks!C464,IF(AND(UPPER(Data!C464)="SERVICE TASK",UPPER(Data!BZ464)="TYPE=SAS"),NodeExists(TRIM(RIGHT(Data!CA464,LEN(Data!CA464)-FIND("=",Data!CA464)))),TRUE),TRUE)</f>
        <v>1</v>
      </c>
      <c r="P464" s="26" t="b">
        <f>IF(Checks!C464,IF(Data!C464="DATA OBJECT",OR(AND(Data!BW464&lt;&gt;"",Data!BX464=""),AND(Data!BW464="",Data!BX464&lt;&gt;"")),TRUE),TRUE)</f>
        <v>1</v>
      </c>
      <c r="Q464" s="26" t="b">
        <f>IF(Checks!C464,UPPER(RIGHT(Data!A464,5))=".BPMN",TRUE)</f>
        <v>1</v>
      </c>
      <c r="R464" s="26" t="b">
        <f>IF(Checks!C464,IF(UPPER(Data!C464)="SUB PROCESS",UPPER(RIGHT(Data!BY464,5))=".BPMN",TRUE),TRUE)</f>
        <v>1</v>
      </c>
      <c r="S464" s="26" t="b">
        <f>IF(Checks!C464,IF(UPPER(Data!C464)="SERVICE TASK",IF(UPPER(Data!BZ464)="TYPE=SAS",UPPER(RIGHT(Data!CA464,4))=".SAS",TRUE),TRUE),TRUE)</f>
        <v>1</v>
      </c>
      <c r="T464" s="26" t="b">
        <f>IF(Checks!C464,IF(Data!B464&lt;&gt;"",Data!D464&lt;&gt;"",TRUE),TRUE)</f>
        <v>1</v>
      </c>
      <c r="U464" s="26" t="b">
        <f ca="1">IF(Checks!C464,IF(UPPER(Data!C464)="DATA OBJECT",NOT(ISERROR(MATCH(Data!A464&amp;"||"&amp;Data!BW464&amp;Data!BX464,Key,0))),TRUE),TRUE)</f>
        <v>1</v>
      </c>
      <c r="V464" s="26" t="b">
        <f>IF(Checks!C464,IF(UPPER(Data!C464)="SUB PROCESS",Data!BY464&lt;&gt;"",TRUE),TRUE)</f>
        <v>1</v>
      </c>
      <c r="W464" s="26" t="b">
        <f>IF(Checks!C464,IF(UPPER(Data!C464)="SERVICE TASK",AND(Data!BZ464&lt;&gt;"",Data!CA464&lt;&gt;""),TRUE),TRUE)</f>
        <v>1</v>
      </c>
      <c r="X464" s="26" t="b">
        <f t="array" aca="1" ref="X464" ca="1">SUM((OFFSET(Data!B464,MAX(ROW(Data!$B$5)-ROW(Data!B464),-200),0,400,1)=Data!B464)*(OFFSET(Data!A464,MAX(ROW(Data!$B$5)-ROW(Data!B464),-200),0,400,1)=Data!A464))=1</f>
        <v>1</v>
      </c>
      <c r="Y464" s="26" t="b">
        <f t="array" aca="1" ref="Y464" ca="1">IF(UPPER(Data!C464)="START",SUM((OFFSET(Data!C464,MAX(ROW(Data!$C$5)-ROW(Data!C464),-200),0,400,1)="START")*(OFFSET(Data!A464,MAX(ROW(Data!$B$5)-ROW(Data!B464),-200),0,400,1)=Data!A464))=1,TRUE)</f>
        <v>1</v>
      </c>
      <c r="Z464" s="26" t="b">
        <f t="array" aca="1" ref="Z464" ca="1">IF(UPPER(Data!C464)="END",SUM((OFFSET(Data!C464,MAX(ROW(Data!$C$5)-ROW(Data!C464),-200),0,400,1)="END")*(OFFSET(Data!A464,MAX(ROW(Data!$B$5)-ROW(Data!B464),-200),0,400,1)=Data!A464))=1,TRUE)</f>
        <v>1</v>
      </c>
      <c r="AA464" s="26" t="b">
        <f>IF(Checks!C464,ISERROR(FIND("&amp;",Data!D464)),TRUE)</f>
        <v>1</v>
      </c>
      <c r="AB464" s="26" t="b">
        <f>IF(Checks!$C464,IF(AND(UPPER(Data!$C464)&lt;&gt;"START",UPPER(Data!$C464)&lt;&gt;"DATA OBJECT",Data!E464&lt;&gt;""),NOT(ISERROR(MATCH(Data!$A464&amp;"||"&amp;Data!E464,Key,0))),TRUE),TRUE)</f>
        <v>1</v>
      </c>
      <c r="AC464" s="27" t="b">
        <f>IF(Checks!C464,IF(UPPER(Data!C464)="END",Data!E464&lt;&gt;"",TRUE),TRUE)</f>
        <v>1</v>
      </c>
    </row>
    <row r="465" spans="1:29" x14ac:dyDescent="0.25">
      <c r="A465" s="1" t="str">
        <f>Data!A465&amp;"||"&amp;Data!B465</f>
        <v>Miscellaneous/subflow/irmifrs9_postprocess_stage2.bpmn||020_00_06</v>
      </c>
      <c r="B465" s="19"/>
      <c r="C465" s="24" t="b">
        <f>AND(UPPER(Data!A465)&lt;&gt;"EMPTY",Data!B465&lt;&gt;"")</f>
        <v>1</v>
      </c>
      <c r="D465" s="1"/>
      <c r="E465" s="25" t="b">
        <f t="shared" ca="1" si="14"/>
        <v>1</v>
      </c>
      <c r="F465" s="26" t="b">
        <f ca="1">IF(UPPER(Data!C465)="SUB PROCESS",NOT(ISERROR(MATCH(RIGHT(Data!BY465,LEN(Data!BY465)-5),OFFSET(Data,0,0,ItemsCount,1),0))),TRUE)</f>
        <v>1</v>
      </c>
      <c r="G465" s="26" t="b">
        <f ca="1">IF(MID(UPPER(Data!A465),1,13)="MISCELLANEOUS",NOT(ISERROR(MATCH("path="&amp;Data!A465,OFFSET(Data,0,76,ItemsCount,1),0))),TRUE)</f>
        <v>1</v>
      </c>
      <c r="L465" s="25" t="b">
        <f t="shared" ca="1" si="15"/>
        <v>1</v>
      </c>
      <c r="M465" s="24" t="b">
        <f>IF(Checks!$C465,Data!A465&lt;&gt;"",TRUE)</f>
        <v>1</v>
      </c>
      <c r="N465" s="26" t="b">
        <f>IF(Checks!C465,Data!B465&lt;&gt;"",TRUE)</f>
        <v>1</v>
      </c>
      <c r="O465" s="26" t="b">
        <f>IF(Checks!C465,IF(AND(UPPER(Data!C465)="SERVICE TASK",UPPER(Data!BZ465)="TYPE=SAS"),NodeExists(TRIM(RIGHT(Data!CA465,LEN(Data!CA465)-FIND("=",Data!CA465)))),TRUE),TRUE)</f>
        <v>1</v>
      </c>
      <c r="P465" s="26" t="b">
        <f>IF(Checks!C465,IF(Data!C465="DATA OBJECT",OR(AND(Data!BW465&lt;&gt;"",Data!BX465=""),AND(Data!BW465="",Data!BX465&lt;&gt;"")),TRUE),TRUE)</f>
        <v>1</v>
      </c>
      <c r="Q465" s="26" t="b">
        <f>IF(Checks!C465,UPPER(RIGHT(Data!A465,5))=".BPMN",TRUE)</f>
        <v>1</v>
      </c>
      <c r="R465" s="26" t="b">
        <f>IF(Checks!C465,IF(UPPER(Data!C465)="SUB PROCESS",UPPER(RIGHT(Data!BY465,5))=".BPMN",TRUE),TRUE)</f>
        <v>1</v>
      </c>
      <c r="S465" s="26" t="b">
        <f>IF(Checks!C465,IF(UPPER(Data!C465)="SERVICE TASK",IF(UPPER(Data!BZ465)="TYPE=SAS",UPPER(RIGHT(Data!CA465,4))=".SAS",TRUE),TRUE),TRUE)</f>
        <v>1</v>
      </c>
      <c r="T465" s="26" t="b">
        <f>IF(Checks!C465,IF(Data!B465&lt;&gt;"",Data!D465&lt;&gt;"",TRUE),TRUE)</f>
        <v>1</v>
      </c>
      <c r="U465" s="26" t="b">
        <f ca="1">IF(Checks!C465,IF(UPPER(Data!C465)="DATA OBJECT",NOT(ISERROR(MATCH(Data!A465&amp;"||"&amp;Data!BW465&amp;Data!BX465,Key,0))),TRUE),TRUE)</f>
        <v>1</v>
      </c>
      <c r="V465" s="26" t="b">
        <f>IF(Checks!C465,IF(UPPER(Data!C465)="SUB PROCESS",Data!BY465&lt;&gt;"",TRUE),TRUE)</f>
        <v>1</v>
      </c>
      <c r="W465" s="26" t="b">
        <f>IF(Checks!C465,IF(UPPER(Data!C465)="SERVICE TASK",AND(Data!BZ465&lt;&gt;"",Data!CA465&lt;&gt;""),TRUE),TRUE)</f>
        <v>1</v>
      </c>
      <c r="X465" s="26" t="b">
        <f t="array" aca="1" ref="X465" ca="1">SUM((OFFSET(Data!B465,MAX(ROW(Data!$B$5)-ROW(Data!B465),-200),0,400,1)=Data!B465)*(OFFSET(Data!A465,MAX(ROW(Data!$B$5)-ROW(Data!B465),-200),0,400,1)=Data!A465))=1</f>
        <v>1</v>
      </c>
      <c r="Y465" s="26" t="b">
        <f t="array" aca="1" ref="Y465" ca="1">IF(UPPER(Data!C465)="START",SUM((OFFSET(Data!C465,MAX(ROW(Data!$C$5)-ROW(Data!C465),-200),0,400,1)="START")*(OFFSET(Data!A465,MAX(ROW(Data!$B$5)-ROW(Data!B465),-200),0,400,1)=Data!A465))=1,TRUE)</f>
        <v>1</v>
      </c>
      <c r="Z465" s="26" t="b">
        <f t="array" aca="1" ref="Z465" ca="1">IF(UPPER(Data!C465)="END",SUM((OFFSET(Data!C465,MAX(ROW(Data!$C$5)-ROW(Data!C465),-200),0,400,1)="END")*(OFFSET(Data!A465,MAX(ROW(Data!$B$5)-ROW(Data!B465),-200),0,400,1)=Data!A465))=1,TRUE)</f>
        <v>1</v>
      </c>
      <c r="AA465" s="26" t="b">
        <f>IF(Checks!C465,ISERROR(FIND("&amp;",Data!D465)),TRUE)</f>
        <v>1</v>
      </c>
      <c r="AB465" s="26" t="b">
        <f>IF(Checks!$C465,IF(AND(UPPER(Data!$C465)&lt;&gt;"START",UPPER(Data!$C465)&lt;&gt;"DATA OBJECT",Data!E465&lt;&gt;""),NOT(ISERROR(MATCH(Data!$A465&amp;"||"&amp;Data!E465,Key,0))),TRUE),TRUE)</f>
        <v>1</v>
      </c>
      <c r="AC465" s="27" t="b">
        <f>IF(Checks!C465,IF(UPPER(Data!C465)="END",Data!E465&lt;&gt;"",TRUE),TRUE)</f>
        <v>1</v>
      </c>
    </row>
    <row r="466" spans="1:29" x14ac:dyDescent="0.25">
      <c r="A466" s="1" t="str">
        <f>Data!A466&amp;"||"&amp;Data!B466</f>
        <v>Miscellaneous/subflow/irmifrs9_postprocess_stage2.bpmn||020_00_07</v>
      </c>
      <c r="B466" s="19"/>
      <c r="C466" s="24" t="b">
        <f>AND(UPPER(Data!A466)&lt;&gt;"EMPTY",Data!B466&lt;&gt;"")</f>
        <v>1</v>
      </c>
      <c r="D466" s="1"/>
      <c r="E466" s="25" t="b">
        <f t="shared" ca="1" si="14"/>
        <v>1</v>
      </c>
      <c r="F466" s="26" t="b">
        <f ca="1">IF(UPPER(Data!C466)="SUB PROCESS",NOT(ISERROR(MATCH(RIGHT(Data!BY466,LEN(Data!BY466)-5),OFFSET(Data,0,0,ItemsCount,1),0))),TRUE)</f>
        <v>1</v>
      </c>
      <c r="G466" s="26" t="b">
        <f ca="1">IF(MID(UPPER(Data!A466),1,13)="MISCELLANEOUS",NOT(ISERROR(MATCH("path="&amp;Data!A466,OFFSET(Data,0,76,ItemsCount,1),0))),TRUE)</f>
        <v>1</v>
      </c>
      <c r="L466" s="25" t="b">
        <f t="shared" ca="1" si="15"/>
        <v>1</v>
      </c>
      <c r="M466" s="24" t="b">
        <f>IF(Checks!$C466,Data!A466&lt;&gt;"",TRUE)</f>
        <v>1</v>
      </c>
      <c r="N466" s="26" t="b">
        <f>IF(Checks!C466,Data!B466&lt;&gt;"",TRUE)</f>
        <v>1</v>
      </c>
      <c r="O466" s="26" t="b">
        <f>IF(Checks!C466,IF(AND(UPPER(Data!C466)="SERVICE TASK",UPPER(Data!BZ466)="TYPE=SAS"),NodeExists(TRIM(RIGHT(Data!CA466,LEN(Data!CA466)-FIND("=",Data!CA466)))),TRUE),TRUE)</f>
        <v>1</v>
      </c>
      <c r="P466" s="26" t="b">
        <f>IF(Checks!C466,IF(Data!C466="DATA OBJECT",OR(AND(Data!BW466&lt;&gt;"",Data!BX466=""),AND(Data!BW466="",Data!BX466&lt;&gt;"")),TRUE),TRUE)</f>
        <v>1</v>
      </c>
      <c r="Q466" s="26" t="b">
        <f>IF(Checks!C466,UPPER(RIGHT(Data!A466,5))=".BPMN",TRUE)</f>
        <v>1</v>
      </c>
      <c r="R466" s="26" t="b">
        <f>IF(Checks!C466,IF(UPPER(Data!C466)="SUB PROCESS",UPPER(RIGHT(Data!BY466,5))=".BPMN",TRUE),TRUE)</f>
        <v>1</v>
      </c>
      <c r="S466" s="26" t="b">
        <f>IF(Checks!C466,IF(UPPER(Data!C466)="SERVICE TASK",IF(UPPER(Data!BZ466)="TYPE=SAS",UPPER(RIGHT(Data!CA466,4))=".SAS",TRUE),TRUE),TRUE)</f>
        <v>1</v>
      </c>
      <c r="T466" s="26" t="b">
        <f>IF(Checks!C466,IF(Data!B466&lt;&gt;"",Data!D466&lt;&gt;"",TRUE),TRUE)</f>
        <v>1</v>
      </c>
      <c r="U466" s="26" t="b">
        <f ca="1">IF(Checks!C466,IF(UPPER(Data!C466)="DATA OBJECT",NOT(ISERROR(MATCH(Data!A466&amp;"||"&amp;Data!BW466&amp;Data!BX466,Key,0))),TRUE),TRUE)</f>
        <v>1</v>
      </c>
      <c r="V466" s="26" t="b">
        <f>IF(Checks!C466,IF(UPPER(Data!C466)="SUB PROCESS",Data!BY466&lt;&gt;"",TRUE),TRUE)</f>
        <v>1</v>
      </c>
      <c r="W466" s="26" t="b">
        <f>IF(Checks!C466,IF(UPPER(Data!C466)="SERVICE TASK",AND(Data!BZ466&lt;&gt;"",Data!CA466&lt;&gt;""),TRUE),TRUE)</f>
        <v>1</v>
      </c>
      <c r="X466" s="26" t="b">
        <f t="array" aca="1" ref="X466" ca="1">SUM((OFFSET(Data!B466,MAX(ROW(Data!$B$5)-ROW(Data!B466),-200),0,400,1)=Data!B466)*(OFFSET(Data!A466,MAX(ROW(Data!$B$5)-ROW(Data!B466),-200),0,400,1)=Data!A466))=1</f>
        <v>1</v>
      </c>
      <c r="Y466" s="26" t="b">
        <f t="array" aca="1" ref="Y466" ca="1">IF(UPPER(Data!C466)="START",SUM((OFFSET(Data!C466,MAX(ROW(Data!$C$5)-ROW(Data!C466),-200),0,400,1)="START")*(OFFSET(Data!A466,MAX(ROW(Data!$B$5)-ROW(Data!B466),-200),0,400,1)=Data!A466))=1,TRUE)</f>
        <v>1</v>
      </c>
      <c r="Z466" s="26" t="b">
        <f t="array" aca="1" ref="Z466" ca="1">IF(UPPER(Data!C466)="END",SUM((OFFSET(Data!C466,MAX(ROW(Data!$C$5)-ROW(Data!C466),-200),0,400,1)="END")*(OFFSET(Data!A466,MAX(ROW(Data!$B$5)-ROW(Data!B466),-200),0,400,1)=Data!A466))=1,TRUE)</f>
        <v>1</v>
      </c>
      <c r="AA466" s="26" t="b">
        <f>IF(Checks!C466,ISERROR(FIND("&amp;",Data!D466)),TRUE)</f>
        <v>1</v>
      </c>
      <c r="AB466" s="26" t="b">
        <f>IF(Checks!$C466,IF(AND(UPPER(Data!$C466)&lt;&gt;"START",UPPER(Data!$C466)&lt;&gt;"DATA OBJECT",Data!E466&lt;&gt;""),NOT(ISERROR(MATCH(Data!$A466&amp;"||"&amp;Data!E466,Key,0))),TRUE),TRUE)</f>
        <v>1</v>
      </c>
      <c r="AC466" s="27" t="b">
        <f>IF(Checks!C466,IF(UPPER(Data!C466)="END",Data!E466&lt;&gt;"",TRUE),TRUE)</f>
        <v>1</v>
      </c>
    </row>
    <row r="467" spans="1:29" x14ac:dyDescent="0.25">
      <c r="A467" s="1" t="str">
        <f>Data!A467&amp;"||"&amp;Data!B467</f>
        <v>Miscellaneous/subflow/irmifrs9_postprocess_stage2.bpmn||020_00_08</v>
      </c>
      <c r="B467" s="19"/>
      <c r="C467" s="24" t="b">
        <f>AND(UPPER(Data!A467)&lt;&gt;"EMPTY",Data!B467&lt;&gt;"")</f>
        <v>1</v>
      </c>
      <c r="D467" s="1"/>
      <c r="E467" s="25" t="b">
        <f t="shared" ca="1" si="14"/>
        <v>1</v>
      </c>
      <c r="F467" s="26" t="b">
        <f ca="1">IF(UPPER(Data!C467)="SUB PROCESS",NOT(ISERROR(MATCH(RIGHT(Data!BY467,LEN(Data!BY467)-5),OFFSET(Data,0,0,ItemsCount,1),0))),TRUE)</f>
        <v>1</v>
      </c>
      <c r="G467" s="26" t="b">
        <f ca="1">IF(MID(UPPER(Data!A467),1,13)="MISCELLANEOUS",NOT(ISERROR(MATCH("path="&amp;Data!A467,OFFSET(Data,0,76,ItemsCount,1),0))),TRUE)</f>
        <v>1</v>
      </c>
      <c r="L467" s="25" t="b">
        <f t="shared" ca="1" si="15"/>
        <v>1</v>
      </c>
      <c r="M467" s="24" t="b">
        <f>IF(Checks!$C467,Data!A467&lt;&gt;"",TRUE)</f>
        <v>1</v>
      </c>
      <c r="N467" s="26" t="b">
        <f>IF(Checks!C467,Data!B467&lt;&gt;"",TRUE)</f>
        <v>1</v>
      </c>
      <c r="O467" s="26" t="b">
        <f>IF(Checks!C467,IF(AND(UPPER(Data!C467)="SERVICE TASK",UPPER(Data!BZ467)="TYPE=SAS"),NodeExists(TRIM(RIGHT(Data!CA467,LEN(Data!CA467)-FIND("=",Data!CA467)))),TRUE),TRUE)</f>
        <v>1</v>
      </c>
      <c r="P467" s="26" t="b">
        <f>IF(Checks!C467,IF(Data!C467="DATA OBJECT",OR(AND(Data!BW467&lt;&gt;"",Data!BX467=""),AND(Data!BW467="",Data!BX467&lt;&gt;"")),TRUE),TRUE)</f>
        <v>1</v>
      </c>
      <c r="Q467" s="26" t="b">
        <f>IF(Checks!C467,UPPER(RIGHT(Data!A467,5))=".BPMN",TRUE)</f>
        <v>1</v>
      </c>
      <c r="R467" s="26" t="b">
        <f>IF(Checks!C467,IF(UPPER(Data!C467)="SUB PROCESS",UPPER(RIGHT(Data!BY467,5))=".BPMN",TRUE),TRUE)</f>
        <v>1</v>
      </c>
      <c r="S467" s="26" t="b">
        <f>IF(Checks!C467,IF(UPPER(Data!C467)="SERVICE TASK",IF(UPPER(Data!BZ467)="TYPE=SAS",UPPER(RIGHT(Data!CA467,4))=".SAS",TRUE),TRUE),TRUE)</f>
        <v>1</v>
      </c>
      <c r="T467" s="26" t="b">
        <f>IF(Checks!C467,IF(Data!B467&lt;&gt;"",Data!D467&lt;&gt;"",TRUE),TRUE)</f>
        <v>1</v>
      </c>
      <c r="U467" s="26" t="b">
        <f ca="1">IF(Checks!C467,IF(UPPER(Data!C467)="DATA OBJECT",NOT(ISERROR(MATCH(Data!A467&amp;"||"&amp;Data!BW467&amp;Data!BX467,Key,0))),TRUE),TRUE)</f>
        <v>1</v>
      </c>
      <c r="V467" s="26" t="b">
        <f>IF(Checks!C467,IF(UPPER(Data!C467)="SUB PROCESS",Data!BY467&lt;&gt;"",TRUE),TRUE)</f>
        <v>1</v>
      </c>
      <c r="W467" s="26" t="b">
        <f>IF(Checks!C467,IF(UPPER(Data!C467)="SERVICE TASK",AND(Data!BZ467&lt;&gt;"",Data!CA467&lt;&gt;""),TRUE),TRUE)</f>
        <v>1</v>
      </c>
      <c r="X467" s="26" t="b">
        <f t="array" aca="1" ref="X467" ca="1">SUM((OFFSET(Data!B467,MAX(ROW(Data!$B$5)-ROW(Data!B467),-200),0,400,1)=Data!B467)*(OFFSET(Data!A467,MAX(ROW(Data!$B$5)-ROW(Data!B467),-200),0,400,1)=Data!A467))=1</f>
        <v>1</v>
      </c>
      <c r="Y467" s="26" t="b">
        <f t="array" aca="1" ref="Y467" ca="1">IF(UPPER(Data!C467)="START",SUM((OFFSET(Data!C467,MAX(ROW(Data!$C$5)-ROW(Data!C467),-200),0,400,1)="START")*(OFFSET(Data!A467,MAX(ROW(Data!$B$5)-ROW(Data!B467),-200),0,400,1)=Data!A467))=1,TRUE)</f>
        <v>1</v>
      </c>
      <c r="Z467" s="26" t="b">
        <f t="array" aca="1" ref="Z467" ca="1">IF(UPPER(Data!C467)="END",SUM((OFFSET(Data!C467,MAX(ROW(Data!$C$5)-ROW(Data!C467),-200),0,400,1)="END")*(OFFSET(Data!A467,MAX(ROW(Data!$B$5)-ROW(Data!B467),-200),0,400,1)=Data!A467))=1,TRUE)</f>
        <v>1</v>
      </c>
      <c r="AA467" s="26" t="b">
        <f>IF(Checks!C467,ISERROR(FIND("&amp;",Data!D467)),TRUE)</f>
        <v>1</v>
      </c>
      <c r="AB467" s="26" t="b">
        <f>IF(Checks!$C467,IF(AND(UPPER(Data!$C467)&lt;&gt;"START",UPPER(Data!$C467)&lt;&gt;"DATA OBJECT",Data!E467&lt;&gt;""),NOT(ISERROR(MATCH(Data!$A467&amp;"||"&amp;Data!E467,Key,0))),TRUE),TRUE)</f>
        <v>1</v>
      </c>
      <c r="AC467" s="27" t="b">
        <f>IF(Checks!C467,IF(UPPER(Data!C467)="END",Data!E467&lt;&gt;"",TRUE),TRUE)</f>
        <v>1</v>
      </c>
    </row>
    <row r="468" spans="1:29" x14ac:dyDescent="0.25">
      <c r="A468" s="1" t="str">
        <f>Data!A468&amp;"||"&amp;Data!B468</f>
        <v>Miscellaneous/subflow/irmifrs9_postprocess_stage2.bpmn||020_00_09</v>
      </c>
      <c r="B468" s="19"/>
      <c r="C468" s="24" t="b">
        <f>AND(UPPER(Data!A468)&lt;&gt;"EMPTY",Data!B468&lt;&gt;"")</f>
        <v>1</v>
      </c>
      <c r="D468" s="1"/>
      <c r="E468" s="25" t="b">
        <f t="shared" ca="1" si="14"/>
        <v>1</v>
      </c>
      <c r="F468" s="26" t="b">
        <f ca="1">IF(UPPER(Data!C468)="SUB PROCESS",NOT(ISERROR(MATCH(RIGHT(Data!BY468,LEN(Data!BY468)-5),OFFSET(Data,0,0,ItemsCount,1),0))),TRUE)</f>
        <v>1</v>
      </c>
      <c r="G468" s="26" t="b">
        <f ca="1">IF(MID(UPPER(Data!A468),1,13)="MISCELLANEOUS",NOT(ISERROR(MATCH("path="&amp;Data!A468,OFFSET(Data,0,76,ItemsCount,1),0))),TRUE)</f>
        <v>1</v>
      </c>
      <c r="L468" s="25" t="b">
        <f t="shared" ca="1" si="15"/>
        <v>1</v>
      </c>
      <c r="M468" s="24" t="b">
        <f>IF(Checks!$C468,Data!A468&lt;&gt;"",TRUE)</f>
        <v>1</v>
      </c>
      <c r="N468" s="26" t="b">
        <f>IF(Checks!C468,Data!B468&lt;&gt;"",TRUE)</f>
        <v>1</v>
      </c>
      <c r="O468" s="26" t="b">
        <f>IF(Checks!C468,IF(AND(UPPER(Data!C468)="SERVICE TASK",UPPER(Data!BZ468)="TYPE=SAS"),NodeExists(TRIM(RIGHT(Data!CA468,LEN(Data!CA468)-FIND("=",Data!CA468)))),TRUE),TRUE)</f>
        <v>1</v>
      </c>
      <c r="P468" s="26" t="b">
        <f>IF(Checks!C468,IF(Data!C468="DATA OBJECT",OR(AND(Data!BW468&lt;&gt;"",Data!BX468=""),AND(Data!BW468="",Data!BX468&lt;&gt;"")),TRUE),TRUE)</f>
        <v>1</v>
      </c>
      <c r="Q468" s="26" t="b">
        <f>IF(Checks!C468,UPPER(RIGHT(Data!A468,5))=".BPMN",TRUE)</f>
        <v>1</v>
      </c>
      <c r="R468" s="26" t="b">
        <f>IF(Checks!C468,IF(UPPER(Data!C468)="SUB PROCESS",UPPER(RIGHT(Data!BY468,5))=".BPMN",TRUE),TRUE)</f>
        <v>1</v>
      </c>
      <c r="S468" s="26" t="b">
        <f>IF(Checks!C468,IF(UPPER(Data!C468)="SERVICE TASK",IF(UPPER(Data!BZ468)="TYPE=SAS",UPPER(RIGHT(Data!CA468,4))=".SAS",TRUE),TRUE),TRUE)</f>
        <v>1</v>
      </c>
      <c r="T468" s="26" t="b">
        <f>IF(Checks!C468,IF(Data!B468&lt;&gt;"",Data!D468&lt;&gt;"",TRUE),TRUE)</f>
        <v>1</v>
      </c>
      <c r="U468" s="26" t="b">
        <f ca="1">IF(Checks!C468,IF(UPPER(Data!C468)="DATA OBJECT",NOT(ISERROR(MATCH(Data!A468&amp;"||"&amp;Data!BW468&amp;Data!BX468,Key,0))),TRUE),TRUE)</f>
        <v>1</v>
      </c>
      <c r="V468" s="26" t="b">
        <f>IF(Checks!C468,IF(UPPER(Data!C468)="SUB PROCESS",Data!BY468&lt;&gt;"",TRUE),TRUE)</f>
        <v>1</v>
      </c>
      <c r="W468" s="26" t="b">
        <f>IF(Checks!C468,IF(UPPER(Data!C468)="SERVICE TASK",AND(Data!BZ468&lt;&gt;"",Data!CA468&lt;&gt;""),TRUE),TRUE)</f>
        <v>1</v>
      </c>
      <c r="X468" s="26" t="b">
        <f t="array" aca="1" ref="X468" ca="1">SUM((OFFSET(Data!B468,MAX(ROW(Data!$B$5)-ROW(Data!B468),-200),0,400,1)=Data!B468)*(OFFSET(Data!A468,MAX(ROW(Data!$B$5)-ROW(Data!B468),-200),0,400,1)=Data!A468))=1</f>
        <v>1</v>
      </c>
      <c r="Y468" s="26" t="b">
        <f t="array" aca="1" ref="Y468" ca="1">IF(UPPER(Data!C468)="START",SUM((OFFSET(Data!C468,MAX(ROW(Data!$C$5)-ROW(Data!C468),-200),0,400,1)="START")*(OFFSET(Data!A468,MAX(ROW(Data!$B$5)-ROW(Data!B468),-200),0,400,1)=Data!A468))=1,TRUE)</f>
        <v>1</v>
      </c>
      <c r="Z468" s="26" t="b">
        <f t="array" aca="1" ref="Z468" ca="1">IF(UPPER(Data!C468)="END",SUM((OFFSET(Data!C468,MAX(ROW(Data!$C$5)-ROW(Data!C468),-200),0,400,1)="END")*(OFFSET(Data!A468,MAX(ROW(Data!$B$5)-ROW(Data!B468),-200),0,400,1)=Data!A468))=1,TRUE)</f>
        <v>1</v>
      </c>
      <c r="AA468" s="26" t="b">
        <f>IF(Checks!C468,ISERROR(FIND("&amp;",Data!D468)),TRUE)</f>
        <v>1</v>
      </c>
      <c r="AB468" s="26" t="b">
        <f>IF(Checks!$C468,IF(AND(UPPER(Data!$C468)&lt;&gt;"START",UPPER(Data!$C468)&lt;&gt;"DATA OBJECT",Data!E468&lt;&gt;""),NOT(ISERROR(MATCH(Data!$A468&amp;"||"&amp;Data!E468,Key,0))),TRUE),TRUE)</f>
        <v>1</v>
      </c>
      <c r="AC468" s="27" t="b">
        <f>IF(Checks!C468,IF(UPPER(Data!C468)="END",Data!E468&lt;&gt;"",TRUE),TRUE)</f>
        <v>1</v>
      </c>
    </row>
    <row r="469" spans="1:29" x14ac:dyDescent="0.25">
      <c r="A469" s="1" t="str">
        <f>Data!A469&amp;"||"&amp;Data!B469</f>
        <v>Miscellaneous/subflow/irmifrs9_postprocess_stage2.bpmn||020_01_00</v>
      </c>
      <c r="B469" s="19"/>
      <c r="C469" s="24" t="b">
        <f>AND(UPPER(Data!A469)&lt;&gt;"EMPTY",Data!B469&lt;&gt;"")</f>
        <v>1</v>
      </c>
      <c r="D469" s="1"/>
      <c r="E469" s="25" t="b">
        <f t="shared" ca="1" si="14"/>
        <v>1</v>
      </c>
      <c r="F469" s="26" t="b">
        <f ca="1">IF(UPPER(Data!C469)="SUB PROCESS",NOT(ISERROR(MATCH(RIGHT(Data!BY469,LEN(Data!BY469)-5),OFFSET(Data,0,0,ItemsCount,1),0))),TRUE)</f>
        <v>1</v>
      </c>
      <c r="G469" s="26" t="b">
        <f ca="1">IF(MID(UPPER(Data!A469),1,13)="MISCELLANEOUS",NOT(ISERROR(MATCH("path="&amp;Data!A469,OFFSET(Data,0,76,ItemsCount,1),0))),TRUE)</f>
        <v>1</v>
      </c>
      <c r="L469" s="25" t="b">
        <f t="shared" ca="1" si="15"/>
        <v>1</v>
      </c>
      <c r="M469" s="24" t="b">
        <f>IF(Checks!$C469,Data!A469&lt;&gt;"",TRUE)</f>
        <v>1</v>
      </c>
      <c r="N469" s="26" t="b">
        <f>IF(Checks!C469,Data!B469&lt;&gt;"",TRUE)</f>
        <v>1</v>
      </c>
      <c r="O469" s="26" t="b">
        <f>IF(Checks!C469,IF(AND(UPPER(Data!C469)="SERVICE TASK",UPPER(Data!BZ469)="TYPE=SAS"),NodeExists(TRIM(RIGHT(Data!CA469,LEN(Data!CA469)-FIND("=",Data!CA469)))),TRUE),TRUE)</f>
        <v>1</v>
      </c>
      <c r="P469" s="26" t="b">
        <f>IF(Checks!C469,IF(Data!C469="DATA OBJECT",OR(AND(Data!BW469&lt;&gt;"",Data!BX469=""),AND(Data!BW469="",Data!BX469&lt;&gt;"")),TRUE),TRUE)</f>
        <v>1</v>
      </c>
      <c r="Q469" s="26" t="b">
        <f>IF(Checks!C469,UPPER(RIGHT(Data!A469,5))=".BPMN",TRUE)</f>
        <v>1</v>
      </c>
      <c r="R469" s="26" t="b">
        <f>IF(Checks!C469,IF(UPPER(Data!C469)="SUB PROCESS",UPPER(RIGHT(Data!BY469,5))=".BPMN",TRUE),TRUE)</f>
        <v>1</v>
      </c>
      <c r="S469" s="26" t="b">
        <f>IF(Checks!C469,IF(UPPER(Data!C469)="SERVICE TASK",IF(UPPER(Data!BZ469)="TYPE=SAS",UPPER(RIGHT(Data!CA469,4))=".SAS",TRUE),TRUE),TRUE)</f>
        <v>1</v>
      </c>
      <c r="T469" s="26" t="b">
        <f>IF(Checks!C469,IF(Data!B469&lt;&gt;"",Data!D469&lt;&gt;"",TRUE),TRUE)</f>
        <v>1</v>
      </c>
      <c r="U469" s="26" t="b">
        <f ca="1">IF(Checks!C469,IF(UPPER(Data!C469)="DATA OBJECT",NOT(ISERROR(MATCH(Data!A469&amp;"||"&amp;Data!BW469&amp;Data!BX469,Key,0))),TRUE),TRUE)</f>
        <v>1</v>
      </c>
      <c r="V469" s="26" t="b">
        <f>IF(Checks!C469,IF(UPPER(Data!C469)="SUB PROCESS",Data!BY469&lt;&gt;"",TRUE),TRUE)</f>
        <v>1</v>
      </c>
      <c r="W469" s="26" t="b">
        <f>IF(Checks!C469,IF(UPPER(Data!C469)="SERVICE TASK",AND(Data!BZ469&lt;&gt;"",Data!CA469&lt;&gt;""),TRUE),TRUE)</f>
        <v>1</v>
      </c>
      <c r="X469" s="26" t="b">
        <f t="array" aca="1" ref="X469" ca="1">SUM((OFFSET(Data!B469,MAX(ROW(Data!$B$5)-ROW(Data!B469),-200),0,400,1)=Data!B469)*(OFFSET(Data!A469,MAX(ROW(Data!$B$5)-ROW(Data!B469),-200),0,400,1)=Data!A469))=1</f>
        <v>1</v>
      </c>
      <c r="Y469" s="26" t="b">
        <f t="array" aca="1" ref="Y469" ca="1">IF(UPPER(Data!C469)="START",SUM((OFFSET(Data!C469,MAX(ROW(Data!$C$5)-ROW(Data!C469),-200),0,400,1)="START")*(OFFSET(Data!A469,MAX(ROW(Data!$B$5)-ROW(Data!B469),-200),0,400,1)=Data!A469))=1,TRUE)</f>
        <v>1</v>
      </c>
      <c r="Z469" s="26" t="b">
        <f t="array" aca="1" ref="Z469" ca="1">IF(UPPER(Data!C469)="END",SUM((OFFSET(Data!C469,MAX(ROW(Data!$C$5)-ROW(Data!C469),-200),0,400,1)="END")*(OFFSET(Data!A469,MAX(ROW(Data!$B$5)-ROW(Data!B469),-200),0,400,1)=Data!A469))=1,TRUE)</f>
        <v>1</v>
      </c>
      <c r="AA469" s="26" t="b">
        <f>IF(Checks!C469,ISERROR(FIND("&amp;",Data!D469)),TRUE)</f>
        <v>1</v>
      </c>
      <c r="AB469" s="26" t="b">
        <f>IF(Checks!$C469,IF(AND(UPPER(Data!$C469)&lt;&gt;"START",UPPER(Data!$C469)&lt;&gt;"DATA OBJECT",Data!E469&lt;&gt;""),NOT(ISERROR(MATCH(Data!$A469&amp;"||"&amp;Data!E469,Key,0))),TRUE),TRUE)</f>
        <v>1</v>
      </c>
      <c r="AC469" s="27" t="b">
        <f>IF(Checks!C469,IF(UPPER(Data!C469)="END",Data!E469&lt;&gt;"",TRUE),TRUE)</f>
        <v>1</v>
      </c>
    </row>
    <row r="470" spans="1:29" x14ac:dyDescent="0.25">
      <c r="A470" s="1" t="str">
        <f>Data!A470&amp;"||"&amp;Data!B470</f>
        <v>Miscellaneous/subflow/irmifrs9_postprocess_stage2.bpmn||030_00_00</v>
      </c>
      <c r="B470" s="19"/>
      <c r="C470" s="24" t="b">
        <f>AND(UPPER(Data!A470)&lt;&gt;"EMPTY",Data!B470&lt;&gt;"")</f>
        <v>1</v>
      </c>
      <c r="D470" s="1"/>
      <c r="E470" s="25" t="b">
        <f t="shared" ca="1" si="14"/>
        <v>1</v>
      </c>
      <c r="F470" s="26" t="b">
        <f ca="1">IF(UPPER(Data!C470)="SUB PROCESS",NOT(ISERROR(MATCH(RIGHT(Data!BY470,LEN(Data!BY470)-5),OFFSET(Data,0,0,ItemsCount,1),0))),TRUE)</f>
        <v>1</v>
      </c>
      <c r="G470" s="26" t="b">
        <f ca="1">IF(MID(UPPER(Data!A470),1,13)="MISCELLANEOUS",NOT(ISERROR(MATCH("path="&amp;Data!A470,OFFSET(Data,0,76,ItemsCount,1),0))),TRUE)</f>
        <v>1</v>
      </c>
      <c r="L470" s="25" t="b">
        <f t="shared" ca="1" si="15"/>
        <v>1</v>
      </c>
      <c r="M470" s="24" t="b">
        <f>IF(Checks!$C470,Data!A470&lt;&gt;"",TRUE)</f>
        <v>1</v>
      </c>
      <c r="N470" s="26" t="b">
        <f>IF(Checks!C470,Data!B470&lt;&gt;"",TRUE)</f>
        <v>1</v>
      </c>
      <c r="O470" s="26" t="b">
        <f>IF(Checks!C470,IF(AND(UPPER(Data!C470)="SERVICE TASK",UPPER(Data!BZ470)="TYPE=SAS"),NodeExists(TRIM(RIGHT(Data!CA470,LEN(Data!CA470)-FIND("=",Data!CA470)))),TRUE),TRUE)</f>
        <v>1</v>
      </c>
      <c r="P470" s="26" t="b">
        <f>IF(Checks!C470,IF(Data!C470="DATA OBJECT",OR(AND(Data!BW470&lt;&gt;"",Data!BX470=""),AND(Data!BW470="",Data!BX470&lt;&gt;"")),TRUE),TRUE)</f>
        <v>1</v>
      </c>
      <c r="Q470" s="26" t="b">
        <f>IF(Checks!C470,UPPER(RIGHT(Data!A470,5))=".BPMN",TRUE)</f>
        <v>1</v>
      </c>
      <c r="R470" s="26" t="b">
        <f>IF(Checks!C470,IF(UPPER(Data!C470)="SUB PROCESS",UPPER(RIGHT(Data!BY470,5))=".BPMN",TRUE),TRUE)</f>
        <v>1</v>
      </c>
      <c r="S470" s="26" t="b">
        <f>IF(Checks!C470,IF(UPPER(Data!C470)="SERVICE TASK",IF(UPPER(Data!BZ470)="TYPE=SAS",UPPER(RIGHT(Data!CA470,4))=".SAS",TRUE),TRUE),TRUE)</f>
        <v>1</v>
      </c>
      <c r="T470" s="26" t="b">
        <f>IF(Checks!C470,IF(Data!B470&lt;&gt;"",Data!D470&lt;&gt;"",TRUE),TRUE)</f>
        <v>1</v>
      </c>
      <c r="U470" s="26" t="b">
        <f>IF(Checks!C470,IF(UPPER(Data!C470)="DATA OBJECT",NOT(ISERROR(MATCH(Data!A470&amp;"||"&amp;Data!BW470&amp;Data!BX470,Key,0))),TRUE),TRUE)</f>
        <v>1</v>
      </c>
      <c r="V470" s="26" t="b">
        <f>IF(Checks!C470,IF(UPPER(Data!C470)="SUB PROCESS",Data!BY470&lt;&gt;"",TRUE),TRUE)</f>
        <v>1</v>
      </c>
      <c r="W470" s="26" t="b">
        <f>IF(Checks!C470,IF(UPPER(Data!C470)="SERVICE TASK",AND(Data!BZ470&lt;&gt;"",Data!CA470&lt;&gt;""),TRUE),TRUE)</f>
        <v>1</v>
      </c>
      <c r="X470" s="26" t="b">
        <f t="array" aca="1" ref="X470" ca="1">SUM((OFFSET(Data!B470,MAX(ROW(Data!$B$5)-ROW(Data!B470),-200),0,400,1)=Data!B470)*(OFFSET(Data!A470,MAX(ROW(Data!$B$5)-ROW(Data!B470),-200),0,400,1)=Data!A470))=1</f>
        <v>1</v>
      </c>
      <c r="Y470" s="26" t="b">
        <f t="array" aca="1" ref="Y470" ca="1">IF(UPPER(Data!C470)="START",SUM((OFFSET(Data!C470,MAX(ROW(Data!$C$5)-ROW(Data!C470),-200),0,400,1)="START")*(OFFSET(Data!A470,MAX(ROW(Data!$B$5)-ROW(Data!B470),-200),0,400,1)=Data!A470))=1,TRUE)</f>
        <v>1</v>
      </c>
      <c r="Z470" s="26" t="b">
        <f t="array" aca="1" ref="Z470" ca="1">IF(UPPER(Data!C470)="END",SUM((OFFSET(Data!C470,MAX(ROW(Data!$C$5)-ROW(Data!C470),-200),0,400,1)="END")*(OFFSET(Data!A470,MAX(ROW(Data!$B$5)-ROW(Data!B470),-200),0,400,1)=Data!A470))=1,TRUE)</f>
        <v>1</v>
      </c>
      <c r="AA470" s="26" t="b">
        <f>IF(Checks!C470,ISERROR(FIND("&amp;",Data!D470)),TRUE)</f>
        <v>1</v>
      </c>
      <c r="AB470" s="26" t="b">
        <f ca="1">IF(Checks!$C470,IF(AND(UPPER(Data!$C470)&lt;&gt;"START",UPPER(Data!$C470)&lt;&gt;"DATA OBJECT",Data!E470&lt;&gt;""),NOT(ISERROR(MATCH(Data!$A470&amp;"||"&amp;Data!E470,Key,0))),TRUE),TRUE)</f>
        <v>1</v>
      </c>
      <c r="AC470" s="27" t="b">
        <f>IF(Checks!C470,IF(UPPER(Data!C470)="END",Data!E470&lt;&gt;"",TRUE),TRUE)</f>
        <v>1</v>
      </c>
    </row>
    <row r="471" spans="1:29" x14ac:dyDescent="0.25">
      <c r="A471" s="1" t="str">
        <f>Data!A471&amp;"||"&amp;Data!B471</f>
        <v>Miscellaneous/subflow/irmifrs9_postprocess_stage2.bpmn||030_00_01</v>
      </c>
      <c r="B471" s="19"/>
      <c r="C471" s="24" t="b">
        <f>AND(UPPER(Data!A471)&lt;&gt;"EMPTY",Data!B471&lt;&gt;"")</f>
        <v>1</v>
      </c>
      <c r="D471" s="1"/>
      <c r="E471" s="25" t="b">
        <f t="shared" ca="1" si="14"/>
        <v>1</v>
      </c>
      <c r="F471" s="26" t="b">
        <f ca="1">IF(UPPER(Data!C471)="SUB PROCESS",NOT(ISERROR(MATCH(RIGHT(Data!BY471,LEN(Data!BY471)-5),OFFSET(Data,0,0,ItemsCount,1),0))),TRUE)</f>
        <v>1</v>
      </c>
      <c r="G471" s="26" t="b">
        <f ca="1">IF(MID(UPPER(Data!A471),1,13)="MISCELLANEOUS",NOT(ISERROR(MATCH("path="&amp;Data!A471,OFFSET(Data,0,76,ItemsCount,1),0))),TRUE)</f>
        <v>1</v>
      </c>
      <c r="L471" s="25" t="b">
        <f t="shared" ca="1" si="15"/>
        <v>1</v>
      </c>
      <c r="M471" s="24" t="b">
        <f>IF(Checks!$C471,Data!A471&lt;&gt;"",TRUE)</f>
        <v>1</v>
      </c>
      <c r="N471" s="26" t="b">
        <f>IF(Checks!C471,Data!B471&lt;&gt;"",TRUE)</f>
        <v>1</v>
      </c>
      <c r="O471" s="26" t="b">
        <f>IF(Checks!C471,IF(AND(UPPER(Data!C471)="SERVICE TASK",UPPER(Data!BZ471)="TYPE=SAS"),NodeExists(TRIM(RIGHT(Data!CA471,LEN(Data!CA471)-FIND("=",Data!CA471)))),TRUE),TRUE)</f>
        <v>1</v>
      </c>
      <c r="P471" s="26" t="b">
        <f>IF(Checks!C471,IF(Data!C471="DATA OBJECT",OR(AND(Data!BW471&lt;&gt;"",Data!BX471=""),AND(Data!BW471="",Data!BX471&lt;&gt;"")),TRUE),TRUE)</f>
        <v>1</v>
      </c>
      <c r="Q471" s="26" t="b">
        <f>IF(Checks!C471,UPPER(RIGHT(Data!A471,5))=".BPMN",TRUE)</f>
        <v>1</v>
      </c>
      <c r="R471" s="26" t="b">
        <f>IF(Checks!C471,IF(UPPER(Data!C471)="SUB PROCESS",UPPER(RIGHT(Data!BY471,5))=".BPMN",TRUE),TRUE)</f>
        <v>1</v>
      </c>
      <c r="S471" s="26" t="b">
        <f>IF(Checks!C471,IF(UPPER(Data!C471)="SERVICE TASK",IF(UPPER(Data!BZ471)="TYPE=SAS",UPPER(RIGHT(Data!CA471,4))=".SAS",TRUE),TRUE),TRUE)</f>
        <v>1</v>
      </c>
      <c r="T471" s="26" t="b">
        <f>IF(Checks!C471,IF(Data!B471&lt;&gt;"",Data!D471&lt;&gt;"",TRUE),TRUE)</f>
        <v>1</v>
      </c>
      <c r="U471" s="26" t="b">
        <f ca="1">IF(Checks!C471,IF(UPPER(Data!C471)="DATA OBJECT",NOT(ISERROR(MATCH(Data!A471&amp;"||"&amp;Data!BW471&amp;Data!BX471,Key,0))),TRUE),TRUE)</f>
        <v>1</v>
      </c>
      <c r="V471" s="26" t="b">
        <f>IF(Checks!C471,IF(UPPER(Data!C471)="SUB PROCESS",Data!BY471&lt;&gt;"",TRUE),TRUE)</f>
        <v>1</v>
      </c>
      <c r="W471" s="26" t="b">
        <f>IF(Checks!C471,IF(UPPER(Data!C471)="SERVICE TASK",AND(Data!BZ471&lt;&gt;"",Data!CA471&lt;&gt;""),TRUE),TRUE)</f>
        <v>1</v>
      </c>
      <c r="X471" s="26" t="b">
        <f t="array" aca="1" ref="X471" ca="1">SUM((OFFSET(Data!B471,MAX(ROW(Data!$B$5)-ROW(Data!B471),-200),0,400,1)=Data!B471)*(OFFSET(Data!A471,MAX(ROW(Data!$B$5)-ROW(Data!B471),-200),0,400,1)=Data!A471))=1</f>
        <v>1</v>
      </c>
      <c r="Y471" s="26" t="b">
        <f t="array" aca="1" ref="Y471" ca="1">IF(UPPER(Data!C471)="START",SUM((OFFSET(Data!C471,MAX(ROW(Data!$C$5)-ROW(Data!C471),-200),0,400,1)="START")*(OFFSET(Data!A471,MAX(ROW(Data!$B$5)-ROW(Data!B471),-200),0,400,1)=Data!A471))=1,TRUE)</f>
        <v>1</v>
      </c>
      <c r="Z471" s="26" t="b">
        <f t="array" aca="1" ref="Z471" ca="1">IF(UPPER(Data!C471)="END",SUM((OFFSET(Data!C471,MAX(ROW(Data!$C$5)-ROW(Data!C471),-200),0,400,1)="END")*(OFFSET(Data!A471,MAX(ROW(Data!$B$5)-ROW(Data!B471),-200),0,400,1)=Data!A471))=1,TRUE)</f>
        <v>1</v>
      </c>
      <c r="AA471" s="26" t="b">
        <f>IF(Checks!C471,ISERROR(FIND("&amp;",Data!D471)),TRUE)</f>
        <v>1</v>
      </c>
      <c r="AB471" s="26" t="b">
        <f>IF(Checks!$C471,IF(AND(UPPER(Data!$C471)&lt;&gt;"START",UPPER(Data!$C471)&lt;&gt;"DATA OBJECT",Data!E471&lt;&gt;""),NOT(ISERROR(MATCH(Data!$A471&amp;"||"&amp;Data!E471,Key,0))),TRUE),TRUE)</f>
        <v>1</v>
      </c>
      <c r="AC471" s="27" t="b">
        <f>IF(Checks!C471,IF(UPPER(Data!C471)="END",Data!E471&lt;&gt;"",TRUE),TRUE)</f>
        <v>1</v>
      </c>
    </row>
    <row r="472" spans="1:29" x14ac:dyDescent="0.25">
      <c r="A472" s="1" t="str">
        <f>Data!A472&amp;"||"&amp;Data!B472</f>
        <v>Miscellaneous/subflow/irmifrs9_postprocess_stage2.bpmn||030_00_02</v>
      </c>
      <c r="B472" s="19"/>
      <c r="C472" s="24" t="b">
        <f>AND(UPPER(Data!A472)&lt;&gt;"EMPTY",Data!B472&lt;&gt;"")</f>
        <v>1</v>
      </c>
      <c r="D472" s="1"/>
      <c r="E472" s="25" t="b">
        <f t="shared" ca="1" si="14"/>
        <v>1</v>
      </c>
      <c r="F472" s="26" t="b">
        <f ca="1">IF(UPPER(Data!C472)="SUB PROCESS",NOT(ISERROR(MATCH(RIGHT(Data!BY472,LEN(Data!BY472)-5),OFFSET(Data,0,0,ItemsCount,1),0))),TRUE)</f>
        <v>1</v>
      </c>
      <c r="G472" s="26" t="b">
        <f ca="1">IF(MID(UPPER(Data!A472),1,13)="MISCELLANEOUS",NOT(ISERROR(MATCH("path="&amp;Data!A472,OFFSET(Data,0,76,ItemsCount,1),0))),TRUE)</f>
        <v>1</v>
      </c>
      <c r="L472" s="25" t="b">
        <f t="shared" ca="1" si="15"/>
        <v>1</v>
      </c>
      <c r="M472" s="24" t="b">
        <f>IF(Checks!$C472,Data!A472&lt;&gt;"",TRUE)</f>
        <v>1</v>
      </c>
      <c r="N472" s="26" t="b">
        <f>IF(Checks!C472,Data!B472&lt;&gt;"",TRUE)</f>
        <v>1</v>
      </c>
      <c r="O472" s="26" t="b">
        <f>IF(Checks!C472,IF(AND(UPPER(Data!C472)="SERVICE TASK",UPPER(Data!BZ472)="TYPE=SAS"),NodeExists(TRIM(RIGHT(Data!CA472,LEN(Data!CA472)-FIND("=",Data!CA472)))),TRUE),TRUE)</f>
        <v>1</v>
      </c>
      <c r="P472" s="26" t="b">
        <f>IF(Checks!C472,IF(Data!C472="DATA OBJECT",OR(AND(Data!BW472&lt;&gt;"",Data!BX472=""),AND(Data!BW472="",Data!BX472&lt;&gt;"")),TRUE),TRUE)</f>
        <v>1</v>
      </c>
      <c r="Q472" s="26" t="b">
        <f>IF(Checks!C472,UPPER(RIGHT(Data!A472,5))=".BPMN",TRUE)</f>
        <v>1</v>
      </c>
      <c r="R472" s="26" t="b">
        <f>IF(Checks!C472,IF(UPPER(Data!C472)="SUB PROCESS",UPPER(RIGHT(Data!BY472,5))=".BPMN",TRUE),TRUE)</f>
        <v>1</v>
      </c>
      <c r="S472" s="26" t="b">
        <f>IF(Checks!C472,IF(UPPER(Data!C472)="SERVICE TASK",IF(UPPER(Data!BZ472)="TYPE=SAS",UPPER(RIGHT(Data!CA472,4))=".SAS",TRUE),TRUE),TRUE)</f>
        <v>1</v>
      </c>
      <c r="T472" s="26" t="b">
        <f>IF(Checks!C472,IF(Data!B472&lt;&gt;"",Data!D472&lt;&gt;"",TRUE),TRUE)</f>
        <v>1</v>
      </c>
      <c r="U472" s="26" t="b">
        <f ca="1">IF(Checks!C472,IF(UPPER(Data!C472)="DATA OBJECT",NOT(ISERROR(MATCH(Data!A472&amp;"||"&amp;Data!BW472&amp;Data!BX472,Key,0))),TRUE),TRUE)</f>
        <v>1</v>
      </c>
      <c r="V472" s="26" t="b">
        <f>IF(Checks!C472,IF(UPPER(Data!C472)="SUB PROCESS",Data!BY472&lt;&gt;"",TRUE),TRUE)</f>
        <v>1</v>
      </c>
      <c r="W472" s="26" t="b">
        <f>IF(Checks!C472,IF(UPPER(Data!C472)="SERVICE TASK",AND(Data!BZ472&lt;&gt;"",Data!CA472&lt;&gt;""),TRUE),TRUE)</f>
        <v>1</v>
      </c>
      <c r="X472" s="26" t="b">
        <f t="array" aca="1" ref="X472" ca="1">SUM((OFFSET(Data!B472,MAX(ROW(Data!$B$5)-ROW(Data!B472),-200),0,400,1)=Data!B472)*(OFFSET(Data!A472,MAX(ROW(Data!$B$5)-ROW(Data!B472),-200),0,400,1)=Data!A472))=1</f>
        <v>1</v>
      </c>
      <c r="Y472" s="26" t="b">
        <f t="array" aca="1" ref="Y472" ca="1">IF(UPPER(Data!C472)="START",SUM((OFFSET(Data!C472,MAX(ROW(Data!$C$5)-ROW(Data!C472),-200),0,400,1)="START")*(OFFSET(Data!A472,MAX(ROW(Data!$B$5)-ROW(Data!B472),-200),0,400,1)=Data!A472))=1,TRUE)</f>
        <v>1</v>
      </c>
      <c r="Z472" s="26" t="b">
        <f t="array" aca="1" ref="Z472" ca="1">IF(UPPER(Data!C472)="END",SUM((OFFSET(Data!C472,MAX(ROW(Data!$C$5)-ROW(Data!C472),-200),0,400,1)="END")*(OFFSET(Data!A472,MAX(ROW(Data!$B$5)-ROW(Data!B472),-200),0,400,1)=Data!A472))=1,TRUE)</f>
        <v>1</v>
      </c>
      <c r="AA472" s="26" t="b">
        <f>IF(Checks!C472,ISERROR(FIND("&amp;",Data!D472)),TRUE)</f>
        <v>1</v>
      </c>
      <c r="AB472" s="26" t="b">
        <f>IF(Checks!$C472,IF(AND(UPPER(Data!$C472)&lt;&gt;"START",UPPER(Data!$C472)&lt;&gt;"DATA OBJECT",Data!E472&lt;&gt;""),NOT(ISERROR(MATCH(Data!$A472&amp;"||"&amp;Data!E472,Key,0))),TRUE),TRUE)</f>
        <v>1</v>
      </c>
      <c r="AC472" s="27" t="b">
        <f>IF(Checks!C472,IF(UPPER(Data!C472)="END",Data!E472&lt;&gt;"",TRUE),TRUE)</f>
        <v>1</v>
      </c>
    </row>
    <row r="473" spans="1:29" x14ac:dyDescent="0.25">
      <c r="A473" s="1" t="str">
        <f>Data!A473&amp;"||"&amp;Data!B473</f>
        <v>Miscellaneous/subflow/irmifrs9_postprocess_stage2.bpmn||030_01_00</v>
      </c>
      <c r="B473" s="19"/>
      <c r="C473" s="24" t="b">
        <f>AND(UPPER(Data!A473)&lt;&gt;"EMPTY",Data!B473&lt;&gt;"")</f>
        <v>1</v>
      </c>
      <c r="D473" s="1"/>
      <c r="E473" s="25" t="b">
        <f t="shared" ca="1" si="14"/>
        <v>1</v>
      </c>
      <c r="F473" s="26" t="b">
        <f ca="1">IF(UPPER(Data!C473)="SUB PROCESS",NOT(ISERROR(MATCH(RIGHT(Data!BY473,LEN(Data!BY473)-5),OFFSET(Data,0,0,ItemsCount,1),0))),TRUE)</f>
        <v>1</v>
      </c>
      <c r="G473" s="26" t="b">
        <f ca="1">IF(MID(UPPER(Data!A473),1,13)="MISCELLANEOUS",NOT(ISERROR(MATCH("path="&amp;Data!A473,OFFSET(Data,0,76,ItemsCount,1),0))),TRUE)</f>
        <v>1</v>
      </c>
      <c r="L473" s="25" t="b">
        <f t="shared" ca="1" si="15"/>
        <v>1</v>
      </c>
      <c r="M473" s="24" t="b">
        <f>IF(Checks!$C473,Data!A473&lt;&gt;"",TRUE)</f>
        <v>1</v>
      </c>
      <c r="N473" s="26" t="b">
        <f>IF(Checks!C473,Data!B473&lt;&gt;"",TRUE)</f>
        <v>1</v>
      </c>
      <c r="O473" s="26" t="b">
        <f>IF(Checks!C473,IF(AND(UPPER(Data!C473)="SERVICE TASK",UPPER(Data!BZ473)="TYPE=SAS"),NodeExists(TRIM(RIGHT(Data!CA473,LEN(Data!CA473)-FIND("=",Data!CA473)))),TRUE),TRUE)</f>
        <v>1</v>
      </c>
      <c r="P473" s="26" t="b">
        <f>IF(Checks!C473,IF(Data!C473="DATA OBJECT",OR(AND(Data!BW473&lt;&gt;"",Data!BX473=""),AND(Data!BW473="",Data!BX473&lt;&gt;"")),TRUE),TRUE)</f>
        <v>1</v>
      </c>
      <c r="Q473" s="26" t="b">
        <f>IF(Checks!C473,UPPER(RIGHT(Data!A473,5))=".BPMN",TRUE)</f>
        <v>1</v>
      </c>
      <c r="R473" s="26" t="b">
        <f>IF(Checks!C473,IF(UPPER(Data!C473)="SUB PROCESS",UPPER(RIGHT(Data!BY473,5))=".BPMN",TRUE),TRUE)</f>
        <v>1</v>
      </c>
      <c r="S473" s="26" t="b">
        <f>IF(Checks!C473,IF(UPPER(Data!C473)="SERVICE TASK",IF(UPPER(Data!BZ473)="TYPE=SAS",UPPER(RIGHT(Data!CA473,4))=".SAS",TRUE),TRUE),TRUE)</f>
        <v>1</v>
      </c>
      <c r="T473" s="26" t="b">
        <f>IF(Checks!C473,IF(Data!B473&lt;&gt;"",Data!D473&lt;&gt;"",TRUE),TRUE)</f>
        <v>1</v>
      </c>
      <c r="U473" s="26" t="b">
        <f ca="1">IF(Checks!C473,IF(UPPER(Data!C473)="DATA OBJECT",NOT(ISERROR(MATCH(Data!A473&amp;"||"&amp;Data!BW473&amp;Data!BX473,Key,0))),TRUE),TRUE)</f>
        <v>1</v>
      </c>
      <c r="V473" s="26" t="b">
        <f>IF(Checks!C473,IF(UPPER(Data!C473)="SUB PROCESS",Data!BY473&lt;&gt;"",TRUE),TRUE)</f>
        <v>1</v>
      </c>
      <c r="W473" s="26" t="b">
        <f>IF(Checks!C473,IF(UPPER(Data!C473)="SERVICE TASK",AND(Data!BZ473&lt;&gt;"",Data!CA473&lt;&gt;""),TRUE),TRUE)</f>
        <v>1</v>
      </c>
      <c r="X473" s="26" t="b">
        <f t="array" aca="1" ref="X473" ca="1">SUM((OFFSET(Data!B473,MAX(ROW(Data!$B$5)-ROW(Data!B473),-200),0,400,1)=Data!B473)*(OFFSET(Data!A473,MAX(ROW(Data!$B$5)-ROW(Data!B473),-200),0,400,1)=Data!A473))=1</f>
        <v>1</v>
      </c>
      <c r="Y473" s="26" t="b">
        <f t="array" aca="1" ref="Y473" ca="1">IF(UPPER(Data!C473)="START",SUM((OFFSET(Data!C473,MAX(ROW(Data!$C$5)-ROW(Data!C473),-200),0,400,1)="START")*(OFFSET(Data!A473,MAX(ROW(Data!$B$5)-ROW(Data!B473),-200),0,400,1)=Data!A473))=1,TRUE)</f>
        <v>1</v>
      </c>
      <c r="Z473" s="26" t="b">
        <f t="array" aca="1" ref="Z473" ca="1">IF(UPPER(Data!C473)="END",SUM((OFFSET(Data!C473,MAX(ROW(Data!$C$5)-ROW(Data!C473),-200),0,400,1)="END")*(OFFSET(Data!A473,MAX(ROW(Data!$B$5)-ROW(Data!B473),-200),0,400,1)=Data!A473))=1,TRUE)</f>
        <v>1</v>
      </c>
      <c r="AA473" s="26" t="b">
        <f>IF(Checks!C473,ISERROR(FIND("&amp;",Data!D473)),TRUE)</f>
        <v>1</v>
      </c>
      <c r="AB473" s="26" t="b">
        <f>IF(Checks!$C473,IF(AND(UPPER(Data!$C473)&lt;&gt;"START",UPPER(Data!$C473)&lt;&gt;"DATA OBJECT",Data!E473&lt;&gt;""),NOT(ISERROR(MATCH(Data!$A473&amp;"||"&amp;Data!E473,Key,0))),TRUE),TRUE)</f>
        <v>1</v>
      </c>
      <c r="AC473" s="27" t="b">
        <f>IF(Checks!C473,IF(UPPER(Data!C473)="END",Data!E473&lt;&gt;"",TRUE),TRUE)</f>
        <v>1</v>
      </c>
    </row>
    <row r="474" spans="1:29" x14ac:dyDescent="0.25">
      <c r="A474" s="1" t="str">
        <f>Data!A474&amp;"||"&amp;Data!B474</f>
        <v>Miscellaneous/subflow/irmifrs9_postprocess_stage2.bpmn||999_00_00</v>
      </c>
      <c r="B474" s="19"/>
      <c r="C474" s="24" t="b">
        <f>AND(UPPER(Data!A474)&lt;&gt;"EMPTY",Data!B474&lt;&gt;"")</f>
        <v>1</v>
      </c>
      <c r="D474" s="1"/>
      <c r="E474" s="25" t="b">
        <f t="shared" ca="1" si="14"/>
        <v>1</v>
      </c>
      <c r="F474" s="26" t="b">
        <f ca="1">IF(UPPER(Data!C474)="SUB PROCESS",NOT(ISERROR(MATCH(RIGHT(Data!BY474,LEN(Data!BY474)-5),OFFSET(Data,0,0,ItemsCount,1),0))),TRUE)</f>
        <v>1</v>
      </c>
      <c r="G474" s="26" t="b">
        <f ca="1">IF(MID(UPPER(Data!A474),1,13)="MISCELLANEOUS",NOT(ISERROR(MATCH("path="&amp;Data!A474,OFFSET(Data,0,76,ItemsCount,1),0))),TRUE)</f>
        <v>1</v>
      </c>
      <c r="L474" s="25" t="b">
        <f t="shared" ca="1" si="15"/>
        <v>1</v>
      </c>
      <c r="M474" s="24" t="b">
        <f>IF(Checks!$C474,Data!A474&lt;&gt;"",TRUE)</f>
        <v>1</v>
      </c>
      <c r="N474" s="26" t="b">
        <f>IF(Checks!C474,Data!B474&lt;&gt;"",TRUE)</f>
        <v>1</v>
      </c>
      <c r="O474" s="26" t="b">
        <f>IF(Checks!C474,IF(AND(UPPER(Data!C474)="SERVICE TASK",UPPER(Data!BZ474)="TYPE=SAS"),NodeExists(TRIM(RIGHT(Data!CA474,LEN(Data!CA474)-FIND("=",Data!CA474)))),TRUE),TRUE)</f>
        <v>1</v>
      </c>
      <c r="P474" s="26" t="b">
        <f>IF(Checks!C474,IF(Data!C474="DATA OBJECT",OR(AND(Data!BW474&lt;&gt;"",Data!BX474=""),AND(Data!BW474="",Data!BX474&lt;&gt;"")),TRUE),TRUE)</f>
        <v>1</v>
      </c>
      <c r="Q474" s="26" t="b">
        <f>IF(Checks!C474,UPPER(RIGHT(Data!A474,5))=".BPMN",TRUE)</f>
        <v>1</v>
      </c>
      <c r="R474" s="26" t="b">
        <f>IF(Checks!C474,IF(UPPER(Data!C474)="SUB PROCESS",UPPER(RIGHT(Data!BY474,5))=".BPMN",TRUE),TRUE)</f>
        <v>1</v>
      </c>
      <c r="S474" s="26" t="b">
        <f>IF(Checks!C474,IF(UPPER(Data!C474)="SERVICE TASK",IF(UPPER(Data!BZ474)="TYPE=SAS",UPPER(RIGHT(Data!CA474,4))=".SAS",TRUE),TRUE),TRUE)</f>
        <v>1</v>
      </c>
      <c r="T474" s="26" t="b">
        <f>IF(Checks!C474,IF(Data!B474&lt;&gt;"",Data!D474&lt;&gt;"",TRUE),TRUE)</f>
        <v>1</v>
      </c>
      <c r="U474" s="26" t="b">
        <f>IF(Checks!C474,IF(UPPER(Data!C474)="DATA OBJECT",NOT(ISERROR(MATCH(Data!A474&amp;"||"&amp;Data!BW474&amp;Data!BX474,Key,0))),TRUE),TRUE)</f>
        <v>1</v>
      </c>
      <c r="V474" s="26" t="b">
        <f>IF(Checks!C474,IF(UPPER(Data!C474)="SUB PROCESS",Data!BY474&lt;&gt;"",TRUE),TRUE)</f>
        <v>1</v>
      </c>
      <c r="W474" s="26" t="b">
        <f>IF(Checks!C474,IF(UPPER(Data!C474)="SERVICE TASK",AND(Data!BZ474&lt;&gt;"",Data!CA474&lt;&gt;""),TRUE),TRUE)</f>
        <v>1</v>
      </c>
      <c r="X474" s="26" t="b">
        <f t="array" aca="1" ref="X474" ca="1">SUM((OFFSET(Data!B474,MAX(ROW(Data!$B$5)-ROW(Data!B474),-200),0,400,1)=Data!B474)*(OFFSET(Data!A474,MAX(ROW(Data!$B$5)-ROW(Data!B474),-200),0,400,1)=Data!A474))=1</f>
        <v>1</v>
      </c>
      <c r="Y474" s="26" t="b">
        <f t="array" aca="1" ref="Y474" ca="1">IF(UPPER(Data!C474)="START",SUM((OFFSET(Data!C474,MAX(ROW(Data!$C$5)-ROW(Data!C474),-200),0,400,1)="START")*(OFFSET(Data!A474,MAX(ROW(Data!$B$5)-ROW(Data!B474),-200),0,400,1)=Data!A474))=1,TRUE)</f>
        <v>1</v>
      </c>
      <c r="Z474" s="26" t="b">
        <f t="array" aca="1" ref="Z474" ca="1">IF(UPPER(Data!C474)="END",SUM((OFFSET(Data!C474,MAX(ROW(Data!$C$5)-ROW(Data!C474),-200),0,400,1)="END")*(OFFSET(Data!A474,MAX(ROW(Data!$B$5)-ROW(Data!B474),-200),0,400,1)=Data!A474))=1,TRUE)</f>
        <v>1</v>
      </c>
      <c r="AA474" s="26" t="b">
        <f>IF(Checks!C474,ISERROR(FIND("&amp;",Data!D474)),TRUE)</f>
        <v>1</v>
      </c>
      <c r="AB474" s="26" t="b">
        <f ca="1">IF(Checks!$C474,IF(AND(UPPER(Data!$C474)&lt;&gt;"START",UPPER(Data!$C474)&lt;&gt;"DATA OBJECT",Data!E474&lt;&gt;""),NOT(ISERROR(MATCH(Data!$A474&amp;"||"&amp;Data!E474,Key,0))),TRUE),TRUE)</f>
        <v>1</v>
      </c>
      <c r="AC474" s="27" t="b">
        <f>IF(Checks!C474,IF(UPPER(Data!C474)="END",Data!E474&lt;&gt;"",TRUE),TRUE)</f>
        <v>1</v>
      </c>
    </row>
    <row r="475" spans="1:29" x14ac:dyDescent="0.25">
      <c r="A475" s="1" t="str">
        <f>Data!A475&amp;"||"&amp;Data!B475</f>
        <v>Miscellaneous/subflow/irmifrs9_postprocess_stage3.bpmn||000_00_00</v>
      </c>
      <c r="B475" s="19"/>
      <c r="C475" s="24" t="b">
        <f>AND(UPPER(Data!A475)&lt;&gt;"EMPTY",Data!B475&lt;&gt;"")</f>
        <v>1</v>
      </c>
      <c r="D475" s="1"/>
      <c r="E475" s="25" t="b">
        <f t="shared" ca="1" si="14"/>
        <v>1</v>
      </c>
      <c r="F475" s="26" t="b">
        <f ca="1">IF(UPPER(Data!C475)="SUB PROCESS",NOT(ISERROR(MATCH(RIGHT(Data!BY475,LEN(Data!BY475)-5),OFFSET(Data,0,0,ItemsCount,1),0))),TRUE)</f>
        <v>1</v>
      </c>
      <c r="G475" s="26" t="b">
        <f ca="1">IF(MID(UPPER(Data!A475),1,13)="MISCELLANEOUS",NOT(ISERROR(MATCH("path="&amp;Data!A475,OFFSET(Data,0,76,ItemsCount,1),0))),TRUE)</f>
        <v>1</v>
      </c>
      <c r="L475" s="25" t="b">
        <f t="shared" ca="1" si="15"/>
        <v>1</v>
      </c>
      <c r="M475" s="24" t="b">
        <f>IF(Checks!$C475,Data!A475&lt;&gt;"",TRUE)</f>
        <v>1</v>
      </c>
      <c r="N475" s="26" t="b">
        <f>IF(Checks!C475,Data!B475&lt;&gt;"",TRUE)</f>
        <v>1</v>
      </c>
      <c r="O475" s="26" t="b">
        <f>IF(Checks!C475,IF(AND(UPPER(Data!C475)="SERVICE TASK",UPPER(Data!BZ475)="TYPE=SAS"),NodeExists(TRIM(RIGHT(Data!CA475,LEN(Data!CA475)-FIND("=",Data!CA475)))),TRUE),TRUE)</f>
        <v>1</v>
      </c>
      <c r="P475" s="26" t="b">
        <f>IF(Checks!C475,IF(Data!C475="DATA OBJECT",OR(AND(Data!BW475&lt;&gt;"",Data!BX475=""),AND(Data!BW475="",Data!BX475&lt;&gt;"")),TRUE),TRUE)</f>
        <v>1</v>
      </c>
      <c r="Q475" s="26" t="b">
        <f>IF(Checks!C475,UPPER(RIGHT(Data!A475,5))=".BPMN",TRUE)</f>
        <v>1</v>
      </c>
      <c r="R475" s="26" t="b">
        <f>IF(Checks!C475,IF(UPPER(Data!C475)="SUB PROCESS",UPPER(RIGHT(Data!BY475,5))=".BPMN",TRUE),TRUE)</f>
        <v>1</v>
      </c>
      <c r="S475" s="26" t="b">
        <f>IF(Checks!C475,IF(UPPER(Data!C475)="SERVICE TASK",IF(UPPER(Data!BZ475)="TYPE=SAS",UPPER(RIGHT(Data!CA475,4))=".SAS",TRUE),TRUE),TRUE)</f>
        <v>1</v>
      </c>
      <c r="T475" s="26" t="b">
        <f>IF(Checks!C475,IF(Data!B475&lt;&gt;"",Data!D475&lt;&gt;"",TRUE),TRUE)</f>
        <v>1</v>
      </c>
      <c r="U475" s="26" t="b">
        <f>IF(Checks!C475,IF(UPPER(Data!C475)="DATA OBJECT",NOT(ISERROR(MATCH(Data!A475&amp;"||"&amp;Data!BW475&amp;Data!BX475,Key,0))),TRUE),TRUE)</f>
        <v>1</v>
      </c>
      <c r="V475" s="26" t="b">
        <f>IF(Checks!C475,IF(UPPER(Data!C475)="SUB PROCESS",Data!BY475&lt;&gt;"",TRUE),TRUE)</f>
        <v>1</v>
      </c>
      <c r="W475" s="26" t="b">
        <f>IF(Checks!C475,IF(UPPER(Data!C475)="SERVICE TASK",AND(Data!BZ475&lt;&gt;"",Data!CA475&lt;&gt;""),TRUE),TRUE)</f>
        <v>1</v>
      </c>
      <c r="X475" s="26" t="b">
        <f t="array" aca="1" ref="X475" ca="1">SUM((OFFSET(Data!B475,MAX(ROW(Data!$B$5)-ROW(Data!B475),-200),0,400,1)=Data!B475)*(OFFSET(Data!A475,MAX(ROW(Data!$B$5)-ROW(Data!B475),-200),0,400,1)=Data!A475))=1</f>
        <v>1</v>
      </c>
      <c r="Y475" s="26" t="b">
        <f t="array" aca="1" ref="Y475" ca="1">IF(UPPER(Data!C475)="START",SUM((OFFSET(Data!C475,MAX(ROW(Data!$C$5)-ROW(Data!C475),-200),0,400,1)="START")*(OFFSET(Data!A475,MAX(ROW(Data!$B$5)-ROW(Data!B475),-200),0,400,1)=Data!A475))=1,TRUE)</f>
        <v>1</v>
      </c>
      <c r="Z475" s="26" t="b">
        <f t="array" aca="1" ref="Z475" ca="1">IF(UPPER(Data!C475)="END",SUM((OFFSET(Data!C475,MAX(ROW(Data!$C$5)-ROW(Data!C475),-200),0,400,1)="END")*(OFFSET(Data!A475,MAX(ROW(Data!$B$5)-ROW(Data!B475),-200),0,400,1)=Data!A475))=1,TRUE)</f>
        <v>1</v>
      </c>
      <c r="AA475" s="26" t="b">
        <f>IF(Checks!C475,ISERROR(FIND("&amp;",Data!D475)),TRUE)</f>
        <v>1</v>
      </c>
      <c r="AB475" s="26" t="b">
        <f>IF(Checks!$C475,IF(AND(UPPER(Data!$C475)&lt;&gt;"START",UPPER(Data!$C475)&lt;&gt;"DATA OBJECT",Data!E475&lt;&gt;""),NOT(ISERROR(MATCH(Data!$A475&amp;"||"&amp;Data!E475,Key,0))),TRUE),TRUE)</f>
        <v>1</v>
      </c>
      <c r="AC475" s="27" t="b">
        <f>IF(Checks!C475,IF(UPPER(Data!C475)="END",Data!E475&lt;&gt;"",TRUE),TRUE)</f>
        <v>1</v>
      </c>
    </row>
    <row r="476" spans="1:29" x14ac:dyDescent="0.25">
      <c r="A476" s="1" t="str">
        <f>Data!A476&amp;"||"&amp;Data!B476</f>
        <v>Miscellaneous/subflow/irmifrs9_postprocess_stage3.bpmn||010_00_00</v>
      </c>
      <c r="B476" s="19"/>
      <c r="C476" s="24" t="b">
        <f>AND(UPPER(Data!A476)&lt;&gt;"EMPTY",Data!B476&lt;&gt;"")</f>
        <v>1</v>
      </c>
      <c r="D476" s="1"/>
      <c r="E476" s="25" t="b">
        <f t="shared" ca="1" si="14"/>
        <v>1</v>
      </c>
      <c r="F476" s="26" t="b">
        <f ca="1">IF(UPPER(Data!C476)="SUB PROCESS",NOT(ISERROR(MATCH(RIGHT(Data!BY476,LEN(Data!BY476)-5),OFFSET(Data,0,0,ItemsCount,1),0))),TRUE)</f>
        <v>1</v>
      </c>
      <c r="G476" s="26" t="b">
        <f ca="1">IF(MID(UPPER(Data!A476),1,13)="MISCELLANEOUS",NOT(ISERROR(MATCH("path="&amp;Data!A476,OFFSET(Data,0,76,ItemsCount,1),0))),TRUE)</f>
        <v>1</v>
      </c>
      <c r="L476" s="25" t="b">
        <f t="shared" ca="1" si="15"/>
        <v>1</v>
      </c>
      <c r="M476" s="24" t="b">
        <f>IF(Checks!$C476,Data!A476&lt;&gt;"",TRUE)</f>
        <v>1</v>
      </c>
      <c r="N476" s="26" t="b">
        <f>IF(Checks!C476,Data!B476&lt;&gt;"",TRUE)</f>
        <v>1</v>
      </c>
      <c r="O476" s="26" t="b">
        <f>IF(Checks!C476,IF(AND(UPPER(Data!C476)="SERVICE TASK",UPPER(Data!BZ476)="TYPE=SAS"),NodeExists(TRIM(RIGHT(Data!CA476,LEN(Data!CA476)-FIND("=",Data!CA476)))),TRUE),TRUE)</f>
        <v>1</v>
      </c>
      <c r="P476" s="26" t="b">
        <f>IF(Checks!C476,IF(Data!C476="DATA OBJECT",OR(AND(Data!BW476&lt;&gt;"",Data!BX476=""),AND(Data!BW476="",Data!BX476&lt;&gt;"")),TRUE),TRUE)</f>
        <v>1</v>
      </c>
      <c r="Q476" s="26" t="b">
        <f>IF(Checks!C476,UPPER(RIGHT(Data!A476,5))=".BPMN",TRUE)</f>
        <v>1</v>
      </c>
      <c r="R476" s="26" t="b">
        <f>IF(Checks!C476,IF(UPPER(Data!C476)="SUB PROCESS",UPPER(RIGHT(Data!BY476,5))=".BPMN",TRUE),TRUE)</f>
        <v>1</v>
      </c>
      <c r="S476" s="26" t="b">
        <f>IF(Checks!C476,IF(UPPER(Data!C476)="SERVICE TASK",IF(UPPER(Data!BZ476)="TYPE=SAS",UPPER(RIGHT(Data!CA476,4))=".SAS",TRUE),TRUE),TRUE)</f>
        <v>1</v>
      </c>
      <c r="T476" s="26" t="b">
        <f>IF(Checks!C476,IF(Data!B476&lt;&gt;"",Data!D476&lt;&gt;"",TRUE),TRUE)</f>
        <v>1</v>
      </c>
      <c r="U476" s="26" t="b">
        <f>IF(Checks!C476,IF(UPPER(Data!C476)="DATA OBJECT",NOT(ISERROR(MATCH(Data!A476&amp;"||"&amp;Data!BW476&amp;Data!BX476,Key,0))),TRUE),TRUE)</f>
        <v>1</v>
      </c>
      <c r="V476" s="26" t="b">
        <f>IF(Checks!C476,IF(UPPER(Data!C476)="SUB PROCESS",Data!BY476&lt;&gt;"",TRUE),TRUE)</f>
        <v>1</v>
      </c>
      <c r="W476" s="26" t="b">
        <f>IF(Checks!C476,IF(UPPER(Data!C476)="SERVICE TASK",AND(Data!BZ476&lt;&gt;"",Data!CA476&lt;&gt;""),TRUE),TRUE)</f>
        <v>1</v>
      </c>
      <c r="X476" s="26" t="b">
        <f t="array" aca="1" ref="X476" ca="1">SUM((OFFSET(Data!B476,MAX(ROW(Data!$B$5)-ROW(Data!B476),-200),0,400,1)=Data!B476)*(OFFSET(Data!A476,MAX(ROW(Data!$B$5)-ROW(Data!B476),-200),0,400,1)=Data!A476))=1</f>
        <v>1</v>
      </c>
      <c r="Y476" s="26" t="b">
        <f t="array" aca="1" ref="Y476" ca="1">IF(UPPER(Data!C476)="START",SUM((OFFSET(Data!C476,MAX(ROW(Data!$C$5)-ROW(Data!C476),-200),0,400,1)="START")*(OFFSET(Data!A476,MAX(ROW(Data!$B$5)-ROW(Data!B476),-200),0,400,1)=Data!A476))=1,TRUE)</f>
        <v>1</v>
      </c>
      <c r="Z476" s="26" t="b">
        <f t="array" aca="1" ref="Z476" ca="1">IF(UPPER(Data!C476)="END",SUM((OFFSET(Data!C476,MAX(ROW(Data!$C$5)-ROW(Data!C476),-200),0,400,1)="END")*(OFFSET(Data!A476,MAX(ROW(Data!$B$5)-ROW(Data!B476),-200),0,400,1)=Data!A476))=1,TRUE)</f>
        <v>1</v>
      </c>
      <c r="AA476" s="26" t="b">
        <f>IF(Checks!C476,ISERROR(FIND("&amp;",Data!D476)),TRUE)</f>
        <v>1</v>
      </c>
      <c r="AB476" s="26" t="b">
        <f ca="1">IF(Checks!$C476,IF(AND(UPPER(Data!$C476)&lt;&gt;"START",UPPER(Data!$C476)&lt;&gt;"DATA OBJECT",Data!E476&lt;&gt;""),NOT(ISERROR(MATCH(Data!$A476&amp;"||"&amp;Data!E476,Key,0))),TRUE),TRUE)</f>
        <v>1</v>
      </c>
      <c r="AC476" s="27" t="b">
        <f>IF(Checks!C476,IF(UPPER(Data!C476)="END",Data!E476&lt;&gt;"",TRUE),TRUE)</f>
        <v>1</v>
      </c>
    </row>
    <row r="477" spans="1:29" x14ac:dyDescent="0.25">
      <c r="A477" s="1" t="str">
        <f>Data!A477&amp;"||"&amp;Data!B477</f>
        <v>Miscellaneous/subflow/irmifrs9_postprocess_stage3.bpmn||010_00_01</v>
      </c>
      <c r="B477" s="19"/>
      <c r="C477" s="24" t="b">
        <f>AND(UPPER(Data!A477)&lt;&gt;"EMPTY",Data!B477&lt;&gt;"")</f>
        <v>1</v>
      </c>
      <c r="D477" s="1"/>
      <c r="E477" s="25" t="b">
        <f t="shared" ca="1" si="14"/>
        <v>1</v>
      </c>
      <c r="F477" s="26" t="b">
        <f ca="1">IF(UPPER(Data!C477)="SUB PROCESS",NOT(ISERROR(MATCH(RIGHT(Data!BY477,LEN(Data!BY477)-5),OFFSET(Data,0,0,ItemsCount,1),0))),TRUE)</f>
        <v>1</v>
      </c>
      <c r="G477" s="26" t="b">
        <f ca="1">IF(MID(UPPER(Data!A477),1,13)="MISCELLANEOUS",NOT(ISERROR(MATCH("path="&amp;Data!A477,OFFSET(Data,0,76,ItemsCount,1),0))),TRUE)</f>
        <v>1</v>
      </c>
      <c r="L477" s="25" t="b">
        <f t="shared" ca="1" si="15"/>
        <v>1</v>
      </c>
      <c r="M477" s="24" t="b">
        <f>IF(Checks!$C477,Data!A477&lt;&gt;"",TRUE)</f>
        <v>1</v>
      </c>
      <c r="N477" s="26" t="b">
        <f>IF(Checks!C477,Data!B477&lt;&gt;"",TRUE)</f>
        <v>1</v>
      </c>
      <c r="O477" s="26" t="b">
        <f>IF(Checks!C477,IF(AND(UPPER(Data!C477)="SERVICE TASK",UPPER(Data!BZ477)="TYPE=SAS"),NodeExists(TRIM(RIGHT(Data!CA477,LEN(Data!CA477)-FIND("=",Data!CA477)))),TRUE),TRUE)</f>
        <v>1</v>
      </c>
      <c r="P477" s="26" t="b">
        <f>IF(Checks!C477,IF(Data!C477="DATA OBJECT",OR(AND(Data!BW477&lt;&gt;"",Data!BX477=""),AND(Data!BW477="",Data!BX477&lt;&gt;"")),TRUE),TRUE)</f>
        <v>1</v>
      </c>
      <c r="Q477" s="26" t="b">
        <f>IF(Checks!C477,UPPER(RIGHT(Data!A477,5))=".BPMN",TRUE)</f>
        <v>1</v>
      </c>
      <c r="R477" s="26" t="b">
        <f>IF(Checks!C477,IF(UPPER(Data!C477)="SUB PROCESS",UPPER(RIGHT(Data!BY477,5))=".BPMN",TRUE),TRUE)</f>
        <v>1</v>
      </c>
      <c r="S477" s="26" t="b">
        <f>IF(Checks!C477,IF(UPPER(Data!C477)="SERVICE TASK",IF(UPPER(Data!BZ477)="TYPE=SAS",UPPER(RIGHT(Data!CA477,4))=".SAS",TRUE),TRUE),TRUE)</f>
        <v>1</v>
      </c>
      <c r="T477" s="26" t="b">
        <f>IF(Checks!C477,IF(Data!B477&lt;&gt;"",Data!D477&lt;&gt;"",TRUE),TRUE)</f>
        <v>1</v>
      </c>
      <c r="U477" s="26" t="b">
        <f ca="1">IF(Checks!C477,IF(UPPER(Data!C477)="DATA OBJECT",NOT(ISERROR(MATCH(Data!A477&amp;"||"&amp;Data!BW477&amp;Data!BX477,Key,0))),TRUE),TRUE)</f>
        <v>1</v>
      </c>
      <c r="V477" s="26" t="b">
        <f>IF(Checks!C477,IF(UPPER(Data!C477)="SUB PROCESS",Data!BY477&lt;&gt;"",TRUE),TRUE)</f>
        <v>1</v>
      </c>
      <c r="W477" s="26" t="b">
        <f>IF(Checks!C477,IF(UPPER(Data!C477)="SERVICE TASK",AND(Data!BZ477&lt;&gt;"",Data!CA477&lt;&gt;""),TRUE),TRUE)</f>
        <v>1</v>
      </c>
      <c r="X477" s="26" t="b">
        <f t="array" aca="1" ref="X477" ca="1">SUM((OFFSET(Data!B477,MAX(ROW(Data!$B$5)-ROW(Data!B477),-200),0,400,1)=Data!B477)*(OFFSET(Data!A477,MAX(ROW(Data!$B$5)-ROW(Data!B477),-200),0,400,1)=Data!A477))=1</f>
        <v>1</v>
      </c>
      <c r="Y477" s="26" t="b">
        <f t="array" aca="1" ref="Y477" ca="1">IF(UPPER(Data!C477)="START",SUM((OFFSET(Data!C477,MAX(ROW(Data!$C$5)-ROW(Data!C477),-200),0,400,1)="START")*(OFFSET(Data!A477,MAX(ROW(Data!$B$5)-ROW(Data!B477),-200),0,400,1)=Data!A477))=1,TRUE)</f>
        <v>1</v>
      </c>
      <c r="Z477" s="26" t="b">
        <f t="array" aca="1" ref="Z477" ca="1">IF(UPPER(Data!C477)="END",SUM((OFFSET(Data!C477,MAX(ROW(Data!$C$5)-ROW(Data!C477),-200),0,400,1)="END")*(OFFSET(Data!A477,MAX(ROW(Data!$B$5)-ROW(Data!B477),-200),0,400,1)=Data!A477))=1,TRUE)</f>
        <v>1</v>
      </c>
      <c r="AA477" s="26" t="b">
        <f>IF(Checks!C477,ISERROR(FIND("&amp;",Data!D477)),TRUE)</f>
        <v>1</v>
      </c>
      <c r="AB477" s="26" t="b">
        <f>IF(Checks!$C477,IF(AND(UPPER(Data!$C477)&lt;&gt;"START",UPPER(Data!$C477)&lt;&gt;"DATA OBJECT",Data!E477&lt;&gt;""),NOT(ISERROR(MATCH(Data!$A477&amp;"||"&amp;Data!E477,Key,0))),TRUE),TRUE)</f>
        <v>1</v>
      </c>
      <c r="AC477" s="27" t="b">
        <f>IF(Checks!C477,IF(UPPER(Data!C477)="END",Data!E477&lt;&gt;"",TRUE),TRUE)</f>
        <v>1</v>
      </c>
    </row>
    <row r="478" spans="1:29" x14ac:dyDescent="0.25">
      <c r="A478" s="1" t="str">
        <f>Data!A478&amp;"||"&amp;Data!B478</f>
        <v>Miscellaneous/subflow/irmifrs9_postprocess_stage3.bpmn||010_00_02</v>
      </c>
      <c r="B478" s="19"/>
      <c r="C478" s="24" t="b">
        <f>AND(UPPER(Data!A478)&lt;&gt;"EMPTY",Data!B478&lt;&gt;"")</f>
        <v>1</v>
      </c>
      <c r="D478" s="1"/>
      <c r="E478" s="25" t="b">
        <f t="shared" ca="1" si="14"/>
        <v>1</v>
      </c>
      <c r="F478" s="26" t="b">
        <f ca="1">IF(UPPER(Data!C478)="SUB PROCESS",NOT(ISERROR(MATCH(RIGHT(Data!BY478,LEN(Data!BY478)-5),OFFSET(Data,0,0,ItemsCount,1),0))),TRUE)</f>
        <v>1</v>
      </c>
      <c r="G478" s="26" t="b">
        <f ca="1">IF(MID(UPPER(Data!A478),1,13)="MISCELLANEOUS",NOT(ISERROR(MATCH("path="&amp;Data!A478,OFFSET(Data,0,76,ItemsCount,1),0))),TRUE)</f>
        <v>1</v>
      </c>
      <c r="L478" s="25" t="b">
        <f t="shared" ca="1" si="15"/>
        <v>1</v>
      </c>
      <c r="M478" s="24" t="b">
        <f>IF(Checks!$C478,Data!A478&lt;&gt;"",TRUE)</f>
        <v>1</v>
      </c>
      <c r="N478" s="26" t="b">
        <f>IF(Checks!C478,Data!B478&lt;&gt;"",TRUE)</f>
        <v>1</v>
      </c>
      <c r="O478" s="26" t="b">
        <f>IF(Checks!C478,IF(AND(UPPER(Data!C478)="SERVICE TASK",UPPER(Data!BZ478)="TYPE=SAS"),NodeExists(TRIM(RIGHT(Data!CA478,LEN(Data!CA478)-FIND("=",Data!CA478)))),TRUE),TRUE)</f>
        <v>1</v>
      </c>
      <c r="P478" s="26" t="b">
        <f>IF(Checks!C478,IF(Data!C478="DATA OBJECT",OR(AND(Data!BW478&lt;&gt;"",Data!BX478=""),AND(Data!BW478="",Data!BX478&lt;&gt;"")),TRUE),TRUE)</f>
        <v>1</v>
      </c>
      <c r="Q478" s="26" t="b">
        <f>IF(Checks!C478,UPPER(RIGHT(Data!A478,5))=".BPMN",TRUE)</f>
        <v>1</v>
      </c>
      <c r="R478" s="26" t="b">
        <f>IF(Checks!C478,IF(UPPER(Data!C478)="SUB PROCESS",UPPER(RIGHT(Data!BY478,5))=".BPMN",TRUE),TRUE)</f>
        <v>1</v>
      </c>
      <c r="S478" s="26" t="b">
        <f>IF(Checks!C478,IF(UPPER(Data!C478)="SERVICE TASK",IF(UPPER(Data!BZ478)="TYPE=SAS",UPPER(RIGHT(Data!CA478,4))=".SAS",TRUE),TRUE),TRUE)</f>
        <v>1</v>
      </c>
      <c r="T478" s="26" t="b">
        <f>IF(Checks!C478,IF(Data!B478&lt;&gt;"",Data!D478&lt;&gt;"",TRUE),TRUE)</f>
        <v>1</v>
      </c>
      <c r="U478" s="26" t="b">
        <f ca="1">IF(Checks!C478,IF(UPPER(Data!C478)="DATA OBJECT",NOT(ISERROR(MATCH(Data!A478&amp;"||"&amp;Data!BW478&amp;Data!BX478,Key,0))),TRUE),TRUE)</f>
        <v>1</v>
      </c>
      <c r="V478" s="26" t="b">
        <f>IF(Checks!C478,IF(UPPER(Data!C478)="SUB PROCESS",Data!BY478&lt;&gt;"",TRUE),TRUE)</f>
        <v>1</v>
      </c>
      <c r="W478" s="26" t="b">
        <f>IF(Checks!C478,IF(UPPER(Data!C478)="SERVICE TASK",AND(Data!BZ478&lt;&gt;"",Data!CA478&lt;&gt;""),TRUE),TRUE)</f>
        <v>1</v>
      </c>
      <c r="X478" s="26" t="b">
        <f t="array" aca="1" ref="X478" ca="1">SUM((OFFSET(Data!B478,MAX(ROW(Data!$B$5)-ROW(Data!B478),-200),0,400,1)=Data!B478)*(OFFSET(Data!A478,MAX(ROW(Data!$B$5)-ROW(Data!B478),-200),0,400,1)=Data!A478))=1</f>
        <v>1</v>
      </c>
      <c r="Y478" s="26" t="b">
        <f t="array" aca="1" ref="Y478" ca="1">IF(UPPER(Data!C478)="START",SUM((OFFSET(Data!C478,MAX(ROW(Data!$C$5)-ROW(Data!C478),-200),0,400,1)="START")*(OFFSET(Data!A478,MAX(ROW(Data!$B$5)-ROW(Data!B478),-200),0,400,1)=Data!A478))=1,TRUE)</f>
        <v>1</v>
      </c>
      <c r="Z478" s="26" t="b">
        <f t="array" aca="1" ref="Z478" ca="1">IF(UPPER(Data!C478)="END",SUM((OFFSET(Data!C478,MAX(ROW(Data!$C$5)-ROW(Data!C478),-200),0,400,1)="END")*(OFFSET(Data!A478,MAX(ROW(Data!$B$5)-ROW(Data!B478),-200),0,400,1)=Data!A478))=1,TRUE)</f>
        <v>1</v>
      </c>
      <c r="AA478" s="26" t="b">
        <f>IF(Checks!C478,ISERROR(FIND("&amp;",Data!D478)),TRUE)</f>
        <v>1</v>
      </c>
      <c r="AB478" s="26" t="b">
        <f>IF(Checks!$C478,IF(AND(UPPER(Data!$C478)&lt;&gt;"START",UPPER(Data!$C478)&lt;&gt;"DATA OBJECT",Data!E478&lt;&gt;""),NOT(ISERROR(MATCH(Data!$A478&amp;"||"&amp;Data!E478,Key,0))),TRUE),TRUE)</f>
        <v>1</v>
      </c>
      <c r="AC478" s="27" t="b">
        <f>IF(Checks!C478,IF(UPPER(Data!C478)="END",Data!E478&lt;&gt;"",TRUE),TRUE)</f>
        <v>1</v>
      </c>
    </row>
    <row r="479" spans="1:29" x14ac:dyDescent="0.25">
      <c r="A479" s="1" t="str">
        <f>Data!A479&amp;"||"&amp;Data!B479</f>
        <v>Miscellaneous/subflow/irmifrs9_postprocess_stage3.bpmn||010_00_03</v>
      </c>
      <c r="B479" s="19"/>
      <c r="C479" s="24" t="b">
        <f>AND(UPPER(Data!A479)&lt;&gt;"EMPTY",Data!B479&lt;&gt;"")</f>
        <v>1</v>
      </c>
      <c r="D479" s="1"/>
      <c r="E479" s="25" t="b">
        <f t="shared" ca="1" si="14"/>
        <v>1</v>
      </c>
      <c r="F479" s="26" t="b">
        <f ca="1">IF(UPPER(Data!C479)="SUB PROCESS",NOT(ISERROR(MATCH(RIGHT(Data!BY479,LEN(Data!BY479)-5),OFFSET(Data,0,0,ItemsCount,1),0))),TRUE)</f>
        <v>1</v>
      </c>
      <c r="G479" s="26" t="b">
        <f ca="1">IF(MID(UPPER(Data!A479),1,13)="MISCELLANEOUS",NOT(ISERROR(MATCH("path="&amp;Data!A479,OFFSET(Data,0,76,ItemsCount,1),0))),TRUE)</f>
        <v>1</v>
      </c>
      <c r="L479" s="25" t="b">
        <f t="shared" ca="1" si="15"/>
        <v>1</v>
      </c>
      <c r="M479" s="24" t="b">
        <f>IF(Checks!$C479,Data!A479&lt;&gt;"",TRUE)</f>
        <v>1</v>
      </c>
      <c r="N479" s="26" t="b">
        <f>IF(Checks!C479,Data!B479&lt;&gt;"",TRUE)</f>
        <v>1</v>
      </c>
      <c r="O479" s="26" t="b">
        <f>IF(Checks!C479,IF(AND(UPPER(Data!C479)="SERVICE TASK",UPPER(Data!BZ479)="TYPE=SAS"),NodeExists(TRIM(RIGHT(Data!CA479,LEN(Data!CA479)-FIND("=",Data!CA479)))),TRUE),TRUE)</f>
        <v>1</v>
      </c>
      <c r="P479" s="26" t="b">
        <f>IF(Checks!C479,IF(Data!C479="DATA OBJECT",OR(AND(Data!BW479&lt;&gt;"",Data!BX479=""),AND(Data!BW479="",Data!BX479&lt;&gt;"")),TRUE),TRUE)</f>
        <v>1</v>
      </c>
      <c r="Q479" s="26" t="b">
        <f>IF(Checks!C479,UPPER(RIGHT(Data!A479,5))=".BPMN",TRUE)</f>
        <v>1</v>
      </c>
      <c r="R479" s="26" t="b">
        <f>IF(Checks!C479,IF(UPPER(Data!C479)="SUB PROCESS",UPPER(RIGHT(Data!BY479,5))=".BPMN",TRUE),TRUE)</f>
        <v>1</v>
      </c>
      <c r="S479" s="26" t="b">
        <f>IF(Checks!C479,IF(UPPER(Data!C479)="SERVICE TASK",IF(UPPER(Data!BZ479)="TYPE=SAS",UPPER(RIGHT(Data!CA479,4))=".SAS",TRUE),TRUE),TRUE)</f>
        <v>1</v>
      </c>
      <c r="T479" s="26" t="b">
        <f>IF(Checks!C479,IF(Data!B479&lt;&gt;"",Data!D479&lt;&gt;"",TRUE),TRUE)</f>
        <v>1</v>
      </c>
      <c r="U479" s="26" t="b">
        <f ca="1">IF(Checks!C479,IF(UPPER(Data!C479)="DATA OBJECT",NOT(ISERROR(MATCH(Data!A479&amp;"||"&amp;Data!BW479&amp;Data!BX479,Key,0))),TRUE),TRUE)</f>
        <v>1</v>
      </c>
      <c r="V479" s="26" t="b">
        <f>IF(Checks!C479,IF(UPPER(Data!C479)="SUB PROCESS",Data!BY479&lt;&gt;"",TRUE),TRUE)</f>
        <v>1</v>
      </c>
      <c r="W479" s="26" t="b">
        <f>IF(Checks!C479,IF(UPPER(Data!C479)="SERVICE TASK",AND(Data!BZ479&lt;&gt;"",Data!CA479&lt;&gt;""),TRUE),TRUE)</f>
        <v>1</v>
      </c>
      <c r="X479" s="26" t="b">
        <f t="array" aca="1" ref="X479" ca="1">SUM((OFFSET(Data!B479,MAX(ROW(Data!$B$5)-ROW(Data!B479),-200),0,400,1)=Data!B479)*(OFFSET(Data!A479,MAX(ROW(Data!$B$5)-ROW(Data!B479),-200),0,400,1)=Data!A479))=1</f>
        <v>1</v>
      </c>
      <c r="Y479" s="26" t="b">
        <f t="array" aca="1" ref="Y479" ca="1">IF(UPPER(Data!C479)="START",SUM((OFFSET(Data!C479,MAX(ROW(Data!$C$5)-ROW(Data!C479),-200),0,400,1)="START")*(OFFSET(Data!A479,MAX(ROW(Data!$B$5)-ROW(Data!B479),-200),0,400,1)=Data!A479))=1,TRUE)</f>
        <v>1</v>
      </c>
      <c r="Z479" s="26" t="b">
        <f t="array" aca="1" ref="Z479" ca="1">IF(UPPER(Data!C479)="END",SUM((OFFSET(Data!C479,MAX(ROW(Data!$C$5)-ROW(Data!C479),-200),0,400,1)="END")*(OFFSET(Data!A479,MAX(ROW(Data!$B$5)-ROW(Data!B479),-200),0,400,1)=Data!A479))=1,TRUE)</f>
        <v>1</v>
      </c>
      <c r="AA479" s="26" t="b">
        <f>IF(Checks!C479,ISERROR(FIND("&amp;",Data!D479)),TRUE)</f>
        <v>1</v>
      </c>
      <c r="AB479" s="26" t="b">
        <f>IF(Checks!$C479,IF(AND(UPPER(Data!$C479)&lt;&gt;"START",UPPER(Data!$C479)&lt;&gt;"DATA OBJECT",Data!E479&lt;&gt;""),NOT(ISERROR(MATCH(Data!$A479&amp;"||"&amp;Data!E479,Key,0))),TRUE),TRUE)</f>
        <v>1</v>
      </c>
      <c r="AC479" s="27" t="b">
        <f>IF(Checks!C479,IF(UPPER(Data!C479)="END",Data!E479&lt;&gt;"",TRUE),TRUE)</f>
        <v>1</v>
      </c>
    </row>
    <row r="480" spans="1:29" x14ac:dyDescent="0.25">
      <c r="A480" s="1" t="str">
        <f>Data!A480&amp;"||"&amp;Data!B480</f>
        <v>Miscellaneous/subflow/irmifrs9_postprocess_stage3.bpmn||010_01_00</v>
      </c>
      <c r="B480" s="19"/>
      <c r="C480" s="24" t="b">
        <f>AND(UPPER(Data!A480)&lt;&gt;"EMPTY",Data!B480&lt;&gt;"")</f>
        <v>1</v>
      </c>
      <c r="D480" s="1"/>
      <c r="E480" s="25" t="b">
        <f t="shared" ca="1" si="14"/>
        <v>1</v>
      </c>
      <c r="F480" s="26" t="b">
        <f ca="1">IF(UPPER(Data!C480)="SUB PROCESS",NOT(ISERROR(MATCH(RIGHT(Data!BY480,LEN(Data!BY480)-5),OFFSET(Data,0,0,ItemsCount,1),0))),TRUE)</f>
        <v>1</v>
      </c>
      <c r="G480" s="26" t="b">
        <f ca="1">IF(MID(UPPER(Data!A480),1,13)="MISCELLANEOUS",NOT(ISERROR(MATCH("path="&amp;Data!A480,OFFSET(Data,0,76,ItemsCount,1),0))),TRUE)</f>
        <v>1</v>
      </c>
      <c r="L480" s="25" t="b">
        <f t="shared" ca="1" si="15"/>
        <v>1</v>
      </c>
      <c r="M480" s="24" t="b">
        <f>IF(Checks!$C480,Data!A480&lt;&gt;"",TRUE)</f>
        <v>1</v>
      </c>
      <c r="N480" s="26" t="b">
        <f>IF(Checks!C480,Data!B480&lt;&gt;"",TRUE)</f>
        <v>1</v>
      </c>
      <c r="O480" s="26" t="b">
        <f>IF(Checks!C480,IF(AND(UPPER(Data!C480)="SERVICE TASK",UPPER(Data!BZ480)="TYPE=SAS"),NodeExists(TRIM(RIGHT(Data!CA480,LEN(Data!CA480)-FIND("=",Data!CA480)))),TRUE),TRUE)</f>
        <v>1</v>
      </c>
      <c r="P480" s="26" t="b">
        <f>IF(Checks!C480,IF(Data!C480="DATA OBJECT",OR(AND(Data!BW480&lt;&gt;"",Data!BX480=""),AND(Data!BW480="",Data!BX480&lt;&gt;"")),TRUE),TRUE)</f>
        <v>1</v>
      </c>
      <c r="Q480" s="26" t="b">
        <f>IF(Checks!C480,UPPER(RIGHT(Data!A480,5))=".BPMN",TRUE)</f>
        <v>1</v>
      </c>
      <c r="R480" s="26" t="b">
        <f>IF(Checks!C480,IF(UPPER(Data!C480)="SUB PROCESS",UPPER(RIGHT(Data!BY480,5))=".BPMN",TRUE),TRUE)</f>
        <v>1</v>
      </c>
      <c r="S480" s="26" t="b">
        <f>IF(Checks!C480,IF(UPPER(Data!C480)="SERVICE TASK",IF(UPPER(Data!BZ480)="TYPE=SAS",UPPER(RIGHT(Data!CA480,4))=".SAS",TRUE),TRUE),TRUE)</f>
        <v>1</v>
      </c>
      <c r="T480" s="26" t="b">
        <f>IF(Checks!C480,IF(Data!B480&lt;&gt;"",Data!D480&lt;&gt;"",TRUE),TRUE)</f>
        <v>1</v>
      </c>
      <c r="U480" s="26" t="b">
        <f ca="1">IF(Checks!C480,IF(UPPER(Data!C480)="DATA OBJECT",NOT(ISERROR(MATCH(Data!A480&amp;"||"&amp;Data!BW480&amp;Data!BX480,Key,0))),TRUE),TRUE)</f>
        <v>1</v>
      </c>
      <c r="V480" s="26" t="b">
        <f>IF(Checks!C480,IF(UPPER(Data!C480)="SUB PROCESS",Data!BY480&lt;&gt;"",TRUE),TRUE)</f>
        <v>1</v>
      </c>
      <c r="W480" s="26" t="b">
        <f>IF(Checks!C480,IF(UPPER(Data!C480)="SERVICE TASK",AND(Data!BZ480&lt;&gt;"",Data!CA480&lt;&gt;""),TRUE),TRUE)</f>
        <v>1</v>
      </c>
      <c r="X480" s="26" t="b">
        <f t="array" aca="1" ref="X480" ca="1">SUM((OFFSET(Data!B480,MAX(ROW(Data!$B$5)-ROW(Data!B480),-200),0,400,1)=Data!B480)*(OFFSET(Data!A480,MAX(ROW(Data!$B$5)-ROW(Data!B480),-200),0,400,1)=Data!A480))=1</f>
        <v>1</v>
      </c>
      <c r="Y480" s="26" t="b">
        <f t="array" aca="1" ref="Y480" ca="1">IF(UPPER(Data!C480)="START",SUM((OFFSET(Data!C480,MAX(ROW(Data!$C$5)-ROW(Data!C480),-200),0,400,1)="START")*(OFFSET(Data!A480,MAX(ROW(Data!$B$5)-ROW(Data!B480),-200),0,400,1)=Data!A480))=1,TRUE)</f>
        <v>1</v>
      </c>
      <c r="Z480" s="26" t="b">
        <f t="array" aca="1" ref="Z480" ca="1">IF(UPPER(Data!C480)="END",SUM((OFFSET(Data!C480,MAX(ROW(Data!$C$5)-ROW(Data!C480),-200),0,400,1)="END")*(OFFSET(Data!A480,MAX(ROW(Data!$B$5)-ROW(Data!B480),-200),0,400,1)=Data!A480))=1,TRUE)</f>
        <v>1</v>
      </c>
      <c r="AA480" s="26" t="b">
        <f>IF(Checks!C480,ISERROR(FIND("&amp;",Data!D480)),TRUE)</f>
        <v>1</v>
      </c>
      <c r="AB480" s="26" t="b">
        <f>IF(Checks!$C480,IF(AND(UPPER(Data!$C480)&lt;&gt;"START",UPPER(Data!$C480)&lt;&gt;"DATA OBJECT",Data!E480&lt;&gt;""),NOT(ISERROR(MATCH(Data!$A480&amp;"||"&amp;Data!E480,Key,0))),TRUE),TRUE)</f>
        <v>1</v>
      </c>
      <c r="AC480" s="27" t="b">
        <f>IF(Checks!C480,IF(UPPER(Data!C480)="END",Data!E480&lt;&gt;"",TRUE),TRUE)</f>
        <v>1</v>
      </c>
    </row>
    <row r="481" spans="1:29" x14ac:dyDescent="0.25">
      <c r="A481" s="1" t="str">
        <f>Data!A481&amp;"||"&amp;Data!B481</f>
        <v>Miscellaneous/subflow/irmifrs9_postprocess_stage3.bpmn||020_00_00</v>
      </c>
      <c r="B481" s="19"/>
      <c r="C481" s="24" t="b">
        <f>AND(UPPER(Data!A481)&lt;&gt;"EMPTY",Data!B481&lt;&gt;"")</f>
        <v>1</v>
      </c>
      <c r="D481" s="1"/>
      <c r="E481" s="25" t="b">
        <f t="shared" ca="1" si="14"/>
        <v>1</v>
      </c>
      <c r="F481" s="26" t="b">
        <f ca="1">IF(UPPER(Data!C481)="SUB PROCESS",NOT(ISERROR(MATCH(RIGHT(Data!BY481,LEN(Data!BY481)-5),OFFSET(Data,0,0,ItemsCount,1),0))),TRUE)</f>
        <v>1</v>
      </c>
      <c r="G481" s="26" t="b">
        <f ca="1">IF(MID(UPPER(Data!A481),1,13)="MISCELLANEOUS",NOT(ISERROR(MATCH("path="&amp;Data!A481,OFFSET(Data,0,76,ItemsCount,1),0))),TRUE)</f>
        <v>1</v>
      </c>
      <c r="L481" s="25" t="b">
        <f t="shared" ca="1" si="15"/>
        <v>1</v>
      </c>
      <c r="M481" s="24" t="b">
        <f>IF(Checks!$C481,Data!A481&lt;&gt;"",TRUE)</f>
        <v>1</v>
      </c>
      <c r="N481" s="26" t="b">
        <f>IF(Checks!C481,Data!B481&lt;&gt;"",TRUE)</f>
        <v>1</v>
      </c>
      <c r="O481" s="26" t="b">
        <f>IF(Checks!C481,IF(AND(UPPER(Data!C481)="SERVICE TASK",UPPER(Data!BZ481)="TYPE=SAS"),NodeExists(TRIM(RIGHT(Data!CA481,LEN(Data!CA481)-FIND("=",Data!CA481)))),TRUE),TRUE)</f>
        <v>1</v>
      </c>
      <c r="P481" s="26" t="b">
        <f>IF(Checks!C481,IF(Data!C481="DATA OBJECT",OR(AND(Data!BW481&lt;&gt;"",Data!BX481=""),AND(Data!BW481="",Data!BX481&lt;&gt;"")),TRUE),TRUE)</f>
        <v>1</v>
      </c>
      <c r="Q481" s="26" t="b">
        <f>IF(Checks!C481,UPPER(RIGHT(Data!A481,5))=".BPMN",TRUE)</f>
        <v>1</v>
      </c>
      <c r="R481" s="26" t="b">
        <f>IF(Checks!C481,IF(UPPER(Data!C481)="SUB PROCESS",UPPER(RIGHT(Data!BY481,5))=".BPMN",TRUE),TRUE)</f>
        <v>1</v>
      </c>
      <c r="S481" s="26" t="b">
        <f>IF(Checks!C481,IF(UPPER(Data!C481)="SERVICE TASK",IF(UPPER(Data!BZ481)="TYPE=SAS",UPPER(RIGHT(Data!CA481,4))=".SAS",TRUE),TRUE),TRUE)</f>
        <v>1</v>
      </c>
      <c r="T481" s="26" t="b">
        <f>IF(Checks!C481,IF(Data!B481&lt;&gt;"",Data!D481&lt;&gt;"",TRUE),TRUE)</f>
        <v>1</v>
      </c>
      <c r="U481" s="26" t="b">
        <f>IF(Checks!C481,IF(UPPER(Data!C481)="DATA OBJECT",NOT(ISERROR(MATCH(Data!A481&amp;"||"&amp;Data!BW481&amp;Data!BX481,Key,0))),TRUE),TRUE)</f>
        <v>1</v>
      </c>
      <c r="V481" s="26" t="b">
        <f>IF(Checks!C481,IF(UPPER(Data!C481)="SUB PROCESS",Data!BY481&lt;&gt;"",TRUE),TRUE)</f>
        <v>1</v>
      </c>
      <c r="W481" s="26" t="b">
        <f>IF(Checks!C481,IF(UPPER(Data!C481)="SERVICE TASK",AND(Data!BZ481&lt;&gt;"",Data!CA481&lt;&gt;""),TRUE),TRUE)</f>
        <v>1</v>
      </c>
      <c r="X481" s="26" t="b">
        <f t="array" aca="1" ref="X481" ca="1">SUM((OFFSET(Data!B481,MAX(ROW(Data!$B$5)-ROW(Data!B481),-200),0,400,1)=Data!B481)*(OFFSET(Data!A481,MAX(ROW(Data!$B$5)-ROW(Data!B481),-200),0,400,1)=Data!A481))=1</f>
        <v>1</v>
      </c>
      <c r="Y481" s="26" t="b">
        <f t="array" aca="1" ref="Y481" ca="1">IF(UPPER(Data!C481)="START",SUM((OFFSET(Data!C481,MAX(ROW(Data!$C$5)-ROW(Data!C481),-200),0,400,1)="START")*(OFFSET(Data!A481,MAX(ROW(Data!$B$5)-ROW(Data!B481),-200),0,400,1)=Data!A481))=1,TRUE)</f>
        <v>1</v>
      </c>
      <c r="Z481" s="26" t="b">
        <f t="array" aca="1" ref="Z481" ca="1">IF(UPPER(Data!C481)="END",SUM((OFFSET(Data!C481,MAX(ROW(Data!$C$5)-ROW(Data!C481),-200),0,400,1)="END")*(OFFSET(Data!A481,MAX(ROW(Data!$B$5)-ROW(Data!B481),-200),0,400,1)=Data!A481))=1,TRUE)</f>
        <v>1</v>
      </c>
      <c r="AA481" s="26" t="b">
        <f>IF(Checks!C481,ISERROR(FIND("&amp;",Data!D481)),TRUE)</f>
        <v>1</v>
      </c>
      <c r="AB481" s="26" t="b">
        <f ca="1">IF(Checks!$C481,IF(AND(UPPER(Data!$C481)&lt;&gt;"START",UPPER(Data!$C481)&lt;&gt;"DATA OBJECT",Data!E481&lt;&gt;""),NOT(ISERROR(MATCH(Data!$A481&amp;"||"&amp;Data!E481,Key,0))),TRUE),TRUE)</f>
        <v>1</v>
      </c>
      <c r="AC481" s="27" t="b">
        <f>IF(Checks!C481,IF(UPPER(Data!C481)="END",Data!E481&lt;&gt;"",TRUE),TRUE)</f>
        <v>1</v>
      </c>
    </row>
    <row r="482" spans="1:29" x14ac:dyDescent="0.25">
      <c r="A482" s="1" t="str">
        <f>Data!A482&amp;"||"&amp;Data!B482</f>
        <v>Miscellaneous/subflow/irmifrs9_postprocess_stage3.bpmn||020_00_01</v>
      </c>
      <c r="B482" s="19"/>
      <c r="C482" s="24" t="b">
        <f>AND(UPPER(Data!A482)&lt;&gt;"EMPTY",Data!B482&lt;&gt;"")</f>
        <v>1</v>
      </c>
      <c r="D482" s="1"/>
      <c r="E482" s="25" t="b">
        <f t="shared" ca="1" si="14"/>
        <v>1</v>
      </c>
      <c r="F482" s="26" t="b">
        <f ca="1">IF(UPPER(Data!C482)="SUB PROCESS",NOT(ISERROR(MATCH(RIGHT(Data!BY482,LEN(Data!BY482)-5),OFFSET(Data,0,0,ItemsCount,1),0))),TRUE)</f>
        <v>1</v>
      </c>
      <c r="G482" s="26" t="b">
        <f ca="1">IF(MID(UPPER(Data!A482),1,13)="MISCELLANEOUS",NOT(ISERROR(MATCH("path="&amp;Data!A482,OFFSET(Data,0,76,ItemsCount,1),0))),TRUE)</f>
        <v>1</v>
      </c>
      <c r="L482" s="25" t="b">
        <f t="shared" ca="1" si="15"/>
        <v>1</v>
      </c>
      <c r="M482" s="24" t="b">
        <f>IF(Checks!$C482,Data!A482&lt;&gt;"",TRUE)</f>
        <v>1</v>
      </c>
      <c r="N482" s="26" t="b">
        <f>IF(Checks!C482,Data!B482&lt;&gt;"",TRUE)</f>
        <v>1</v>
      </c>
      <c r="O482" s="26" t="b">
        <f>IF(Checks!C482,IF(AND(UPPER(Data!C482)="SERVICE TASK",UPPER(Data!BZ482)="TYPE=SAS"),NodeExists(TRIM(RIGHT(Data!CA482,LEN(Data!CA482)-FIND("=",Data!CA482)))),TRUE),TRUE)</f>
        <v>1</v>
      </c>
      <c r="P482" s="26" t="b">
        <f>IF(Checks!C482,IF(Data!C482="DATA OBJECT",OR(AND(Data!BW482&lt;&gt;"",Data!BX482=""),AND(Data!BW482="",Data!BX482&lt;&gt;"")),TRUE),TRUE)</f>
        <v>1</v>
      </c>
      <c r="Q482" s="26" t="b">
        <f>IF(Checks!C482,UPPER(RIGHT(Data!A482,5))=".BPMN",TRUE)</f>
        <v>1</v>
      </c>
      <c r="R482" s="26" t="b">
        <f>IF(Checks!C482,IF(UPPER(Data!C482)="SUB PROCESS",UPPER(RIGHT(Data!BY482,5))=".BPMN",TRUE),TRUE)</f>
        <v>1</v>
      </c>
      <c r="S482" s="26" t="b">
        <f>IF(Checks!C482,IF(UPPER(Data!C482)="SERVICE TASK",IF(UPPER(Data!BZ482)="TYPE=SAS",UPPER(RIGHT(Data!CA482,4))=".SAS",TRUE),TRUE),TRUE)</f>
        <v>1</v>
      </c>
      <c r="T482" s="26" t="b">
        <f>IF(Checks!C482,IF(Data!B482&lt;&gt;"",Data!D482&lt;&gt;"",TRUE),TRUE)</f>
        <v>1</v>
      </c>
      <c r="U482" s="26" t="b">
        <f ca="1">IF(Checks!C482,IF(UPPER(Data!C482)="DATA OBJECT",NOT(ISERROR(MATCH(Data!A482&amp;"||"&amp;Data!BW482&amp;Data!BX482,Key,0))),TRUE),TRUE)</f>
        <v>1</v>
      </c>
      <c r="V482" s="26" t="b">
        <f>IF(Checks!C482,IF(UPPER(Data!C482)="SUB PROCESS",Data!BY482&lt;&gt;"",TRUE),TRUE)</f>
        <v>1</v>
      </c>
      <c r="W482" s="26" t="b">
        <f>IF(Checks!C482,IF(UPPER(Data!C482)="SERVICE TASK",AND(Data!BZ482&lt;&gt;"",Data!CA482&lt;&gt;""),TRUE),TRUE)</f>
        <v>1</v>
      </c>
      <c r="X482" s="26" t="b">
        <f t="array" aca="1" ref="X482" ca="1">SUM((OFFSET(Data!B482,MAX(ROW(Data!$B$5)-ROW(Data!B482),-200),0,400,1)=Data!B482)*(OFFSET(Data!A482,MAX(ROW(Data!$B$5)-ROW(Data!B482),-200),0,400,1)=Data!A482))=1</f>
        <v>1</v>
      </c>
      <c r="Y482" s="26" t="b">
        <f t="array" aca="1" ref="Y482" ca="1">IF(UPPER(Data!C482)="START",SUM((OFFSET(Data!C482,MAX(ROW(Data!$C$5)-ROW(Data!C482),-200),0,400,1)="START")*(OFFSET(Data!A482,MAX(ROW(Data!$B$5)-ROW(Data!B482),-200),0,400,1)=Data!A482))=1,TRUE)</f>
        <v>1</v>
      </c>
      <c r="Z482" s="26" t="b">
        <f t="array" aca="1" ref="Z482" ca="1">IF(UPPER(Data!C482)="END",SUM((OFFSET(Data!C482,MAX(ROW(Data!$C$5)-ROW(Data!C482),-200),0,400,1)="END")*(OFFSET(Data!A482,MAX(ROW(Data!$B$5)-ROW(Data!B482),-200),0,400,1)=Data!A482))=1,TRUE)</f>
        <v>1</v>
      </c>
      <c r="AA482" s="26" t="b">
        <f>IF(Checks!C482,ISERROR(FIND("&amp;",Data!D482)),TRUE)</f>
        <v>1</v>
      </c>
      <c r="AB482" s="26" t="b">
        <f>IF(Checks!$C482,IF(AND(UPPER(Data!$C482)&lt;&gt;"START",UPPER(Data!$C482)&lt;&gt;"DATA OBJECT",Data!E482&lt;&gt;""),NOT(ISERROR(MATCH(Data!$A482&amp;"||"&amp;Data!E482,Key,0))),TRUE),TRUE)</f>
        <v>1</v>
      </c>
      <c r="AC482" s="27" t="b">
        <f>IF(Checks!C482,IF(UPPER(Data!C482)="END",Data!E482&lt;&gt;"",TRUE),TRUE)</f>
        <v>1</v>
      </c>
    </row>
    <row r="483" spans="1:29" x14ac:dyDescent="0.25">
      <c r="A483" s="1" t="str">
        <f>Data!A483&amp;"||"&amp;Data!B483</f>
        <v>Miscellaneous/subflow/irmifrs9_postprocess_stage3.bpmn||020_00_02</v>
      </c>
      <c r="B483" s="19"/>
      <c r="C483" s="24" t="b">
        <f>AND(UPPER(Data!A483)&lt;&gt;"EMPTY",Data!B483&lt;&gt;"")</f>
        <v>1</v>
      </c>
      <c r="D483" s="1"/>
      <c r="E483" s="25" t="b">
        <f t="shared" ca="1" si="14"/>
        <v>1</v>
      </c>
      <c r="F483" s="26" t="b">
        <f ca="1">IF(UPPER(Data!C483)="SUB PROCESS",NOT(ISERROR(MATCH(RIGHT(Data!BY483,LEN(Data!BY483)-5),OFFSET(Data,0,0,ItemsCount,1),0))),TRUE)</f>
        <v>1</v>
      </c>
      <c r="G483" s="26" t="b">
        <f ca="1">IF(MID(UPPER(Data!A483),1,13)="MISCELLANEOUS",NOT(ISERROR(MATCH("path="&amp;Data!A483,OFFSET(Data,0,76,ItemsCount,1),0))),TRUE)</f>
        <v>1</v>
      </c>
      <c r="L483" s="25" t="b">
        <f t="shared" ca="1" si="15"/>
        <v>1</v>
      </c>
      <c r="M483" s="24" t="b">
        <f>IF(Checks!$C483,Data!A483&lt;&gt;"",TRUE)</f>
        <v>1</v>
      </c>
      <c r="N483" s="26" t="b">
        <f>IF(Checks!C483,Data!B483&lt;&gt;"",TRUE)</f>
        <v>1</v>
      </c>
      <c r="O483" s="26" t="b">
        <f>IF(Checks!C483,IF(AND(UPPER(Data!C483)="SERVICE TASK",UPPER(Data!BZ483)="TYPE=SAS"),NodeExists(TRIM(RIGHT(Data!CA483,LEN(Data!CA483)-FIND("=",Data!CA483)))),TRUE),TRUE)</f>
        <v>1</v>
      </c>
      <c r="P483" s="26" t="b">
        <f>IF(Checks!C483,IF(Data!C483="DATA OBJECT",OR(AND(Data!BW483&lt;&gt;"",Data!BX483=""),AND(Data!BW483="",Data!BX483&lt;&gt;"")),TRUE),TRUE)</f>
        <v>1</v>
      </c>
      <c r="Q483" s="26" t="b">
        <f>IF(Checks!C483,UPPER(RIGHT(Data!A483,5))=".BPMN",TRUE)</f>
        <v>1</v>
      </c>
      <c r="R483" s="26" t="b">
        <f>IF(Checks!C483,IF(UPPER(Data!C483)="SUB PROCESS",UPPER(RIGHT(Data!BY483,5))=".BPMN",TRUE),TRUE)</f>
        <v>1</v>
      </c>
      <c r="S483" s="26" t="b">
        <f>IF(Checks!C483,IF(UPPER(Data!C483)="SERVICE TASK",IF(UPPER(Data!BZ483)="TYPE=SAS",UPPER(RIGHT(Data!CA483,4))=".SAS",TRUE),TRUE),TRUE)</f>
        <v>1</v>
      </c>
      <c r="T483" s="26" t="b">
        <f>IF(Checks!C483,IF(Data!B483&lt;&gt;"",Data!D483&lt;&gt;"",TRUE),TRUE)</f>
        <v>1</v>
      </c>
      <c r="U483" s="26" t="b">
        <f ca="1">IF(Checks!C483,IF(UPPER(Data!C483)="DATA OBJECT",NOT(ISERROR(MATCH(Data!A483&amp;"||"&amp;Data!BW483&amp;Data!BX483,Key,0))),TRUE),TRUE)</f>
        <v>1</v>
      </c>
      <c r="V483" s="26" t="b">
        <f>IF(Checks!C483,IF(UPPER(Data!C483)="SUB PROCESS",Data!BY483&lt;&gt;"",TRUE),TRUE)</f>
        <v>1</v>
      </c>
      <c r="W483" s="26" t="b">
        <f>IF(Checks!C483,IF(UPPER(Data!C483)="SERVICE TASK",AND(Data!BZ483&lt;&gt;"",Data!CA483&lt;&gt;""),TRUE),TRUE)</f>
        <v>1</v>
      </c>
      <c r="X483" s="26" t="b">
        <f t="array" aca="1" ref="X483" ca="1">SUM((OFFSET(Data!B483,MAX(ROW(Data!$B$5)-ROW(Data!B483),-200),0,400,1)=Data!B483)*(OFFSET(Data!A483,MAX(ROW(Data!$B$5)-ROW(Data!B483),-200),0,400,1)=Data!A483))=1</f>
        <v>1</v>
      </c>
      <c r="Y483" s="26" t="b">
        <f t="array" aca="1" ref="Y483" ca="1">IF(UPPER(Data!C483)="START",SUM((OFFSET(Data!C483,MAX(ROW(Data!$C$5)-ROW(Data!C483),-200),0,400,1)="START")*(OFFSET(Data!A483,MAX(ROW(Data!$B$5)-ROW(Data!B483),-200),0,400,1)=Data!A483))=1,TRUE)</f>
        <v>1</v>
      </c>
      <c r="Z483" s="26" t="b">
        <f t="array" aca="1" ref="Z483" ca="1">IF(UPPER(Data!C483)="END",SUM((OFFSET(Data!C483,MAX(ROW(Data!$C$5)-ROW(Data!C483),-200),0,400,1)="END")*(OFFSET(Data!A483,MAX(ROW(Data!$B$5)-ROW(Data!B483),-200),0,400,1)=Data!A483))=1,TRUE)</f>
        <v>1</v>
      </c>
      <c r="AA483" s="26" t="b">
        <f>IF(Checks!C483,ISERROR(FIND("&amp;",Data!D483)),TRUE)</f>
        <v>1</v>
      </c>
      <c r="AB483" s="26" t="b">
        <f>IF(Checks!$C483,IF(AND(UPPER(Data!$C483)&lt;&gt;"START",UPPER(Data!$C483)&lt;&gt;"DATA OBJECT",Data!E483&lt;&gt;""),NOT(ISERROR(MATCH(Data!$A483&amp;"||"&amp;Data!E483,Key,0))),TRUE),TRUE)</f>
        <v>1</v>
      </c>
      <c r="AC483" s="27" t="b">
        <f>IF(Checks!C483,IF(UPPER(Data!C483)="END",Data!E483&lt;&gt;"",TRUE),TRUE)</f>
        <v>1</v>
      </c>
    </row>
    <row r="484" spans="1:29" x14ac:dyDescent="0.25">
      <c r="A484" s="1" t="str">
        <f>Data!A484&amp;"||"&amp;Data!B484</f>
        <v>Miscellaneous/subflow/irmifrs9_postprocess_stage3.bpmn||020_00_03</v>
      </c>
      <c r="B484" s="19"/>
      <c r="C484" s="24" t="b">
        <f>AND(UPPER(Data!A484)&lt;&gt;"EMPTY",Data!B484&lt;&gt;"")</f>
        <v>1</v>
      </c>
      <c r="D484" s="1"/>
      <c r="E484" s="25" t="b">
        <f t="shared" ca="1" si="14"/>
        <v>1</v>
      </c>
      <c r="F484" s="26" t="b">
        <f ca="1">IF(UPPER(Data!C484)="SUB PROCESS",NOT(ISERROR(MATCH(RIGHT(Data!BY484,LEN(Data!BY484)-5),OFFSET(Data,0,0,ItemsCount,1),0))),TRUE)</f>
        <v>1</v>
      </c>
      <c r="G484" s="26" t="b">
        <f ca="1">IF(MID(UPPER(Data!A484),1,13)="MISCELLANEOUS",NOT(ISERROR(MATCH("path="&amp;Data!A484,OFFSET(Data,0,76,ItemsCount,1),0))),TRUE)</f>
        <v>1</v>
      </c>
      <c r="L484" s="25" t="b">
        <f t="shared" ca="1" si="15"/>
        <v>1</v>
      </c>
      <c r="M484" s="24" t="b">
        <f>IF(Checks!$C484,Data!A484&lt;&gt;"",TRUE)</f>
        <v>1</v>
      </c>
      <c r="N484" s="26" t="b">
        <f>IF(Checks!C484,Data!B484&lt;&gt;"",TRUE)</f>
        <v>1</v>
      </c>
      <c r="O484" s="26" t="b">
        <f>IF(Checks!C484,IF(AND(UPPER(Data!C484)="SERVICE TASK",UPPER(Data!BZ484)="TYPE=SAS"),NodeExists(TRIM(RIGHT(Data!CA484,LEN(Data!CA484)-FIND("=",Data!CA484)))),TRUE),TRUE)</f>
        <v>1</v>
      </c>
      <c r="P484" s="26" t="b">
        <f>IF(Checks!C484,IF(Data!C484="DATA OBJECT",OR(AND(Data!BW484&lt;&gt;"",Data!BX484=""),AND(Data!BW484="",Data!BX484&lt;&gt;"")),TRUE),TRUE)</f>
        <v>1</v>
      </c>
      <c r="Q484" s="26" t="b">
        <f>IF(Checks!C484,UPPER(RIGHT(Data!A484,5))=".BPMN",TRUE)</f>
        <v>1</v>
      </c>
      <c r="R484" s="26" t="b">
        <f>IF(Checks!C484,IF(UPPER(Data!C484)="SUB PROCESS",UPPER(RIGHT(Data!BY484,5))=".BPMN",TRUE),TRUE)</f>
        <v>1</v>
      </c>
      <c r="S484" s="26" t="b">
        <f>IF(Checks!C484,IF(UPPER(Data!C484)="SERVICE TASK",IF(UPPER(Data!BZ484)="TYPE=SAS",UPPER(RIGHT(Data!CA484,4))=".SAS",TRUE),TRUE),TRUE)</f>
        <v>1</v>
      </c>
      <c r="T484" s="26" t="b">
        <f>IF(Checks!C484,IF(Data!B484&lt;&gt;"",Data!D484&lt;&gt;"",TRUE),TRUE)</f>
        <v>1</v>
      </c>
      <c r="U484" s="26" t="b">
        <f ca="1">IF(Checks!C484,IF(UPPER(Data!C484)="DATA OBJECT",NOT(ISERROR(MATCH(Data!A484&amp;"||"&amp;Data!BW484&amp;Data!BX484,Key,0))),TRUE),TRUE)</f>
        <v>1</v>
      </c>
      <c r="V484" s="26" t="b">
        <f>IF(Checks!C484,IF(UPPER(Data!C484)="SUB PROCESS",Data!BY484&lt;&gt;"",TRUE),TRUE)</f>
        <v>1</v>
      </c>
      <c r="W484" s="26" t="b">
        <f>IF(Checks!C484,IF(UPPER(Data!C484)="SERVICE TASK",AND(Data!BZ484&lt;&gt;"",Data!CA484&lt;&gt;""),TRUE),TRUE)</f>
        <v>1</v>
      </c>
      <c r="X484" s="26" t="b">
        <f t="array" aca="1" ref="X484" ca="1">SUM((OFFSET(Data!B484,MAX(ROW(Data!$B$5)-ROW(Data!B484),-200),0,400,1)=Data!B484)*(OFFSET(Data!A484,MAX(ROW(Data!$B$5)-ROW(Data!B484),-200),0,400,1)=Data!A484))=1</f>
        <v>1</v>
      </c>
      <c r="Y484" s="26" t="b">
        <f t="array" aca="1" ref="Y484" ca="1">IF(UPPER(Data!C484)="START",SUM((OFFSET(Data!C484,MAX(ROW(Data!$C$5)-ROW(Data!C484),-200),0,400,1)="START")*(OFFSET(Data!A484,MAX(ROW(Data!$B$5)-ROW(Data!B484),-200),0,400,1)=Data!A484))=1,TRUE)</f>
        <v>1</v>
      </c>
      <c r="Z484" s="26" t="b">
        <f t="array" aca="1" ref="Z484" ca="1">IF(UPPER(Data!C484)="END",SUM((OFFSET(Data!C484,MAX(ROW(Data!$C$5)-ROW(Data!C484),-200),0,400,1)="END")*(OFFSET(Data!A484,MAX(ROW(Data!$B$5)-ROW(Data!B484),-200),0,400,1)=Data!A484))=1,TRUE)</f>
        <v>1</v>
      </c>
      <c r="AA484" s="26" t="b">
        <f>IF(Checks!C484,ISERROR(FIND("&amp;",Data!D484)),TRUE)</f>
        <v>1</v>
      </c>
      <c r="AB484" s="26" t="b">
        <f>IF(Checks!$C484,IF(AND(UPPER(Data!$C484)&lt;&gt;"START",UPPER(Data!$C484)&lt;&gt;"DATA OBJECT",Data!E484&lt;&gt;""),NOT(ISERROR(MATCH(Data!$A484&amp;"||"&amp;Data!E484,Key,0))),TRUE),TRUE)</f>
        <v>1</v>
      </c>
      <c r="AC484" s="27" t="b">
        <f>IF(Checks!C484,IF(UPPER(Data!C484)="END",Data!E484&lt;&gt;"",TRUE),TRUE)</f>
        <v>1</v>
      </c>
    </row>
    <row r="485" spans="1:29" x14ac:dyDescent="0.25">
      <c r="A485" s="1" t="str">
        <f>Data!A485&amp;"||"&amp;Data!B485</f>
        <v>Miscellaneous/subflow/irmifrs9_postprocess_stage3.bpmn||020_00_05</v>
      </c>
      <c r="B485" s="19"/>
      <c r="C485" s="24" t="b">
        <f>AND(UPPER(Data!A485)&lt;&gt;"EMPTY",Data!B485&lt;&gt;"")</f>
        <v>1</v>
      </c>
      <c r="D485" s="1"/>
      <c r="E485" s="25" t="b">
        <f t="shared" ca="1" si="14"/>
        <v>1</v>
      </c>
      <c r="F485" s="26" t="b">
        <f ca="1">IF(UPPER(Data!C485)="SUB PROCESS",NOT(ISERROR(MATCH(RIGHT(Data!BY485,LEN(Data!BY485)-5),OFFSET(Data,0,0,ItemsCount,1),0))),TRUE)</f>
        <v>1</v>
      </c>
      <c r="G485" s="26" t="b">
        <f ca="1">IF(MID(UPPER(Data!A485),1,13)="MISCELLANEOUS",NOT(ISERROR(MATCH("path="&amp;Data!A485,OFFSET(Data,0,76,ItemsCount,1),0))),TRUE)</f>
        <v>1</v>
      </c>
      <c r="L485" s="25" t="b">
        <f t="shared" ca="1" si="15"/>
        <v>1</v>
      </c>
      <c r="M485" s="24" t="b">
        <f>IF(Checks!$C485,Data!A485&lt;&gt;"",TRUE)</f>
        <v>1</v>
      </c>
      <c r="N485" s="26" t="b">
        <f>IF(Checks!C485,Data!B485&lt;&gt;"",TRUE)</f>
        <v>1</v>
      </c>
      <c r="O485" s="26" t="b">
        <f>IF(Checks!C485,IF(AND(UPPER(Data!C485)="SERVICE TASK",UPPER(Data!BZ485)="TYPE=SAS"),NodeExists(TRIM(RIGHT(Data!CA485,LEN(Data!CA485)-FIND("=",Data!CA485)))),TRUE),TRUE)</f>
        <v>1</v>
      </c>
      <c r="P485" s="26" t="b">
        <f>IF(Checks!C485,IF(Data!C485="DATA OBJECT",OR(AND(Data!BW485&lt;&gt;"",Data!BX485=""),AND(Data!BW485="",Data!BX485&lt;&gt;"")),TRUE),TRUE)</f>
        <v>1</v>
      </c>
      <c r="Q485" s="26" t="b">
        <f>IF(Checks!C485,UPPER(RIGHT(Data!A485,5))=".BPMN",TRUE)</f>
        <v>1</v>
      </c>
      <c r="R485" s="26" t="b">
        <f>IF(Checks!C485,IF(UPPER(Data!C485)="SUB PROCESS",UPPER(RIGHT(Data!BY485,5))=".BPMN",TRUE),TRUE)</f>
        <v>1</v>
      </c>
      <c r="S485" s="26" t="b">
        <f>IF(Checks!C485,IF(UPPER(Data!C485)="SERVICE TASK",IF(UPPER(Data!BZ485)="TYPE=SAS",UPPER(RIGHT(Data!CA485,4))=".SAS",TRUE),TRUE),TRUE)</f>
        <v>1</v>
      </c>
      <c r="T485" s="26" t="b">
        <f>IF(Checks!C485,IF(Data!B485&lt;&gt;"",Data!D485&lt;&gt;"",TRUE),TRUE)</f>
        <v>1</v>
      </c>
      <c r="U485" s="26" t="b">
        <f ca="1">IF(Checks!C485,IF(UPPER(Data!C485)="DATA OBJECT",NOT(ISERROR(MATCH(Data!A485&amp;"||"&amp;Data!BW485&amp;Data!BX485,Key,0))),TRUE),TRUE)</f>
        <v>1</v>
      </c>
      <c r="V485" s="26" t="b">
        <f>IF(Checks!C485,IF(UPPER(Data!C485)="SUB PROCESS",Data!BY485&lt;&gt;"",TRUE),TRUE)</f>
        <v>1</v>
      </c>
      <c r="W485" s="26" t="b">
        <f>IF(Checks!C485,IF(UPPER(Data!C485)="SERVICE TASK",AND(Data!BZ485&lt;&gt;"",Data!CA485&lt;&gt;""),TRUE),TRUE)</f>
        <v>1</v>
      </c>
      <c r="X485" s="26" t="b">
        <f t="array" aca="1" ref="X485" ca="1">SUM((OFFSET(Data!B485,MAX(ROW(Data!$B$5)-ROW(Data!B485),-200),0,400,1)=Data!B485)*(OFFSET(Data!A485,MAX(ROW(Data!$B$5)-ROW(Data!B485),-200),0,400,1)=Data!A485))=1</f>
        <v>1</v>
      </c>
      <c r="Y485" s="26" t="b">
        <f t="array" aca="1" ref="Y485" ca="1">IF(UPPER(Data!C485)="START",SUM((OFFSET(Data!C485,MAX(ROW(Data!$C$5)-ROW(Data!C485),-200),0,400,1)="START")*(OFFSET(Data!A485,MAX(ROW(Data!$B$5)-ROW(Data!B485),-200),0,400,1)=Data!A485))=1,TRUE)</f>
        <v>1</v>
      </c>
      <c r="Z485" s="26" t="b">
        <f t="array" aca="1" ref="Z485" ca="1">IF(UPPER(Data!C485)="END",SUM((OFFSET(Data!C485,MAX(ROW(Data!$C$5)-ROW(Data!C485),-200),0,400,1)="END")*(OFFSET(Data!A485,MAX(ROW(Data!$B$5)-ROW(Data!B485),-200),0,400,1)=Data!A485))=1,TRUE)</f>
        <v>1</v>
      </c>
      <c r="AA485" s="26" t="b">
        <f>IF(Checks!C485,ISERROR(FIND("&amp;",Data!D485)),TRUE)</f>
        <v>1</v>
      </c>
      <c r="AB485" s="26" t="b">
        <f>IF(Checks!$C485,IF(AND(UPPER(Data!$C485)&lt;&gt;"START",UPPER(Data!$C485)&lt;&gt;"DATA OBJECT",Data!E485&lt;&gt;""),NOT(ISERROR(MATCH(Data!$A485&amp;"||"&amp;Data!E485,Key,0))),TRUE),TRUE)</f>
        <v>1</v>
      </c>
      <c r="AC485" s="27" t="b">
        <f>IF(Checks!C485,IF(UPPER(Data!C485)="END",Data!E485&lt;&gt;"",TRUE),TRUE)</f>
        <v>1</v>
      </c>
    </row>
    <row r="486" spans="1:29" x14ac:dyDescent="0.25">
      <c r="A486" s="1" t="str">
        <f>Data!A486&amp;"||"&amp;Data!B486</f>
        <v>Miscellaneous/subflow/irmifrs9_postprocess_stage3.bpmn||020_00_06</v>
      </c>
      <c r="B486" s="19"/>
      <c r="C486" s="24" t="b">
        <f>AND(UPPER(Data!A486)&lt;&gt;"EMPTY",Data!B486&lt;&gt;"")</f>
        <v>1</v>
      </c>
      <c r="D486" s="1"/>
      <c r="E486" s="25" t="b">
        <f t="shared" ca="1" si="14"/>
        <v>1</v>
      </c>
      <c r="F486" s="26" t="b">
        <f ca="1">IF(UPPER(Data!C486)="SUB PROCESS",NOT(ISERROR(MATCH(RIGHT(Data!BY486,LEN(Data!BY486)-5),OFFSET(Data,0,0,ItemsCount,1),0))),TRUE)</f>
        <v>1</v>
      </c>
      <c r="G486" s="26" t="b">
        <f ca="1">IF(MID(UPPER(Data!A486),1,13)="MISCELLANEOUS",NOT(ISERROR(MATCH("path="&amp;Data!A486,OFFSET(Data,0,76,ItemsCount,1),0))),TRUE)</f>
        <v>1</v>
      </c>
      <c r="L486" s="25" t="b">
        <f t="shared" ca="1" si="15"/>
        <v>1</v>
      </c>
      <c r="M486" s="24" t="b">
        <f>IF(Checks!$C486,Data!A486&lt;&gt;"",TRUE)</f>
        <v>1</v>
      </c>
      <c r="N486" s="26" t="b">
        <f>IF(Checks!C486,Data!B486&lt;&gt;"",TRUE)</f>
        <v>1</v>
      </c>
      <c r="O486" s="26" t="b">
        <f>IF(Checks!C486,IF(AND(UPPER(Data!C486)="SERVICE TASK",UPPER(Data!BZ486)="TYPE=SAS"),NodeExists(TRIM(RIGHT(Data!CA486,LEN(Data!CA486)-FIND("=",Data!CA486)))),TRUE),TRUE)</f>
        <v>1</v>
      </c>
      <c r="P486" s="26" t="b">
        <f>IF(Checks!C486,IF(Data!C486="DATA OBJECT",OR(AND(Data!BW486&lt;&gt;"",Data!BX486=""),AND(Data!BW486="",Data!BX486&lt;&gt;"")),TRUE),TRUE)</f>
        <v>1</v>
      </c>
      <c r="Q486" s="26" t="b">
        <f>IF(Checks!C486,UPPER(RIGHT(Data!A486,5))=".BPMN",TRUE)</f>
        <v>1</v>
      </c>
      <c r="R486" s="26" t="b">
        <f>IF(Checks!C486,IF(UPPER(Data!C486)="SUB PROCESS",UPPER(RIGHT(Data!BY486,5))=".BPMN",TRUE),TRUE)</f>
        <v>1</v>
      </c>
      <c r="S486" s="26" t="b">
        <f>IF(Checks!C486,IF(UPPER(Data!C486)="SERVICE TASK",IF(UPPER(Data!BZ486)="TYPE=SAS",UPPER(RIGHT(Data!CA486,4))=".SAS",TRUE),TRUE),TRUE)</f>
        <v>1</v>
      </c>
      <c r="T486" s="26" t="b">
        <f>IF(Checks!C486,IF(Data!B486&lt;&gt;"",Data!D486&lt;&gt;"",TRUE),TRUE)</f>
        <v>1</v>
      </c>
      <c r="U486" s="26" t="b">
        <f ca="1">IF(Checks!C486,IF(UPPER(Data!C486)="DATA OBJECT",NOT(ISERROR(MATCH(Data!A486&amp;"||"&amp;Data!BW486&amp;Data!BX486,Key,0))),TRUE),TRUE)</f>
        <v>1</v>
      </c>
      <c r="V486" s="26" t="b">
        <f>IF(Checks!C486,IF(UPPER(Data!C486)="SUB PROCESS",Data!BY486&lt;&gt;"",TRUE),TRUE)</f>
        <v>1</v>
      </c>
      <c r="W486" s="26" t="b">
        <f>IF(Checks!C486,IF(UPPER(Data!C486)="SERVICE TASK",AND(Data!BZ486&lt;&gt;"",Data!CA486&lt;&gt;""),TRUE),TRUE)</f>
        <v>1</v>
      </c>
      <c r="X486" s="26" t="b">
        <f t="array" aca="1" ref="X486" ca="1">SUM((OFFSET(Data!B486,MAX(ROW(Data!$B$5)-ROW(Data!B486),-200),0,400,1)=Data!B486)*(OFFSET(Data!A486,MAX(ROW(Data!$B$5)-ROW(Data!B486),-200),0,400,1)=Data!A486))=1</f>
        <v>1</v>
      </c>
      <c r="Y486" s="26" t="b">
        <f t="array" aca="1" ref="Y486" ca="1">IF(UPPER(Data!C486)="START",SUM((OFFSET(Data!C486,MAX(ROW(Data!$C$5)-ROW(Data!C486),-200),0,400,1)="START")*(OFFSET(Data!A486,MAX(ROW(Data!$B$5)-ROW(Data!B486),-200),0,400,1)=Data!A486))=1,TRUE)</f>
        <v>1</v>
      </c>
      <c r="Z486" s="26" t="b">
        <f t="array" aca="1" ref="Z486" ca="1">IF(UPPER(Data!C486)="END",SUM((OFFSET(Data!C486,MAX(ROW(Data!$C$5)-ROW(Data!C486),-200),0,400,1)="END")*(OFFSET(Data!A486,MAX(ROW(Data!$B$5)-ROW(Data!B486),-200),0,400,1)=Data!A486))=1,TRUE)</f>
        <v>1</v>
      </c>
      <c r="AA486" s="26" t="b">
        <f>IF(Checks!C486,ISERROR(FIND("&amp;",Data!D486)),TRUE)</f>
        <v>1</v>
      </c>
      <c r="AB486" s="26" t="b">
        <f>IF(Checks!$C486,IF(AND(UPPER(Data!$C486)&lt;&gt;"START",UPPER(Data!$C486)&lt;&gt;"DATA OBJECT",Data!E486&lt;&gt;""),NOT(ISERROR(MATCH(Data!$A486&amp;"||"&amp;Data!E486,Key,0))),TRUE),TRUE)</f>
        <v>1</v>
      </c>
      <c r="AC486" s="27" t="b">
        <f>IF(Checks!C486,IF(UPPER(Data!C486)="END",Data!E486&lt;&gt;"",TRUE),TRUE)</f>
        <v>1</v>
      </c>
    </row>
    <row r="487" spans="1:29" x14ac:dyDescent="0.25">
      <c r="A487" s="1" t="str">
        <f>Data!A487&amp;"||"&amp;Data!B487</f>
        <v>Miscellaneous/subflow/irmifrs9_postprocess_stage3.bpmn||020_00_07</v>
      </c>
      <c r="B487" s="19"/>
      <c r="C487" s="24" t="b">
        <f>AND(UPPER(Data!A487)&lt;&gt;"EMPTY",Data!B487&lt;&gt;"")</f>
        <v>1</v>
      </c>
      <c r="D487" s="1"/>
      <c r="E487" s="25" t="b">
        <f t="shared" ca="1" si="14"/>
        <v>1</v>
      </c>
      <c r="F487" s="26" t="b">
        <f ca="1">IF(UPPER(Data!C487)="SUB PROCESS",NOT(ISERROR(MATCH(RIGHT(Data!BY487,LEN(Data!BY487)-5),OFFSET(Data,0,0,ItemsCount,1),0))),TRUE)</f>
        <v>1</v>
      </c>
      <c r="G487" s="26" t="b">
        <f ca="1">IF(MID(UPPER(Data!A487),1,13)="MISCELLANEOUS",NOT(ISERROR(MATCH("path="&amp;Data!A487,OFFSET(Data,0,76,ItemsCount,1),0))),TRUE)</f>
        <v>1</v>
      </c>
      <c r="L487" s="25" t="b">
        <f t="shared" ca="1" si="15"/>
        <v>1</v>
      </c>
      <c r="M487" s="24" t="b">
        <f>IF(Checks!$C487,Data!A487&lt;&gt;"",TRUE)</f>
        <v>1</v>
      </c>
      <c r="N487" s="26" t="b">
        <f>IF(Checks!C487,Data!B487&lt;&gt;"",TRUE)</f>
        <v>1</v>
      </c>
      <c r="O487" s="26" t="b">
        <f>IF(Checks!C487,IF(AND(UPPER(Data!C487)="SERVICE TASK",UPPER(Data!BZ487)="TYPE=SAS"),NodeExists(TRIM(RIGHT(Data!CA487,LEN(Data!CA487)-FIND("=",Data!CA487)))),TRUE),TRUE)</f>
        <v>1</v>
      </c>
      <c r="P487" s="26" t="b">
        <f>IF(Checks!C487,IF(Data!C487="DATA OBJECT",OR(AND(Data!BW487&lt;&gt;"",Data!BX487=""),AND(Data!BW487="",Data!BX487&lt;&gt;"")),TRUE),TRUE)</f>
        <v>1</v>
      </c>
      <c r="Q487" s="26" t="b">
        <f>IF(Checks!C487,UPPER(RIGHT(Data!A487,5))=".BPMN",TRUE)</f>
        <v>1</v>
      </c>
      <c r="R487" s="26" t="b">
        <f>IF(Checks!C487,IF(UPPER(Data!C487)="SUB PROCESS",UPPER(RIGHT(Data!BY487,5))=".BPMN",TRUE),TRUE)</f>
        <v>1</v>
      </c>
      <c r="S487" s="26" t="b">
        <f>IF(Checks!C487,IF(UPPER(Data!C487)="SERVICE TASK",IF(UPPER(Data!BZ487)="TYPE=SAS",UPPER(RIGHT(Data!CA487,4))=".SAS",TRUE),TRUE),TRUE)</f>
        <v>1</v>
      </c>
      <c r="T487" s="26" t="b">
        <f>IF(Checks!C487,IF(Data!B487&lt;&gt;"",Data!D487&lt;&gt;"",TRUE),TRUE)</f>
        <v>1</v>
      </c>
      <c r="U487" s="26" t="b">
        <f ca="1">IF(Checks!C487,IF(UPPER(Data!C487)="DATA OBJECT",NOT(ISERROR(MATCH(Data!A487&amp;"||"&amp;Data!BW487&amp;Data!BX487,Key,0))),TRUE),TRUE)</f>
        <v>1</v>
      </c>
      <c r="V487" s="26" t="b">
        <f>IF(Checks!C487,IF(UPPER(Data!C487)="SUB PROCESS",Data!BY487&lt;&gt;"",TRUE),TRUE)</f>
        <v>1</v>
      </c>
      <c r="W487" s="26" t="b">
        <f>IF(Checks!C487,IF(UPPER(Data!C487)="SERVICE TASK",AND(Data!BZ487&lt;&gt;"",Data!CA487&lt;&gt;""),TRUE),TRUE)</f>
        <v>1</v>
      </c>
      <c r="X487" s="26" t="b">
        <f t="array" aca="1" ref="X487" ca="1">SUM((OFFSET(Data!B487,MAX(ROW(Data!$B$5)-ROW(Data!B487),-200),0,400,1)=Data!B487)*(OFFSET(Data!A487,MAX(ROW(Data!$B$5)-ROW(Data!B487),-200),0,400,1)=Data!A487))=1</f>
        <v>1</v>
      </c>
      <c r="Y487" s="26" t="b">
        <f t="array" aca="1" ref="Y487" ca="1">IF(UPPER(Data!C487)="START",SUM((OFFSET(Data!C487,MAX(ROW(Data!$C$5)-ROW(Data!C487),-200),0,400,1)="START")*(OFFSET(Data!A487,MAX(ROW(Data!$B$5)-ROW(Data!B487),-200),0,400,1)=Data!A487))=1,TRUE)</f>
        <v>1</v>
      </c>
      <c r="Z487" s="26" t="b">
        <f t="array" aca="1" ref="Z487" ca="1">IF(UPPER(Data!C487)="END",SUM((OFFSET(Data!C487,MAX(ROW(Data!$C$5)-ROW(Data!C487),-200),0,400,1)="END")*(OFFSET(Data!A487,MAX(ROW(Data!$B$5)-ROW(Data!B487),-200),0,400,1)=Data!A487))=1,TRUE)</f>
        <v>1</v>
      </c>
      <c r="AA487" s="26" t="b">
        <f>IF(Checks!C487,ISERROR(FIND("&amp;",Data!D487)),TRUE)</f>
        <v>1</v>
      </c>
      <c r="AB487" s="26" t="b">
        <f>IF(Checks!$C487,IF(AND(UPPER(Data!$C487)&lt;&gt;"START",UPPER(Data!$C487)&lt;&gt;"DATA OBJECT",Data!E487&lt;&gt;""),NOT(ISERROR(MATCH(Data!$A487&amp;"||"&amp;Data!E487,Key,0))),TRUE),TRUE)</f>
        <v>1</v>
      </c>
      <c r="AC487" s="27" t="b">
        <f>IF(Checks!C487,IF(UPPER(Data!C487)="END",Data!E487&lt;&gt;"",TRUE),TRUE)</f>
        <v>1</v>
      </c>
    </row>
    <row r="488" spans="1:29" x14ac:dyDescent="0.25">
      <c r="A488" s="1" t="str">
        <f>Data!A488&amp;"||"&amp;Data!B488</f>
        <v>Miscellaneous/subflow/irmifrs9_postprocess_stage3.bpmn||020_00_08</v>
      </c>
      <c r="B488" s="19"/>
      <c r="C488" s="24" t="b">
        <f>AND(UPPER(Data!A488)&lt;&gt;"EMPTY",Data!B488&lt;&gt;"")</f>
        <v>1</v>
      </c>
      <c r="D488" s="1"/>
      <c r="E488" s="25" t="b">
        <f t="shared" ca="1" si="14"/>
        <v>1</v>
      </c>
      <c r="F488" s="26" t="b">
        <f ca="1">IF(UPPER(Data!C488)="SUB PROCESS",NOT(ISERROR(MATCH(RIGHT(Data!BY488,LEN(Data!BY488)-5),OFFSET(Data,0,0,ItemsCount,1),0))),TRUE)</f>
        <v>1</v>
      </c>
      <c r="G488" s="26" t="b">
        <f ca="1">IF(MID(UPPER(Data!A488),1,13)="MISCELLANEOUS",NOT(ISERROR(MATCH("path="&amp;Data!A488,OFFSET(Data,0,76,ItemsCount,1),0))),TRUE)</f>
        <v>1</v>
      </c>
      <c r="L488" s="25" t="b">
        <f t="shared" ca="1" si="15"/>
        <v>1</v>
      </c>
      <c r="M488" s="24" t="b">
        <f>IF(Checks!$C488,Data!A488&lt;&gt;"",TRUE)</f>
        <v>1</v>
      </c>
      <c r="N488" s="26" t="b">
        <f>IF(Checks!C488,Data!B488&lt;&gt;"",TRUE)</f>
        <v>1</v>
      </c>
      <c r="O488" s="26" t="b">
        <f>IF(Checks!C488,IF(AND(UPPER(Data!C488)="SERVICE TASK",UPPER(Data!BZ488)="TYPE=SAS"),NodeExists(TRIM(RIGHT(Data!CA488,LEN(Data!CA488)-FIND("=",Data!CA488)))),TRUE),TRUE)</f>
        <v>1</v>
      </c>
      <c r="P488" s="26" t="b">
        <f>IF(Checks!C488,IF(Data!C488="DATA OBJECT",OR(AND(Data!BW488&lt;&gt;"",Data!BX488=""),AND(Data!BW488="",Data!BX488&lt;&gt;"")),TRUE),TRUE)</f>
        <v>1</v>
      </c>
      <c r="Q488" s="26" t="b">
        <f>IF(Checks!C488,UPPER(RIGHT(Data!A488,5))=".BPMN",TRUE)</f>
        <v>1</v>
      </c>
      <c r="R488" s="26" t="b">
        <f>IF(Checks!C488,IF(UPPER(Data!C488)="SUB PROCESS",UPPER(RIGHT(Data!BY488,5))=".BPMN",TRUE),TRUE)</f>
        <v>1</v>
      </c>
      <c r="S488" s="26" t="b">
        <f>IF(Checks!C488,IF(UPPER(Data!C488)="SERVICE TASK",IF(UPPER(Data!BZ488)="TYPE=SAS",UPPER(RIGHT(Data!CA488,4))=".SAS",TRUE),TRUE),TRUE)</f>
        <v>1</v>
      </c>
      <c r="T488" s="26" t="b">
        <f>IF(Checks!C488,IF(Data!B488&lt;&gt;"",Data!D488&lt;&gt;"",TRUE),TRUE)</f>
        <v>1</v>
      </c>
      <c r="U488" s="26" t="b">
        <f ca="1">IF(Checks!C488,IF(UPPER(Data!C488)="DATA OBJECT",NOT(ISERROR(MATCH(Data!A488&amp;"||"&amp;Data!BW488&amp;Data!BX488,Key,0))),TRUE),TRUE)</f>
        <v>1</v>
      </c>
      <c r="V488" s="26" t="b">
        <f>IF(Checks!C488,IF(UPPER(Data!C488)="SUB PROCESS",Data!BY488&lt;&gt;"",TRUE),TRUE)</f>
        <v>1</v>
      </c>
      <c r="W488" s="26" t="b">
        <f>IF(Checks!C488,IF(UPPER(Data!C488)="SERVICE TASK",AND(Data!BZ488&lt;&gt;"",Data!CA488&lt;&gt;""),TRUE),TRUE)</f>
        <v>1</v>
      </c>
      <c r="X488" s="26" t="b">
        <f t="array" aca="1" ref="X488" ca="1">SUM((OFFSET(Data!B488,MAX(ROW(Data!$B$5)-ROW(Data!B488),-200),0,400,1)=Data!B488)*(OFFSET(Data!A488,MAX(ROW(Data!$B$5)-ROW(Data!B488),-200),0,400,1)=Data!A488))=1</f>
        <v>1</v>
      </c>
      <c r="Y488" s="26" t="b">
        <f t="array" aca="1" ref="Y488" ca="1">IF(UPPER(Data!C488)="START",SUM((OFFSET(Data!C488,MAX(ROW(Data!$C$5)-ROW(Data!C488),-200),0,400,1)="START")*(OFFSET(Data!A488,MAX(ROW(Data!$B$5)-ROW(Data!B488),-200),0,400,1)=Data!A488))=1,TRUE)</f>
        <v>1</v>
      </c>
      <c r="Z488" s="26" t="b">
        <f t="array" aca="1" ref="Z488" ca="1">IF(UPPER(Data!C488)="END",SUM((OFFSET(Data!C488,MAX(ROW(Data!$C$5)-ROW(Data!C488),-200),0,400,1)="END")*(OFFSET(Data!A488,MAX(ROW(Data!$B$5)-ROW(Data!B488),-200),0,400,1)=Data!A488))=1,TRUE)</f>
        <v>1</v>
      </c>
      <c r="AA488" s="26" t="b">
        <f>IF(Checks!C488,ISERROR(FIND("&amp;",Data!D488)),TRUE)</f>
        <v>1</v>
      </c>
      <c r="AB488" s="26" t="b">
        <f>IF(Checks!$C488,IF(AND(UPPER(Data!$C488)&lt;&gt;"START",UPPER(Data!$C488)&lt;&gt;"DATA OBJECT",Data!E488&lt;&gt;""),NOT(ISERROR(MATCH(Data!$A488&amp;"||"&amp;Data!E488,Key,0))),TRUE),TRUE)</f>
        <v>1</v>
      </c>
      <c r="AC488" s="27" t="b">
        <f>IF(Checks!C488,IF(UPPER(Data!C488)="END",Data!E488&lt;&gt;"",TRUE),TRUE)</f>
        <v>1</v>
      </c>
    </row>
    <row r="489" spans="1:29" x14ac:dyDescent="0.25">
      <c r="A489" s="1" t="str">
        <f>Data!A489&amp;"||"&amp;Data!B489</f>
        <v>Miscellaneous/subflow/irmifrs9_postprocess_stage3.bpmn||020_00_09</v>
      </c>
      <c r="B489" s="19"/>
      <c r="C489" s="24" t="b">
        <f>AND(UPPER(Data!A489)&lt;&gt;"EMPTY",Data!B489&lt;&gt;"")</f>
        <v>1</v>
      </c>
      <c r="D489" s="1"/>
      <c r="E489" s="25" t="b">
        <f t="shared" ca="1" si="14"/>
        <v>1</v>
      </c>
      <c r="F489" s="26" t="b">
        <f ca="1">IF(UPPER(Data!C489)="SUB PROCESS",NOT(ISERROR(MATCH(RIGHT(Data!BY489,LEN(Data!BY489)-5),OFFSET(Data,0,0,ItemsCount,1),0))),TRUE)</f>
        <v>1</v>
      </c>
      <c r="G489" s="26" t="b">
        <f ca="1">IF(MID(UPPER(Data!A489),1,13)="MISCELLANEOUS",NOT(ISERROR(MATCH("path="&amp;Data!A489,OFFSET(Data,0,76,ItemsCount,1),0))),TRUE)</f>
        <v>1</v>
      </c>
      <c r="L489" s="25" t="b">
        <f t="shared" ca="1" si="15"/>
        <v>1</v>
      </c>
      <c r="M489" s="24" t="b">
        <f>IF(Checks!$C489,Data!A489&lt;&gt;"",TRUE)</f>
        <v>1</v>
      </c>
      <c r="N489" s="26" t="b">
        <f>IF(Checks!C489,Data!B489&lt;&gt;"",TRUE)</f>
        <v>1</v>
      </c>
      <c r="O489" s="26" t="b">
        <f>IF(Checks!C489,IF(AND(UPPER(Data!C489)="SERVICE TASK",UPPER(Data!BZ489)="TYPE=SAS"),NodeExists(TRIM(RIGHT(Data!CA489,LEN(Data!CA489)-FIND("=",Data!CA489)))),TRUE),TRUE)</f>
        <v>1</v>
      </c>
      <c r="P489" s="26" t="b">
        <f>IF(Checks!C489,IF(Data!C489="DATA OBJECT",OR(AND(Data!BW489&lt;&gt;"",Data!BX489=""),AND(Data!BW489="",Data!BX489&lt;&gt;"")),TRUE),TRUE)</f>
        <v>1</v>
      </c>
      <c r="Q489" s="26" t="b">
        <f>IF(Checks!C489,UPPER(RIGHT(Data!A489,5))=".BPMN",TRUE)</f>
        <v>1</v>
      </c>
      <c r="R489" s="26" t="b">
        <f>IF(Checks!C489,IF(UPPER(Data!C489)="SUB PROCESS",UPPER(RIGHT(Data!BY489,5))=".BPMN",TRUE),TRUE)</f>
        <v>1</v>
      </c>
      <c r="S489" s="26" t="b">
        <f>IF(Checks!C489,IF(UPPER(Data!C489)="SERVICE TASK",IF(UPPER(Data!BZ489)="TYPE=SAS",UPPER(RIGHT(Data!CA489,4))=".SAS",TRUE),TRUE),TRUE)</f>
        <v>1</v>
      </c>
      <c r="T489" s="26" t="b">
        <f>IF(Checks!C489,IF(Data!B489&lt;&gt;"",Data!D489&lt;&gt;"",TRUE),TRUE)</f>
        <v>1</v>
      </c>
      <c r="U489" s="26" t="b">
        <f ca="1">IF(Checks!C489,IF(UPPER(Data!C489)="DATA OBJECT",NOT(ISERROR(MATCH(Data!A489&amp;"||"&amp;Data!BW489&amp;Data!BX489,Key,0))),TRUE),TRUE)</f>
        <v>1</v>
      </c>
      <c r="V489" s="26" t="b">
        <f>IF(Checks!C489,IF(UPPER(Data!C489)="SUB PROCESS",Data!BY489&lt;&gt;"",TRUE),TRUE)</f>
        <v>1</v>
      </c>
      <c r="W489" s="26" t="b">
        <f>IF(Checks!C489,IF(UPPER(Data!C489)="SERVICE TASK",AND(Data!BZ489&lt;&gt;"",Data!CA489&lt;&gt;""),TRUE),TRUE)</f>
        <v>1</v>
      </c>
      <c r="X489" s="26" t="b">
        <f t="array" aca="1" ref="X489" ca="1">SUM((OFFSET(Data!B489,MAX(ROW(Data!$B$5)-ROW(Data!B489),-200),0,400,1)=Data!B489)*(OFFSET(Data!A489,MAX(ROW(Data!$B$5)-ROW(Data!B489),-200),0,400,1)=Data!A489))=1</f>
        <v>1</v>
      </c>
      <c r="Y489" s="26" t="b">
        <f t="array" aca="1" ref="Y489" ca="1">IF(UPPER(Data!C489)="START",SUM((OFFSET(Data!C489,MAX(ROW(Data!$C$5)-ROW(Data!C489),-200),0,400,1)="START")*(OFFSET(Data!A489,MAX(ROW(Data!$B$5)-ROW(Data!B489),-200),0,400,1)=Data!A489))=1,TRUE)</f>
        <v>1</v>
      </c>
      <c r="Z489" s="26" t="b">
        <f t="array" aca="1" ref="Z489" ca="1">IF(UPPER(Data!C489)="END",SUM((OFFSET(Data!C489,MAX(ROW(Data!$C$5)-ROW(Data!C489),-200),0,400,1)="END")*(OFFSET(Data!A489,MAX(ROW(Data!$B$5)-ROW(Data!B489),-200),0,400,1)=Data!A489))=1,TRUE)</f>
        <v>1</v>
      </c>
      <c r="AA489" s="26" t="b">
        <f>IF(Checks!C489,ISERROR(FIND("&amp;",Data!D489)),TRUE)</f>
        <v>1</v>
      </c>
      <c r="AB489" s="26" t="b">
        <f>IF(Checks!$C489,IF(AND(UPPER(Data!$C489)&lt;&gt;"START",UPPER(Data!$C489)&lt;&gt;"DATA OBJECT",Data!E489&lt;&gt;""),NOT(ISERROR(MATCH(Data!$A489&amp;"||"&amp;Data!E489,Key,0))),TRUE),TRUE)</f>
        <v>1</v>
      </c>
      <c r="AC489" s="27" t="b">
        <f>IF(Checks!C489,IF(UPPER(Data!C489)="END",Data!E489&lt;&gt;"",TRUE),TRUE)</f>
        <v>1</v>
      </c>
    </row>
    <row r="490" spans="1:29" x14ac:dyDescent="0.25">
      <c r="A490" s="1" t="str">
        <f>Data!A490&amp;"||"&amp;Data!B490</f>
        <v>Miscellaneous/subflow/irmifrs9_postprocess_stage3.bpmn||020_01_00</v>
      </c>
      <c r="B490" s="19"/>
      <c r="C490" s="24" t="b">
        <f>AND(UPPER(Data!A490)&lt;&gt;"EMPTY",Data!B490&lt;&gt;"")</f>
        <v>1</v>
      </c>
      <c r="D490" s="1"/>
      <c r="E490" s="25" t="b">
        <f t="shared" ca="1" si="14"/>
        <v>1</v>
      </c>
      <c r="F490" s="26" t="b">
        <f ca="1">IF(UPPER(Data!C490)="SUB PROCESS",NOT(ISERROR(MATCH(RIGHT(Data!BY490,LEN(Data!BY490)-5),OFFSET(Data,0,0,ItemsCount,1),0))),TRUE)</f>
        <v>1</v>
      </c>
      <c r="G490" s="26" t="b">
        <f ca="1">IF(MID(UPPER(Data!A490),1,13)="MISCELLANEOUS",NOT(ISERROR(MATCH("path="&amp;Data!A490,OFFSET(Data,0,76,ItemsCount,1),0))),TRUE)</f>
        <v>1</v>
      </c>
      <c r="L490" s="25" t="b">
        <f t="shared" ca="1" si="15"/>
        <v>1</v>
      </c>
      <c r="M490" s="24" t="b">
        <f>IF(Checks!$C490,Data!A490&lt;&gt;"",TRUE)</f>
        <v>1</v>
      </c>
      <c r="N490" s="26" t="b">
        <f>IF(Checks!C490,Data!B490&lt;&gt;"",TRUE)</f>
        <v>1</v>
      </c>
      <c r="O490" s="26" t="b">
        <f>IF(Checks!C490,IF(AND(UPPER(Data!C490)="SERVICE TASK",UPPER(Data!BZ490)="TYPE=SAS"),NodeExists(TRIM(RIGHT(Data!CA490,LEN(Data!CA490)-FIND("=",Data!CA490)))),TRUE),TRUE)</f>
        <v>1</v>
      </c>
      <c r="P490" s="26" t="b">
        <f>IF(Checks!C490,IF(Data!C490="DATA OBJECT",OR(AND(Data!BW490&lt;&gt;"",Data!BX490=""),AND(Data!BW490="",Data!BX490&lt;&gt;"")),TRUE),TRUE)</f>
        <v>1</v>
      </c>
      <c r="Q490" s="26" t="b">
        <f>IF(Checks!C490,UPPER(RIGHT(Data!A490,5))=".BPMN",TRUE)</f>
        <v>1</v>
      </c>
      <c r="R490" s="26" t="b">
        <f>IF(Checks!C490,IF(UPPER(Data!C490)="SUB PROCESS",UPPER(RIGHT(Data!BY490,5))=".BPMN",TRUE),TRUE)</f>
        <v>1</v>
      </c>
      <c r="S490" s="26" t="b">
        <f>IF(Checks!C490,IF(UPPER(Data!C490)="SERVICE TASK",IF(UPPER(Data!BZ490)="TYPE=SAS",UPPER(RIGHT(Data!CA490,4))=".SAS",TRUE),TRUE),TRUE)</f>
        <v>1</v>
      </c>
      <c r="T490" s="26" t="b">
        <f>IF(Checks!C490,IF(Data!B490&lt;&gt;"",Data!D490&lt;&gt;"",TRUE),TRUE)</f>
        <v>1</v>
      </c>
      <c r="U490" s="26" t="b">
        <f ca="1">IF(Checks!C490,IF(UPPER(Data!C490)="DATA OBJECT",NOT(ISERROR(MATCH(Data!A490&amp;"||"&amp;Data!BW490&amp;Data!BX490,Key,0))),TRUE),TRUE)</f>
        <v>1</v>
      </c>
      <c r="V490" s="26" t="b">
        <f>IF(Checks!C490,IF(UPPER(Data!C490)="SUB PROCESS",Data!BY490&lt;&gt;"",TRUE),TRUE)</f>
        <v>1</v>
      </c>
      <c r="W490" s="26" t="b">
        <f>IF(Checks!C490,IF(UPPER(Data!C490)="SERVICE TASK",AND(Data!BZ490&lt;&gt;"",Data!CA490&lt;&gt;""),TRUE),TRUE)</f>
        <v>1</v>
      </c>
      <c r="X490" s="26" t="b">
        <f t="array" aca="1" ref="X490" ca="1">SUM((OFFSET(Data!B490,MAX(ROW(Data!$B$5)-ROW(Data!B490),-200),0,400,1)=Data!B490)*(OFFSET(Data!A490,MAX(ROW(Data!$B$5)-ROW(Data!B490),-200),0,400,1)=Data!A490))=1</f>
        <v>1</v>
      </c>
      <c r="Y490" s="26" t="b">
        <f t="array" aca="1" ref="Y490" ca="1">IF(UPPER(Data!C490)="START",SUM((OFFSET(Data!C490,MAX(ROW(Data!$C$5)-ROW(Data!C490),-200),0,400,1)="START")*(OFFSET(Data!A490,MAX(ROW(Data!$B$5)-ROW(Data!B490),-200),0,400,1)=Data!A490))=1,TRUE)</f>
        <v>1</v>
      </c>
      <c r="Z490" s="26" t="b">
        <f t="array" aca="1" ref="Z490" ca="1">IF(UPPER(Data!C490)="END",SUM((OFFSET(Data!C490,MAX(ROW(Data!$C$5)-ROW(Data!C490),-200),0,400,1)="END")*(OFFSET(Data!A490,MAX(ROW(Data!$B$5)-ROW(Data!B490),-200),0,400,1)=Data!A490))=1,TRUE)</f>
        <v>1</v>
      </c>
      <c r="AA490" s="26" t="b">
        <f>IF(Checks!C490,ISERROR(FIND("&amp;",Data!D490)),TRUE)</f>
        <v>1</v>
      </c>
      <c r="AB490" s="26" t="b">
        <f>IF(Checks!$C490,IF(AND(UPPER(Data!$C490)&lt;&gt;"START",UPPER(Data!$C490)&lt;&gt;"DATA OBJECT",Data!E490&lt;&gt;""),NOT(ISERROR(MATCH(Data!$A490&amp;"||"&amp;Data!E490,Key,0))),TRUE),TRUE)</f>
        <v>1</v>
      </c>
      <c r="AC490" s="27" t="b">
        <f>IF(Checks!C490,IF(UPPER(Data!C490)="END",Data!E490&lt;&gt;"",TRUE),TRUE)</f>
        <v>1</v>
      </c>
    </row>
    <row r="491" spans="1:29" x14ac:dyDescent="0.25">
      <c r="A491" s="1" t="str">
        <f>Data!A491&amp;"||"&amp;Data!B491</f>
        <v>Miscellaneous/subflow/irmifrs9_postprocess_stage3.bpmn||030_00_00</v>
      </c>
      <c r="B491" s="19"/>
      <c r="C491" s="24" t="b">
        <f>AND(UPPER(Data!A491)&lt;&gt;"EMPTY",Data!B491&lt;&gt;"")</f>
        <v>1</v>
      </c>
      <c r="D491" s="1"/>
      <c r="E491" s="25" t="b">
        <f t="shared" ca="1" si="14"/>
        <v>1</v>
      </c>
      <c r="F491" s="26" t="b">
        <f ca="1">IF(UPPER(Data!C491)="SUB PROCESS",NOT(ISERROR(MATCH(RIGHT(Data!BY491,LEN(Data!BY491)-5),OFFSET(Data,0,0,ItemsCount,1),0))),TRUE)</f>
        <v>1</v>
      </c>
      <c r="G491" s="26" t="b">
        <f ca="1">IF(MID(UPPER(Data!A491),1,13)="MISCELLANEOUS",NOT(ISERROR(MATCH("path="&amp;Data!A491,OFFSET(Data,0,76,ItemsCount,1),0))),TRUE)</f>
        <v>1</v>
      </c>
      <c r="L491" s="25" t="b">
        <f t="shared" ca="1" si="15"/>
        <v>1</v>
      </c>
      <c r="M491" s="24" t="b">
        <f>IF(Checks!$C491,Data!A491&lt;&gt;"",TRUE)</f>
        <v>1</v>
      </c>
      <c r="N491" s="26" t="b">
        <f>IF(Checks!C491,Data!B491&lt;&gt;"",TRUE)</f>
        <v>1</v>
      </c>
      <c r="O491" s="26" t="b">
        <f>IF(Checks!C491,IF(AND(UPPER(Data!C491)="SERVICE TASK",UPPER(Data!BZ491)="TYPE=SAS"),NodeExists(TRIM(RIGHT(Data!CA491,LEN(Data!CA491)-FIND("=",Data!CA491)))),TRUE),TRUE)</f>
        <v>1</v>
      </c>
      <c r="P491" s="26" t="b">
        <f>IF(Checks!C491,IF(Data!C491="DATA OBJECT",OR(AND(Data!BW491&lt;&gt;"",Data!BX491=""),AND(Data!BW491="",Data!BX491&lt;&gt;"")),TRUE),TRUE)</f>
        <v>1</v>
      </c>
      <c r="Q491" s="26" t="b">
        <f>IF(Checks!C491,UPPER(RIGHT(Data!A491,5))=".BPMN",TRUE)</f>
        <v>1</v>
      </c>
      <c r="R491" s="26" t="b">
        <f>IF(Checks!C491,IF(UPPER(Data!C491)="SUB PROCESS",UPPER(RIGHT(Data!BY491,5))=".BPMN",TRUE),TRUE)</f>
        <v>1</v>
      </c>
      <c r="S491" s="26" t="b">
        <f>IF(Checks!C491,IF(UPPER(Data!C491)="SERVICE TASK",IF(UPPER(Data!BZ491)="TYPE=SAS",UPPER(RIGHT(Data!CA491,4))=".SAS",TRUE),TRUE),TRUE)</f>
        <v>1</v>
      </c>
      <c r="T491" s="26" t="b">
        <f>IF(Checks!C491,IF(Data!B491&lt;&gt;"",Data!D491&lt;&gt;"",TRUE),TRUE)</f>
        <v>1</v>
      </c>
      <c r="U491" s="26" t="b">
        <f>IF(Checks!C491,IF(UPPER(Data!C491)="DATA OBJECT",NOT(ISERROR(MATCH(Data!A491&amp;"||"&amp;Data!BW491&amp;Data!BX491,Key,0))),TRUE),TRUE)</f>
        <v>1</v>
      </c>
      <c r="V491" s="26" t="b">
        <f>IF(Checks!C491,IF(UPPER(Data!C491)="SUB PROCESS",Data!BY491&lt;&gt;"",TRUE),TRUE)</f>
        <v>1</v>
      </c>
      <c r="W491" s="26" t="b">
        <f>IF(Checks!C491,IF(UPPER(Data!C491)="SERVICE TASK",AND(Data!BZ491&lt;&gt;"",Data!CA491&lt;&gt;""),TRUE),TRUE)</f>
        <v>1</v>
      </c>
      <c r="X491" s="26" t="b">
        <f t="array" aca="1" ref="X491" ca="1">SUM((OFFSET(Data!B491,MAX(ROW(Data!$B$5)-ROW(Data!B491),-200),0,400,1)=Data!B491)*(OFFSET(Data!A491,MAX(ROW(Data!$B$5)-ROW(Data!B491),-200),0,400,1)=Data!A491))=1</f>
        <v>1</v>
      </c>
      <c r="Y491" s="26" t="b">
        <f t="array" aca="1" ref="Y491" ca="1">IF(UPPER(Data!C491)="START",SUM((OFFSET(Data!C491,MAX(ROW(Data!$C$5)-ROW(Data!C491),-200),0,400,1)="START")*(OFFSET(Data!A491,MAX(ROW(Data!$B$5)-ROW(Data!B491),-200),0,400,1)=Data!A491))=1,TRUE)</f>
        <v>1</v>
      </c>
      <c r="Z491" s="26" t="b">
        <f t="array" aca="1" ref="Z491" ca="1">IF(UPPER(Data!C491)="END",SUM((OFFSET(Data!C491,MAX(ROW(Data!$C$5)-ROW(Data!C491),-200),0,400,1)="END")*(OFFSET(Data!A491,MAX(ROW(Data!$B$5)-ROW(Data!B491),-200),0,400,1)=Data!A491))=1,TRUE)</f>
        <v>1</v>
      </c>
      <c r="AA491" s="26" t="b">
        <f>IF(Checks!C491,ISERROR(FIND("&amp;",Data!D491)),TRUE)</f>
        <v>1</v>
      </c>
      <c r="AB491" s="26" t="b">
        <f ca="1">IF(Checks!$C491,IF(AND(UPPER(Data!$C491)&lt;&gt;"START",UPPER(Data!$C491)&lt;&gt;"DATA OBJECT",Data!E491&lt;&gt;""),NOT(ISERROR(MATCH(Data!$A491&amp;"||"&amp;Data!E491,Key,0))),TRUE),TRUE)</f>
        <v>1</v>
      </c>
      <c r="AC491" s="27" t="b">
        <f>IF(Checks!C491,IF(UPPER(Data!C491)="END",Data!E491&lt;&gt;"",TRUE),TRUE)</f>
        <v>1</v>
      </c>
    </row>
    <row r="492" spans="1:29" x14ac:dyDescent="0.25">
      <c r="A492" s="1" t="str">
        <f>Data!A492&amp;"||"&amp;Data!B492</f>
        <v>Miscellaneous/subflow/irmifrs9_postprocess_stage3.bpmn||030_00_01</v>
      </c>
      <c r="B492" s="19"/>
      <c r="C492" s="24" t="b">
        <f>AND(UPPER(Data!A492)&lt;&gt;"EMPTY",Data!B492&lt;&gt;"")</f>
        <v>1</v>
      </c>
      <c r="D492" s="1"/>
      <c r="E492" s="25" t="b">
        <f t="shared" ca="1" si="14"/>
        <v>1</v>
      </c>
      <c r="F492" s="26" t="b">
        <f ca="1">IF(UPPER(Data!C492)="SUB PROCESS",NOT(ISERROR(MATCH(RIGHT(Data!BY492,LEN(Data!BY492)-5),OFFSET(Data,0,0,ItemsCount,1),0))),TRUE)</f>
        <v>1</v>
      </c>
      <c r="G492" s="26" t="b">
        <f ca="1">IF(MID(UPPER(Data!A492),1,13)="MISCELLANEOUS",NOT(ISERROR(MATCH("path="&amp;Data!A492,OFFSET(Data,0,76,ItemsCount,1),0))),TRUE)</f>
        <v>1</v>
      </c>
      <c r="L492" s="25" t="b">
        <f t="shared" ca="1" si="15"/>
        <v>1</v>
      </c>
      <c r="M492" s="24" t="b">
        <f>IF(Checks!$C492,Data!A492&lt;&gt;"",TRUE)</f>
        <v>1</v>
      </c>
      <c r="N492" s="26" t="b">
        <f>IF(Checks!C492,Data!B492&lt;&gt;"",TRUE)</f>
        <v>1</v>
      </c>
      <c r="O492" s="26" t="b">
        <f>IF(Checks!C492,IF(AND(UPPER(Data!C492)="SERVICE TASK",UPPER(Data!BZ492)="TYPE=SAS"),NodeExists(TRIM(RIGHT(Data!CA492,LEN(Data!CA492)-FIND("=",Data!CA492)))),TRUE),TRUE)</f>
        <v>1</v>
      </c>
      <c r="P492" s="26" t="b">
        <f>IF(Checks!C492,IF(Data!C492="DATA OBJECT",OR(AND(Data!BW492&lt;&gt;"",Data!BX492=""),AND(Data!BW492="",Data!BX492&lt;&gt;"")),TRUE),TRUE)</f>
        <v>1</v>
      </c>
      <c r="Q492" s="26" t="b">
        <f>IF(Checks!C492,UPPER(RIGHT(Data!A492,5))=".BPMN",TRUE)</f>
        <v>1</v>
      </c>
      <c r="R492" s="26" t="b">
        <f>IF(Checks!C492,IF(UPPER(Data!C492)="SUB PROCESS",UPPER(RIGHT(Data!BY492,5))=".BPMN",TRUE),TRUE)</f>
        <v>1</v>
      </c>
      <c r="S492" s="26" t="b">
        <f>IF(Checks!C492,IF(UPPER(Data!C492)="SERVICE TASK",IF(UPPER(Data!BZ492)="TYPE=SAS",UPPER(RIGHT(Data!CA492,4))=".SAS",TRUE),TRUE),TRUE)</f>
        <v>1</v>
      </c>
      <c r="T492" s="26" t="b">
        <f>IF(Checks!C492,IF(Data!B492&lt;&gt;"",Data!D492&lt;&gt;"",TRUE),TRUE)</f>
        <v>1</v>
      </c>
      <c r="U492" s="26" t="b">
        <f ca="1">IF(Checks!C492,IF(UPPER(Data!C492)="DATA OBJECT",NOT(ISERROR(MATCH(Data!A492&amp;"||"&amp;Data!BW492&amp;Data!BX492,Key,0))),TRUE),TRUE)</f>
        <v>1</v>
      </c>
      <c r="V492" s="26" t="b">
        <f>IF(Checks!C492,IF(UPPER(Data!C492)="SUB PROCESS",Data!BY492&lt;&gt;"",TRUE),TRUE)</f>
        <v>1</v>
      </c>
      <c r="W492" s="26" t="b">
        <f>IF(Checks!C492,IF(UPPER(Data!C492)="SERVICE TASK",AND(Data!BZ492&lt;&gt;"",Data!CA492&lt;&gt;""),TRUE),TRUE)</f>
        <v>1</v>
      </c>
      <c r="X492" s="26" t="b">
        <f t="array" aca="1" ref="X492" ca="1">SUM((OFFSET(Data!B492,MAX(ROW(Data!$B$5)-ROW(Data!B492),-200),0,400,1)=Data!B492)*(OFFSET(Data!A492,MAX(ROW(Data!$B$5)-ROW(Data!B492),-200),0,400,1)=Data!A492))=1</f>
        <v>1</v>
      </c>
      <c r="Y492" s="26" t="b">
        <f t="array" aca="1" ref="Y492" ca="1">IF(UPPER(Data!C492)="START",SUM((OFFSET(Data!C492,MAX(ROW(Data!$C$5)-ROW(Data!C492),-200),0,400,1)="START")*(OFFSET(Data!A492,MAX(ROW(Data!$B$5)-ROW(Data!B492),-200),0,400,1)=Data!A492))=1,TRUE)</f>
        <v>1</v>
      </c>
      <c r="Z492" s="26" t="b">
        <f t="array" aca="1" ref="Z492" ca="1">IF(UPPER(Data!C492)="END",SUM((OFFSET(Data!C492,MAX(ROW(Data!$C$5)-ROW(Data!C492),-200),0,400,1)="END")*(OFFSET(Data!A492,MAX(ROW(Data!$B$5)-ROW(Data!B492),-200),0,400,1)=Data!A492))=1,TRUE)</f>
        <v>1</v>
      </c>
      <c r="AA492" s="26" t="b">
        <f>IF(Checks!C492,ISERROR(FIND("&amp;",Data!D492)),TRUE)</f>
        <v>1</v>
      </c>
      <c r="AB492" s="26" t="b">
        <f>IF(Checks!$C492,IF(AND(UPPER(Data!$C492)&lt;&gt;"START",UPPER(Data!$C492)&lt;&gt;"DATA OBJECT",Data!E492&lt;&gt;""),NOT(ISERROR(MATCH(Data!$A492&amp;"||"&amp;Data!E492,Key,0))),TRUE),TRUE)</f>
        <v>1</v>
      </c>
      <c r="AC492" s="27" t="b">
        <f>IF(Checks!C492,IF(UPPER(Data!C492)="END",Data!E492&lt;&gt;"",TRUE),TRUE)</f>
        <v>1</v>
      </c>
    </row>
    <row r="493" spans="1:29" x14ac:dyDescent="0.25">
      <c r="A493" s="1" t="str">
        <f>Data!A493&amp;"||"&amp;Data!B493</f>
        <v>Miscellaneous/subflow/irmifrs9_postprocess_stage3.bpmn||030_00_02</v>
      </c>
      <c r="B493" s="19"/>
      <c r="C493" s="24" t="b">
        <f>AND(UPPER(Data!A493)&lt;&gt;"EMPTY",Data!B493&lt;&gt;"")</f>
        <v>1</v>
      </c>
      <c r="D493" s="1"/>
      <c r="E493" s="25" t="b">
        <f t="shared" ca="1" si="14"/>
        <v>1</v>
      </c>
      <c r="F493" s="26" t="b">
        <f ca="1">IF(UPPER(Data!C493)="SUB PROCESS",NOT(ISERROR(MATCH(RIGHT(Data!BY493,LEN(Data!BY493)-5),OFFSET(Data,0,0,ItemsCount,1),0))),TRUE)</f>
        <v>1</v>
      </c>
      <c r="G493" s="26" t="b">
        <f ca="1">IF(MID(UPPER(Data!A493),1,13)="MISCELLANEOUS",NOT(ISERROR(MATCH("path="&amp;Data!A493,OFFSET(Data,0,76,ItemsCount,1),0))),TRUE)</f>
        <v>1</v>
      </c>
      <c r="L493" s="25" t="b">
        <f t="shared" ca="1" si="15"/>
        <v>1</v>
      </c>
      <c r="M493" s="24" t="b">
        <f>IF(Checks!$C493,Data!A493&lt;&gt;"",TRUE)</f>
        <v>1</v>
      </c>
      <c r="N493" s="26" t="b">
        <f>IF(Checks!C493,Data!B493&lt;&gt;"",TRUE)</f>
        <v>1</v>
      </c>
      <c r="O493" s="26" t="b">
        <f>IF(Checks!C493,IF(AND(UPPER(Data!C493)="SERVICE TASK",UPPER(Data!BZ493)="TYPE=SAS"),NodeExists(TRIM(RIGHT(Data!CA493,LEN(Data!CA493)-FIND("=",Data!CA493)))),TRUE),TRUE)</f>
        <v>1</v>
      </c>
      <c r="P493" s="26" t="b">
        <f>IF(Checks!C493,IF(Data!C493="DATA OBJECT",OR(AND(Data!BW493&lt;&gt;"",Data!BX493=""),AND(Data!BW493="",Data!BX493&lt;&gt;"")),TRUE),TRUE)</f>
        <v>1</v>
      </c>
      <c r="Q493" s="26" t="b">
        <f>IF(Checks!C493,UPPER(RIGHT(Data!A493,5))=".BPMN",TRUE)</f>
        <v>1</v>
      </c>
      <c r="R493" s="26" t="b">
        <f>IF(Checks!C493,IF(UPPER(Data!C493)="SUB PROCESS",UPPER(RIGHT(Data!BY493,5))=".BPMN",TRUE),TRUE)</f>
        <v>1</v>
      </c>
      <c r="S493" s="26" t="b">
        <f>IF(Checks!C493,IF(UPPER(Data!C493)="SERVICE TASK",IF(UPPER(Data!BZ493)="TYPE=SAS",UPPER(RIGHT(Data!CA493,4))=".SAS",TRUE),TRUE),TRUE)</f>
        <v>1</v>
      </c>
      <c r="T493" s="26" t="b">
        <f>IF(Checks!C493,IF(Data!B493&lt;&gt;"",Data!D493&lt;&gt;"",TRUE),TRUE)</f>
        <v>1</v>
      </c>
      <c r="U493" s="26" t="b">
        <f ca="1">IF(Checks!C493,IF(UPPER(Data!C493)="DATA OBJECT",NOT(ISERROR(MATCH(Data!A493&amp;"||"&amp;Data!BW493&amp;Data!BX493,Key,0))),TRUE),TRUE)</f>
        <v>1</v>
      </c>
      <c r="V493" s="26" t="b">
        <f>IF(Checks!C493,IF(UPPER(Data!C493)="SUB PROCESS",Data!BY493&lt;&gt;"",TRUE),TRUE)</f>
        <v>1</v>
      </c>
      <c r="W493" s="26" t="b">
        <f>IF(Checks!C493,IF(UPPER(Data!C493)="SERVICE TASK",AND(Data!BZ493&lt;&gt;"",Data!CA493&lt;&gt;""),TRUE),TRUE)</f>
        <v>1</v>
      </c>
      <c r="X493" s="26" t="b">
        <f t="array" aca="1" ref="X493" ca="1">SUM((OFFSET(Data!B493,MAX(ROW(Data!$B$5)-ROW(Data!B493),-200),0,400,1)=Data!B493)*(OFFSET(Data!A493,MAX(ROW(Data!$B$5)-ROW(Data!B493),-200),0,400,1)=Data!A493))=1</f>
        <v>1</v>
      </c>
      <c r="Y493" s="26" t="b">
        <f t="array" aca="1" ref="Y493" ca="1">IF(UPPER(Data!C493)="START",SUM((OFFSET(Data!C493,MAX(ROW(Data!$C$5)-ROW(Data!C493),-200),0,400,1)="START")*(OFFSET(Data!A493,MAX(ROW(Data!$B$5)-ROW(Data!B493),-200),0,400,1)=Data!A493))=1,TRUE)</f>
        <v>1</v>
      </c>
      <c r="Z493" s="26" t="b">
        <f t="array" aca="1" ref="Z493" ca="1">IF(UPPER(Data!C493)="END",SUM((OFFSET(Data!C493,MAX(ROW(Data!$C$5)-ROW(Data!C493),-200),0,400,1)="END")*(OFFSET(Data!A493,MAX(ROW(Data!$B$5)-ROW(Data!B493),-200),0,400,1)=Data!A493))=1,TRUE)</f>
        <v>1</v>
      </c>
      <c r="AA493" s="26" t="b">
        <f>IF(Checks!C493,ISERROR(FIND("&amp;",Data!D493)),TRUE)</f>
        <v>1</v>
      </c>
      <c r="AB493" s="26" t="b">
        <f>IF(Checks!$C493,IF(AND(UPPER(Data!$C493)&lt;&gt;"START",UPPER(Data!$C493)&lt;&gt;"DATA OBJECT",Data!E493&lt;&gt;""),NOT(ISERROR(MATCH(Data!$A493&amp;"||"&amp;Data!E493,Key,0))),TRUE),TRUE)</f>
        <v>1</v>
      </c>
      <c r="AC493" s="27" t="b">
        <f>IF(Checks!C493,IF(UPPER(Data!C493)="END",Data!E493&lt;&gt;"",TRUE),TRUE)</f>
        <v>1</v>
      </c>
    </row>
    <row r="494" spans="1:29" x14ac:dyDescent="0.25">
      <c r="A494" s="1" t="str">
        <f>Data!A494&amp;"||"&amp;Data!B494</f>
        <v>Miscellaneous/subflow/irmifrs9_postprocess_stage3.bpmn||030_01_00</v>
      </c>
      <c r="B494" s="19"/>
      <c r="C494" s="24" t="b">
        <f>AND(UPPER(Data!A494)&lt;&gt;"EMPTY",Data!B494&lt;&gt;"")</f>
        <v>1</v>
      </c>
      <c r="D494" s="1"/>
      <c r="E494" s="25" t="b">
        <f t="shared" ca="1" si="14"/>
        <v>1</v>
      </c>
      <c r="F494" s="26" t="b">
        <f ca="1">IF(UPPER(Data!C494)="SUB PROCESS",NOT(ISERROR(MATCH(RIGHT(Data!BY494,LEN(Data!BY494)-5),OFFSET(Data,0,0,ItemsCount,1),0))),TRUE)</f>
        <v>1</v>
      </c>
      <c r="G494" s="26" t="b">
        <f ca="1">IF(MID(UPPER(Data!A494),1,13)="MISCELLANEOUS",NOT(ISERROR(MATCH("path="&amp;Data!A494,OFFSET(Data,0,76,ItemsCount,1),0))),TRUE)</f>
        <v>1</v>
      </c>
      <c r="L494" s="25" t="b">
        <f t="shared" ca="1" si="15"/>
        <v>1</v>
      </c>
      <c r="M494" s="24" t="b">
        <f>IF(Checks!$C494,Data!A494&lt;&gt;"",TRUE)</f>
        <v>1</v>
      </c>
      <c r="N494" s="26" t="b">
        <f>IF(Checks!C494,Data!B494&lt;&gt;"",TRUE)</f>
        <v>1</v>
      </c>
      <c r="O494" s="26" t="b">
        <f>IF(Checks!C494,IF(AND(UPPER(Data!C494)="SERVICE TASK",UPPER(Data!BZ494)="TYPE=SAS"),NodeExists(TRIM(RIGHT(Data!CA494,LEN(Data!CA494)-FIND("=",Data!CA494)))),TRUE),TRUE)</f>
        <v>1</v>
      </c>
      <c r="P494" s="26" t="b">
        <f>IF(Checks!C494,IF(Data!C494="DATA OBJECT",OR(AND(Data!BW494&lt;&gt;"",Data!BX494=""),AND(Data!BW494="",Data!BX494&lt;&gt;"")),TRUE),TRUE)</f>
        <v>1</v>
      </c>
      <c r="Q494" s="26" t="b">
        <f>IF(Checks!C494,UPPER(RIGHT(Data!A494,5))=".BPMN",TRUE)</f>
        <v>1</v>
      </c>
      <c r="R494" s="26" t="b">
        <f>IF(Checks!C494,IF(UPPER(Data!C494)="SUB PROCESS",UPPER(RIGHT(Data!BY494,5))=".BPMN",TRUE),TRUE)</f>
        <v>1</v>
      </c>
      <c r="S494" s="26" t="b">
        <f>IF(Checks!C494,IF(UPPER(Data!C494)="SERVICE TASK",IF(UPPER(Data!BZ494)="TYPE=SAS",UPPER(RIGHT(Data!CA494,4))=".SAS",TRUE),TRUE),TRUE)</f>
        <v>1</v>
      </c>
      <c r="T494" s="26" t="b">
        <f>IF(Checks!C494,IF(Data!B494&lt;&gt;"",Data!D494&lt;&gt;"",TRUE),TRUE)</f>
        <v>1</v>
      </c>
      <c r="U494" s="26" t="b">
        <f ca="1">IF(Checks!C494,IF(UPPER(Data!C494)="DATA OBJECT",NOT(ISERROR(MATCH(Data!A494&amp;"||"&amp;Data!BW494&amp;Data!BX494,Key,0))),TRUE),TRUE)</f>
        <v>1</v>
      </c>
      <c r="V494" s="26" t="b">
        <f>IF(Checks!C494,IF(UPPER(Data!C494)="SUB PROCESS",Data!BY494&lt;&gt;"",TRUE),TRUE)</f>
        <v>1</v>
      </c>
      <c r="W494" s="26" t="b">
        <f>IF(Checks!C494,IF(UPPER(Data!C494)="SERVICE TASK",AND(Data!BZ494&lt;&gt;"",Data!CA494&lt;&gt;""),TRUE),TRUE)</f>
        <v>1</v>
      </c>
      <c r="X494" s="26" t="b">
        <f t="array" aca="1" ref="X494" ca="1">SUM((OFFSET(Data!B494,MAX(ROW(Data!$B$5)-ROW(Data!B494),-200),0,400,1)=Data!B494)*(OFFSET(Data!A494,MAX(ROW(Data!$B$5)-ROW(Data!B494),-200),0,400,1)=Data!A494))=1</f>
        <v>1</v>
      </c>
      <c r="Y494" s="26" t="b">
        <f t="array" aca="1" ref="Y494" ca="1">IF(UPPER(Data!C494)="START",SUM((OFFSET(Data!C494,MAX(ROW(Data!$C$5)-ROW(Data!C494),-200),0,400,1)="START")*(OFFSET(Data!A494,MAX(ROW(Data!$B$5)-ROW(Data!B494),-200),0,400,1)=Data!A494))=1,TRUE)</f>
        <v>1</v>
      </c>
      <c r="Z494" s="26" t="b">
        <f t="array" aca="1" ref="Z494" ca="1">IF(UPPER(Data!C494)="END",SUM((OFFSET(Data!C494,MAX(ROW(Data!$C$5)-ROW(Data!C494),-200),0,400,1)="END")*(OFFSET(Data!A494,MAX(ROW(Data!$B$5)-ROW(Data!B494),-200),0,400,1)=Data!A494))=1,TRUE)</f>
        <v>1</v>
      </c>
      <c r="AA494" s="26" t="b">
        <f>IF(Checks!C494,ISERROR(FIND("&amp;",Data!D494)),TRUE)</f>
        <v>1</v>
      </c>
      <c r="AB494" s="26" t="b">
        <f>IF(Checks!$C494,IF(AND(UPPER(Data!$C494)&lt;&gt;"START",UPPER(Data!$C494)&lt;&gt;"DATA OBJECT",Data!E494&lt;&gt;""),NOT(ISERROR(MATCH(Data!$A494&amp;"||"&amp;Data!E494,Key,0))),TRUE),TRUE)</f>
        <v>1</v>
      </c>
      <c r="AC494" s="27" t="b">
        <f>IF(Checks!C494,IF(UPPER(Data!C494)="END",Data!E494&lt;&gt;"",TRUE),TRUE)</f>
        <v>1</v>
      </c>
    </row>
    <row r="495" spans="1:29" x14ac:dyDescent="0.25">
      <c r="A495" s="1" t="str">
        <f>Data!A495&amp;"||"&amp;Data!B495</f>
        <v>Miscellaneous/subflow/irmifrs9_postprocess_stage3.bpmn||999_00_00</v>
      </c>
      <c r="B495" s="19"/>
      <c r="C495" s="24" t="b">
        <f>AND(UPPER(Data!A495)&lt;&gt;"EMPTY",Data!B495&lt;&gt;"")</f>
        <v>1</v>
      </c>
      <c r="D495" s="1"/>
      <c r="E495" s="25" t="b">
        <f t="shared" ca="1" si="14"/>
        <v>1</v>
      </c>
      <c r="F495" s="26" t="b">
        <f ca="1">IF(UPPER(Data!C495)="SUB PROCESS",NOT(ISERROR(MATCH(RIGHT(Data!BY495,LEN(Data!BY495)-5),OFFSET(Data,0,0,ItemsCount,1),0))),TRUE)</f>
        <v>1</v>
      </c>
      <c r="G495" s="26" t="b">
        <f ca="1">IF(MID(UPPER(Data!A495),1,13)="MISCELLANEOUS",NOT(ISERROR(MATCH("path="&amp;Data!A495,OFFSET(Data,0,76,ItemsCount,1),0))),TRUE)</f>
        <v>1</v>
      </c>
      <c r="L495" s="25" t="b">
        <f t="shared" ca="1" si="15"/>
        <v>1</v>
      </c>
      <c r="M495" s="24" t="b">
        <f>IF(Checks!$C495,Data!A495&lt;&gt;"",TRUE)</f>
        <v>1</v>
      </c>
      <c r="N495" s="26" t="b">
        <f>IF(Checks!C495,Data!B495&lt;&gt;"",TRUE)</f>
        <v>1</v>
      </c>
      <c r="O495" s="26" t="b">
        <f>IF(Checks!C495,IF(AND(UPPER(Data!C495)="SERVICE TASK",UPPER(Data!BZ495)="TYPE=SAS"),NodeExists(TRIM(RIGHT(Data!CA495,LEN(Data!CA495)-FIND("=",Data!CA495)))),TRUE),TRUE)</f>
        <v>1</v>
      </c>
      <c r="P495" s="26" t="b">
        <f>IF(Checks!C495,IF(Data!C495="DATA OBJECT",OR(AND(Data!BW495&lt;&gt;"",Data!BX495=""),AND(Data!BW495="",Data!BX495&lt;&gt;"")),TRUE),TRUE)</f>
        <v>1</v>
      </c>
      <c r="Q495" s="26" t="b">
        <f>IF(Checks!C495,UPPER(RIGHT(Data!A495,5))=".BPMN",TRUE)</f>
        <v>1</v>
      </c>
      <c r="R495" s="26" t="b">
        <f>IF(Checks!C495,IF(UPPER(Data!C495)="SUB PROCESS",UPPER(RIGHT(Data!BY495,5))=".BPMN",TRUE),TRUE)</f>
        <v>1</v>
      </c>
      <c r="S495" s="26" t="b">
        <f>IF(Checks!C495,IF(UPPER(Data!C495)="SERVICE TASK",IF(UPPER(Data!BZ495)="TYPE=SAS",UPPER(RIGHT(Data!CA495,4))=".SAS",TRUE),TRUE),TRUE)</f>
        <v>1</v>
      </c>
      <c r="T495" s="26" t="b">
        <f>IF(Checks!C495,IF(Data!B495&lt;&gt;"",Data!D495&lt;&gt;"",TRUE),TRUE)</f>
        <v>1</v>
      </c>
      <c r="U495" s="26" t="b">
        <f>IF(Checks!C495,IF(UPPER(Data!C495)="DATA OBJECT",NOT(ISERROR(MATCH(Data!A495&amp;"||"&amp;Data!BW495&amp;Data!BX495,Key,0))),TRUE),TRUE)</f>
        <v>1</v>
      </c>
      <c r="V495" s="26" t="b">
        <f>IF(Checks!C495,IF(UPPER(Data!C495)="SUB PROCESS",Data!BY495&lt;&gt;"",TRUE),TRUE)</f>
        <v>1</v>
      </c>
      <c r="W495" s="26" t="b">
        <f>IF(Checks!C495,IF(UPPER(Data!C495)="SERVICE TASK",AND(Data!BZ495&lt;&gt;"",Data!CA495&lt;&gt;""),TRUE),TRUE)</f>
        <v>1</v>
      </c>
      <c r="X495" s="26" t="b">
        <f t="array" aca="1" ref="X495" ca="1">SUM((OFFSET(Data!B495,MAX(ROW(Data!$B$5)-ROW(Data!B495),-200),0,400,1)=Data!B495)*(OFFSET(Data!A495,MAX(ROW(Data!$B$5)-ROW(Data!B495),-200),0,400,1)=Data!A495))=1</f>
        <v>1</v>
      </c>
      <c r="Y495" s="26" t="b">
        <f t="array" aca="1" ref="Y495" ca="1">IF(UPPER(Data!C495)="START",SUM((OFFSET(Data!C495,MAX(ROW(Data!$C$5)-ROW(Data!C495),-200),0,400,1)="START")*(OFFSET(Data!A495,MAX(ROW(Data!$B$5)-ROW(Data!B495),-200),0,400,1)=Data!A495))=1,TRUE)</f>
        <v>1</v>
      </c>
      <c r="Z495" s="26" t="b">
        <f t="array" aca="1" ref="Z495" ca="1">IF(UPPER(Data!C495)="END",SUM((OFFSET(Data!C495,MAX(ROW(Data!$C$5)-ROW(Data!C495),-200),0,400,1)="END")*(OFFSET(Data!A495,MAX(ROW(Data!$B$5)-ROW(Data!B495),-200),0,400,1)=Data!A495))=1,TRUE)</f>
        <v>1</v>
      </c>
      <c r="AA495" s="26" t="b">
        <f>IF(Checks!C495,ISERROR(FIND("&amp;",Data!D495)),TRUE)</f>
        <v>1</v>
      </c>
      <c r="AB495" s="26" t="b">
        <f ca="1">IF(Checks!$C495,IF(AND(UPPER(Data!$C495)&lt;&gt;"START",UPPER(Data!$C495)&lt;&gt;"DATA OBJECT",Data!E495&lt;&gt;""),NOT(ISERROR(MATCH(Data!$A495&amp;"||"&amp;Data!E495,Key,0))),TRUE),TRUE)</f>
        <v>1</v>
      </c>
      <c r="AC495" s="27" t="b">
        <f>IF(Checks!C495,IF(UPPER(Data!C495)="END",Data!E495&lt;&gt;"",TRUE),TRUE)</f>
        <v>1</v>
      </c>
    </row>
    <row r="496" spans="1:29" x14ac:dyDescent="0.25">
      <c r="A496" s="1" t="str">
        <f>Data!A496&amp;"||"&amp;Data!B496</f>
        <v>Miscellaneous/subflow/irmifrs9_preprocess.bpmn||000_00_00</v>
      </c>
      <c r="B496" s="19"/>
      <c r="C496" s="24" t="b">
        <f>AND(UPPER(Data!A496)&lt;&gt;"EMPTY",Data!B496&lt;&gt;"")</f>
        <v>1</v>
      </c>
      <c r="D496" s="1"/>
      <c r="E496" s="25" t="b">
        <f t="shared" ca="1" si="14"/>
        <v>1</v>
      </c>
      <c r="F496" s="26" t="b">
        <f ca="1">IF(UPPER(Data!C496)="SUB PROCESS",NOT(ISERROR(MATCH(RIGHT(Data!BY496,LEN(Data!BY496)-5),OFFSET(Data,0,0,ItemsCount,1),0))),TRUE)</f>
        <v>1</v>
      </c>
      <c r="G496" s="26" t="b">
        <f ca="1">IF(MID(UPPER(Data!A496),1,13)="MISCELLANEOUS",NOT(ISERROR(MATCH("path="&amp;Data!A496,OFFSET(Data,0,76,ItemsCount,1),0))),TRUE)</f>
        <v>1</v>
      </c>
      <c r="L496" s="25" t="b">
        <f t="shared" ca="1" si="15"/>
        <v>1</v>
      </c>
      <c r="M496" s="24" t="b">
        <f>IF(Checks!$C496,Data!A496&lt;&gt;"",TRUE)</f>
        <v>1</v>
      </c>
      <c r="N496" s="26" t="b">
        <f>IF(Checks!C496,Data!B496&lt;&gt;"",TRUE)</f>
        <v>1</v>
      </c>
      <c r="O496" s="26" t="b">
        <f>IF(Checks!C496,IF(AND(UPPER(Data!C496)="SERVICE TASK",UPPER(Data!BZ496)="TYPE=SAS"),NodeExists(TRIM(RIGHT(Data!CA496,LEN(Data!CA496)-FIND("=",Data!CA496)))),TRUE),TRUE)</f>
        <v>1</v>
      </c>
      <c r="P496" s="26" t="b">
        <f>IF(Checks!C496,IF(Data!C496="DATA OBJECT",OR(AND(Data!BW496&lt;&gt;"",Data!BX496=""),AND(Data!BW496="",Data!BX496&lt;&gt;"")),TRUE),TRUE)</f>
        <v>1</v>
      </c>
      <c r="Q496" s="26" t="b">
        <f>IF(Checks!C496,UPPER(RIGHT(Data!A496,5))=".BPMN",TRUE)</f>
        <v>1</v>
      </c>
      <c r="R496" s="26" t="b">
        <f>IF(Checks!C496,IF(UPPER(Data!C496)="SUB PROCESS",UPPER(RIGHT(Data!BY496,5))=".BPMN",TRUE),TRUE)</f>
        <v>1</v>
      </c>
      <c r="S496" s="26" t="b">
        <f>IF(Checks!C496,IF(UPPER(Data!C496)="SERVICE TASK",IF(UPPER(Data!BZ496)="TYPE=SAS",UPPER(RIGHT(Data!CA496,4))=".SAS",TRUE),TRUE),TRUE)</f>
        <v>1</v>
      </c>
      <c r="T496" s="26" t="b">
        <f>IF(Checks!C496,IF(Data!B496&lt;&gt;"",Data!D496&lt;&gt;"",TRUE),TRUE)</f>
        <v>1</v>
      </c>
      <c r="U496" s="26" t="b">
        <f>IF(Checks!C496,IF(UPPER(Data!C496)="DATA OBJECT",NOT(ISERROR(MATCH(Data!A496&amp;"||"&amp;Data!BW496&amp;Data!BX496,Key,0))),TRUE),TRUE)</f>
        <v>1</v>
      </c>
      <c r="V496" s="26" t="b">
        <f>IF(Checks!C496,IF(UPPER(Data!C496)="SUB PROCESS",Data!BY496&lt;&gt;"",TRUE),TRUE)</f>
        <v>1</v>
      </c>
      <c r="W496" s="26" t="b">
        <f>IF(Checks!C496,IF(UPPER(Data!C496)="SERVICE TASK",AND(Data!BZ496&lt;&gt;"",Data!CA496&lt;&gt;""),TRUE),TRUE)</f>
        <v>1</v>
      </c>
      <c r="X496" s="26" t="b">
        <f t="array" aca="1" ref="X496" ca="1">SUM((OFFSET(Data!B496,MAX(ROW(Data!$B$5)-ROW(Data!B496),-200),0,400,1)=Data!B496)*(OFFSET(Data!A496,MAX(ROW(Data!$B$5)-ROW(Data!B496),-200),0,400,1)=Data!A496))=1</f>
        <v>1</v>
      </c>
      <c r="Y496" s="26" t="b">
        <f t="array" aca="1" ref="Y496" ca="1">IF(UPPER(Data!C496)="START",SUM((OFFSET(Data!C496,MAX(ROW(Data!$C$5)-ROW(Data!C496),-200),0,400,1)="START")*(OFFSET(Data!A496,MAX(ROW(Data!$B$5)-ROW(Data!B496),-200),0,400,1)=Data!A496))=1,TRUE)</f>
        <v>1</v>
      </c>
      <c r="Z496" s="26" t="b">
        <f t="array" aca="1" ref="Z496" ca="1">IF(UPPER(Data!C496)="END",SUM((OFFSET(Data!C496,MAX(ROW(Data!$C$5)-ROW(Data!C496),-200),0,400,1)="END")*(OFFSET(Data!A496,MAX(ROW(Data!$B$5)-ROW(Data!B496),-200),0,400,1)=Data!A496))=1,TRUE)</f>
        <v>1</v>
      </c>
      <c r="AA496" s="26" t="b">
        <f>IF(Checks!C496,ISERROR(FIND("&amp;",Data!D496)),TRUE)</f>
        <v>1</v>
      </c>
      <c r="AB496" s="26" t="b">
        <f>IF(Checks!$C496,IF(AND(UPPER(Data!$C496)&lt;&gt;"START",UPPER(Data!$C496)&lt;&gt;"DATA OBJECT",Data!E496&lt;&gt;""),NOT(ISERROR(MATCH(Data!$A496&amp;"||"&amp;Data!E496,Key,0))),TRUE),TRUE)</f>
        <v>1</v>
      </c>
      <c r="AC496" s="27" t="b">
        <f>IF(Checks!C496,IF(UPPER(Data!C496)="END",Data!E496&lt;&gt;"",TRUE),TRUE)</f>
        <v>1</v>
      </c>
    </row>
    <row r="497" spans="1:29" x14ac:dyDescent="0.25">
      <c r="A497" s="1" t="str">
        <f>Data!A497&amp;"||"&amp;Data!B497</f>
        <v>Miscellaneous/subflow/irmifrs9_preprocess.bpmn||020_00_00</v>
      </c>
      <c r="B497" s="19"/>
      <c r="C497" s="24" t="b">
        <f>AND(UPPER(Data!A497)&lt;&gt;"EMPTY",Data!B497&lt;&gt;"")</f>
        <v>1</v>
      </c>
      <c r="D497" s="1"/>
      <c r="E497" s="25" t="b">
        <f t="shared" ca="1" si="14"/>
        <v>1</v>
      </c>
      <c r="F497" s="26" t="b">
        <f ca="1">IF(UPPER(Data!C497)="SUB PROCESS",NOT(ISERROR(MATCH(RIGHT(Data!BY497,LEN(Data!BY497)-5),OFFSET(Data,0,0,ItemsCount,1),0))),TRUE)</f>
        <v>1</v>
      </c>
      <c r="G497" s="26" t="b">
        <f ca="1">IF(MID(UPPER(Data!A497),1,13)="MISCELLANEOUS",NOT(ISERROR(MATCH("path="&amp;Data!A497,OFFSET(Data,0,76,ItemsCount,1),0))),TRUE)</f>
        <v>1</v>
      </c>
      <c r="L497" s="25" t="b">
        <f t="shared" ca="1" si="15"/>
        <v>1</v>
      </c>
      <c r="M497" s="24" t="b">
        <f>IF(Checks!$C497,Data!A497&lt;&gt;"",TRUE)</f>
        <v>1</v>
      </c>
      <c r="N497" s="26" t="b">
        <f>IF(Checks!C497,Data!B497&lt;&gt;"",TRUE)</f>
        <v>1</v>
      </c>
      <c r="O497" s="26" t="b">
        <f>IF(Checks!C497,IF(AND(UPPER(Data!C497)="SERVICE TASK",UPPER(Data!BZ497)="TYPE=SAS"),NodeExists(TRIM(RIGHT(Data!CA497,LEN(Data!CA497)-FIND("=",Data!CA497)))),TRUE),TRUE)</f>
        <v>1</v>
      </c>
      <c r="P497" s="26" t="b">
        <f>IF(Checks!C497,IF(Data!C497="DATA OBJECT",OR(AND(Data!BW497&lt;&gt;"",Data!BX497=""),AND(Data!BW497="",Data!BX497&lt;&gt;"")),TRUE),TRUE)</f>
        <v>1</v>
      </c>
      <c r="Q497" s="26" t="b">
        <f>IF(Checks!C497,UPPER(RIGHT(Data!A497,5))=".BPMN",TRUE)</f>
        <v>1</v>
      </c>
      <c r="R497" s="26" t="b">
        <f>IF(Checks!C497,IF(UPPER(Data!C497)="SUB PROCESS",UPPER(RIGHT(Data!BY497,5))=".BPMN",TRUE),TRUE)</f>
        <v>1</v>
      </c>
      <c r="S497" s="26" t="b">
        <f>IF(Checks!C497,IF(UPPER(Data!C497)="SERVICE TASK",IF(UPPER(Data!BZ497)="TYPE=SAS",UPPER(RIGHT(Data!CA497,4))=".SAS",TRUE),TRUE),TRUE)</f>
        <v>1</v>
      </c>
      <c r="T497" s="26" t="b">
        <f>IF(Checks!C497,IF(Data!B497&lt;&gt;"",Data!D497&lt;&gt;"",TRUE),TRUE)</f>
        <v>1</v>
      </c>
      <c r="U497" s="26" t="b">
        <f>IF(Checks!C497,IF(UPPER(Data!C497)="DATA OBJECT",NOT(ISERROR(MATCH(Data!A497&amp;"||"&amp;Data!BW497&amp;Data!BX497,Key,0))),TRUE),TRUE)</f>
        <v>1</v>
      </c>
      <c r="V497" s="26" t="b">
        <f>IF(Checks!C497,IF(UPPER(Data!C497)="SUB PROCESS",Data!BY497&lt;&gt;"",TRUE),TRUE)</f>
        <v>1</v>
      </c>
      <c r="W497" s="26" t="b">
        <f>IF(Checks!C497,IF(UPPER(Data!C497)="SERVICE TASK",AND(Data!BZ497&lt;&gt;"",Data!CA497&lt;&gt;""),TRUE),TRUE)</f>
        <v>1</v>
      </c>
      <c r="X497" s="26" t="b">
        <f t="array" aca="1" ref="X497" ca="1">SUM((OFFSET(Data!B497,MAX(ROW(Data!$B$5)-ROW(Data!B497),-200),0,400,1)=Data!B497)*(OFFSET(Data!A497,MAX(ROW(Data!$B$5)-ROW(Data!B497),-200),0,400,1)=Data!A497))=1</f>
        <v>1</v>
      </c>
      <c r="Y497" s="26" t="b">
        <f t="array" aca="1" ref="Y497" ca="1">IF(UPPER(Data!C497)="START",SUM((OFFSET(Data!C497,MAX(ROW(Data!$C$5)-ROW(Data!C497),-200),0,400,1)="START")*(OFFSET(Data!A497,MAX(ROW(Data!$B$5)-ROW(Data!B497),-200),0,400,1)=Data!A497))=1,TRUE)</f>
        <v>1</v>
      </c>
      <c r="Z497" s="26" t="b">
        <f t="array" aca="1" ref="Z497" ca="1">IF(UPPER(Data!C497)="END",SUM((OFFSET(Data!C497,MAX(ROW(Data!$C$5)-ROW(Data!C497),-200),0,400,1)="END")*(OFFSET(Data!A497,MAX(ROW(Data!$B$5)-ROW(Data!B497),-200),0,400,1)=Data!A497))=1,TRUE)</f>
        <v>1</v>
      </c>
      <c r="AA497" s="26" t="b">
        <f>IF(Checks!C497,ISERROR(FIND("&amp;",Data!D497)),TRUE)</f>
        <v>1</v>
      </c>
      <c r="AB497" s="26" t="b">
        <f ca="1">IF(Checks!$C497,IF(AND(UPPER(Data!$C497)&lt;&gt;"START",UPPER(Data!$C497)&lt;&gt;"DATA OBJECT",Data!E497&lt;&gt;""),NOT(ISERROR(MATCH(Data!$A497&amp;"||"&amp;Data!E497,Key,0))),TRUE),TRUE)</f>
        <v>1</v>
      </c>
      <c r="AC497" s="27" t="b">
        <f>IF(Checks!C497,IF(UPPER(Data!C497)="END",Data!E497&lt;&gt;"",TRUE),TRUE)</f>
        <v>1</v>
      </c>
    </row>
    <row r="498" spans="1:29" x14ac:dyDescent="0.25">
      <c r="A498" s="1" t="str">
        <f>Data!A498&amp;"||"&amp;Data!B498</f>
        <v>Miscellaneous/subflow/irmifrs9_preprocess.bpmn||020_00_01</v>
      </c>
      <c r="B498" s="19"/>
      <c r="C498" s="24" t="b">
        <f>AND(UPPER(Data!A498)&lt;&gt;"EMPTY",Data!B498&lt;&gt;"")</f>
        <v>1</v>
      </c>
      <c r="D498" s="1"/>
      <c r="E498" s="25" t="b">
        <f t="shared" ca="1" si="14"/>
        <v>1</v>
      </c>
      <c r="F498" s="26" t="b">
        <f ca="1">IF(UPPER(Data!C498)="SUB PROCESS",NOT(ISERROR(MATCH(RIGHT(Data!BY498,LEN(Data!BY498)-5),OFFSET(Data,0,0,ItemsCount,1),0))),TRUE)</f>
        <v>1</v>
      </c>
      <c r="G498" s="26" t="b">
        <f ca="1">IF(MID(UPPER(Data!A498),1,13)="MISCELLANEOUS",NOT(ISERROR(MATCH("path="&amp;Data!A498,OFFSET(Data,0,76,ItemsCount,1),0))),TRUE)</f>
        <v>1</v>
      </c>
      <c r="L498" s="25" t="b">
        <f t="shared" ca="1" si="15"/>
        <v>1</v>
      </c>
      <c r="M498" s="24" t="b">
        <f>IF(Checks!$C498,Data!A498&lt;&gt;"",TRUE)</f>
        <v>1</v>
      </c>
      <c r="N498" s="26" t="b">
        <f>IF(Checks!C498,Data!B498&lt;&gt;"",TRUE)</f>
        <v>1</v>
      </c>
      <c r="O498" s="26" t="b">
        <f>IF(Checks!C498,IF(AND(UPPER(Data!C498)="SERVICE TASK",UPPER(Data!BZ498)="TYPE=SAS"),NodeExists(TRIM(RIGHT(Data!CA498,LEN(Data!CA498)-FIND("=",Data!CA498)))),TRUE),TRUE)</f>
        <v>1</v>
      </c>
      <c r="P498" s="26" t="b">
        <f>IF(Checks!C498,IF(Data!C498="DATA OBJECT",OR(AND(Data!BW498&lt;&gt;"",Data!BX498=""),AND(Data!BW498="",Data!BX498&lt;&gt;"")),TRUE),TRUE)</f>
        <v>1</v>
      </c>
      <c r="Q498" s="26" t="b">
        <f>IF(Checks!C498,UPPER(RIGHT(Data!A498,5))=".BPMN",TRUE)</f>
        <v>1</v>
      </c>
      <c r="R498" s="26" t="b">
        <f>IF(Checks!C498,IF(UPPER(Data!C498)="SUB PROCESS",UPPER(RIGHT(Data!BY498,5))=".BPMN",TRUE),TRUE)</f>
        <v>1</v>
      </c>
      <c r="S498" s="26" t="b">
        <f>IF(Checks!C498,IF(UPPER(Data!C498)="SERVICE TASK",IF(UPPER(Data!BZ498)="TYPE=SAS",UPPER(RIGHT(Data!CA498,4))=".SAS",TRUE),TRUE),TRUE)</f>
        <v>1</v>
      </c>
      <c r="T498" s="26" t="b">
        <f>IF(Checks!C498,IF(Data!B498&lt;&gt;"",Data!D498&lt;&gt;"",TRUE),TRUE)</f>
        <v>1</v>
      </c>
      <c r="U498" s="26" t="b">
        <f ca="1">IF(Checks!C498,IF(UPPER(Data!C498)="DATA OBJECT",NOT(ISERROR(MATCH(Data!A498&amp;"||"&amp;Data!BW498&amp;Data!BX498,Key,0))),TRUE),TRUE)</f>
        <v>1</v>
      </c>
      <c r="V498" s="26" t="b">
        <f>IF(Checks!C498,IF(UPPER(Data!C498)="SUB PROCESS",Data!BY498&lt;&gt;"",TRUE),TRUE)</f>
        <v>1</v>
      </c>
      <c r="W498" s="26" t="b">
        <f>IF(Checks!C498,IF(UPPER(Data!C498)="SERVICE TASK",AND(Data!BZ498&lt;&gt;"",Data!CA498&lt;&gt;""),TRUE),TRUE)</f>
        <v>1</v>
      </c>
      <c r="X498" s="26" t="b">
        <f t="array" aca="1" ref="X498" ca="1">SUM((OFFSET(Data!B498,MAX(ROW(Data!$B$5)-ROW(Data!B498),-200),0,400,1)=Data!B498)*(OFFSET(Data!A498,MAX(ROW(Data!$B$5)-ROW(Data!B498),-200),0,400,1)=Data!A498))=1</f>
        <v>1</v>
      </c>
      <c r="Y498" s="26" t="b">
        <f t="array" aca="1" ref="Y498" ca="1">IF(UPPER(Data!C498)="START",SUM((OFFSET(Data!C498,MAX(ROW(Data!$C$5)-ROW(Data!C498),-200),0,400,1)="START")*(OFFSET(Data!A498,MAX(ROW(Data!$B$5)-ROW(Data!B498),-200),0,400,1)=Data!A498))=1,TRUE)</f>
        <v>1</v>
      </c>
      <c r="Z498" s="26" t="b">
        <f t="array" aca="1" ref="Z498" ca="1">IF(UPPER(Data!C498)="END",SUM((OFFSET(Data!C498,MAX(ROW(Data!$C$5)-ROW(Data!C498),-200),0,400,1)="END")*(OFFSET(Data!A498,MAX(ROW(Data!$B$5)-ROW(Data!B498),-200),0,400,1)=Data!A498))=1,TRUE)</f>
        <v>1</v>
      </c>
      <c r="AA498" s="26" t="b">
        <f>IF(Checks!C498,ISERROR(FIND("&amp;",Data!D498)),TRUE)</f>
        <v>1</v>
      </c>
      <c r="AB498" s="26" t="b">
        <f>IF(Checks!$C498,IF(AND(UPPER(Data!$C498)&lt;&gt;"START",UPPER(Data!$C498)&lt;&gt;"DATA OBJECT",Data!E498&lt;&gt;""),NOT(ISERROR(MATCH(Data!$A498&amp;"||"&amp;Data!E498,Key,0))),TRUE),TRUE)</f>
        <v>1</v>
      </c>
      <c r="AC498" s="27" t="b">
        <f>IF(Checks!C498,IF(UPPER(Data!C498)="END",Data!E498&lt;&gt;"",TRUE),TRUE)</f>
        <v>1</v>
      </c>
    </row>
    <row r="499" spans="1:29" x14ac:dyDescent="0.25">
      <c r="A499" s="1" t="str">
        <f>Data!A499&amp;"||"&amp;Data!B499</f>
        <v>Miscellaneous/subflow/irmifrs9_preprocess.bpmn||020_00_02</v>
      </c>
      <c r="B499" s="19"/>
      <c r="C499" s="24" t="b">
        <f>AND(UPPER(Data!A499)&lt;&gt;"EMPTY",Data!B499&lt;&gt;"")</f>
        <v>1</v>
      </c>
      <c r="D499" s="1"/>
      <c r="E499" s="25" t="b">
        <f t="shared" ca="1" si="14"/>
        <v>1</v>
      </c>
      <c r="F499" s="26" t="b">
        <f ca="1">IF(UPPER(Data!C499)="SUB PROCESS",NOT(ISERROR(MATCH(RIGHT(Data!BY499,LEN(Data!BY499)-5),OFFSET(Data,0,0,ItemsCount,1),0))),TRUE)</f>
        <v>1</v>
      </c>
      <c r="G499" s="26" t="b">
        <f ca="1">IF(MID(UPPER(Data!A499),1,13)="MISCELLANEOUS",NOT(ISERROR(MATCH("path="&amp;Data!A499,OFFSET(Data,0,76,ItemsCount,1),0))),TRUE)</f>
        <v>1</v>
      </c>
      <c r="L499" s="25" t="b">
        <f t="shared" ca="1" si="15"/>
        <v>1</v>
      </c>
      <c r="M499" s="24" t="b">
        <f>IF(Checks!$C499,Data!A499&lt;&gt;"",TRUE)</f>
        <v>1</v>
      </c>
      <c r="N499" s="26" t="b">
        <f>IF(Checks!C499,Data!B499&lt;&gt;"",TRUE)</f>
        <v>1</v>
      </c>
      <c r="O499" s="26" t="b">
        <f>IF(Checks!C499,IF(AND(UPPER(Data!C499)="SERVICE TASK",UPPER(Data!BZ499)="TYPE=SAS"),NodeExists(TRIM(RIGHT(Data!CA499,LEN(Data!CA499)-FIND("=",Data!CA499)))),TRUE),TRUE)</f>
        <v>1</v>
      </c>
      <c r="P499" s="26" t="b">
        <f>IF(Checks!C499,IF(Data!C499="DATA OBJECT",OR(AND(Data!BW499&lt;&gt;"",Data!BX499=""),AND(Data!BW499="",Data!BX499&lt;&gt;"")),TRUE),TRUE)</f>
        <v>1</v>
      </c>
      <c r="Q499" s="26" t="b">
        <f>IF(Checks!C499,UPPER(RIGHT(Data!A499,5))=".BPMN",TRUE)</f>
        <v>1</v>
      </c>
      <c r="R499" s="26" t="b">
        <f>IF(Checks!C499,IF(UPPER(Data!C499)="SUB PROCESS",UPPER(RIGHT(Data!BY499,5))=".BPMN",TRUE),TRUE)</f>
        <v>1</v>
      </c>
      <c r="S499" s="26" t="b">
        <f>IF(Checks!C499,IF(UPPER(Data!C499)="SERVICE TASK",IF(UPPER(Data!BZ499)="TYPE=SAS",UPPER(RIGHT(Data!CA499,4))=".SAS",TRUE),TRUE),TRUE)</f>
        <v>1</v>
      </c>
      <c r="T499" s="26" t="b">
        <f>IF(Checks!C499,IF(Data!B499&lt;&gt;"",Data!D499&lt;&gt;"",TRUE),TRUE)</f>
        <v>1</v>
      </c>
      <c r="U499" s="26" t="b">
        <f ca="1">IF(Checks!C499,IF(UPPER(Data!C499)="DATA OBJECT",NOT(ISERROR(MATCH(Data!A499&amp;"||"&amp;Data!BW499&amp;Data!BX499,Key,0))),TRUE),TRUE)</f>
        <v>1</v>
      </c>
      <c r="V499" s="26" t="b">
        <f>IF(Checks!C499,IF(UPPER(Data!C499)="SUB PROCESS",Data!BY499&lt;&gt;"",TRUE),TRUE)</f>
        <v>1</v>
      </c>
      <c r="W499" s="26" t="b">
        <f>IF(Checks!C499,IF(UPPER(Data!C499)="SERVICE TASK",AND(Data!BZ499&lt;&gt;"",Data!CA499&lt;&gt;""),TRUE),TRUE)</f>
        <v>1</v>
      </c>
      <c r="X499" s="26" t="b">
        <f t="array" aca="1" ref="X499" ca="1">SUM((OFFSET(Data!B499,MAX(ROW(Data!$B$5)-ROW(Data!B499),-200),0,400,1)=Data!B499)*(OFFSET(Data!A499,MAX(ROW(Data!$B$5)-ROW(Data!B499),-200),0,400,1)=Data!A499))=1</f>
        <v>1</v>
      </c>
      <c r="Y499" s="26" t="b">
        <f t="array" aca="1" ref="Y499" ca="1">IF(UPPER(Data!C499)="START",SUM((OFFSET(Data!C499,MAX(ROW(Data!$C$5)-ROW(Data!C499),-200),0,400,1)="START")*(OFFSET(Data!A499,MAX(ROW(Data!$B$5)-ROW(Data!B499),-200),0,400,1)=Data!A499))=1,TRUE)</f>
        <v>1</v>
      </c>
      <c r="Z499" s="26" t="b">
        <f t="array" aca="1" ref="Z499" ca="1">IF(UPPER(Data!C499)="END",SUM((OFFSET(Data!C499,MAX(ROW(Data!$C$5)-ROW(Data!C499),-200),0,400,1)="END")*(OFFSET(Data!A499,MAX(ROW(Data!$B$5)-ROW(Data!B499),-200),0,400,1)=Data!A499))=1,TRUE)</f>
        <v>1</v>
      </c>
      <c r="AA499" s="26" t="b">
        <f>IF(Checks!C499,ISERROR(FIND("&amp;",Data!D499)),TRUE)</f>
        <v>1</v>
      </c>
      <c r="AB499" s="26" t="b">
        <f>IF(Checks!$C499,IF(AND(UPPER(Data!$C499)&lt;&gt;"START",UPPER(Data!$C499)&lt;&gt;"DATA OBJECT",Data!E499&lt;&gt;""),NOT(ISERROR(MATCH(Data!$A499&amp;"||"&amp;Data!E499,Key,0))),TRUE),TRUE)</f>
        <v>1</v>
      </c>
      <c r="AC499" s="27" t="b">
        <f>IF(Checks!C499,IF(UPPER(Data!C499)="END",Data!E499&lt;&gt;"",TRUE),TRUE)</f>
        <v>1</v>
      </c>
    </row>
    <row r="500" spans="1:29" x14ac:dyDescent="0.25">
      <c r="A500" s="1" t="str">
        <f>Data!A500&amp;"||"&amp;Data!B500</f>
        <v>Miscellaneous/subflow/irmifrs9_preprocess.bpmn||020_01_00</v>
      </c>
      <c r="B500" s="19"/>
      <c r="C500" s="24" t="b">
        <f>AND(UPPER(Data!A500)&lt;&gt;"EMPTY",Data!B500&lt;&gt;"")</f>
        <v>1</v>
      </c>
      <c r="D500" s="1"/>
      <c r="E500" s="25" t="b">
        <f t="shared" ca="1" si="14"/>
        <v>1</v>
      </c>
      <c r="F500" s="26" t="b">
        <f ca="1">IF(UPPER(Data!C500)="SUB PROCESS",NOT(ISERROR(MATCH(RIGHT(Data!BY500,LEN(Data!BY500)-5),OFFSET(Data,0,0,ItemsCount,1),0))),TRUE)</f>
        <v>1</v>
      </c>
      <c r="G500" s="26" t="b">
        <f ca="1">IF(MID(UPPER(Data!A500),1,13)="MISCELLANEOUS",NOT(ISERROR(MATCH("path="&amp;Data!A500,OFFSET(Data,0,76,ItemsCount,1),0))),TRUE)</f>
        <v>1</v>
      </c>
      <c r="L500" s="25" t="b">
        <f t="shared" ca="1" si="15"/>
        <v>1</v>
      </c>
      <c r="M500" s="24" t="b">
        <f>IF(Checks!$C500,Data!A500&lt;&gt;"",TRUE)</f>
        <v>1</v>
      </c>
      <c r="N500" s="26" t="b">
        <f>IF(Checks!C500,Data!B500&lt;&gt;"",TRUE)</f>
        <v>1</v>
      </c>
      <c r="O500" s="26" t="b">
        <f>IF(Checks!C500,IF(AND(UPPER(Data!C500)="SERVICE TASK",UPPER(Data!BZ500)="TYPE=SAS"),NodeExists(TRIM(RIGHT(Data!CA500,LEN(Data!CA500)-FIND("=",Data!CA500)))),TRUE),TRUE)</f>
        <v>1</v>
      </c>
      <c r="P500" s="26" t="b">
        <f>IF(Checks!C500,IF(Data!C500="DATA OBJECT",OR(AND(Data!BW500&lt;&gt;"",Data!BX500=""),AND(Data!BW500="",Data!BX500&lt;&gt;"")),TRUE),TRUE)</f>
        <v>1</v>
      </c>
      <c r="Q500" s="26" t="b">
        <f>IF(Checks!C500,UPPER(RIGHT(Data!A500,5))=".BPMN",TRUE)</f>
        <v>1</v>
      </c>
      <c r="R500" s="26" t="b">
        <f>IF(Checks!C500,IF(UPPER(Data!C500)="SUB PROCESS",UPPER(RIGHT(Data!BY500,5))=".BPMN",TRUE),TRUE)</f>
        <v>1</v>
      </c>
      <c r="S500" s="26" t="b">
        <f>IF(Checks!C500,IF(UPPER(Data!C500)="SERVICE TASK",IF(UPPER(Data!BZ500)="TYPE=SAS",UPPER(RIGHT(Data!CA500,4))=".SAS",TRUE),TRUE),TRUE)</f>
        <v>1</v>
      </c>
      <c r="T500" s="26" t="b">
        <f>IF(Checks!C500,IF(Data!B500&lt;&gt;"",Data!D500&lt;&gt;"",TRUE),TRUE)</f>
        <v>1</v>
      </c>
      <c r="U500" s="26" t="b">
        <f ca="1">IF(Checks!C500,IF(UPPER(Data!C500)="DATA OBJECT",NOT(ISERROR(MATCH(Data!A500&amp;"||"&amp;Data!BW500&amp;Data!BX500,Key,0))),TRUE),TRUE)</f>
        <v>1</v>
      </c>
      <c r="V500" s="26" t="b">
        <f>IF(Checks!C500,IF(UPPER(Data!C500)="SUB PROCESS",Data!BY500&lt;&gt;"",TRUE),TRUE)</f>
        <v>1</v>
      </c>
      <c r="W500" s="26" t="b">
        <f>IF(Checks!C500,IF(UPPER(Data!C500)="SERVICE TASK",AND(Data!BZ500&lt;&gt;"",Data!CA500&lt;&gt;""),TRUE),TRUE)</f>
        <v>1</v>
      </c>
      <c r="X500" s="26" t="b">
        <f t="array" aca="1" ref="X500" ca="1">SUM((OFFSET(Data!B500,MAX(ROW(Data!$B$5)-ROW(Data!B500),-200),0,400,1)=Data!B500)*(OFFSET(Data!A500,MAX(ROW(Data!$B$5)-ROW(Data!B500),-200),0,400,1)=Data!A500))=1</f>
        <v>1</v>
      </c>
      <c r="Y500" s="26" t="b">
        <f t="array" aca="1" ref="Y500" ca="1">IF(UPPER(Data!C500)="START",SUM((OFFSET(Data!C500,MAX(ROW(Data!$C$5)-ROW(Data!C500),-200),0,400,1)="START")*(OFFSET(Data!A500,MAX(ROW(Data!$B$5)-ROW(Data!B500),-200),0,400,1)=Data!A500))=1,TRUE)</f>
        <v>1</v>
      </c>
      <c r="Z500" s="26" t="b">
        <f t="array" aca="1" ref="Z500" ca="1">IF(UPPER(Data!C500)="END",SUM((OFFSET(Data!C500,MAX(ROW(Data!$C$5)-ROW(Data!C500),-200),0,400,1)="END")*(OFFSET(Data!A500,MAX(ROW(Data!$B$5)-ROW(Data!B500),-200),0,400,1)=Data!A500))=1,TRUE)</f>
        <v>1</v>
      </c>
      <c r="AA500" s="26" t="b">
        <f>IF(Checks!C500,ISERROR(FIND("&amp;",Data!D500)),TRUE)</f>
        <v>1</v>
      </c>
      <c r="AB500" s="26" t="b">
        <f>IF(Checks!$C500,IF(AND(UPPER(Data!$C500)&lt;&gt;"START",UPPER(Data!$C500)&lt;&gt;"DATA OBJECT",Data!E500&lt;&gt;""),NOT(ISERROR(MATCH(Data!$A500&amp;"||"&amp;Data!E500,Key,0))),TRUE),TRUE)</f>
        <v>1</v>
      </c>
      <c r="AC500" s="27" t="b">
        <f>IF(Checks!C500,IF(UPPER(Data!C500)="END",Data!E500&lt;&gt;"",TRUE),TRUE)</f>
        <v>1</v>
      </c>
    </row>
    <row r="501" spans="1:29" x14ac:dyDescent="0.25">
      <c r="A501" s="1" t="str">
        <f>Data!A501&amp;"||"&amp;Data!B501</f>
        <v>Miscellaneous/subflow/irmifrs9_preprocess.bpmn||020_02_00</v>
      </c>
      <c r="B501" s="19"/>
      <c r="C501" s="24" t="b">
        <f>AND(UPPER(Data!A501)&lt;&gt;"EMPTY",Data!B501&lt;&gt;"")</f>
        <v>1</v>
      </c>
      <c r="D501" s="1"/>
      <c r="E501" s="25" t="b">
        <f t="shared" ca="1" si="14"/>
        <v>1</v>
      </c>
      <c r="F501" s="26" t="b">
        <f ca="1">IF(UPPER(Data!C501)="SUB PROCESS",NOT(ISERROR(MATCH(RIGHT(Data!BY501,LEN(Data!BY501)-5),OFFSET(Data,0,0,ItemsCount,1),0))),TRUE)</f>
        <v>1</v>
      </c>
      <c r="G501" s="26" t="b">
        <f ca="1">IF(MID(UPPER(Data!A501),1,13)="MISCELLANEOUS",NOT(ISERROR(MATCH("path="&amp;Data!A501,OFFSET(Data,0,76,ItemsCount,1),0))),TRUE)</f>
        <v>1</v>
      </c>
      <c r="L501" s="25" t="b">
        <f t="shared" ca="1" si="15"/>
        <v>1</v>
      </c>
      <c r="M501" s="24" t="b">
        <f>IF(Checks!$C501,Data!A501&lt;&gt;"",TRUE)</f>
        <v>1</v>
      </c>
      <c r="N501" s="26" t="b">
        <f>IF(Checks!C501,Data!B501&lt;&gt;"",TRUE)</f>
        <v>1</v>
      </c>
      <c r="O501" s="26" t="b">
        <f>IF(Checks!C501,IF(AND(UPPER(Data!C501)="SERVICE TASK",UPPER(Data!BZ501)="TYPE=SAS"),NodeExists(TRIM(RIGHT(Data!CA501,LEN(Data!CA501)-FIND("=",Data!CA501)))),TRUE),TRUE)</f>
        <v>1</v>
      </c>
      <c r="P501" s="26" t="b">
        <f>IF(Checks!C501,IF(Data!C501="DATA OBJECT",OR(AND(Data!BW501&lt;&gt;"",Data!BX501=""),AND(Data!BW501="",Data!BX501&lt;&gt;"")),TRUE),TRUE)</f>
        <v>1</v>
      </c>
      <c r="Q501" s="26" t="b">
        <f>IF(Checks!C501,UPPER(RIGHT(Data!A501,5))=".BPMN",TRUE)</f>
        <v>1</v>
      </c>
      <c r="R501" s="26" t="b">
        <f>IF(Checks!C501,IF(UPPER(Data!C501)="SUB PROCESS",UPPER(RIGHT(Data!BY501,5))=".BPMN",TRUE),TRUE)</f>
        <v>1</v>
      </c>
      <c r="S501" s="26" t="b">
        <f>IF(Checks!C501,IF(UPPER(Data!C501)="SERVICE TASK",IF(UPPER(Data!BZ501)="TYPE=SAS",UPPER(RIGHT(Data!CA501,4))=".SAS",TRUE),TRUE),TRUE)</f>
        <v>1</v>
      </c>
      <c r="T501" s="26" t="b">
        <f>IF(Checks!C501,IF(Data!B501&lt;&gt;"",Data!D501&lt;&gt;"",TRUE),TRUE)</f>
        <v>1</v>
      </c>
      <c r="U501" s="26" t="b">
        <f ca="1">IF(Checks!C501,IF(UPPER(Data!C501)="DATA OBJECT",NOT(ISERROR(MATCH(Data!A501&amp;"||"&amp;Data!BW501&amp;Data!BX501,Key,0))),TRUE),TRUE)</f>
        <v>1</v>
      </c>
      <c r="V501" s="26" t="b">
        <f>IF(Checks!C501,IF(UPPER(Data!C501)="SUB PROCESS",Data!BY501&lt;&gt;"",TRUE),TRUE)</f>
        <v>1</v>
      </c>
      <c r="W501" s="26" t="b">
        <f>IF(Checks!C501,IF(UPPER(Data!C501)="SERVICE TASK",AND(Data!BZ501&lt;&gt;"",Data!CA501&lt;&gt;""),TRUE),TRUE)</f>
        <v>1</v>
      </c>
      <c r="X501" s="26" t="b">
        <f t="array" aca="1" ref="X501" ca="1">SUM((OFFSET(Data!B501,MAX(ROW(Data!$B$5)-ROW(Data!B501),-200),0,400,1)=Data!B501)*(OFFSET(Data!A501,MAX(ROW(Data!$B$5)-ROW(Data!B501),-200),0,400,1)=Data!A501))=1</f>
        <v>1</v>
      </c>
      <c r="Y501" s="26" t="b">
        <f t="array" aca="1" ref="Y501" ca="1">IF(UPPER(Data!C501)="START",SUM((OFFSET(Data!C501,MAX(ROW(Data!$C$5)-ROW(Data!C501),-200),0,400,1)="START")*(OFFSET(Data!A501,MAX(ROW(Data!$B$5)-ROW(Data!B501),-200),0,400,1)=Data!A501))=1,TRUE)</f>
        <v>1</v>
      </c>
      <c r="Z501" s="26" t="b">
        <f t="array" aca="1" ref="Z501" ca="1">IF(UPPER(Data!C501)="END",SUM((OFFSET(Data!C501,MAX(ROW(Data!$C$5)-ROW(Data!C501),-200),0,400,1)="END")*(OFFSET(Data!A501,MAX(ROW(Data!$B$5)-ROW(Data!B501),-200),0,400,1)=Data!A501))=1,TRUE)</f>
        <v>1</v>
      </c>
      <c r="AA501" s="26" t="b">
        <f>IF(Checks!C501,ISERROR(FIND("&amp;",Data!D501)),TRUE)</f>
        <v>1</v>
      </c>
      <c r="AB501" s="26" t="b">
        <f>IF(Checks!$C501,IF(AND(UPPER(Data!$C501)&lt;&gt;"START",UPPER(Data!$C501)&lt;&gt;"DATA OBJECT",Data!E501&lt;&gt;""),NOT(ISERROR(MATCH(Data!$A501&amp;"||"&amp;Data!E501,Key,0))),TRUE),TRUE)</f>
        <v>1</v>
      </c>
      <c r="AC501" s="27" t="b">
        <f>IF(Checks!C501,IF(UPPER(Data!C501)="END",Data!E501&lt;&gt;"",TRUE),TRUE)</f>
        <v>1</v>
      </c>
    </row>
    <row r="502" spans="1:29" x14ac:dyDescent="0.25">
      <c r="A502" s="1" t="str">
        <f>Data!A502&amp;"||"&amp;Data!B502</f>
        <v>Miscellaneous/subflow/irmifrs9_preprocess.bpmn||020_03_00</v>
      </c>
      <c r="B502" s="19"/>
      <c r="C502" s="24" t="b">
        <f>AND(UPPER(Data!A502)&lt;&gt;"EMPTY",Data!B502&lt;&gt;"")</f>
        <v>1</v>
      </c>
      <c r="D502" s="1"/>
      <c r="E502" s="25" t="b">
        <f t="shared" ca="1" si="14"/>
        <v>1</v>
      </c>
      <c r="F502" s="26" t="b">
        <f ca="1">IF(UPPER(Data!C502)="SUB PROCESS",NOT(ISERROR(MATCH(RIGHT(Data!BY502,LEN(Data!BY502)-5),OFFSET(Data,0,0,ItemsCount,1),0))),TRUE)</f>
        <v>1</v>
      </c>
      <c r="G502" s="26" t="b">
        <f ca="1">IF(MID(UPPER(Data!A502),1,13)="MISCELLANEOUS",NOT(ISERROR(MATCH("path="&amp;Data!A502,OFFSET(Data,0,76,ItemsCount,1),0))),TRUE)</f>
        <v>1</v>
      </c>
      <c r="L502" s="25" t="b">
        <f t="shared" ca="1" si="15"/>
        <v>1</v>
      </c>
      <c r="M502" s="24" t="b">
        <f>IF(Checks!$C502,Data!A502&lt;&gt;"",TRUE)</f>
        <v>1</v>
      </c>
      <c r="N502" s="26" t="b">
        <f>IF(Checks!C502,Data!B502&lt;&gt;"",TRUE)</f>
        <v>1</v>
      </c>
      <c r="O502" s="26" t="b">
        <f>IF(Checks!C502,IF(AND(UPPER(Data!C502)="SERVICE TASK",UPPER(Data!BZ502)="TYPE=SAS"),NodeExists(TRIM(RIGHT(Data!CA502,LEN(Data!CA502)-FIND("=",Data!CA502)))),TRUE),TRUE)</f>
        <v>1</v>
      </c>
      <c r="P502" s="26" t="b">
        <f>IF(Checks!C502,IF(Data!C502="DATA OBJECT",OR(AND(Data!BW502&lt;&gt;"",Data!BX502=""),AND(Data!BW502="",Data!BX502&lt;&gt;"")),TRUE),TRUE)</f>
        <v>1</v>
      </c>
      <c r="Q502" s="26" t="b">
        <f>IF(Checks!C502,UPPER(RIGHT(Data!A502,5))=".BPMN",TRUE)</f>
        <v>1</v>
      </c>
      <c r="R502" s="26" t="b">
        <f>IF(Checks!C502,IF(UPPER(Data!C502)="SUB PROCESS",UPPER(RIGHT(Data!BY502,5))=".BPMN",TRUE),TRUE)</f>
        <v>1</v>
      </c>
      <c r="S502" s="26" t="b">
        <f>IF(Checks!C502,IF(UPPER(Data!C502)="SERVICE TASK",IF(UPPER(Data!BZ502)="TYPE=SAS",UPPER(RIGHT(Data!CA502,4))=".SAS",TRUE),TRUE),TRUE)</f>
        <v>1</v>
      </c>
      <c r="T502" s="26" t="b">
        <f>IF(Checks!C502,IF(Data!B502&lt;&gt;"",Data!D502&lt;&gt;"",TRUE),TRUE)</f>
        <v>1</v>
      </c>
      <c r="U502" s="26" t="b">
        <f ca="1">IF(Checks!C502,IF(UPPER(Data!C502)="DATA OBJECT",NOT(ISERROR(MATCH(Data!A502&amp;"||"&amp;Data!BW502&amp;Data!BX502,Key,0))),TRUE),TRUE)</f>
        <v>1</v>
      </c>
      <c r="V502" s="26" t="b">
        <f>IF(Checks!C502,IF(UPPER(Data!C502)="SUB PROCESS",Data!BY502&lt;&gt;"",TRUE),TRUE)</f>
        <v>1</v>
      </c>
      <c r="W502" s="26" t="b">
        <f>IF(Checks!C502,IF(UPPER(Data!C502)="SERVICE TASK",AND(Data!BZ502&lt;&gt;"",Data!CA502&lt;&gt;""),TRUE),TRUE)</f>
        <v>1</v>
      </c>
      <c r="X502" s="26" t="b">
        <f t="array" aca="1" ref="X502" ca="1">SUM((OFFSET(Data!B502,MAX(ROW(Data!$B$5)-ROW(Data!B502),-200),0,400,1)=Data!B502)*(OFFSET(Data!A502,MAX(ROW(Data!$B$5)-ROW(Data!B502),-200),0,400,1)=Data!A502))=1</f>
        <v>1</v>
      </c>
      <c r="Y502" s="26" t="b">
        <f t="array" aca="1" ref="Y502" ca="1">IF(UPPER(Data!C502)="START",SUM((OFFSET(Data!C502,MAX(ROW(Data!$C$5)-ROW(Data!C502),-200),0,400,1)="START")*(OFFSET(Data!A502,MAX(ROW(Data!$B$5)-ROW(Data!B502),-200),0,400,1)=Data!A502))=1,TRUE)</f>
        <v>1</v>
      </c>
      <c r="Z502" s="26" t="b">
        <f t="array" aca="1" ref="Z502" ca="1">IF(UPPER(Data!C502)="END",SUM((OFFSET(Data!C502,MAX(ROW(Data!$C$5)-ROW(Data!C502),-200),0,400,1)="END")*(OFFSET(Data!A502,MAX(ROW(Data!$B$5)-ROW(Data!B502),-200),0,400,1)=Data!A502))=1,TRUE)</f>
        <v>1</v>
      </c>
      <c r="AA502" s="26" t="b">
        <f>IF(Checks!C502,ISERROR(FIND("&amp;",Data!D502)),TRUE)</f>
        <v>1</v>
      </c>
      <c r="AB502" s="26" t="b">
        <f>IF(Checks!$C502,IF(AND(UPPER(Data!$C502)&lt;&gt;"START",UPPER(Data!$C502)&lt;&gt;"DATA OBJECT",Data!E502&lt;&gt;""),NOT(ISERROR(MATCH(Data!$A502&amp;"||"&amp;Data!E502,Key,0))),TRUE),TRUE)</f>
        <v>1</v>
      </c>
      <c r="AC502" s="27" t="b">
        <f>IF(Checks!C502,IF(UPPER(Data!C502)="END",Data!E502&lt;&gt;"",TRUE),TRUE)</f>
        <v>1</v>
      </c>
    </row>
    <row r="503" spans="1:29" x14ac:dyDescent="0.25">
      <c r="A503" s="1" t="str">
        <f>Data!A503&amp;"||"&amp;Data!B503</f>
        <v>Miscellaneous/subflow/irmifrs9_preprocess.bpmn||030_00_00</v>
      </c>
      <c r="B503" s="19"/>
      <c r="C503" s="24" t="b">
        <f>AND(UPPER(Data!A503)&lt;&gt;"EMPTY",Data!B503&lt;&gt;"")</f>
        <v>1</v>
      </c>
      <c r="D503" s="1"/>
      <c r="E503" s="25" t="b">
        <f t="shared" ca="1" si="14"/>
        <v>1</v>
      </c>
      <c r="F503" s="26" t="b">
        <f ca="1">IF(UPPER(Data!C503)="SUB PROCESS",NOT(ISERROR(MATCH(RIGHT(Data!BY503,LEN(Data!BY503)-5),OFFSET(Data,0,0,ItemsCount,1),0))),TRUE)</f>
        <v>1</v>
      </c>
      <c r="G503" s="26" t="b">
        <f ca="1">IF(MID(UPPER(Data!A503),1,13)="MISCELLANEOUS",NOT(ISERROR(MATCH("path="&amp;Data!A503,OFFSET(Data,0,76,ItemsCount,1),0))),TRUE)</f>
        <v>1</v>
      </c>
      <c r="L503" s="25" t="b">
        <f t="shared" ca="1" si="15"/>
        <v>1</v>
      </c>
      <c r="M503" s="24" t="b">
        <f>IF(Checks!$C503,Data!A503&lt;&gt;"",TRUE)</f>
        <v>1</v>
      </c>
      <c r="N503" s="26" t="b">
        <f>IF(Checks!C503,Data!B503&lt;&gt;"",TRUE)</f>
        <v>1</v>
      </c>
      <c r="O503" s="26" t="b">
        <f>IF(Checks!C503,IF(AND(UPPER(Data!C503)="SERVICE TASK",UPPER(Data!BZ503)="TYPE=SAS"),NodeExists(TRIM(RIGHT(Data!CA503,LEN(Data!CA503)-FIND("=",Data!CA503)))),TRUE),TRUE)</f>
        <v>1</v>
      </c>
      <c r="P503" s="26" t="b">
        <f>IF(Checks!C503,IF(Data!C503="DATA OBJECT",OR(AND(Data!BW503&lt;&gt;"",Data!BX503=""),AND(Data!BW503="",Data!BX503&lt;&gt;"")),TRUE),TRUE)</f>
        <v>1</v>
      </c>
      <c r="Q503" s="26" t="b">
        <f>IF(Checks!C503,UPPER(RIGHT(Data!A503,5))=".BPMN",TRUE)</f>
        <v>1</v>
      </c>
      <c r="R503" s="26" t="b">
        <f>IF(Checks!C503,IF(UPPER(Data!C503)="SUB PROCESS",UPPER(RIGHT(Data!BY503,5))=".BPMN",TRUE),TRUE)</f>
        <v>1</v>
      </c>
      <c r="S503" s="26" t="b">
        <f>IF(Checks!C503,IF(UPPER(Data!C503)="SERVICE TASK",IF(UPPER(Data!BZ503)="TYPE=SAS",UPPER(RIGHT(Data!CA503,4))=".SAS",TRUE),TRUE),TRUE)</f>
        <v>1</v>
      </c>
      <c r="T503" s="26" t="b">
        <f>IF(Checks!C503,IF(Data!B503&lt;&gt;"",Data!D503&lt;&gt;"",TRUE),TRUE)</f>
        <v>1</v>
      </c>
      <c r="U503" s="26" t="b">
        <f>IF(Checks!C503,IF(UPPER(Data!C503)="DATA OBJECT",NOT(ISERROR(MATCH(Data!A503&amp;"||"&amp;Data!BW503&amp;Data!BX503,Key,0))),TRUE),TRUE)</f>
        <v>1</v>
      </c>
      <c r="V503" s="26" t="b">
        <f>IF(Checks!C503,IF(UPPER(Data!C503)="SUB PROCESS",Data!BY503&lt;&gt;"",TRUE),TRUE)</f>
        <v>1</v>
      </c>
      <c r="W503" s="26" t="b">
        <f>IF(Checks!C503,IF(UPPER(Data!C503)="SERVICE TASK",AND(Data!BZ503&lt;&gt;"",Data!CA503&lt;&gt;""),TRUE),TRUE)</f>
        <v>1</v>
      </c>
      <c r="X503" s="26" t="b">
        <f t="array" aca="1" ref="X503" ca="1">SUM((OFFSET(Data!B503,MAX(ROW(Data!$B$5)-ROW(Data!B503),-200),0,400,1)=Data!B503)*(OFFSET(Data!A503,MAX(ROW(Data!$B$5)-ROW(Data!B503),-200),0,400,1)=Data!A503))=1</f>
        <v>1</v>
      </c>
      <c r="Y503" s="26" t="b">
        <f t="array" aca="1" ref="Y503" ca="1">IF(UPPER(Data!C503)="START",SUM((OFFSET(Data!C503,MAX(ROW(Data!$C$5)-ROW(Data!C503),-200),0,400,1)="START")*(OFFSET(Data!A503,MAX(ROW(Data!$B$5)-ROW(Data!B503),-200),0,400,1)=Data!A503))=1,TRUE)</f>
        <v>1</v>
      </c>
      <c r="Z503" s="26" t="b">
        <f t="array" aca="1" ref="Z503" ca="1">IF(UPPER(Data!C503)="END",SUM((OFFSET(Data!C503,MAX(ROW(Data!$C$5)-ROW(Data!C503),-200),0,400,1)="END")*(OFFSET(Data!A503,MAX(ROW(Data!$B$5)-ROW(Data!B503),-200),0,400,1)=Data!A503))=1,TRUE)</f>
        <v>1</v>
      </c>
      <c r="AA503" s="26" t="b">
        <f>IF(Checks!C503,ISERROR(FIND("&amp;",Data!D503)),TRUE)</f>
        <v>1</v>
      </c>
      <c r="AB503" s="26" t="b">
        <f ca="1">IF(Checks!$C503,IF(AND(UPPER(Data!$C503)&lt;&gt;"START",UPPER(Data!$C503)&lt;&gt;"DATA OBJECT",Data!E503&lt;&gt;""),NOT(ISERROR(MATCH(Data!$A503&amp;"||"&amp;Data!E503,Key,0))),TRUE),TRUE)</f>
        <v>1</v>
      </c>
      <c r="AC503" s="27" t="b">
        <f>IF(Checks!C503,IF(UPPER(Data!C503)="END",Data!E503&lt;&gt;"",TRUE),TRUE)</f>
        <v>1</v>
      </c>
    </row>
    <row r="504" spans="1:29" x14ac:dyDescent="0.25">
      <c r="A504" s="1" t="str">
        <f>Data!A504&amp;"||"&amp;Data!B504</f>
        <v>Miscellaneous/subflow/irmifrs9_preprocess.bpmn||030_00_01</v>
      </c>
      <c r="B504" s="19"/>
      <c r="C504" s="24" t="b">
        <f>AND(UPPER(Data!A504)&lt;&gt;"EMPTY",Data!B504&lt;&gt;"")</f>
        <v>1</v>
      </c>
      <c r="D504" s="1"/>
      <c r="E504" s="25" t="b">
        <f t="shared" ca="1" si="14"/>
        <v>1</v>
      </c>
      <c r="F504" s="26" t="b">
        <f ca="1">IF(UPPER(Data!C504)="SUB PROCESS",NOT(ISERROR(MATCH(RIGHT(Data!BY504,LEN(Data!BY504)-5),OFFSET(Data,0,0,ItemsCount,1),0))),TRUE)</f>
        <v>1</v>
      </c>
      <c r="G504" s="26" t="b">
        <f ca="1">IF(MID(UPPER(Data!A504),1,13)="MISCELLANEOUS",NOT(ISERROR(MATCH("path="&amp;Data!A504,OFFSET(Data,0,76,ItemsCount,1),0))),TRUE)</f>
        <v>1</v>
      </c>
      <c r="L504" s="25" t="b">
        <f t="shared" ca="1" si="15"/>
        <v>1</v>
      </c>
      <c r="M504" s="24" t="b">
        <f>IF(Checks!$C504,Data!A504&lt;&gt;"",TRUE)</f>
        <v>1</v>
      </c>
      <c r="N504" s="26" t="b">
        <f>IF(Checks!C504,Data!B504&lt;&gt;"",TRUE)</f>
        <v>1</v>
      </c>
      <c r="O504" s="26" t="b">
        <f>IF(Checks!C504,IF(AND(UPPER(Data!C504)="SERVICE TASK",UPPER(Data!BZ504)="TYPE=SAS"),NodeExists(TRIM(RIGHT(Data!CA504,LEN(Data!CA504)-FIND("=",Data!CA504)))),TRUE),TRUE)</f>
        <v>1</v>
      </c>
      <c r="P504" s="26" t="b">
        <f>IF(Checks!C504,IF(Data!C504="DATA OBJECT",OR(AND(Data!BW504&lt;&gt;"",Data!BX504=""),AND(Data!BW504="",Data!BX504&lt;&gt;"")),TRUE),TRUE)</f>
        <v>1</v>
      </c>
      <c r="Q504" s="26" t="b">
        <f>IF(Checks!C504,UPPER(RIGHT(Data!A504,5))=".BPMN",TRUE)</f>
        <v>1</v>
      </c>
      <c r="R504" s="26" t="b">
        <f>IF(Checks!C504,IF(UPPER(Data!C504)="SUB PROCESS",UPPER(RIGHT(Data!BY504,5))=".BPMN",TRUE),TRUE)</f>
        <v>1</v>
      </c>
      <c r="S504" s="26" t="b">
        <f>IF(Checks!C504,IF(UPPER(Data!C504)="SERVICE TASK",IF(UPPER(Data!BZ504)="TYPE=SAS",UPPER(RIGHT(Data!CA504,4))=".SAS",TRUE),TRUE),TRUE)</f>
        <v>1</v>
      </c>
      <c r="T504" s="26" t="b">
        <f>IF(Checks!C504,IF(Data!B504&lt;&gt;"",Data!D504&lt;&gt;"",TRUE),TRUE)</f>
        <v>1</v>
      </c>
      <c r="U504" s="26" t="b">
        <f ca="1">IF(Checks!C504,IF(UPPER(Data!C504)="DATA OBJECT",NOT(ISERROR(MATCH(Data!A504&amp;"||"&amp;Data!BW504&amp;Data!BX504,Key,0))),TRUE),TRUE)</f>
        <v>1</v>
      </c>
      <c r="V504" s="26" t="b">
        <f>IF(Checks!C504,IF(UPPER(Data!C504)="SUB PROCESS",Data!BY504&lt;&gt;"",TRUE),TRUE)</f>
        <v>1</v>
      </c>
      <c r="W504" s="26" t="b">
        <f>IF(Checks!C504,IF(UPPER(Data!C504)="SERVICE TASK",AND(Data!BZ504&lt;&gt;"",Data!CA504&lt;&gt;""),TRUE),TRUE)</f>
        <v>1</v>
      </c>
      <c r="X504" s="26" t="b">
        <f t="array" aca="1" ref="X504" ca="1">SUM((OFFSET(Data!B504,MAX(ROW(Data!$B$5)-ROW(Data!B504),-200),0,400,1)=Data!B504)*(OFFSET(Data!A504,MAX(ROW(Data!$B$5)-ROW(Data!B504),-200),0,400,1)=Data!A504))=1</f>
        <v>1</v>
      </c>
      <c r="Y504" s="26" t="b">
        <f t="array" aca="1" ref="Y504" ca="1">IF(UPPER(Data!C504)="START",SUM((OFFSET(Data!C504,MAX(ROW(Data!$C$5)-ROW(Data!C504),-200),0,400,1)="START")*(OFFSET(Data!A504,MAX(ROW(Data!$B$5)-ROW(Data!B504),-200),0,400,1)=Data!A504))=1,TRUE)</f>
        <v>1</v>
      </c>
      <c r="Z504" s="26" t="b">
        <f t="array" aca="1" ref="Z504" ca="1">IF(UPPER(Data!C504)="END",SUM((OFFSET(Data!C504,MAX(ROW(Data!$C$5)-ROW(Data!C504),-200),0,400,1)="END")*(OFFSET(Data!A504,MAX(ROW(Data!$B$5)-ROW(Data!B504),-200),0,400,1)=Data!A504))=1,TRUE)</f>
        <v>1</v>
      </c>
      <c r="AA504" s="26" t="b">
        <f>IF(Checks!C504,ISERROR(FIND("&amp;",Data!D504)),TRUE)</f>
        <v>1</v>
      </c>
      <c r="AB504" s="26" t="b">
        <f>IF(Checks!$C504,IF(AND(UPPER(Data!$C504)&lt;&gt;"START",UPPER(Data!$C504)&lt;&gt;"DATA OBJECT",Data!E504&lt;&gt;""),NOT(ISERROR(MATCH(Data!$A504&amp;"||"&amp;Data!E504,Key,0))),TRUE),TRUE)</f>
        <v>1</v>
      </c>
      <c r="AC504" s="27" t="b">
        <f>IF(Checks!C504,IF(UPPER(Data!C504)="END",Data!E504&lt;&gt;"",TRUE),TRUE)</f>
        <v>1</v>
      </c>
    </row>
    <row r="505" spans="1:29" x14ac:dyDescent="0.25">
      <c r="A505" s="1" t="str">
        <f>Data!A505&amp;"||"&amp;Data!B505</f>
        <v>Miscellaneous/subflow/irmifrs9_preprocess.bpmn||030_01_00</v>
      </c>
      <c r="B505" s="19"/>
      <c r="C505" s="24" t="b">
        <f>AND(UPPER(Data!A505)&lt;&gt;"EMPTY",Data!B505&lt;&gt;"")</f>
        <v>1</v>
      </c>
      <c r="D505" s="1"/>
      <c r="E505" s="25" t="b">
        <f t="shared" ca="1" si="14"/>
        <v>1</v>
      </c>
      <c r="F505" s="26" t="b">
        <f ca="1">IF(UPPER(Data!C505)="SUB PROCESS",NOT(ISERROR(MATCH(RIGHT(Data!BY505,LEN(Data!BY505)-5),OFFSET(Data,0,0,ItemsCount,1),0))),TRUE)</f>
        <v>1</v>
      </c>
      <c r="G505" s="26" t="b">
        <f ca="1">IF(MID(UPPER(Data!A505),1,13)="MISCELLANEOUS",NOT(ISERROR(MATCH("path="&amp;Data!A505,OFFSET(Data,0,76,ItemsCount,1),0))),TRUE)</f>
        <v>1</v>
      </c>
      <c r="L505" s="25" t="b">
        <f t="shared" ca="1" si="15"/>
        <v>1</v>
      </c>
      <c r="M505" s="24" t="b">
        <f>IF(Checks!$C505,Data!A505&lt;&gt;"",TRUE)</f>
        <v>1</v>
      </c>
      <c r="N505" s="26" t="b">
        <f>IF(Checks!C505,Data!B505&lt;&gt;"",TRUE)</f>
        <v>1</v>
      </c>
      <c r="O505" s="26" t="b">
        <f>IF(Checks!C505,IF(AND(UPPER(Data!C505)="SERVICE TASK",UPPER(Data!BZ505)="TYPE=SAS"),NodeExists(TRIM(RIGHT(Data!CA505,LEN(Data!CA505)-FIND("=",Data!CA505)))),TRUE),TRUE)</f>
        <v>1</v>
      </c>
      <c r="P505" s="26" t="b">
        <f>IF(Checks!C505,IF(Data!C505="DATA OBJECT",OR(AND(Data!BW505&lt;&gt;"",Data!BX505=""),AND(Data!BW505="",Data!BX505&lt;&gt;"")),TRUE),TRUE)</f>
        <v>1</v>
      </c>
      <c r="Q505" s="26" t="b">
        <f>IF(Checks!C505,UPPER(RIGHT(Data!A505,5))=".BPMN",TRUE)</f>
        <v>1</v>
      </c>
      <c r="R505" s="26" t="b">
        <f>IF(Checks!C505,IF(UPPER(Data!C505)="SUB PROCESS",UPPER(RIGHT(Data!BY505,5))=".BPMN",TRUE),TRUE)</f>
        <v>1</v>
      </c>
      <c r="S505" s="26" t="b">
        <f>IF(Checks!C505,IF(UPPER(Data!C505)="SERVICE TASK",IF(UPPER(Data!BZ505)="TYPE=SAS",UPPER(RIGHT(Data!CA505,4))=".SAS",TRUE),TRUE),TRUE)</f>
        <v>1</v>
      </c>
      <c r="T505" s="26" t="b">
        <f>IF(Checks!C505,IF(Data!B505&lt;&gt;"",Data!D505&lt;&gt;"",TRUE),TRUE)</f>
        <v>1</v>
      </c>
      <c r="U505" s="26" t="b">
        <f ca="1">IF(Checks!C505,IF(UPPER(Data!C505)="DATA OBJECT",NOT(ISERROR(MATCH(Data!A505&amp;"||"&amp;Data!BW505&amp;Data!BX505,Key,0))),TRUE),TRUE)</f>
        <v>1</v>
      </c>
      <c r="V505" s="26" t="b">
        <f>IF(Checks!C505,IF(UPPER(Data!C505)="SUB PROCESS",Data!BY505&lt;&gt;"",TRUE),TRUE)</f>
        <v>1</v>
      </c>
      <c r="W505" s="26" t="b">
        <f>IF(Checks!C505,IF(UPPER(Data!C505)="SERVICE TASK",AND(Data!BZ505&lt;&gt;"",Data!CA505&lt;&gt;""),TRUE),TRUE)</f>
        <v>1</v>
      </c>
      <c r="X505" s="26" t="b">
        <f t="array" aca="1" ref="X505" ca="1">SUM((OFFSET(Data!B505,MAX(ROW(Data!$B$5)-ROW(Data!B505),-200),0,400,1)=Data!B505)*(OFFSET(Data!A505,MAX(ROW(Data!$B$5)-ROW(Data!B505),-200),0,400,1)=Data!A505))=1</f>
        <v>1</v>
      </c>
      <c r="Y505" s="26" t="b">
        <f t="array" aca="1" ref="Y505" ca="1">IF(UPPER(Data!C505)="START",SUM((OFFSET(Data!C505,MAX(ROW(Data!$C$5)-ROW(Data!C505),-200),0,400,1)="START")*(OFFSET(Data!A505,MAX(ROW(Data!$B$5)-ROW(Data!B505),-200),0,400,1)=Data!A505))=1,TRUE)</f>
        <v>1</v>
      </c>
      <c r="Z505" s="26" t="b">
        <f t="array" aca="1" ref="Z505" ca="1">IF(UPPER(Data!C505)="END",SUM((OFFSET(Data!C505,MAX(ROW(Data!$C$5)-ROW(Data!C505),-200),0,400,1)="END")*(OFFSET(Data!A505,MAX(ROW(Data!$B$5)-ROW(Data!B505),-200),0,400,1)=Data!A505))=1,TRUE)</f>
        <v>1</v>
      </c>
      <c r="AA505" s="26" t="b">
        <f>IF(Checks!C505,ISERROR(FIND("&amp;",Data!D505)),TRUE)</f>
        <v>1</v>
      </c>
      <c r="AB505" s="26" t="b">
        <f>IF(Checks!$C505,IF(AND(UPPER(Data!$C505)&lt;&gt;"START",UPPER(Data!$C505)&lt;&gt;"DATA OBJECT",Data!E505&lt;&gt;""),NOT(ISERROR(MATCH(Data!$A505&amp;"||"&amp;Data!E505,Key,0))),TRUE),TRUE)</f>
        <v>1</v>
      </c>
      <c r="AC505" s="27" t="b">
        <f>IF(Checks!C505,IF(UPPER(Data!C505)="END",Data!E505&lt;&gt;"",TRUE),TRUE)</f>
        <v>1</v>
      </c>
    </row>
    <row r="506" spans="1:29" x14ac:dyDescent="0.25">
      <c r="A506" s="1" t="str">
        <f>Data!A506&amp;"||"&amp;Data!B506</f>
        <v>Miscellaneous/subflow/irmifrs9_preprocess.bpmn||040_00_00</v>
      </c>
      <c r="B506" s="19"/>
      <c r="C506" s="24" t="b">
        <f>AND(UPPER(Data!A506)&lt;&gt;"EMPTY",Data!B506&lt;&gt;"")</f>
        <v>1</v>
      </c>
      <c r="D506" s="1"/>
      <c r="E506" s="25" t="b">
        <f t="shared" ca="1" si="14"/>
        <v>1</v>
      </c>
      <c r="F506" s="26" t="b">
        <f ca="1">IF(UPPER(Data!C506)="SUB PROCESS",NOT(ISERROR(MATCH(RIGHT(Data!BY506,LEN(Data!BY506)-5),OFFSET(Data,0,0,ItemsCount,1),0))),TRUE)</f>
        <v>1</v>
      </c>
      <c r="G506" s="26" t="b">
        <f ca="1">IF(MID(UPPER(Data!A506),1,13)="MISCELLANEOUS",NOT(ISERROR(MATCH("path="&amp;Data!A506,OFFSET(Data,0,76,ItemsCount,1),0))),TRUE)</f>
        <v>1</v>
      </c>
      <c r="L506" s="25" t="b">
        <f t="shared" ca="1" si="15"/>
        <v>1</v>
      </c>
      <c r="M506" s="24" t="b">
        <f>IF(Checks!$C506,Data!A506&lt;&gt;"",TRUE)</f>
        <v>1</v>
      </c>
      <c r="N506" s="26" t="b">
        <f>IF(Checks!C506,Data!B506&lt;&gt;"",TRUE)</f>
        <v>1</v>
      </c>
      <c r="O506" s="26" t="b">
        <f>IF(Checks!C506,IF(AND(UPPER(Data!C506)="SERVICE TASK",UPPER(Data!BZ506)="TYPE=SAS"),NodeExists(TRIM(RIGHT(Data!CA506,LEN(Data!CA506)-FIND("=",Data!CA506)))),TRUE),TRUE)</f>
        <v>1</v>
      </c>
      <c r="P506" s="26" t="b">
        <f>IF(Checks!C506,IF(Data!C506="DATA OBJECT",OR(AND(Data!BW506&lt;&gt;"",Data!BX506=""),AND(Data!BW506="",Data!BX506&lt;&gt;"")),TRUE),TRUE)</f>
        <v>1</v>
      </c>
      <c r="Q506" s="26" t="b">
        <f>IF(Checks!C506,UPPER(RIGHT(Data!A506,5))=".BPMN",TRUE)</f>
        <v>1</v>
      </c>
      <c r="R506" s="26" t="b">
        <f>IF(Checks!C506,IF(UPPER(Data!C506)="SUB PROCESS",UPPER(RIGHT(Data!BY506,5))=".BPMN",TRUE),TRUE)</f>
        <v>1</v>
      </c>
      <c r="S506" s="26" t="b">
        <f>IF(Checks!C506,IF(UPPER(Data!C506)="SERVICE TASK",IF(UPPER(Data!BZ506)="TYPE=SAS",UPPER(RIGHT(Data!CA506,4))=".SAS",TRUE),TRUE),TRUE)</f>
        <v>1</v>
      </c>
      <c r="T506" s="26" t="b">
        <f>IF(Checks!C506,IF(Data!B506&lt;&gt;"",Data!D506&lt;&gt;"",TRUE),TRUE)</f>
        <v>1</v>
      </c>
      <c r="U506" s="26" t="b">
        <f>IF(Checks!C506,IF(UPPER(Data!C506)="DATA OBJECT",NOT(ISERROR(MATCH(Data!A506&amp;"||"&amp;Data!BW506&amp;Data!BX506,Key,0))),TRUE),TRUE)</f>
        <v>1</v>
      </c>
      <c r="V506" s="26" t="b">
        <f>IF(Checks!C506,IF(UPPER(Data!C506)="SUB PROCESS",Data!BY506&lt;&gt;"",TRUE),TRUE)</f>
        <v>1</v>
      </c>
      <c r="W506" s="26" t="b">
        <f>IF(Checks!C506,IF(UPPER(Data!C506)="SERVICE TASK",AND(Data!BZ506&lt;&gt;"",Data!CA506&lt;&gt;""),TRUE),TRUE)</f>
        <v>1</v>
      </c>
      <c r="X506" s="26" t="b">
        <f t="array" aca="1" ref="X506" ca="1">SUM((OFFSET(Data!B506,MAX(ROW(Data!$B$5)-ROW(Data!B506),-200),0,400,1)=Data!B506)*(OFFSET(Data!A506,MAX(ROW(Data!$B$5)-ROW(Data!B506),-200),0,400,1)=Data!A506))=1</f>
        <v>1</v>
      </c>
      <c r="Y506" s="26" t="b">
        <f t="array" aca="1" ref="Y506" ca="1">IF(UPPER(Data!C506)="START",SUM((OFFSET(Data!C506,MAX(ROW(Data!$C$5)-ROW(Data!C506),-200),0,400,1)="START")*(OFFSET(Data!A506,MAX(ROW(Data!$B$5)-ROW(Data!B506),-200),0,400,1)=Data!A506))=1,TRUE)</f>
        <v>1</v>
      </c>
      <c r="Z506" s="26" t="b">
        <f t="array" aca="1" ref="Z506" ca="1">IF(UPPER(Data!C506)="END",SUM((OFFSET(Data!C506,MAX(ROW(Data!$C$5)-ROW(Data!C506),-200),0,400,1)="END")*(OFFSET(Data!A506,MAX(ROW(Data!$B$5)-ROW(Data!B506),-200),0,400,1)=Data!A506))=1,TRUE)</f>
        <v>1</v>
      </c>
      <c r="AA506" s="26" t="b">
        <f>IF(Checks!C506,ISERROR(FIND("&amp;",Data!D506)),TRUE)</f>
        <v>1</v>
      </c>
      <c r="AB506" s="26" t="b">
        <f ca="1">IF(Checks!$C506,IF(AND(UPPER(Data!$C506)&lt;&gt;"START",UPPER(Data!$C506)&lt;&gt;"DATA OBJECT",Data!E506&lt;&gt;""),NOT(ISERROR(MATCH(Data!$A506&amp;"||"&amp;Data!E506,Key,0))),TRUE),TRUE)</f>
        <v>1</v>
      </c>
      <c r="AC506" s="27" t="b">
        <f>IF(Checks!C506,IF(UPPER(Data!C506)="END",Data!E506&lt;&gt;"",TRUE),TRUE)</f>
        <v>1</v>
      </c>
    </row>
    <row r="507" spans="1:29" x14ac:dyDescent="0.25">
      <c r="A507" s="1" t="str">
        <f>Data!A507&amp;"||"&amp;Data!B507</f>
        <v>Miscellaneous/subflow/irmifrs9_preprocess.bpmn||040_00_01</v>
      </c>
      <c r="B507" s="19"/>
      <c r="C507" s="24" t="b">
        <f>AND(UPPER(Data!A507)&lt;&gt;"EMPTY",Data!B507&lt;&gt;"")</f>
        <v>1</v>
      </c>
      <c r="D507" s="1"/>
      <c r="E507" s="25" t="b">
        <f t="shared" ca="1" si="14"/>
        <v>1</v>
      </c>
      <c r="F507" s="26" t="b">
        <f ca="1">IF(UPPER(Data!C507)="SUB PROCESS",NOT(ISERROR(MATCH(RIGHT(Data!BY507,LEN(Data!BY507)-5),OFFSET(Data,0,0,ItemsCount,1),0))),TRUE)</f>
        <v>1</v>
      </c>
      <c r="G507" s="26" t="b">
        <f ca="1">IF(MID(UPPER(Data!A507),1,13)="MISCELLANEOUS",NOT(ISERROR(MATCH("path="&amp;Data!A507,OFFSET(Data,0,76,ItemsCount,1),0))),TRUE)</f>
        <v>1</v>
      </c>
      <c r="L507" s="25" t="b">
        <f t="shared" ca="1" si="15"/>
        <v>1</v>
      </c>
      <c r="M507" s="24" t="b">
        <f>IF(Checks!$C507,Data!A507&lt;&gt;"",TRUE)</f>
        <v>1</v>
      </c>
      <c r="N507" s="26" t="b">
        <f>IF(Checks!C507,Data!B507&lt;&gt;"",TRUE)</f>
        <v>1</v>
      </c>
      <c r="O507" s="26" t="b">
        <f>IF(Checks!C507,IF(AND(UPPER(Data!C507)="SERVICE TASK",UPPER(Data!BZ507)="TYPE=SAS"),NodeExists(TRIM(RIGHT(Data!CA507,LEN(Data!CA507)-FIND("=",Data!CA507)))),TRUE),TRUE)</f>
        <v>1</v>
      </c>
      <c r="P507" s="26" t="b">
        <f>IF(Checks!C507,IF(Data!C507="DATA OBJECT",OR(AND(Data!BW507&lt;&gt;"",Data!BX507=""),AND(Data!BW507="",Data!BX507&lt;&gt;"")),TRUE),TRUE)</f>
        <v>1</v>
      </c>
      <c r="Q507" s="26" t="b">
        <f>IF(Checks!C507,UPPER(RIGHT(Data!A507,5))=".BPMN",TRUE)</f>
        <v>1</v>
      </c>
      <c r="R507" s="26" t="b">
        <f>IF(Checks!C507,IF(UPPER(Data!C507)="SUB PROCESS",UPPER(RIGHT(Data!BY507,5))=".BPMN",TRUE),TRUE)</f>
        <v>1</v>
      </c>
      <c r="S507" s="26" t="b">
        <f>IF(Checks!C507,IF(UPPER(Data!C507)="SERVICE TASK",IF(UPPER(Data!BZ507)="TYPE=SAS",UPPER(RIGHT(Data!CA507,4))=".SAS",TRUE),TRUE),TRUE)</f>
        <v>1</v>
      </c>
      <c r="T507" s="26" t="b">
        <f>IF(Checks!C507,IF(Data!B507&lt;&gt;"",Data!D507&lt;&gt;"",TRUE),TRUE)</f>
        <v>1</v>
      </c>
      <c r="U507" s="26" t="b">
        <f ca="1">IF(Checks!C507,IF(UPPER(Data!C507)="DATA OBJECT",NOT(ISERROR(MATCH(Data!A507&amp;"||"&amp;Data!BW507&amp;Data!BX507,Key,0))),TRUE),TRUE)</f>
        <v>1</v>
      </c>
      <c r="V507" s="26" t="b">
        <f>IF(Checks!C507,IF(UPPER(Data!C507)="SUB PROCESS",Data!BY507&lt;&gt;"",TRUE),TRUE)</f>
        <v>1</v>
      </c>
      <c r="W507" s="26" t="b">
        <f>IF(Checks!C507,IF(UPPER(Data!C507)="SERVICE TASK",AND(Data!BZ507&lt;&gt;"",Data!CA507&lt;&gt;""),TRUE),TRUE)</f>
        <v>1</v>
      </c>
      <c r="X507" s="26" t="b">
        <f t="array" aca="1" ref="X507" ca="1">SUM((OFFSET(Data!B507,MAX(ROW(Data!$B$5)-ROW(Data!B507),-200),0,400,1)=Data!B507)*(OFFSET(Data!A507,MAX(ROW(Data!$B$5)-ROW(Data!B507),-200),0,400,1)=Data!A507))=1</f>
        <v>1</v>
      </c>
      <c r="Y507" s="26" t="b">
        <f t="array" aca="1" ref="Y507" ca="1">IF(UPPER(Data!C507)="START",SUM((OFFSET(Data!C507,MAX(ROW(Data!$C$5)-ROW(Data!C507),-200),0,400,1)="START")*(OFFSET(Data!A507,MAX(ROW(Data!$B$5)-ROW(Data!B507),-200),0,400,1)=Data!A507))=1,TRUE)</f>
        <v>1</v>
      </c>
      <c r="Z507" s="26" t="b">
        <f t="array" aca="1" ref="Z507" ca="1">IF(UPPER(Data!C507)="END",SUM((OFFSET(Data!C507,MAX(ROW(Data!$C$5)-ROW(Data!C507),-200),0,400,1)="END")*(OFFSET(Data!A507,MAX(ROW(Data!$B$5)-ROW(Data!B507),-200),0,400,1)=Data!A507))=1,TRUE)</f>
        <v>1</v>
      </c>
      <c r="AA507" s="26" t="b">
        <f>IF(Checks!C507,ISERROR(FIND("&amp;",Data!D507)),TRUE)</f>
        <v>1</v>
      </c>
      <c r="AB507" s="26" t="b">
        <f>IF(Checks!$C507,IF(AND(UPPER(Data!$C507)&lt;&gt;"START",UPPER(Data!$C507)&lt;&gt;"DATA OBJECT",Data!E507&lt;&gt;""),NOT(ISERROR(MATCH(Data!$A507&amp;"||"&amp;Data!E507,Key,0))),TRUE),TRUE)</f>
        <v>1</v>
      </c>
      <c r="AC507" s="27" t="b">
        <f>IF(Checks!C507,IF(UPPER(Data!C507)="END",Data!E507&lt;&gt;"",TRUE),TRUE)</f>
        <v>1</v>
      </c>
    </row>
    <row r="508" spans="1:29" x14ac:dyDescent="0.25">
      <c r="A508" s="1" t="str">
        <f>Data!A508&amp;"||"&amp;Data!B508</f>
        <v>Miscellaneous/subflow/irmifrs9_preprocess.bpmn||040_00_02</v>
      </c>
      <c r="B508" s="19"/>
      <c r="C508" s="24" t="b">
        <f>AND(UPPER(Data!A508)&lt;&gt;"EMPTY",Data!B508&lt;&gt;"")</f>
        <v>1</v>
      </c>
      <c r="D508" s="1"/>
      <c r="E508" s="25" t="b">
        <f t="shared" ca="1" si="14"/>
        <v>1</v>
      </c>
      <c r="F508" s="26" t="b">
        <f ca="1">IF(UPPER(Data!C508)="SUB PROCESS",NOT(ISERROR(MATCH(RIGHT(Data!BY508,LEN(Data!BY508)-5),OFFSET(Data,0,0,ItemsCount,1),0))),TRUE)</f>
        <v>1</v>
      </c>
      <c r="G508" s="26" t="b">
        <f ca="1">IF(MID(UPPER(Data!A508),1,13)="MISCELLANEOUS",NOT(ISERROR(MATCH("path="&amp;Data!A508,OFFSET(Data,0,76,ItemsCount,1),0))),TRUE)</f>
        <v>1</v>
      </c>
      <c r="L508" s="25" t="b">
        <f t="shared" ca="1" si="15"/>
        <v>1</v>
      </c>
      <c r="M508" s="24" t="b">
        <f>IF(Checks!$C508,Data!A508&lt;&gt;"",TRUE)</f>
        <v>1</v>
      </c>
      <c r="N508" s="26" t="b">
        <f>IF(Checks!C508,Data!B508&lt;&gt;"",TRUE)</f>
        <v>1</v>
      </c>
      <c r="O508" s="26" t="b">
        <f>IF(Checks!C508,IF(AND(UPPER(Data!C508)="SERVICE TASK",UPPER(Data!BZ508)="TYPE=SAS"),NodeExists(TRIM(RIGHT(Data!CA508,LEN(Data!CA508)-FIND("=",Data!CA508)))),TRUE),TRUE)</f>
        <v>1</v>
      </c>
      <c r="P508" s="26" t="b">
        <f>IF(Checks!C508,IF(Data!C508="DATA OBJECT",OR(AND(Data!BW508&lt;&gt;"",Data!BX508=""),AND(Data!BW508="",Data!BX508&lt;&gt;"")),TRUE),TRUE)</f>
        <v>1</v>
      </c>
      <c r="Q508" s="26" t="b">
        <f>IF(Checks!C508,UPPER(RIGHT(Data!A508,5))=".BPMN",TRUE)</f>
        <v>1</v>
      </c>
      <c r="R508" s="26" t="b">
        <f>IF(Checks!C508,IF(UPPER(Data!C508)="SUB PROCESS",UPPER(RIGHT(Data!BY508,5))=".BPMN",TRUE),TRUE)</f>
        <v>1</v>
      </c>
      <c r="S508" s="26" t="b">
        <f>IF(Checks!C508,IF(UPPER(Data!C508)="SERVICE TASK",IF(UPPER(Data!BZ508)="TYPE=SAS",UPPER(RIGHT(Data!CA508,4))=".SAS",TRUE),TRUE),TRUE)</f>
        <v>1</v>
      </c>
      <c r="T508" s="26" t="b">
        <f>IF(Checks!C508,IF(Data!B508&lt;&gt;"",Data!D508&lt;&gt;"",TRUE),TRUE)</f>
        <v>1</v>
      </c>
      <c r="U508" s="26" t="b">
        <f ca="1">IF(Checks!C508,IF(UPPER(Data!C508)="DATA OBJECT",NOT(ISERROR(MATCH(Data!A508&amp;"||"&amp;Data!BW508&amp;Data!BX508,Key,0))),TRUE),TRUE)</f>
        <v>1</v>
      </c>
      <c r="V508" s="26" t="b">
        <f>IF(Checks!C508,IF(UPPER(Data!C508)="SUB PROCESS",Data!BY508&lt;&gt;"",TRUE),TRUE)</f>
        <v>1</v>
      </c>
      <c r="W508" s="26" t="b">
        <f>IF(Checks!C508,IF(UPPER(Data!C508)="SERVICE TASK",AND(Data!BZ508&lt;&gt;"",Data!CA508&lt;&gt;""),TRUE),TRUE)</f>
        <v>1</v>
      </c>
      <c r="X508" s="26" t="b">
        <f t="array" aca="1" ref="X508" ca="1">SUM((OFFSET(Data!B508,MAX(ROW(Data!$B$5)-ROW(Data!B508),-200),0,400,1)=Data!B508)*(OFFSET(Data!A508,MAX(ROW(Data!$B$5)-ROW(Data!B508),-200),0,400,1)=Data!A508))=1</f>
        <v>1</v>
      </c>
      <c r="Y508" s="26" t="b">
        <f t="array" aca="1" ref="Y508" ca="1">IF(UPPER(Data!C508)="START",SUM((OFFSET(Data!C508,MAX(ROW(Data!$C$5)-ROW(Data!C508),-200),0,400,1)="START")*(OFFSET(Data!A508,MAX(ROW(Data!$B$5)-ROW(Data!B508),-200),0,400,1)=Data!A508))=1,TRUE)</f>
        <v>1</v>
      </c>
      <c r="Z508" s="26" t="b">
        <f t="array" aca="1" ref="Z508" ca="1">IF(UPPER(Data!C508)="END",SUM((OFFSET(Data!C508,MAX(ROW(Data!$C$5)-ROW(Data!C508),-200),0,400,1)="END")*(OFFSET(Data!A508,MAX(ROW(Data!$B$5)-ROW(Data!B508),-200),0,400,1)=Data!A508))=1,TRUE)</f>
        <v>1</v>
      </c>
      <c r="AA508" s="26" t="b">
        <f>IF(Checks!C508,ISERROR(FIND("&amp;",Data!D508)),TRUE)</f>
        <v>1</v>
      </c>
      <c r="AB508" s="26" t="b">
        <f>IF(Checks!$C508,IF(AND(UPPER(Data!$C508)&lt;&gt;"START",UPPER(Data!$C508)&lt;&gt;"DATA OBJECT",Data!E508&lt;&gt;""),NOT(ISERROR(MATCH(Data!$A508&amp;"||"&amp;Data!E508,Key,0))),TRUE),TRUE)</f>
        <v>1</v>
      </c>
      <c r="AC508" s="27" t="b">
        <f>IF(Checks!C508,IF(UPPER(Data!C508)="END",Data!E508&lt;&gt;"",TRUE),TRUE)</f>
        <v>1</v>
      </c>
    </row>
    <row r="509" spans="1:29" x14ac:dyDescent="0.25">
      <c r="A509" s="1" t="str">
        <f>Data!A509&amp;"||"&amp;Data!B509</f>
        <v>Miscellaneous/subflow/irmifrs9_preprocess.bpmn||050_00_00</v>
      </c>
      <c r="B509" s="19"/>
      <c r="C509" s="24" t="b">
        <f>AND(UPPER(Data!A509)&lt;&gt;"EMPTY",Data!B509&lt;&gt;"")</f>
        <v>1</v>
      </c>
      <c r="D509" s="1"/>
      <c r="E509" s="25" t="b">
        <f t="shared" ca="1" si="14"/>
        <v>1</v>
      </c>
      <c r="F509" s="26" t="b">
        <f ca="1">IF(UPPER(Data!C509)="SUB PROCESS",NOT(ISERROR(MATCH(RIGHT(Data!BY509,LEN(Data!BY509)-5),OFFSET(Data,0,0,ItemsCount,1),0))),TRUE)</f>
        <v>1</v>
      </c>
      <c r="G509" s="26" t="b">
        <f ca="1">IF(MID(UPPER(Data!A509),1,13)="MISCELLANEOUS",NOT(ISERROR(MATCH("path="&amp;Data!A509,OFFSET(Data,0,76,ItemsCount,1),0))),TRUE)</f>
        <v>1</v>
      </c>
      <c r="L509" s="25" t="b">
        <f t="shared" ca="1" si="15"/>
        <v>1</v>
      </c>
      <c r="M509" s="24" t="b">
        <f>IF(Checks!$C509,Data!A509&lt;&gt;"",TRUE)</f>
        <v>1</v>
      </c>
      <c r="N509" s="26" t="b">
        <f>IF(Checks!C509,Data!B509&lt;&gt;"",TRUE)</f>
        <v>1</v>
      </c>
      <c r="O509" s="26" t="b">
        <f>IF(Checks!C509,IF(AND(UPPER(Data!C509)="SERVICE TASK",UPPER(Data!BZ509)="TYPE=SAS"),NodeExists(TRIM(RIGHT(Data!CA509,LEN(Data!CA509)-FIND("=",Data!CA509)))),TRUE),TRUE)</f>
        <v>1</v>
      </c>
      <c r="P509" s="26" t="b">
        <f>IF(Checks!C509,IF(Data!C509="DATA OBJECT",OR(AND(Data!BW509&lt;&gt;"",Data!BX509=""),AND(Data!BW509="",Data!BX509&lt;&gt;"")),TRUE),TRUE)</f>
        <v>1</v>
      </c>
      <c r="Q509" s="26" t="b">
        <f>IF(Checks!C509,UPPER(RIGHT(Data!A509,5))=".BPMN",TRUE)</f>
        <v>1</v>
      </c>
      <c r="R509" s="26" t="b">
        <f>IF(Checks!C509,IF(UPPER(Data!C509)="SUB PROCESS",UPPER(RIGHT(Data!BY509,5))=".BPMN",TRUE),TRUE)</f>
        <v>1</v>
      </c>
      <c r="S509" s="26" t="b">
        <f>IF(Checks!C509,IF(UPPER(Data!C509)="SERVICE TASK",IF(UPPER(Data!BZ509)="TYPE=SAS",UPPER(RIGHT(Data!CA509,4))=".SAS",TRUE),TRUE),TRUE)</f>
        <v>1</v>
      </c>
      <c r="T509" s="26" t="b">
        <f>IF(Checks!C509,IF(Data!B509&lt;&gt;"",Data!D509&lt;&gt;"",TRUE),TRUE)</f>
        <v>1</v>
      </c>
      <c r="U509" s="26" t="b">
        <f>IF(Checks!C509,IF(UPPER(Data!C509)="DATA OBJECT",NOT(ISERROR(MATCH(Data!A509&amp;"||"&amp;Data!BW509&amp;Data!BX509,Key,0))),TRUE),TRUE)</f>
        <v>1</v>
      </c>
      <c r="V509" s="26" t="b">
        <f>IF(Checks!C509,IF(UPPER(Data!C509)="SUB PROCESS",Data!BY509&lt;&gt;"",TRUE),TRUE)</f>
        <v>1</v>
      </c>
      <c r="W509" s="26" t="b">
        <f>IF(Checks!C509,IF(UPPER(Data!C509)="SERVICE TASK",AND(Data!BZ509&lt;&gt;"",Data!CA509&lt;&gt;""),TRUE),TRUE)</f>
        <v>1</v>
      </c>
      <c r="X509" s="26" t="b">
        <f t="array" aca="1" ref="X509" ca="1">SUM((OFFSET(Data!B509,MAX(ROW(Data!$B$5)-ROW(Data!B509),-200),0,400,1)=Data!B509)*(OFFSET(Data!A509,MAX(ROW(Data!$B$5)-ROW(Data!B509),-200),0,400,1)=Data!A509))=1</f>
        <v>1</v>
      </c>
      <c r="Y509" s="26" t="b">
        <f t="array" aca="1" ref="Y509" ca="1">IF(UPPER(Data!C509)="START",SUM((OFFSET(Data!C509,MAX(ROW(Data!$C$5)-ROW(Data!C509),-200),0,400,1)="START")*(OFFSET(Data!A509,MAX(ROW(Data!$B$5)-ROW(Data!B509),-200),0,400,1)=Data!A509))=1,TRUE)</f>
        <v>1</v>
      </c>
      <c r="Z509" s="26" t="b">
        <f t="array" aca="1" ref="Z509" ca="1">IF(UPPER(Data!C509)="END",SUM((OFFSET(Data!C509,MAX(ROW(Data!$C$5)-ROW(Data!C509),-200),0,400,1)="END")*(OFFSET(Data!A509,MAX(ROW(Data!$B$5)-ROW(Data!B509),-200),0,400,1)=Data!A509))=1,TRUE)</f>
        <v>1</v>
      </c>
      <c r="AA509" s="26" t="b">
        <f>IF(Checks!C509,ISERROR(FIND("&amp;",Data!D509)),TRUE)</f>
        <v>1</v>
      </c>
      <c r="AB509" s="26" t="b">
        <f ca="1">IF(Checks!$C509,IF(AND(UPPER(Data!$C509)&lt;&gt;"START",UPPER(Data!$C509)&lt;&gt;"DATA OBJECT",Data!E509&lt;&gt;""),NOT(ISERROR(MATCH(Data!$A509&amp;"||"&amp;Data!E509,Key,0))),TRUE),TRUE)</f>
        <v>1</v>
      </c>
      <c r="AC509" s="27" t="b">
        <f>IF(Checks!C509,IF(UPPER(Data!C509)="END",Data!E509&lt;&gt;"",TRUE),TRUE)</f>
        <v>1</v>
      </c>
    </row>
    <row r="510" spans="1:29" x14ac:dyDescent="0.25">
      <c r="A510" s="1" t="str">
        <f>Data!A510&amp;"||"&amp;Data!B510</f>
        <v>Miscellaneous/subflow/irmifrs9_preprocess.bpmn||050_00_01</v>
      </c>
      <c r="B510" s="19"/>
      <c r="C510" s="24" t="b">
        <f>AND(UPPER(Data!A510)&lt;&gt;"EMPTY",Data!B510&lt;&gt;"")</f>
        <v>1</v>
      </c>
      <c r="D510" s="1"/>
      <c r="E510" s="25" t="b">
        <f t="shared" ca="1" si="14"/>
        <v>1</v>
      </c>
      <c r="F510" s="26" t="b">
        <f ca="1">IF(UPPER(Data!C510)="SUB PROCESS",NOT(ISERROR(MATCH(RIGHT(Data!BY510,LEN(Data!BY510)-5),OFFSET(Data,0,0,ItemsCount,1),0))),TRUE)</f>
        <v>1</v>
      </c>
      <c r="G510" s="26" t="b">
        <f ca="1">IF(MID(UPPER(Data!A510),1,13)="MISCELLANEOUS",NOT(ISERROR(MATCH("path="&amp;Data!A510,OFFSET(Data,0,76,ItemsCount,1),0))),TRUE)</f>
        <v>1</v>
      </c>
      <c r="L510" s="25" t="b">
        <f t="shared" ca="1" si="15"/>
        <v>1</v>
      </c>
      <c r="M510" s="24" t="b">
        <f>IF(Checks!$C510,Data!A510&lt;&gt;"",TRUE)</f>
        <v>1</v>
      </c>
      <c r="N510" s="26" t="b">
        <f>IF(Checks!C510,Data!B510&lt;&gt;"",TRUE)</f>
        <v>1</v>
      </c>
      <c r="O510" s="26" t="b">
        <f>IF(Checks!C510,IF(AND(UPPER(Data!C510)="SERVICE TASK",UPPER(Data!BZ510)="TYPE=SAS"),NodeExists(TRIM(RIGHT(Data!CA510,LEN(Data!CA510)-FIND("=",Data!CA510)))),TRUE),TRUE)</f>
        <v>1</v>
      </c>
      <c r="P510" s="26" t="b">
        <f>IF(Checks!C510,IF(Data!C510="DATA OBJECT",OR(AND(Data!BW510&lt;&gt;"",Data!BX510=""),AND(Data!BW510="",Data!BX510&lt;&gt;"")),TRUE),TRUE)</f>
        <v>1</v>
      </c>
      <c r="Q510" s="26" t="b">
        <f>IF(Checks!C510,UPPER(RIGHT(Data!A510,5))=".BPMN",TRUE)</f>
        <v>1</v>
      </c>
      <c r="R510" s="26" t="b">
        <f>IF(Checks!C510,IF(UPPER(Data!C510)="SUB PROCESS",UPPER(RIGHT(Data!BY510,5))=".BPMN",TRUE),TRUE)</f>
        <v>1</v>
      </c>
      <c r="S510" s="26" t="b">
        <f>IF(Checks!C510,IF(UPPER(Data!C510)="SERVICE TASK",IF(UPPER(Data!BZ510)="TYPE=SAS",UPPER(RIGHT(Data!CA510,4))=".SAS",TRUE),TRUE),TRUE)</f>
        <v>1</v>
      </c>
      <c r="T510" s="26" t="b">
        <f>IF(Checks!C510,IF(Data!B510&lt;&gt;"",Data!D510&lt;&gt;"",TRUE),TRUE)</f>
        <v>1</v>
      </c>
      <c r="U510" s="26" t="b">
        <f ca="1">IF(Checks!C510,IF(UPPER(Data!C510)="DATA OBJECT",NOT(ISERROR(MATCH(Data!A510&amp;"||"&amp;Data!BW510&amp;Data!BX510,Key,0))),TRUE),TRUE)</f>
        <v>1</v>
      </c>
      <c r="V510" s="26" t="b">
        <f>IF(Checks!C510,IF(UPPER(Data!C510)="SUB PROCESS",Data!BY510&lt;&gt;"",TRUE),TRUE)</f>
        <v>1</v>
      </c>
      <c r="W510" s="26" t="b">
        <f>IF(Checks!C510,IF(UPPER(Data!C510)="SERVICE TASK",AND(Data!BZ510&lt;&gt;"",Data!CA510&lt;&gt;""),TRUE),TRUE)</f>
        <v>1</v>
      </c>
      <c r="X510" s="26" t="b">
        <f t="array" aca="1" ref="X510" ca="1">SUM((OFFSET(Data!B510,MAX(ROW(Data!$B$5)-ROW(Data!B510),-200),0,400,1)=Data!B510)*(OFFSET(Data!A510,MAX(ROW(Data!$B$5)-ROW(Data!B510),-200),0,400,1)=Data!A510))=1</f>
        <v>1</v>
      </c>
      <c r="Y510" s="26" t="b">
        <f t="array" aca="1" ref="Y510" ca="1">IF(UPPER(Data!C510)="START",SUM((OFFSET(Data!C510,MAX(ROW(Data!$C$5)-ROW(Data!C510),-200),0,400,1)="START")*(OFFSET(Data!A510,MAX(ROW(Data!$B$5)-ROW(Data!B510),-200),0,400,1)=Data!A510))=1,TRUE)</f>
        <v>1</v>
      </c>
      <c r="Z510" s="26" t="b">
        <f t="array" aca="1" ref="Z510" ca="1">IF(UPPER(Data!C510)="END",SUM((OFFSET(Data!C510,MAX(ROW(Data!$C$5)-ROW(Data!C510),-200),0,400,1)="END")*(OFFSET(Data!A510,MAX(ROW(Data!$B$5)-ROW(Data!B510),-200),0,400,1)=Data!A510))=1,TRUE)</f>
        <v>1</v>
      </c>
      <c r="AA510" s="26" t="b">
        <f>IF(Checks!C510,ISERROR(FIND("&amp;",Data!D510)),TRUE)</f>
        <v>1</v>
      </c>
      <c r="AB510" s="26" t="b">
        <f>IF(Checks!$C510,IF(AND(UPPER(Data!$C510)&lt;&gt;"START",UPPER(Data!$C510)&lt;&gt;"DATA OBJECT",Data!E510&lt;&gt;""),NOT(ISERROR(MATCH(Data!$A510&amp;"||"&amp;Data!E510,Key,0))),TRUE),TRUE)</f>
        <v>1</v>
      </c>
      <c r="AC510" s="27" t="b">
        <f>IF(Checks!C510,IF(UPPER(Data!C510)="END",Data!E510&lt;&gt;"",TRUE),TRUE)</f>
        <v>1</v>
      </c>
    </row>
    <row r="511" spans="1:29" x14ac:dyDescent="0.25">
      <c r="A511" s="1" t="str">
        <f>Data!A511&amp;"||"&amp;Data!B511</f>
        <v>Miscellaneous/subflow/irmifrs9_preprocess.bpmn||050_00_02</v>
      </c>
      <c r="B511" s="19"/>
      <c r="C511" s="24" t="b">
        <f>AND(UPPER(Data!A511)&lt;&gt;"EMPTY",Data!B511&lt;&gt;"")</f>
        <v>1</v>
      </c>
      <c r="D511" s="1"/>
      <c r="E511" s="25" t="b">
        <f t="shared" ca="1" si="14"/>
        <v>1</v>
      </c>
      <c r="F511" s="26" t="b">
        <f ca="1">IF(UPPER(Data!C511)="SUB PROCESS",NOT(ISERROR(MATCH(RIGHT(Data!BY511,LEN(Data!BY511)-5),OFFSET(Data,0,0,ItemsCount,1),0))),TRUE)</f>
        <v>1</v>
      </c>
      <c r="G511" s="26" t="b">
        <f ca="1">IF(MID(UPPER(Data!A511),1,13)="MISCELLANEOUS",NOT(ISERROR(MATCH("path="&amp;Data!A511,OFFSET(Data,0,76,ItemsCount,1),0))),TRUE)</f>
        <v>1</v>
      </c>
      <c r="L511" s="25" t="b">
        <f t="shared" ca="1" si="15"/>
        <v>1</v>
      </c>
      <c r="M511" s="24" t="b">
        <f>IF(Checks!$C511,Data!A511&lt;&gt;"",TRUE)</f>
        <v>1</v>
      </c>
      <c r="N511" s="26" t="b">
        <f>IF(Checks!C511,Data!B511&lt;&gt;"",TRUE)</f>
        <v>1</v>
      </c>
      <c r="O511" s="26" t="b">
        <f>IF(Checks!C511,IF(AND(UPPER(Data!C511)="SERVICE TASK",UPPER(Data!BZ511)="TYPE=SAS"),NodeExists(TRIM(RIGHT(Data!CA511,LEN(Data!CA511)-FIND("=",Data!CA511)))),TRUE),TRUE)</f>
        <v>1</v>
      </c>
      <c r="P511" s="26" t="b">
        <f>IF(Checks!C511,IF(Data!C511="DATA OBJECT",OR(AND(Data!BW511&lt;&gt;"",Data!BX511=""),AND(Data!BW511="",Data!BX511&lt;&gt;"")),TRUE),TRUE)</f>
        <v>1</v>
      </c>
      <c r="Q511" s="26" t="b">
        <f>IF(Checks!C511,UPPER(RIGHT(Data!A511,5))=".BPMN",TRUE)</f>
        <v>1</v>
      </c>
      <c r="R511" s="26" t="b">
        <f>IF(Checks!C511,IF(UPPER(Data!C511)="SUB PROCESS",UPPER(RIGHT(Data!BY511,5))=".BPMN",TRUE),TRUE)</f>
        <v>1</v>
      </c>
      <c r="S511" s="26" t="b">
        <f>IF(Checks!C511,IF(UPPER(Data!C511)="SERVICE TASK",IF(UPPER(Data!BZ511)="TYPE=SAS",UPPER(RIGHT(Data!CA511,4))=".SAS",TRUE),TRUE),TRUE)</f>
        <v>1</v>
      </c>
      <c r="T511" s="26" t="b">
        <f>IF(Checks!C511,IF(Data!B511&lt;&gt;"",Data!D511&lt;&gt;"",TRUE),TRUE)</f>
        <v>1</v>
      </c>
      <c r="U511" s="26" t="b">
        <f ca="1">IF(Checks!C511,IF(UPPER(Data!C511)="DATA OBJECT",NOT(ISERROR(MATCH(Data!A511&amp;"||"&amp;Data!BW511&amp;Data!BX511,Key,0))),TRUE),TRUE)</f>
        <v>1</v>
      </c>
      <c r="V511" s="26" t="b">
        <f>IF(Checks!C511,IF(UPPER(Data!C511)="SUB PROCESS",Data!BY511&lt;&gt;"",TRUE),TRUE)</f>
        <v>1</v>
      </c>
      <c r="W511" s="26" t="b">
        <f>IF(Checks!C511,IF(UPPER(Data!C511)="SERVICE TASK",AND(Data!BZ511&lt;&gt;"",Data!CA511&lt;&gt;""),TRUE),TRUE)</f>
        <v>1</v>
      </c>
      <c r="X511" s="26" t="b">
        <f t="array" aca="1" ref="X511" ca="1">SUM((OFFSET(Data!B511,MAX(ROW(Data!$B$5)-ROW(Data!B511),-200),0,400,1)=Data!B511)*(OFFSET(Data!A511,MAX(ROW(Data!$B$5)-ROW(Data!B511),-200),0,400,1)=Data!A511))=1</f>
        <v>1</v>
      </c>
      <c r="Y511" s="26" t="b">
        <f t="array" aca="1" ref="Y511" ca="1">IF(UPPER(Data!C511)="START",SUM((OFFSET(Data!C511,MAX(ROW(Data!$C$5)-ROW(Data!C511),-200),0,400,1)="START")*(OFFSET(Data!A511,MAX(ROW(Data!$B$5)-ROW(Data!B511),-200),0,400,1)=Data!A511))=1,TRUE)</f>
        <v>1</v>
      </c>
      <c r="Z511" s="26" t="b">
        <f t="array" aca="1" ref="Z511" ca="1">IF(UPPER(Data!C511)="END",SUM((OFFSET(Data!C511,MAX(ROW(Data!$C$5)-ROW(Data!C511),-200),0,400,1)="END")*(OFFSET(Data!A511,MAX(ROW(Data!$B$5)-ROW(Data!B511),-200),0,400,1)=Data!A511))=1,TRUE)</f>
        <v>1</v>
      </c>
      <c r="AA511" s="26" t="b">
        <f>IF(Checks!C511,ISERROR(FIND("&amp;",Data!D511)),TRUE)</f>
        <v>1</v>
      </c>
      <c r="AB511" s="26" t="b">
        <f>IF(Checks!$C511,IF(AND(UPPER(Data!$C511)&lt;&gt;"START",UPPER(Data!$C511)&lt;&gt;"DATA OBJECT",Data!E511&lt;&gt;""),NOT(ISERROR(MATCH(Data!$A511&amp;"||"&amp;Data!E511,Key,0))),TRUE),TRUE)</f>
        <v>1</v>
      </c>
      <c r="AC511" s="27" t="b">
        <f>IF(Checks!C511,IF(UPPER(Data!C511)="END",Data!E511&lt;&gt;"",TRUE),TRUE)</f>
        <v>1</v>
      </c>
    </row>
    <row r="512" spans="1:29" x14ac:dyDescent="0.25">
      <c r="A512" s="1" t="str">
        <f>Data!A512&amp;"||"&amp;Data!B512</f>
        <v>Miscellaneous/subflow/irmifrs9_preprocess.bpmn||080_00_00</v>
      </c>
      <c r="B512" s="19"/>
      <c r="C512" s="24" t="b">
        <f>AND(UPPER(Data!A512)&lt;&gt;"EMPTY",Data!B512&lt;&gt;"")</f>
        <v>1</v>
      </c>
      <c r="D512" s="1"/>
      <c r="E512" s="25" t="b">
        <f t="shared" ca="1" si="14"/>
        <v>1</v>
      </c>
      <c r="F512" s="26" t="b">
        <f ca="1">IF(UPPER(Data!C512)="SUB PROCESS",NOT(ISERROR(MATCH(RIGHT(Data!BY512,LEN(Data!BY512)-5),OFFSET(Data,0,0,ItemsCount,1),0))),TRUE)</f>
        <v>1</v>
      </c>
      <c r="G512" s="26" t="b">
        <f ca="1">IF(MID(UPPER(Data!A512),1,13)="MISCELLANEOUS",NOT(ISERROR(MATCH("path="&amp;Data!A512,OFFSET(Data,0,76,ItemsCount,1),0))),TRUE)</f>
        <v>1</v>
      </c>
      <c r="L512" s="25" t="b">
        <f t="shared" ca="1" si="15"/>
        <v>1</v>
      </c>
      <c r="M512" s="24" t="b">
        <f>IF(Checks!$C512,Data!A512&lt;&gt;"",TRUE)</f>
        <v>1</v>
      </c>
      <c r="N512" s="26" t="b">
        <f>IF(Checks!C512,Data!B512&lt;&gt;"",TRUE)</f>
        <v>1</v>
      </c>
      <c r="O512" s="26" t="b">
        <f>IF(Checks!C512,IF(AND(UPPER(Data!C512)="SERVICE TASK",UPPER(Data!BZ512)="TYPE=SAS"),NodeExists(TRIM(RIGHT(Data!CA512,LEN(Data!CA512)-FIND("=",Data!CA512)))),TRUE),TRUE)</f>
        <v>1</v>
      </c>
      <c r="P512" s="26" t="b">
        <f>IF(Checks!C512,IF(Data!C512="DATA OBJECT",OR(AND(Data!BW512&lt;&gt;"",Data!BX512=""),AND(Data!BW512="",Data!BX512&lt;&gt;"")),TRUE),TRUE)</f>
        <v>1</v>
      </c>
      <c r="Q512" s="26" t="b">
        <f>IF(Checks!C512,UPPER(RIGHT(Data!A512,5))=".BPMN",TRUE)</f>
        <v>1</v>
      </c>
      <c r="R512" s="26" t="b">
        <f>IF(Checks!C512,IF(UPPER(Data!C512)="SUB PROCESS",UPPER(RIGHT(Data!BY512,5))=".BPMN",TRUE),TRUE)</f>
        <v>1</v>
      </c>
      <c r="S512" s="26" t="b">
        <f>IF(Checks!C512,IF(UPPER(Data!C512)="SERVICE TASK",IF(UPPER(Data!BZ512)="TYPE=SAS",UPPER(RIGHT(Data!CA512,4))=".SAS",TRUE),TRUE),TRUE)</f>
        <v>1</v>
      </c>
      <c r="T512" s="26" t="b">
        <f>IF(Checks!C512,IF(Data!B512&lt;&gt;"",Data!D512&lt;&gt;"",TRUE),TRUE)</f>
        <v>1</v>
      </c>
      <c r="U512" s="26" t="b">
        <f>IF(Checks!C512,IF(UPPER(Data!C512)="DATA OBJECT",NOT(ISERROR(MATCH(Data!A512&amp;"||"&amp;Data!BW512&amp;Data!BX512,Key,0))),TRUE),TRUE)</f>
        <v>1</v>
      </c>
      <c r="V512" s="26" t="b">
        <f>IF(Checks!C512,IF(UPPER(Data!C512)="SUB PROCESS",Data!BY512&lt;&gt;"",TRUE),TRUE)</f>
        <v>1</v>
      </c>
      <c r="W512" s="26" t="b">
        <f>IF(Checks!C512,IF(UPPER(Data!C512)="SERVICE TASK",AND(Data!BZ512&lt;&gt;"",Data!CA512&lt;&gt;""),TRUE),TRUE)</f>
        <v>1</v>
      </c>
      <c r="X512" s="26" t="b">
        <f t="array" aca="1" ref="X512" ca="1">SUM((OFFSET(Data!B512,MAX(ROW(Data!$B$5)-ROW(Data!B512),-200),0,400,1)=Data!B512)*(OFFSET(Data!A512,MAX(ROW(Data!$B$5)-ROW(Data!B512),-200),0,400,1)=Data!A512))=1</f>
        <v>1</v>
      </c>
      <c r="Y512" s="26" t="b">
        <f t="array" aca="1" ref="Y512" ca="1">IF(UPPER(Data!C512)="START",SUM((OFFSET(Data!C512,MAX(ROW(Data!$C$5)-ROW(Data!C512),-200),0,400,1)="START")*(OFFSET(Data!A512,MAX(ROW(Data!$B$5)-ROW(Data!B512),-200),0,400,1)=Data!A512))=1,TRUE)</f>
        <v>1</v>
      </c>
      <c r="Z512" s="26" t="b">
        <f t="array" aca="1" ref="Z512" ca="1">IF(UPPER(Data!C512)="END",SUM((OFFSET(Data!C512,MAX(ROW(Data!$C$5)-ROW(Data!C512),-200),0,400,1)="END")*(OFFSET(Data!A512,MAX(ROW(Data!$B$5)-ROW(Data!B512),-200),0,400,1)=Data!A512))=1,TRUE)</f>
        <v>1</v>
      </c>
      <c r="AA512" s="26" t="b">
        <f>IF(Checks!C512,ISERROR(FIND("&amp;",Data!D512)),TRUE)</f>
        <v>1</v>
      </c>
      <c r="AB512" s="26" t="b">
        <f ca="1">IF(Checks!$C512,IF(AND(UPPER(Data!$C512)&lt;&gt;"START",UPPER(Data!$C512)&lt;&gt;"DATA OBJECT",Data!E512&lt;&gt;""),NOT(ISERROR(MATCH(Data!$A512&amp;"||"&amp;Data!E512,Key,0))),TRUE),TRUE)</f>
        <v>1</v>
      </c>
      <c r="AC512" s="27" t="b">
        <f>IF(Checks!C512,IF(UPPER(Data!C512)="END",Data!E512&lt;&gt;"",TRUE),TRUE)</f>
        <v>1</v>
      </c>
    </row>
    <row r="513" spans="1:29" x14ac:dyDescent="0.25">
      <c r="A513" s="1" t="str">
        <f>Data!A513&amp;"||"&amp;Data!B513</f>
        <v>Miscellaneous/subflow/irmifrs9_preprocess.bpmn||080_00_01</v>
      </c>
      <c r="B513" s="19"/>
      <c r="C513" s="24" t="b">
        <f>AND(UPPER(Data!A513)&lt;&gt;"EMPTY",Data!B513&lt;&gt;"")</f>
        <v>1</v>
      </c>
      <c r="D513" s="1"/>
      <c r="E513" s="25" t="b">
        <f t="shared" ca="1" si="14"/>
        <v>1</v>
      </c>
      <c r="F513" s="26" t="b">
        <f ca="1">IF(UPPER(Data!C513)="SUB PROCESS",NOT(ISERROR(MATCH(RIGHT(Data!BY513,LEN(Data!BY513)-5),OFFSET(Data,0,0,ItemsCount,1),0))),TRUE)</f>
        <v>1</v>
      </c>
      <c r="G513" s="26" t="b">
        <f ca="1">IF(MID(UPPER(Data!A513),1,13)="MISCELLANEOUS",NOT(ISERROR(MATCH("path="&amp;Data!A513,OFFSET(Data,0,76,ItemsCount,1),0))),TRUE)</f>
        <v>1</v>
      </c>
      <c r="L513" s="25" t="b">
        <f t="shared" ca="1" si="15"/>
        <v>1</v>
      </c>
      <c r="M513" s="24" t="b">
        <f>IF(Checks!$C513,Data!A513&lt;&gt;"",TRUE)</f>
        <v>1</v>
      </c>
      <c r="N513" s="26" t="b">
        <f>IF(Checks!C513,Data!B513&lt;&gt;"",TRUE)</f>
        <v>1</v>
      </c>
      <c r="O513" s="26" t="b">
        <f>IF(Checks!C513,IF(AND(UPPER(Data!C513)="SERVICE TASK",UPPER(Data!BZ513)="TYPE=SAS"),NodeExists(TRIM(RIGHT(Data!CA513,LEN(Data!CA513)-FIND("=",Data!CA513)))),TRUE),TRUE)</f>
        <v>1</v>
      </c>
      <c r="P513" s="26" t="b">
        <f>IF(Checks!C513,IF(Data!C513="DATA OBJECT",OR(AND(Data!BW513&lt;&gt;"",Data!BX513=""),AND(Data!BW513="",Data!BX513&lt;&gt;"")),TRUE),TRUE)</f>
        <v>1</v>
      </c>
      <c r="Q513" s="26" t="b">
        <f>IF(Checks!C513,UPPER(RIGHT(Data!A513,5))=".BPMN",TRUE)</f>
        <v>1</v>
      </c>
      <c r="R513" s="26" t="b">
        <f>IF(Checks!C513,IF(UPPER(Data!C513)="SUB PROCESS",UPPER(RIGHT(Data!BY513,5))=".BPMN",TRUE),TRUE)</f>
        <v>1</v>
      </c>
      <c r="S513" s="26" t="b">
        <f>IF(Checks!C513,IF(UPPER(Data!C513)="SERVICE TASK",IF(UPPER(Data!BZ513)="TYPE=SAS",UPPER(RIGHT(Data!CA513,4))=".SAS",TRUE),TRUE),TRUE)</f>
        <v>1</v>
      </c>
      <c r="T513" s="26" t="b">
        <f>IF(Checks!C513,IF(Data!B513&lt;&gt;"",Data!D513&lt;&gt;"",TRUE),TRUE)</f>
        <v>1</v>
      </c>
      <c r="U513" s="26" t="b">
        <f ca="1">IF(Checks!C513,IF(UPPER(Data!C513)="DATA OBJECT",NOT(ISERROR(MATCH(Data!A513&amp;"||"&amp;Data!BW513&amp;Data!BX513,Key,0))),TRUE),TRUE)</f>
        <v>1</v>
      </c>
      <c r="V513" s="26" t="b">
        <f>IF(Checks!C513,IF(UPPER(Data!C513)="SUB PROCESS",Data!BY513&lt;&gt;"",TRUE),TRUE)</f>
        <v>1</v>
      </c>
      <c r="W513" s="26" t="b">
        <f>IF(Checks!C513,IF(UPPER(Data!C513)="SERVICE TASK",AND(Data!BZ513&lt;&gt;"",Data!CA513&lt;&gt;""),TRUE),TRUE)</f>
        <v>1</v>
      </c>
      <c r="X513" s="26" t="b">
        <f t="array" aca="1" ref="X513" ca="1">SUM((OFFSET(Data!B513,MAX(ROW(Data!$B$5)-ROW(Data!B513),-200),0,400,1)=Data!B513)*(OFFSET(Data!A513,MAX(ROW(Data!$B$5)-ROW(Data!B513),-200),0,400,1)=Data!A513))=1</f>
        <v>1</v>
      </c>
      <c r="Y513" s="26" t="b">
        <f t="array" aca="1" ref="Y513" ca="1">IF(UPPER(Data!C513)="START",SUM((OFFSET(Data!C513,MAX(ROW(Data!$C$5)-ROW(Data!C513),-200),0,400,1)="START")*(OFFSET(Data!A513,MAX(ROW(Data!$B$5)-ROW(Data!B513),-200),0,400,1)=Data!A513))=1,TRUE)</f>
        <v>1</v>
      </c>
      <c r="Z513" s="26" t="b">
        <f t="array" aca="1" ref="Z513" ca="1">IF(UPPER(Data!C513)="END",SUM((OFFSET(Data!C513,MAX(ROW(Data!$C$5)-ROW(Data!C513),-200),0,400,1)="END")*(OFFSET(Data!A513,MAX(ROW(Data!$B$5)-ROW(Data!B513),-200),0,400,1)=Data!A513))=1,TRUE)</f>
        <v>1</v>
      </c>
      <c r="AA513" s="26" t="b">
        <f>IF(Checks!C513,ISERROR(FIND("&amp;",Data!D513)),TRUE)</f>
        <v>1</v>
      </c>
      <c r="AB513" s="26" t="b">
        <f>IF(Checks!$C513,IF(AND(UPPER(Data!$C513)&lt;&gt;"START",UPPER(Data!$C513)&lt;&gt;"DATA OBJECT",Data!E513&lt;&gt;""),NOT(ISERROR(MATCH(Data!$A513&amp;"||"&amp;Data!E513,Key,0))),TRUE),TRUE)</f>
        <v>1</v>
      </c>
      <c r="AC513" s="27" t="b">
        <f>IF(Checks!C513,IF(UPPER(Data!C513)="END",Data!E513&lt;&gt;"",TRUE),TRUE)</f>
        <v>1</v>
      </c>
    </row>
    <row r="514" spans="1:29" x14ac:dyDescent="0.25">
      <c r="A514" s="1" t="str">
        <f>Data!A514&amp;"||"&amp;Data!B514</f>
        <v>Miscellaneous/subflow/irmifrs9_preprocess.bpmn||080_00_02</v>
      </c>
      <c r="B514" s="19"/>
      <c r="C514" s="24" t="b">
        <f>AND(UPPER(Data!A514)&lt;&gt;"EMPTY",Data!B514&lt;&gt;"")</f>
        <v>1</v>
      </c>
      <c r="D514" s="1"/>
      <c r="E514" s="25" t="b">
        <f t="shared" ca="1" si="14"/>
        <v>1</v>
      </c>
      <c r="F514" s="26" t="b">
        <f ca="1">IF(UPPER(Data!C514)="SUB PROCESS",NOT(ISERROR(MATCH(RIGHT(Data!BY514,LEN(Data!BY514)-5),OFFSET(Data,0,0,ItemsCount,1),0))),TRUE)</f>
        <v>1</v>
      </c>
      <c r="G514" s="26" t="b">
        <f ca="1">IF(MID(UPPER(Data!A514),1,13)="MISCELLANEOUS",NOT(ISERROR(MATCH("path="&amp;Data!A514,OFFSET(Data,0,76,ItemsCount,1),0))),TRUE)</f>
        <v>1</v>
      </c>
      <c r="L514" s="25" t="b">
        <f t="shared" ca="1" si="15"/>
        <v>1</v>
      </c>
      <c r="M514" s="24" t="b">
        <f>IF(Checks!$C514,Data!A514&lt;&gt;"",TRUE)</f>
        <v>1</v>
      </c>
      <c r="N514" s="26" t="b">
        <f>IF(Checks!C514,Data!B514&lt;&gt;"",TRUE)</f>
        <v>1</v>
      </c>
      <c r="O514" s="26" t="b">
        <f>IF(Checks!C514,IF(AND(UPPER(Data!C514)="SERVICE TASK",UPPER(Data!BZ514)="TYPE=SAS"),NodeExists(TRIM(RIGHT(Data!CA514,LEN(Data!CA514)-FIND("=",Data!CA514)))),TRUE),TRUE)</f>
        <v>1</v>
      </c>
      <c r="P514" s="26" t="b">
        <f>IF(Checks!C514,IF(Data!C514="DATA OBJECT",OR(AND(Data!BW514&lt;&gt;"",Data!BX514=""),AND(Data!BW514="",Data!BX514&lt;&gt;"")),TRUE),TRUE)</f>
        <v>1</v>
      </c>
      <c r="Q514" s="26" t="b">
        <f>IF(Checks!C514,UPPER(RIGHT(Data!A514,5))=".BPMN",TRUE)</f>
        <v>1</v>
      </c>
      <c r="R514" s="26" t="b">
        <f>IF(Checks!C514,IF(UPPER(Data!C514)="SUB PROCESS",UPPER(RIGHT(Data!BY514,5))=".BPMN",TRUE),TRUE)</f>
        <v>1</v>
      </c>
      <c r="S514" s="26" t="b">
        <f>IF(Checks!C514,IF(UPPER(Data!C514)="SERVICE TASK",IF(UPPER(Data!BZ514)="TYPE=SAS",UPPER(RIGHT(Data!CA514,4))=".SAS",TRUE),TRUE),TRUE)</f>
        <v>1</v>
      </c>
      <c r="T514" s="26" t="b">
        <f>IF(Checks!C514,IF(Data!B514&lt;&gt;"",Data!D514&lt;&gt;"",TRUE),TRUE)</f>
        <v>1</v>
      </c>
      <c r="U514" s="26" t="b">
        <f ca="1">IF(Checks!C514,IF(UPPER(Data!C514)="DATA OBJECT",NOT(ISERROR(MATCH(Data!A514&amp;"||"&amp;Data!BW514&amp;Data!BX514,Key,0))),TRUE),TRUE)</f>
        <v>1</v>
      </c>
      <c r="V514" s="26" t="b">
        <f>IF(Checks!C514,IF(UPPER(Data!C514)="SUB PROCESS",Data!BY514&lt;&gt;"",TRUE),TRUE)</f>
        <v>1</v>
      </c>
      <c r="W514" s="26" t="b">
        <f>IF(Checks!C514,IF(UPPER(Data!C514)="SERVICE TASK",AND(Data!BZ514&lt;&gt;"",Data!CA514&lt;&gt;""),TRUE),TRUE)</f>
        <v>1</v>
      </c>
      <c r="X514" s="26" t="b">
        <f t="array" aca="1" ref="X514" ca="1">SUM((OFFSET(Data!B514,MAX(ROW(Data!$B$5)-ROW(Data!B514),-200),0,400,1)=Data!B514)*(OFFSET(Data!A514,MAX(ROW(Data!$B$5)-ROW(Data!B514),-200),0,400,1)=Data!A514))=1</f>
        <v>1</v>
      </c>
      <c r="Y514" s="26" t="b">
        <f t="array" aca="1" ref="Y514" ca="1">IF(UPPER(Data!C514)="START",SUM((OFFSET(Data!C514,MAX(ROW(Data!$C$5)-ROW(Data!C514),-200),0,400,1)="START")*(OFFSET(Data!A514,MAX(ROW(Data!$B$5)-ROW(Data!B514),-200),0,400,1)=Data!A514))=1,TRUE)</f>
        <v>1</v>
      </c>
      <c r="Z514" s="26" t="b">
        <f t="array" aca="1" ref="Z514" ca="1">IF(UPPER(Data!C514)="END",SUM((OFFSET(Data!C514,MAX(ROW(Data!$C$5)-ROW(Data!C514),-200),0,400,1)="END")*(OFFSET(Data!A514,MAX(ROW(Data!$B$5)-ROW(Data!B514),-200),0,400,1)=Data!A514))=1,TRUE)</f>
        <v>1</v>
      </c>
      <c r="AA514" s="26" t="b">
        <f>IF(Checks!C514,ISERROR(FIND("&amp;",Data!D514)),TRUE)</f>
        <v>1</v>
      </c>
      <c r="AB514" s="26" t="b">
        <f>IF(Checks!$C514,IF(AND(UPPER(Data!$C514)&lt;&gt;"START",UPPER(Data!$C514)&lt;&gt;"DATA OBJECT",Data!E514&lt;&gt;""),NOT(ISERROR(MATCH(Data!$A514&amp;"||"&amp;Data!E514,Key,0))),TRUE),TRUE)</f>
        <v>1</v>
      </c>
      <c r="AC514" s="27" t="b">
        <f>IF(Checks!C514,IF(UPPER(Data!C514)="END",Data!E514&lt;&gt;"",TRUE),TRUE)</f>
        <v>1</v>
      </c>
    </row>
    <row r="515" spans="1:29" x14ac:dyDescent="0.25">
      <c r="A515" s="1" t="str">
        <f>Data!A515&amp;"||"&amp;Data!B515</f>
        <v>Miscellaneous/subflow/irmifrs9_preprocess.bpmn||080_00_03</v>
      </c>
      <c r="B515" s="19"/>
      <c r="C515" s="24" t="b">
        <f>AND(UPPER(Data!A515)&lt;&gt;"EMPTY",Data!B515&lt;&gt;"")</f>
        <v>1</v>
      </c>
      <c r="D515" s="1"/>
      <c r="E515" s="25" t="b">
        <f t="shared" ca="1" si="14"/>
        <v>1</v>
      </c>
      <c r="F515" s="26" t="b">
        <f ca="1">IF(UPPER(Data!C515)="SUB PROCESS",NOT(ISERROR(MATCH(RIGHT(Data!BY515,LEN(Data!BY515)-5),OFFSET(Data,0,0,ItemsCount,1),0))),TRUE)</f>
        <v>1</v>
      </c>
      <c r="G515" s="26" t="b">
        <f ca="1">IF(MID(UPPER(Data!A515),1,13)="MISCELLANEOUS",NOT(ISERROR(MATCH("path="&amp;Data!A515,OFFSET(Data,0,76,ItemsCount,1),0))),TRUE)</f>
        <v>1</v>
      </c>
      <c r="L515" s="25" t="b">
        <f t="shared" ca="1" si="15"/>
        <v>1</v>
      </c>
      <c r="M515" s="24" t="b">
        <f>IF(Checks!$C515,Data!A515&lt;&gt;"",TRUE)</f>
        <v>1</v>
      </c>
      <c r="N515" s="26" t="b">
        <f>IF(Checks!C515,Data!B515&lt;&gt;"",TRUE)</f>
        <v>1</v>
      </c>
      <c r="O515" s="26" t="b">
        <f>IF(Checks!C515,IF(AND(UPPER(Data!C515)="SERVICE TASK",UPPER(Data!BZ515)="TYPE=SAS"),NodeExists(TRIM(RIGHT(Data!CA515,LEN(Data!CA515)-FIND("=",Data!CA515)))),TRUE),TRUE)</f>
        <v>1</v>
      </c>
      <c r="P515" s="26" t="b">
        <f>IF(Checks!C515,IF(Data!C515="DATA OBJECT",OR(AND(Data!BW515&lt;&gt;"",Data!BX515=""),AND(Data!BW515="",Data!BX515&lt;&gt;"")),TRUE),TRUE)</f>
        <v>1</v>
      </c>
      <c r="Q515" s="26" t="b">
        <f>IF(Checks!C515,UPPER(RIGHT(Data!A515,5))=".BPMN",TRUE)</f>
        <v>1</v>
      </c>
      <c r="R515" s="26" t="b">
        <f>IF(Checks!C515,IF(UPPER(Data!C515)="SUB PROCESS",UPPER(RIGHT(Data!BY515,5))=".BPMN",TRUE),TRUE)</f>
        <v>1</v>
      </c>
      <c r="S515" s="26" t="b">
        <f>IF(Checks!C515,IF(UPPER(Data!C515)="SERVICE TASK",IF(UPPER(Data!BZ515)="TYPE=SAS",UPPER(RIGHT(Data!CA515,4))=".SAS",TRUE),TRUE),TRUE)</f>
        <v>1</v>
      </c>
      <c r="T515" s="26" t="b">
        <f>IF(Checks!C515,IF(Data!B515&lt;&gt;"",Data!D515&lt;&gt;"",TRUE),TRUE)</f>
        <v>1</v>
      </c>
      <c r="U515" s="26" t="b">
        <f ca="1">IF(Checks!C515,IF(UPPER(Data!C515)="DATA OBJECT",NOT(ISERROR(MATCH(Data!A515&amp;"||"&amp;Data!BW515&amp;Data!BX515,Key,0))),TRUE),TRUE)</f>
        <v>1</v>
      </c>
      <c r="V515" s="26" t="b">
        <f>IF(Checks!C515,IF(UPPER(Data!C515)="SUB PROCESS",Data!BY515&lt;&gt;"",TRUE),TRUE)</f>
        <v>1</v>
      </c>
      <c r="W515" s="26" t="b">
        <f>IF(Checks!C515,IF(UPPER(Data!C515)="SERVICE TASK",AND(Data!BZ515&lt;&gt;"",Data!CA515&lt;&gt;""),TRUE),TRUE)</f>
        <v>1</v>
      </c>
      <c r="X515" s="26" t="b">
        <f t="array" aca="1" ref="X515" ca="1">SUM((OFFSET(Data!B515,MAX(ROW(Data!$B$5)-ROW(Data!B515),-200),0,400,1)=Data!B515)*(OFFSET(Data!A515,MAX(ROW(Data!$B$5)-ROW(Data!B515),-200),0,400,1)=Data!A515))=1</f>
        <v>1</v>
      </c>
      <c r="Y515" s="26" t="b">
        <f t="array" aca="1" ref="Y515" ca="1">IF(UPPER(Data!C515)="START",SUM((OFFSET(Data!C515,MAX(ROW(Data!$C$5)-ROW(Data!C515),-200),0,400,1)="START")*(OFFSET(Data!A515,MAX(ROW(Data!$B$5)-ROW(Data!B515),-200),0,400,1)=Data!A515))=1,TRUE)</f>
        <v>1</v>
      </c>
      <c r="Z515" s="26" t="b">
        <f t="array" aca="1" ref="Z515" ca="1">IF(UPPER(Data!C515)="END",SUM((OFFSET(Data!C515,MAX(ROW(Data!$C$5)-ROW(Data!C515),-200),0,400,1)="END")*(OFFSET(Data!A515,MAX(ROW(Data!$B$5)-ROW(Data!B515),-200),0,400,1)=Data!A515))=1,TRUE)</f>
        <v>1</v>
      </c>
      <c r="AA515" s="26" t="b">
        <f>IF(Checks!C515,ISERROR(FIND("&amp;",Data!D515)),TRUE)</f>
        <v>1</v>
      </c>
      <c r="AB515" s="26" t="b">
        <f>IF(Checks!$C515,IF(AND(UPPER(Data!$C515)&lt;&gt;"START",UPPER(Data!$C515)&lt;&gt;"DATA OBJECT",Data!E515&lt;&gt;""),NOT(ISERROR(MATCH(Data!$A515&amp;"||"&amp;Data!E515,Key,0))),TRUE),TRUE)</f>
        <v>1</v>
      </c>
      <c r="AC515" s="27" t="b">
        <f>IF(Checks!C515,IF(UPPER(Data!C515)="END",Data!E515&lt;&gt;"",TRUE),TRUE)</f>
        <v>1</v>
      </c>
    </row>
    <row r="516" spans="1:29" x14ac:dyDescent="0.25">
      <c r="A516" s="1" t="str">
        <f>Data!A516&amp;"||"&amp;Data!B516</f>
        <v>Miscellaneous/subflow/irmifrs9_preprocess.bpmn||080_00_04</v>
      </c>
      <c r="B516" s="19"/>
      <c r="C516" s="24" t="b">
        <f>AND(UPPER(Data!A516)&lt;&gt;"EMPTY",Data!B516&lt;&gt;"")</f>
        <v>1</v>
      </c>
      <c r="D516" s="1"/>
      <c r="E516" s="25" t="b">
        <f t="shared" ca="1" si="14"/>
        <v>1</v>
      </c>
      <c r="F516" s="26" t="b">
        <f ca="1">IF(UPPER(Data!C516)="SUB PROCESS",NOT(ISERROR(MATCH(RIGHT(Data!BY516,LEN(Data!BY516)-5),OFFSET(Data,0,0,ItemsCount,1),0))),TRUE)</f>
        <v>1</v>
      </c>
      <c r="G516" s="26" t="b">
        <f ca="1">IF(MID(UPPER(Data!A516),1,13)="MISCELLANEOUS",NOT(ISERROR(MATCH("path="&amp;Data!A516,OFFSET(Data,0,76,ItemsCount,1),0))),TRUE)</f>
        <v>1</v>
      </c>
      <c r="L516" s="25" t="b">
        <f t="shared" ca="1" si="15"/>
        <v>1</v>
      </c>
      <c r="M516" s="24" t="b">
        <f>IF(Checks!$C516,Data!A516&lt;&gt;"",TRUE)</f>
        <v>1</v>
      </c>
      <c r="N516" s="26" t="b">
        <f>IF(Checks!C516,Data!B516&lt;&gt;"",TRUE)</f>
        <v>1</v>
      </c>
      <c r="O516" s="26" t="b">
        <f>IF(Checks!C516,IF(AND(UPPER(Data!C516)="SERVICE TASK",UPPER(Data!BZ516)="TYPE=SAS"),NodeExists(TRIM(RIGHT(Data!CA516,LEN(Data!CA516)-FIND("=",Data!CA516)))),TRUE),TRUE)</f>
        <v>1</v>
      </c>
      <c r="P516" s="26" t="b">
        <f>IF(Checks!C516,IF(Data!C516="DATA OBJECT",OR(AND(Data!BW516&lt;&gt;"",Data!BX516=""),AND(Data!BW516="",Data!BX516&lt;&gt;"")),TRUE),TRUE)</f>
        <v>1</v>
      </c>
      <c r="Q516" s="26" t="b">
        <f>IF(Checks!C516,UPPER(RIGHT(Data!A516,5))=".BPMN",TRUE)</f>
        <v>1</v>
      </c>
      <c r="R516" s="26" t="b">
        <f>IF(Checks!C516,IF(UPPER(Data!C516)="SUB PROCESS",UPPER(RIGHT(Data!BY516,5))=".BPMN",TRUE),TRUE)</f>
        <v>1</v>
      </c>
      <c r="S516" s="26" t="b">
        <f>IF(Checks!C516,IF(UPPER(Data!C516)="SERVICE TASK",IF(UPPER(Data!BZ516)="TYPE=SAS",UPPER(RIGHT(Data!CA516,4))=".SAS",TRUE),TRUE),TRUE)</f>
        <v>1</v>
      </c>
      <c r="T516" s="26" t="b">
        <f>IF(Checks!C516,IF(Data!B516&lt;&gt;"",Data!D516&lt;&gt;"",TRUE),TRUE)</f>
        <v>1</v>
      </c>
      <c r="U516" s="26" t="b">
        <f ca="1">IF(Checks!C516,IF(UPPER(Data!C516)="DATA OBJECT",NOT(ISERROR(MATCH(Data!A516&amp;"||"&amp;Data!BW516&amp;Data!BX516,Key,0))),TRUE),TRUE)</f>
        <v>1</v>
      </c>
      <c r="V516" s="26" t="b">
        <f>IF(Checks!C516,IF(UPPER(Data!C516)="SUB PROCESS",Data!BY516&lt;&gt;"",TRUE),TRUE)</f>
        <v>1</v>
      </c>
      <c r="W516" s="26" t="b">
        <f>IF(Checks!C516,IF(UPPER(Data!C516)="SERVICE TASK",AND(Data!BZ516&lt;&gt;"",Data!CA516&lt;&gt;""),TRUE),TRUE)</f>
        <v>1</v>
      </c>
      <c r="X516" s="26" t="b">
        <f t="array" aca="1" ref="X516" ca="1">SUM((OFFSET(Data!B516,MAX(ROW(Data!$B$5)-ROW(Data!B516),-200),0,400,1)=Data!B516)*(OFFSET(Data!A516,MAX(ROW(Data!$B$5)-ROW(Data!B516),-200),0,400,1)=Data!A516))=1</f>
        <v>1</v>
      </c>
      <c r="Y516" s="26" t="b">
        <f t="array" aca="1" ref="Y516" ca="1">IF(UPPER(Data!C516)="START",SUM((OFFSET(Data!C516,MAX(ROW(Data!$C$5)-ROW(Data!C516),-200),0,400,1)="START")*(OFFSET(Data!A516,MAX(ROW(Data!$B$5)-ROW(Data!B516),-200),0,400,1)=Data!A516))=1,TRUE)</f>
        <v>1</v>
      </c>
      <c r="Z516" s="26" t="b">
        <f t="array" aca="1" ref="Z516" ca="1">IF(UPPER(Data!C516)="END",SUM((OFFSET(Data!C516,MAX(ROW(Data!$C$5)-ROW(Data!C516),-200),0,400,1)="END")*(OFFSET(Data!A516,MAX(ROW(Data!$B$5)-ROW(Data!B516),-200),0,400,1)=Data!A516))=1,TRUE)</f>
        <v>1</v>
      </c>
      <c r="AA516" s="26" t="b">
        <f>IF(Checks!C516,ISERROR(FIND("&amp;",Data!D516)),TRUE)</f>
        <v>1</v>
      </c>
      <c r="AB516" s="26" t="b">
        <f>IF(Checks!$C516,IF(AND(UPPER(Data!$C516)&lt;&gt;"START",UPPER(Data!$C516)&lt;&gt;"DATA OBJECT",Data!E516&lt;&gt;""),NOT(ISERROR(MATCH(Data!$A516&amp;"||"&amp;Data!E516,Key,0))),TRUE),TRUE)</f>
        <v>1</v>
      </c>
      <c r="AC516" s="27" t="b">
        <f>IF(Checks!C516,IF(UPPER(Data!C516)="END",Data!E516&lt;&gt;"",TRUE),TRUE)</f>
        <v>1</v>
      </c>
    </row>
    <row r="517" spans="1:29" x14ac:dyDescent="0.25">
      <c r="A517" s="1" t="str">
        <f>Data!A517&amp;"||"&amp;Data!B517</f>
        <v>Miscellaneous/subflow/irmifrs9_preprocess.bpmn||080_01_00</v>
      </c>
      <c r="B517" s="19"/>
      <c r="C517" s="24" t="b">
        <f>AND(UPPER(Data!A517)&lt;&gt;"EMPTY",Data!B517&lt;&gt;"")</f>
        <v>1</v>
      </c>
      <c r="D517" s="1"/>
      <c r="E517" s="25" t="b">
        <f t="shared" ca="1" si="14"/>
        <v>1</v>
      </c>
      <c r="F517" s="26" t="b">
        <f ca="1">IF(UPPER(Data!C517)="SUB PROCESS",NOT(ISERROR(MATCH(RIGHT(Data!BY517,LEN(Data!BY517)-5),OFFSET(Data,0,0,ItemsCount,1),0))),TRUE)</f>
        <v>1</v>
      </c>
      <c r="G517" s="26" t="b">
        <f ca="1">IF(MID(UPPER(Data!A517),1,13)="MISCELLANEOUS",NOT(ISERROR(MATCH("path="&amp;Data!A517,OFFSET(Data,0,76,ItemsCount,1),0))),TRUE)</f>
        <v>1</v>
      </c>
      <c r="L517" s="25" t="b">
        <f t="shared" ca="1" si="15"/>
        <v>1</v>
      </c>
      <c r="M517" s="24" t="b">
        <f>IF(Checks!$C517,Data!A517&lt;&gt;"",TRUE)</f>
        <v>1</v>
      </c>
      <c r="N517" s="26" t="b">
        <f>IF(Checks!C517,Data!B517&lt;&gt;"",TRUE)</f>
        <v>1</v>
      </c>
      <c r="O517" s="26" t="b">
        <f>IF(Checks!C517,IF(AND(UPPER(Data!C517)="SERVICE TASK",UPPER(Data!BZ517)="TYPE=SAS"),NodeExists(TRIM(RIGHT(Data!CA517,LEN(Data!CA517)-FIND("=",Data!CA517)))),TRUE),TRUE)</f>
        <v>1</v>
      </c>
      <c r="P517" s="26" t="b">
        <f>IF(Checks!C517,IF(Data!C517="DATA OBJECT",OR(AND(Data!BW517&lt;&gt;"",Data!BX517=""),AND(Data!BW517="",Data!BX517&lt;&gt;"")),TRUE),TRUE)</f>
        <v>1</v>
      </c>
      <c r="Q517" s="26" t="b">
        <f>IF(Checks!C517,UPPER(RIGHT(Data!A517,5))=".BPMN",TRUE)</f>
        <v>1</v>
      </c>
      <c r="R517" s="26" t="b">
        <f>IF(Checks!C517,IF(UPPER(Data!C517)="SUB PROCESS",UPPER(RIGHT(Data!BY517,5))=".BPMN",TRUE),TRUE)</f>
        <v>1</v>
      </c>
      <c r="S517" s="26" t="b">
        <f>IF(Checks!C517,IF(UPPER(Data!C517)="SERVICE TASK",IF(UPPER(Data!BZ517)="TYPE=SAS",UPPER(RIGHT(Data!CA517,4))=".SAS",TRUE),TRUE),TRUE)</f>
        <v>1</v>
      </c>
      <c r="T517" s="26" t="b">
        <f>IF(Checks!C517,IF(Data!B517&lt;&gt;"",Data!D517&lt;&gt;"",TRUE),TRUE)</f>
        <v>1</v>
      </c>
      <c r="U517" s="26" t="b">
        <f ca="1">IF(Checks!C517,IF(UPPER(Data!C517)="DATA OBJECT",NOT(ISERROR(MATCH(Data!A517&amp;"||"&amp;Data!BW517&amp;Data!BX517,Key,0))),TRUE),TRUE)</f>
        <v>1</v>
      </c>
      <c r="V517" s="26" t="b">
        <f>IF(Checks!C517,IF(UPPER(Data!C517)="SUB PROCESS",Data!BY517&lt;&gt;"",TRUE),TRUE)</f>
        <v>1</v>
      </c>
      <c r="W517" s="26" t="b">
        <f>IF(Checks!C517,IF(UPPER(Data!C517)="SERVICE TASK",AND(Data!BZ517&lt;&gt;"",Data!CA517&lt;&gt;""),TRUE),TRUE)</f>
        <v>1</v>
      </c>
      <c r="X517" s="26" t="b">
        <f t="array" aca="1" ref="X517" ca="1">SUM((OFFSET(Data!B517,MAX(ROW(Data!$B$5)-ROW(Data!B517),-200),0,400,1)=Data!B517)*(OFFSET(Data!A517,MAX(ROW(Data!$B$5)-ROW(Data!B517),-200),0,400,1)=Data!A517))=1</f>
        <v>1</v>
      </c>
      <c r="Y517" s="26" t="b">
        <f t="array" aca="1" ref="Y517" ca="1">IF(UPPER(Data!C517)="START",SUM((OFFSET(Data!C517,MAX(ROW(Data!$C$5)-ROW(Data!C517),-200),0,400,1)="START")*(OFFSET(Data!A517,MAX(ROW(Data!$B$5)-ROW(Data!B517),-200),0,400,1)=Data!A517))=1,TRUE)</f>
        <v>1</v>
      </c>
      <c r="Z517" s="26" t="b">
        <f t="array" aca="1" ref="Z517" ca="1">IF(UPPER(Data!C517)="END",SUM((OFFSET(Data!C517,MAX(ROW(Data!$C$5)-ROW(Data!C517),-200),0,400,1)="END")*(OFFSET(Data!A517,MAX(ROW(Data!$B$5)-ROW(Data!B517),-200),0,400,1)=Data!A517))=1,TRUE)</f>
        <v>1</v>
      </c>
      <c r="AA517" s="26" t="b">
        <f>IF(Checks!C517,ISERROR(FIND("&amp;",Data!D517)),TRUE)</f>
        <v>1</v>
      </c>
      <c r="AB517" s="26" t="b">
        <f>IF(Checks!$C517,IF(AND(UPPER(Data!$C517)&lt;&gt;"START",UPPER(Data!$C517)&lt;&gt;"DATA OBJECT",Data!E517&lt;&gt;""),NOT(ISERROR(MATCH(Data!$A517&amp;"||"&amp;Data!E517,Key,0))),TRUE),TRUE)</f>
        <v>1</v>
      </c>
      <c r="AC517" s="27" t="b">
        <f>IF(Checks!C517,IF(UPPER(Data!C517)="END",Data!E517&lt;&gt;"",TRUE),TRUE)</f>
        <v>1</v>
      </c>
    </row>
    <row r="518" spans="1:29" x14ac:dyDescent="0.25">
      <c r="A518" s="1" t="str">
        <f>Data!A518&amp;"||"&amp;Data!B518</f>
        <v>Miscellaneous/subflow/irmifrs9_preprocess.bpmn||999_00_00</v>
      </c>
      <c r="B518" s="19"/>
      <c r="C518" s="24" t="b">
        <f>AND(UPPER(Data!A518)&lt;&gt;"EMPTY",Data!B518&lt;&gt;"")</f>
        <v>1</v>
      </c>
      <c r="D518" s="1"/>
      <c r="E518" s="25" t="b">
        <f t="shared" ref="E518:E581" ca="1" si="16">IF(C518,AND(F518:G518),TRUE)</f>
        <v>1</v>
      </c>
      <c r="F518" s="26" t="b">
        <f ca="1">IF(UPPER(Data!C518)="SUB PROCESS",NOT(ISERROR(MATCH(RIGHT(Data!BY518,LEN(Data!BY518)-5),OFFSET(Data,0,0,ItemsCount,1),0))),TRUE)</f>
        <v>1</v>
      </c>
      <c r="G518" s="26" t="b">
        <f ca="1">IF(MID(UPPER(Data!A518),1,13)="MISCELLANEOUS",NOT(ISERROR(MATCH("path="&amp;Data!A518,OFFSET(Data,0,76,ItemsCount,1),0))),TRUE)</f>
        <v>1</v>
      </c>
      <c r="L518" s="25" t="b">
        <f t="shared" ref="L518:L581" ca="1" si="17">IF(C518,AND(M518:AC518),TRUE)</f>
        <v>1</v>
      </c>
      <c r="M518" s="24" t="b">
        <f>IF(Checks!$C518,Data!A518&lt;&gt;"",TRUE)</f>
        <v>1</v>
      </c>
      <c r="N518" s="26" t="b">
        <f>IF(Checks!C518,Data!B518&lt;&gt;"",TRUE)</f>
        <v>1</v>
      </c>
      <c r="O518" s="26" t="b">
        <f>IF(Checks!C518,IF(AND(UPPER(Data!C518)="SERVICE TASK",UPPER(Data!BZ518)="TYPE=SAS"),NodeExists(TRIM(RIGHT(Data!CA518,LEN(Data!CA518)-FIND("=",Data!CA518)))),TRUE),TRUE)</f>
        <v>1</v>
      </c>
      <c r="P518" s="26" t="b">
        <f>IF(Checks!C518,IF(Data!C518="DATA OBJECT",OR(AND(Data!BW518&lt;&gt;"",Data!BX518=""),AND(Data!BW518="",Data!BX518&lt;&gt;"")),TRUE),TRUE)</f>
        <v>1</v>
      </c>
      <c r="Q518" s="26" t="b">
        <f>IF(Checks!C518,UPPER(RIGHT(Data!A518,5))=".BPMN",TRUE)</f>
        <v>1</v>
      </c>
      <c r="R518" s="26" t="b">
        <f>IF(Checks!C518,IF(UPPER(Data!C518)="SUB PROCESS",UPPER(RIGHT(Data!BY518,5))=".BPMN",TRUE),TRUE)</f>
        <v>1</v>
      </c>
      <c r="S518" s="26" t="b">
        <f>IF(Checks!C518,IF(UPPER(Data!C518)="SERVICE TASK",IF(UPPER(Data!BZ518)="TYPE=SAS",UPPER(RIGHT(Data!CA518,4))=".SAS",TRUE),TRUE),TRUE)</f>
        <v>1</v>
      </c>
      <c r="T518" s="26" t="b">
        <f>IF(Checks!C518,IF(Data!B518&lt;&gt;"",Data!D518&lt;&gt;"",TRUE),TRUE)</f>
        <v>1</v>
      </c>
      <c r="U518" s="26" t="b">
        <f>IF(Checks!C518,IF(UPPER(Data!C518)="DATA OBJECT",NOT(ISERROR(MATCH(Data!A518&amp;"||"&amp;Data!BW518&amp;Data!BX518,Key,0))),TRUE),TRUE)</f>
        <v>1</v>
      </c>
      <c r="V518" s="26" t="b">
        <f>IF(Checks!C518,IF(UPPER(Data!C518)="SUB PROCESS",Data!BY518&lt;&gt;"",TRUE),TRUE)</f>
        <v>1</v>
      </c>
      <c r="W518" s="26" t="b">
        <f>IF(Checks!C518,IF(UPPER(Data!C518)="SERVICE TASK",AND(Data!BZ518&lt;&gt;"",Data!CA518&lt;&gt;""),TRUE),TRUE)</f>
        <v>1</v>
      </c>
      <c r="X518" s="26" t="b">
        <f t="array" aca="1" ref="X518" ca="1">SUM((OFFSET(Data!B518,MAX(ROW(Data!$B$5)-ROW(Data!B518),-200),0,400,1)=Data!B518)*(OFFSET(Data!A518,MAX(ROW(Data!$B$5)-ROW(Data!B518),-200),0,400,1)=Data!A518))=1</f>
        <v>1</v>
      </c>
      <c r="Y518" s="26" t="b">
        <f t="array" aca="1" ref="Y518" ca="1">IF(UPPER(Data!C518)="START",SUM((OFFSET(Data!C518,MAX(ROW(Data!$C$5)-ROW(Data!C518),-200),0,400,1)="START")*(OFFSET(Data!A518,MAX(ROW(Data!$B$5)-ROW(Data!B518),-200),0,400,1)=Data!A518))=1,TRUE)</f>
        <v>1</v>
      </c>
      <c r="Z518" s="26" t="b">
        <f t="array" aca="1" ref="Z518" ca="1">IF(UPPER(Data!C518)="END",SUM((OFFSET(Data!C518,MAX(ROW(Data!$C$5)-ROW(Data!C518),-200),0,400,1)="END")*(OFFSET(Data!A518,MAX(ROW(Data!$B$5)-ROW(Data!B518),-200),0,400,1)=Data!A518))=1,TRUE)</f>
        <v>1</v>
      </c>
      <c r="AA518" s="26" t="b">
        <f>IF(Checks!C518,ISERROR(FIND("&amp;",Data!D518)),TRUE)</f>
        <v>1</v>
      </c>
      <c r="AB518" s="26" t="b">
        <f ca="1">IF(Checks!$C518,IF(AND(UPPER(Data!$C518)&lt;&gt;"START",UPPER(Data!$C518)&lt;&gt;"DATA OBJECT",Data!E518&lt;&gt;""),NOT(ISERROR(MATCH(Data!$A518&amp;"||"&amp;Data!E518,Key,0))),TRUE),TRUE)</f>
        <v>1</v>
      </c>
      <c r="AC518" s="27" t="b">
        <f>IF(Checks!C518,IF(UPPER(Data!C518)="END",Data!E518&lt;&gt;"",TRUE),TRUE)</f>
        <v>1</v>
      </c>
    </row>
    <row r="519" spans="1:29" x14ac:dyDescent="0.25">
      <c r="A519" s="1" t="str">
        <f>Data!A519&amp;"||"&amp;Data!B519</f>
        <v>Miscellaneous/subflow/irmifrs9_postprocess.bpmn||000_00_00</v>
      </c>
      <c r="B519" s="19"/>
      <c r="C519" s="24" t="b">
        <f>AND(UPPER(Data!A519)&lt;&gt;"EMPTY",Data!B519&lt;&gt;"")</f>
        <v>1</v>
      </c>
      <c r="D519" s="1"/>
      <c r="E519" s="25" t="b">
        <f t="shared" ca="1" si="16"/>
        <v>0</v>
      </c>
      <c r="F519" s="26" t="b">
        <f ca="1">IF(UPPER(Data!C519)="SUB PROCESS",NOT(ISERROR(MATCH(RIGHT(Data!BY519,LEN(Data!BY519)-5),OFFSET(Data,0,0,ItemsCount,1),0))),TRUE)</f>
        <v>1</v>
      </c>
      <c r="G519" s="26" t="b">
        <f ca="1">IF(MID(UPPER(Data!A519),1,13)="MISCELLANEOUS",NOT(ISERROR(MATCH("path="&amp;Data!A519,OFFSET(Data,0,76,ItemsCount,1),0))),TRUE)</f>
        <v>0</v>
      </c>
      <c r="L519" s="25" t="b">
        <f t="shared" ca="1" si="17"/>
        <v>1</v>
      </c>
      <c r="M519" s="24" t="b">
        <f>IF(Checks!$C519,Data!A519&lt;&gt;"",TRUE)</f>
        <v>1</v>
      </c>
      <c r="N519" s="26" t="b">
        <f>IF(Checks!C519,Data!B519&lt;&gt;"",TRUE)</f>
        <v>1</v>
      </c>
      <c r="O519" s="26" t="b">
        <f>IF(Checks!C519,IF(AND(UPPER(Data!C519)="SERVICE TASK",UPPER(Data!BZ519)="TYPE=SAS"),NodeExists(TRIM(RIGHT(Data!CA519,LEN(Data!CA519)-FIND("=",Data!CA519)))),TRUE),TRUE)</f>
        <v>1</v>
      </c>
      <c r="P519" s="26" t="b">
        <f>IF(Checks!C519,IF(Data!C519="DATA OBJECT",OR(AND(Data!BW519&lt;&gt;"",Data!BX519=""),AND(Data!BW519="",Data!BX519&lt;&gt;"")),TRUE),TRUE)</f>
        <v>1</v>
      </c>
      <c r="Q519" s="26" t="b">
        <f>IF(Checks!C519,UPPER(RIGHT(Data!A519,5))=".BPMN",TRUE)</f>
        <v>1</v>
      </c>
      <c r="R519" s="26" t="b">
        <f>IF(Checks!C519,IF(UPPER(Data!C519)="SUB PROCESS",UPPER(RIGHT(Data!BY519,5))=".BPMN",TRUE),TRUE)</f>
        <v>1</v>
      </c>
      <c r="S519" s="26" t="b">
        <f>IF(Checks!C519,IF(UPPER(Data!C519)="SERVICE TASK",IF(UPPER(Data!BZ519)="TYPE=SAS",UPPER(RIGHT(Data!CA519,4))=".SAS",TRUE),TRUE),TRUE)</f>
        <v>1</v>
      </c>
      <c r="T519" s="26" t="b">
        <f>IF(Checks!C519,IF(Data!B519&lt;&gt;"",Data!D519&lt;&gt;"",TRUE),TRUE)</f>
        <v>1</v>
      </c>
      <c r="U519" s="26" t="b">
        <f>IF(Checks!C519,IF(UPPER(Data!C519)="DATA OBJECT",NOT(ISERROR(MATCH(Data!A519&amp;"||"&amp;Data!BW519&amp;Data!BX519,Key,0))),TRUE),TRUE)</f>
        <v>1</v>
      </c>
      <c r="V519" s="26" t="b">
        <f>IF(Checks!C519,IF(UPPER(Data!C519)="SUB PROCESS",Data!BY519&lt;&gt;"",TRUE),TRUE)</f>
        <v>1</v>
      </c>
      <c r="W519" s="26" t="b">
        <f>IF(Checks!C519,IF(UPPER(Data!C519)="SERVICE TASK",AND(Data!BZ519&lt;&gt;"",Data!CA519&lt;&gt;""),TRUE),TRUE)</f>
        <v>1</v>
      </c>
      <c r="X519" s="26" t="b">
        <f t="array" aca="1" ref="X519" ca="1">SUM((OFFSET(Data!B519,MAX(ROW(Data!$B$5)-ROW(Data!B519),-200),0,400,1)=Data!B519)*(OFFSET(Data!A519,MAX(ROW(Data!$B$5)-ROW(Data!B519),-200),0,400,1)=Data!A519))=1</f>
        <v>1</v>
      </c>
      <c r="Y519" s="26" t="b">
        <f t="array" aca="1" ref="Y519" ca="1">IF(UPPER(Data!C519)="START",SUM((OFFSET(Data!C519,MAX(ROW(Data!$C$5)-ROW(Data!C519),-200),0,400,1)="START")*(OFFSET(Data!A519,MAX(ROW(Data!$B$5)-ROW(Data!B519),-200),0,400,1)=Data!A519))=1,TRUE)</f>
        <v>1</v>
      </c>
      <c r="Z519" s="26" t="b">
        <f t="array" aca="1" ref="Z519" ca="1">IF(UPPER(Data!C519)="END",SUM((OFFSET(Data!C519,MAX(ROW(Data!$C$5)-ROW(Data!C519),-200),0,400,1)="END")*(OFFSET(Data!A519,MAX(ROW(Data!$B$5)-ROW(Data!B519),-200),0,400,1)=Data!A519))=1,TRUE)</f>
        <v>1</v>
      </c>
      <c r="AA519" s="26" t="b">
        <f>IF(Checks!C519,ISERROR(FIND("&amp;",Data!D519)),TRUE)</f>
        <v>1</v>
      </c>
      <c r="AB519" s="26" t="b">
        <f>IF(Checks!$C519,IF(AND(UPPER(Data!$C519)&lt;&gt;"START",UPPER(Data!$C519)&lt;&gt;"DATA OBJECT",Data!E519&lt;&gt;""),NOT(ISERROR(MATCH(Data!$A519&amp;"||"&amp;Data!E519,Key,0))),TRUE),TRUE)</f>
        <v>1</v>
      </c>
      <c r="AC519" s="27" t="b">
        <f>IF(Checks!C519,IF(UPPER(Data!C519)="END",Data!E519&lt;&gt;"",TRUE),TRUE)</f>
        <v>1</v>
      </c>
    </row>
    <row r="520" spans="1:29" x14ac:dyDescent="0.25">
      <c r="A520" s="1" t="str">
        <f>Data!A520&amp;"||"&amp;Data!B520</f>
        <v>Miscellaneous/subflow/irmifrs9_postprocess.bpmn||020_00_00</v>
      </c>
      <c r="B520" s="19"/>
      <c r="C520" s="24" t="b">
        <f>AND(UPPER(Data!A520)&lt;&gt;"EMPTY",Data!B520&lt;&gt;"")</f>
        <v>1</v>
      </c>
      <c r="D520" s="1"/>
      <c r="E520" s="25" t="b">
        <f t="shared" ca="1" si="16"/>
        <v>0</v>
      </c>
      <c r="F520" s="26" t="b">
        <f ca="1">IF(UPPER(Data!C520)="SUB PROCESS",NOT(ISERROR(MATCH(RIGHT(Data!BY520,LEN(Data!BY520)-5),OFFSET(Data,0,0,ItemsCount,1),0))),TRUE)</f>
        <v>1</v>
      </c>
      <c r="G520" s="26" t="b">
        <f ca="1">IF(MID(UPPER(Data!A520),1,13)="MISCELLANEOUS",NOT(ISERROR(MATCH("path="&amp;Data!A520,OFFSET(Data,0,76,ItemsCount,1),0))),TRUE)</f>
        <v>0</v>
      </c>
      <c r="L520" s="25" t="b">
        <f t="shared" ca="1" si="17"/>
        <v>1</v>
      </c>
      <c r="M520" s="24" t="b">
        <f>IF(Checks!$C520,Data!A520&lt;&gt;"",TRUE)</f>
        <v>1</v>
      </c>
      <c r="N520" s="26" t="b">
        <f>IF(Checks!C520,Data!B520&lt;&gt;"",TRUE)</f>
        <v>1</v>
      </c>
      <c r="O520" s="26" t="b">
        <f>IF(Checks!C520,IF(AND(UPPER(Data!C520)="SERVICE TASK",UPPER(Data!BZ520)="TYPE=SAS"),NodeExists(TRIM(RIGHT(Data!CA520,LEN(Data!CA520)-FIND("=",Data!CA520)))),TRUE),TRUE)</f>
        <v>1</v>
      </c>
      <c r="P520" s="26" t="b">
        <f>IF(Checks!C520,IF(Data!C520="DATA OBJECT",OR(AND(Data!BW520&lt;&gt;"",Data!BX520=""),AND(Data!BW520="",Data!BX520&lt;&gt;"")),TRUE),TRUE)</f>
        <v>1</v>
      </c>
      <c r="Q520" s="26" t="b">
        <f>IF(Checks!C520,UPPER(RIGHT(Data!A520,5))=".BPMN",TRUE)</f>
        <v>1</v>
      </c>
      <c r="R520" s="26" t="b">
        <f>IF(Checks!C520,IF(UPPER(Data!C520)="SUB PROCESS",UPPER(RIGHT(Data!BY520,5))=".BPMN",TRUE),TRUE)</f>
        <v>1</v>
      </c>
      <c r="S520" s="26" t="b">
        <f>IF(Checks!C520,IF(UPPER(Data!C520)="SERVICE TASK",IF(UPPER(Data!BZ520)="TYPE=SAS",UPPER(RIGHT(Data!CA520,4))=".SAS",TRUE),TRUE),TRUE)</f>
        <v>1</v>
      </c>
      <c r="T520" s="26" t="b">
        <f>IF(Checks!C520,IF(Data!B520&lt;&gt;"",Data!D520&lt;&gt;"",TRUE),TRUE)</f>
        <v>1</v>
      </c>
      <c r="U520" s="26" t="b">
        <f>IF(Checks!C520,IF(UPPER(Data!C520)="DATA OBJECT",NOT(ISERROR(MATCH(Data!A520&amp;"||"&amp;Data!BW520&amp;Data!BX520,Key,0))),TRUE),TRUE)</f>
        <v>1</v>
      </c>
      <c r="V520" s="26" t="b">
        <f>IF(Checks!C520,IF(UPPER(Data!C520)="SUB PROCESS",Data!BY520&lt;&gt;"",TRUE),TRUE)</f>
        <v>1</v>
      </c>
      <c r="W520" s="26" t="b">
        <f>IF(Checks!C520,IF(UPPER(Data!C520)="SERVICE TASK",AND(Data!BZ520&lt;&gt;"",Data!CA520&lt;&gt;""),TRUE),TRUE)</f>
        <v>1</v>
      </c>
      <c r="X520" s="26" t="b">
        <f t="array" aca="1" ref="X520" ca="1">SUM((OFFSET(Data!B520,MAX(ROW(Data!$B$5)-ROW(Data!B520),-200),0,400,1)=Data!B520)*(OFFSET(Data!A520,MAX(ROW(Data!$B$5)-ROW(Data!B520),-200),0,400,1)=Data!A520))=1</f>
        <v>1</v>
      </c>
      <c r="Y520" s="26" t="b">
        <f t="array" aca="1" ref="Y520" ca="1">IF(UPPER(Data!C520)="START",SUM((OFFSET(Data!C520,MAX(ROW(Data!$C$5)-ROW(Data!C520),-200),0,400,1)="START")*(OFFSET(Data!A520,MAX(ROW(Data!$B$5)-ROW(Data!B520),-200),0,400,1)=Data!A520))=1,TRUE)</f>
        <v>1</v>
      </c>
      <c r="Z520" s="26" t="b">
        <f t="array" aca="1" ref="Z520" ca="1">IF(UPPER(Data!C520)="END",SUM((OFFSET(Data!C520,MAX(ROW(Data!$C$5)-ROW(Data!C520),-200),0,400,1)="END")*(OFFSET(Data!A520,MAX(ROW(Data!$B$5)-ROW(Data!B520),-200),0,400,1)=Data!A520))=1,TRUE)</f>
        <v>1</v>
      </c>
      <c r="AA520" s="26" t="b">
        <f>IF(Checks!C520,ISERROR(FIND("&amp;",Data!D520)),TRUE)</f>
        <v>1</v>
      </c>
      <c r="AB520" s="26" t="b">
        <f ca="1">IF(Checks!$C520,IF(AND(UPPER(Data!$C520)&lt;&gt;"START",UPPER(Data!$C520)&lt;&gt;"DATA OBJECT",Data!E520&lt;&gt;""),NOT(ISERROR(MATCH(Data!$A520&amp;"||"&amp;Data!E520,Key,0))),TRUE),TRUE)</f>
        <v>1</v>
      </c>
      <c r="AC520" s="27" t="b">
        <f>IF(Checks!C520,IF(UPPER(Data!C520)="END",Data!E520&lt;&gt;"",TRUE),TRUE)</f>
        <v>1</v>
      </c>
    </row>
    <row r="521" spans="1:29" x14ac:dyDescent="0.25">
      <c r="A521" s="1" t="str">
        <f>Data!A521&amp;"||"&amp;Data!B521</f>
        <v>Miscellaneous/subflow/irmifrs9_postprocess.bpmn||020_00_01</v>
      </c>
      <c r="B521" s="19"/>
      <c r="C521" s="24" t="b">
        <f>AND(UPPER(Data!A521)&lt;&gt;"EMPTY",Data!B521&lt;&gt;"")</f>
        <v>1</v>
      </c>
      <c r="D521" s="1"/>
      <c r="E521" s="25" t="b">
        <f t="shared" ca="1" si="16"/>
        <v>0</v>
      </c>
      <c r="F521" s="26" t="b">
        <f ca="1">IF(UPPER(Data!C521)="SUB PROCESS",NOT(ISERROR(MATCH(RIGHT(Data!BY521,LEN(Data!BY521)-5),OFFSET(Data,0,0,ItemsCount,1),0))),TRUE)</f>
        <v>1</v>
      </c>
      <c r="G521" s="26" t="b">
        <f ca="1">IF(MID(UPPER(Data!A521),1,13)="MISCELLANEOUS",NOT(ISERROR(MATCH("path="&amp;Data!A521,OFFSET(Data,0,76,ItemsCount,1),0))),TRUE)</f>
        <v>0</v>
      </c>
      <c r="L521" s="25" t="b">
        <f t="shared" ca="1" si="17"/>
        <v>1</v>
      </c>
      <c r="M521" s="24" t="b">
        <f>IF(Checks!$C521,Data!A521&lt;&gt;"",TRUE)</f>
        <v>1</v>
      </c>
      <c r="N521" s="26" t="b">
        <f>IF(Checks!C521,Data!B521&lt;&gt;"",TRUE)</f>
        <v>1</v>
      </c>
      <c r="O521" s="26" t="b">
        <f>IF(Checks!C521,IF(AND(UPPER(Data!C521)="SERVICE TASK",UPPER(Data!BZ521)="TYPE=SAS"),NodeExists(TRIM(RIGHT(Data!CA521,LEN(Data!CA521)-FIND("=",Data!CA521)))),TRUE),TRUE)</f>
        <v>1</v>
      </c>
      <c r="P521" s="26" t="b">
        <f>IF(Checks!C521,IF(Data!C521="DATA OBJECT",OR(AND(Data!BW521&lt;&gt;"",Data!BX521=""),AND(Data!BW521="",Data!BX521&lt;&gt;"")),TRUE),TRUE)</f>
        <v>1</v>
      </c>
      <c r="Q521" s="26" t="b">
        <f>IF(Checks!C521,UPPER(RIGHT(Data!A521,5))=".BPMN",TRUE)</f>
        <v>1</v>
      </c>
      <c r="R521" s="26" t="b">
        <f>IF(Checks!C521,IF(UPPER(Data!C521)="SUB PROCESS",UPPER(RIGHT(Data!BY521,5))=".BPMN",TRUE),TRUE)</f>
        <v>1</v>
      </c>
      <c r="S521" s="26" t="b">
        <f>IF(Checks!C521,IF(UPPER(Data!C521)="SERVICE TASK",IF(UPPER(Data!BZ521)="TYPE=SAS",UPPER(RIGHT(Data!CA521,4))=".SAS",TRUE),TRUE),TRUE)</f>
        <v>1</v>
      </c>
      <c r="T521" s="26" t="b">
        <f>IF(Checks!C521,IF(Data!B521&lt;&gt;"",Data!D521&lt;&gt;"",TRUE),TRUE)</f>
        <v>1</v>
      </c>
      <c r="U521" s="26" t="b">
        <f ca="1">IF(Checks!C521,IF(UPPER(Data!C521)="DATA OBJECT",NOT(ISERROR(MATCH(Data!A521&amp;"||"&amp;Data!BW521&amp;Data!BX521,Key,0))),TRUE),TRUE)</f>
        <v>1</v>
      </c>
      <c r="V521" s="26" t="b">
        <f>IF(Checks!C521,IF(UPPER(Data!C521)="SUB PROCESS",Data!BY521&lt;&gt;"",TRUE),TRUE)</f>
        <v>1</v>
      </c>
      <c r="W521" s="26" t="b">
        <f>IF(Checks!C521,IF(UPPER(Data!C521)="SERVICE TASK",AND(Data!BZ521&lt;&gt;"",Data!CA521&lt;&gt;""),TRUE),TRUE)</f>
        <v>1</v>
      </c>
      <c r="X521" s="26" t="b">
        <f t="array" aca="1" ref="X521" ca="1">SUM((OFFSET(Data!B521,MAX(ROW(Data!$B$5)-ROW(Data!B521),-200),0,400,1)=Data!B521)*(OFFSET(Data!A521,MAX(ROW(Data!$B$5)-ROW(Data!B521),-200),0,400,1)=Data!A521))=1</f>
        <v>1</v>
      </c>
      <c r="Y521" s="26" t="b">
        <f t="array" aca="1" ref="Y521" ca="1">IF(UPPER(Data!C521)="START",SUM((OFFSET(Data!C521,MAX(ROW(Data!$C$5)-ROW(Data!C521),-200),0,400,1)="START")*(OFFSET(Data!A521,MAX(ROW(Data!$B$5)-ROW(Data!B521),-200),0,400,1)=Data!A521))=1,TRUE)</f>
        <v>1</v>
      </c>
      <c r="Z521" s="26" t="b">
        <f t="array" aca="1" ref="Z521" ca="1">IF(UPPER(Data!C521)="END",SUM((OFFSET(Data!C521,MAX(ROW(Data!$C$5)-ROW(Data!C521),-200),0,400,1)="END")*(OFFSET(Data!A521,MAX(ROW(Data!$B$5)-ROW(Data!B521),-200),0,400,1)=Data!A521))=1,TRUE)</f>
        <v>1</v>
      </c>
      <c r="AA521" s="26" t="b">
        <f>IF(Checks!C521,ISERROR(FIND("&amp;",Data!D521)),TRUE)</f>
        <v>1</v>
      </c>
      <c r="AB521" s="26" t="b">
        <f>IF(Checks!$C521,IF(AND(UPPER(Data!$C521)&lt;&gt;"START",UPPER(Data!$C521)&lt;&gt;"DATA OBJECT",Data!E521&lt;&gt;""),NOT(ISERROR(MATCH(Data!$A521&amp;"||"&amp;Data!E521,Key,0))),TRUE),TRUE)</f>
        <v>1</v>
      </c>
      <c r="AC521" s="27" t="b">
        <f>IF(Checks!C521,IF(UPPER(Data!C521)="END",Data!E521&lt;&gt;"",TRUE),TRUE)</f>
        <v>1</v>
      </c>
    </row>
    <row r="522" spans="1:29" x14ac:dyDescent="0.25">
      <c r="A522" s="1" t="str">
        <f>Data!A522&amp;"||"&amp;Data!B522</f>
        <v>Miscellaneous/subflow/irmifrs9_postprocess.bpmn||020_00_02</v>
      </c>
      <c r="B522" s="19"/>
      <c r="C522" s="24" t="b">
        <f>AND(UPPER(Data!A522)&lt;&gt;"EMPTY",Data!B522&lt;&gt;"")</f>
        <v>1</v>
      </c>
      <c r="D522" s="1"/>
      <c r="E522" s="25" t="b">
        <f t="shared" ca="1" si="16"/>
        <v>0</v>
      </c>
      <c r="F522" s="26" t="b">
        <f ca="1">IF(UPPER(Data!C522)="SUB PROCESS",NOT(ISERROR(MATCH(RIGHT(Data!BY522,LEN(Data!BY522)-5),OFFSET(Data,0,0,ItemsCount,1),0))),TRUE)</f>
        <v>1</v>
      </c>
      <c r="G522" s="26" t="b">
        <f ca="1">IF(MID(UPPER(Data!A522),1,13)="MISCELLANEOUS",NOT(ISERROR(MATCH("path="&amp;Data!A522,OFFSET(Data,0,76,ItemsCount,1),0))),TRUE)</f>
        <v>0</v>
      </c>
      <c r="L522" s="25" t="b">
        <f t="shared" ca="1" si="17"/>
        <v>1</v>
      </c>
      <c r="M522" s="24" t="b">
        <f>IF(Checks!$C522,Data!A522&lt;&gt;"",TRUE)</f>
        <v>1</v>
      </c>
      <c r="N522" s="26" t="b">
        <f>IF(Checks!C522,Data!B522&lt;&gt;"",TRUE)</f>
        <v>1</v>
      </c>
      <c r="O522" s="26" t="b">
        <f>IF(Checks!C522,IF(AND(UPPER(Data!C522)="SERVICE TASK",UPPER(Data!BZ522)="TYPE=SAS"),NodeExists(TRIM(RIGHT(Data!CA522,LEN(Data!CA522)-FIND("=",Data!CA522)))),TRUE),TRUE)</f>
        <v>1</v>
      </c>
      <c r="P522" s="26" t="b">
        <f>IF(Checks!C522,IF(Data!C522="DATA OBJECT",OR(AND(Data!BW522&lt;&gt;"",Data!BX522=""),AND(Data!BW522="",Data!BX522&lt;&gt;"")),TRUE),TRUE)</f>
        <v>1</v>
      </c>
      <c r="Q522" s="26" t="b">
        <f>IF(Checks!C522,UPPER(RIGHT(Data!A522,5))=".BPMN",TRUE)</f>
        <v>1</v>
      </c>
      <c r="R522" s="26" t="b">
        <f>IF(Checks!C522,IF(UPPER(Data!C522)="SUB PROCESS",UPPER(RIGHT(Data!BY522,5))=".BPMN",TRUE),TRUE)</f>
        <v>1</v>
      </c>
      <c r="S522" s="26" t="b">
        <f>IF(Checks!C522,IF(UPPER(Data!C522)="SERVICE TASK",IF(UPPER(Data!BZ522)="TYPE=SAS",UPPER(RIGHT(Data!CA522,4))=".SAS",TRUE),TRUE),TRUE)</f>
        <v>1</v>
      </c>
      <c r="T522" s="26" t="b">
        <f>IF(Checks!C522,IF(Data!B522&lt;&gt;"",Data!D522&lt;&gt;"",TRUE),TRUE)</f>
        <v>1</v>
      </c>
      <c r="U522" s="26" t="b">
        <f ca="1">IF(Checks!C522,IF(UPPER(Data!C522)="DATA OBJECT",NOT(ISERROR(MATCH(Data!A522&amp;"||"&amp;Data!BW522&amp;Data!BX522,Key,0))),TRUE),TRUE)</f>
        <v>1</v>
      </c>
      <c r="V522" s="26" t="b">
        <f>IF(Checks!C522,IF(UPPER(Data!C522)="SUB PROCESS",Data!BY522&lt;&gt;"",TRUE),TRUE)</f>
        <v>1</v>
      </c>
      <c r="W522" s="26" t="b">
        <f>IF(Checks!C522,IF(UPPER(Data!C522)="SERVICE TASK",AND(Data!BZ522&lt;&gt;"",Data!CA522&lt;&gt;""),TRUE),TRUE)</f>
        <v>1</v>
      </c>
      <c r="X522" s="26" t="b">
        <f t="array" aca="1" ref="X522" ca="1">SUM((OFFSET(Data!B522,MAX(ROW(Data!$B$5)-ROW(Data!B522),-200),0,400,1)=Data!B522)*(OFFSET(Data!A522,MAX(ROW(Data!$B$5)-ROW(Data!B522),-200),0,400,1)=Data!A522))=1</f>
        <v>1</v>
      </c>
      <c r="Y522" s="26" t="b">
        <f t="array" aca="1" ref="Y522" ca="1">IF(UPPER(Data!C522)="START",SUM((OFFSET(Data!C522,MAX(ROW(Data!$C$5)-ROW(Data!C522),-200),0,400,1)="START")*(OFFSET(Data!A522,MAX(ROW(Data!$B$5)-ROW(Data!B522),-200),0,400,1)=Data!A522))=1,TRUE)</f>
        <v>1</v>
      </c>
      <c r="Z522" s="26" t="b">
        <f t="array" aca="1" ref="Z522" ca="1">IF(UPPER(Data!C522)="END",SUM((OFFSET(Data!C522,MAX(ROW(Data!$C$5)-ROW(Data!C522),-200),0,400,1)="END")*(OFFSET(Data!A522,MAX(ROW(Data!$B$5)-ROW(Data!B522),-200),0,400,1)=Data!A522))=1,TRUE)</f>
        <v>1</v>
      </c>
      <c r="AA522" s="26" t="b">
        <f>IF(Checks!C522,ISERROR(FIND("&amp;",Data!D522)),TRUE)</f>
        <v>1</v>
      </c>
      <c r="AB522" s="26" t="b">
        <f>IF(Checks!$C522,IF(AND(UPPER(Data!$C522)&lt;&gt;"START",UPPER(Data!$C522)&lt;&gt;"DATA OBJECT",Data!E522&lt;&gt;""),NOT(ISERROR(MATCH(Data!$A522&amp;"||"&amp;Data!E522,Key,0))),TRUE),TRUE)</f>
        <v>1</v>
      </c>
      <c r="AC522" s="27" t="b">
        <f>IF(Checks!C522,IF(UPPER(Data!C522)="END",Data!E522&lt;&gt;"",TRUE),TRUE)</f>
        <v>1</v>
      </c>
    </row>
    <row r="523" spans="1:29" x14ac:dyDescent="0.25">
      <c r="A523" s="1" t="str">
        <f>Data!A523&amp;"||"&amp;Data!B523</f>
        <v>Miscellaneous/subflow/irmifrs9_postprocess.bpmn||020_01_00</v>
      </c>
      <c r="B523" s="19"/>
      <c r="C523" s="24" t="b">
        <f>AND(UPPER(Data!A523)&lt;&gt;"EMPTY",Data!B523&lt;&gt;"")</f>
        <v>1</v>
      </c>
      <c r="D523" s="1"/>
      <c r="E523" s="25" t="b">
        <f t="shared" ca="1" si="16"/>
        <v>0</v>
      </c>
      <c r="F523" s="26" t="b">
        <f ca="1">IF(UPPER(Data!C523)="SUB PROCESS",NOT(ISERROR(MATCH(RIGHT(Data!BY523,LEN(Data!BY523)-5),OFFSET(Data,0,0,ItemsCount,1),0))),TRUE)</f>
        <v>1</v>
      </c>
      <c r="G523" s="26" t="b">
        <f ca="1">IF(MID(UPPER(Data!A523),1,13)="MISCELLANEOUS",NOT(ISERROR(MATCH("path="&amp;Data!A523,OFFSET(Data,0,76,ItemsCount,1),0))),TRUE)</f>
        <v>0</v>
      </c>
      <c r="L523" s="25" t="b">
        <f t="shared" ca="1" si="17"/>
        <v>1</v>
      </c>
      <c r="M523" s="24" t="b">
        <f>IF(Checks!$C523,Data!A523&lt;&gt;"",TRUE)</f>
        <v>1</v>
      </c>
      <c r="N523" s="26" t="b">
        <f>IF(Checks!C523,Data!B523&lt;&gt;"",TRUE)</f>
        <v>1</v>
      </c>
      <c r="O523" s="26" t="b">
        <f>IF(Checks!C523,IF(AND(UPPER(Data!C523)="SERVICE TASK",UPPER(Data!BZ523)="TYPE=SAS"),NodeExists(TRIM(RIGHT(Data!CA523,LEN(Data!CA523)-FIND("=",Data!CA523)))),TRUE),TRUE)</f>
        <v>1</v>
      </c>
      <c r="P523" s="26" t="b">
        <f>IF(Checks!C523,IF(Data!C523="DATA OBJECT",OR(AND(Data!BW523&lt;&gt;"",Data!BX523=""),AND(Data!BW523="",Data!BX523&lt;&gt;"")),TRUE),TRUE)</f>
        <v>1</v>
      </c>
      <c r="Q523" s="26" t="b">
        <f>IF(Checks!C523,UPPER(RIGHT(Data!A523,5))=".BPMN",TRUE)</f>
        <v>1</v>
      </c>
      <c r="R523" s="26" t="b">
        <f>IF(Checks!C523,IF(UPPER(Data!C523)="SUB PROCESS",UPPER(RIGHT(Data!BY523,5))=".BPMN",TRUE),TRUE)</f>
        <v>1</v>
      </c>
      <c r="S523" s="26" t="b">
        <f>IF(Checks!C523,IF(UPPER(Data!C523)="SERVICE TASK",IF(UPPER(Data!BZ523)="TYPE=SAS",UPPER(RIGHT(Data!CA523,4))=".SAS",TRUE),TRUE),TRUE)</f>
        <v>1</v>
      </c>
      <c r="T523" s="26" t="b">
        <f>IF(Checks!C523,IF(Data!B523&lt;&gt;"",Data!D523&lt;&gt;"",TRUE),TRUE)</f>
        <v>1</v>
      </c>
      <c r="U523" s="26" t="b">
        <f ca="1">IF(Checks!C523,IF(UPPER(Data!C523)="DATA OBJECT",NOT(ISERROR(MATCH(Data!A523&amp;"||"&amp;Data!BW523&amp;Data!BX523,Key,0))),TRUE),TRUE)</f>
        <v>1</v>
      </c>
      <c r="V523" s="26" t="b">
        <f>IF(Checks!C523,IF(UPPER(Data!C523)="SUB PROCESS",Data!BY523&lt;&gt;"",TRUE),TRUE)</f>
        <v>1</v>
      </c>
      <c r="W523" s="26" t="b">
        <f>IF(Checks!C523,IF(UPPER(Data!C523)="SERVICE TASK",AND(Data!BZ523&lt;&gt;"",Data!CA523&lt;&gt;""),TRUE),TRUE)</f>
        <v>1</v>
      </c>
      <c r="X523" s="26" t="b">
        <f t="array" aca="1" ref="X523" ca="1">SUM((OFFSET(Data!B523,MAX(ROW(Data!$B$5)-ROW(Data!B523),-200),0,400,1)=Data!B523)*(OFFSET(Data!A523,MAX(ROW(Data!$B$5)-ROW(Data!B523),-200),0,400,1)=Data!A523))=1</f>
        <v>1</v>
      </c>
      <c r="Y523" s="26" t="b">
        <f t="array" aca="1" ref="Y523" ca="1">IF(UPPER(Data!C523)="START",SUM((OFFSET(Data!C523,MAX(ROW(Data!$C$5)-ROW(Data!C523),-200),0,400,1)="START")*(OFFSET(Data!A523,MAX(ROW(Data!$B$5)-ROW(Data!B523),-200),0,400,1)=Data!A523))=1,TRUE)</f>
        <v>1</v>
      </c>
      <c r="Z523" s="26" t="b">
        <f t="array" aca="1" ref="Z523" ca="1">IF(UPPER(Data!C523)="END",SUM((OFFSET(Data!C523,MAX(ROW(Data!$C$5)-ROW(Data!C523),-200),0,400,1)="END")*(OFFSET(Data!A523,MAX(ROW(Data!$B$5)-ROW(Data!B523),-200),0,400,1)=Data!A523))=1,TRUE)</f>
        <v>1</v>
      </c>
      <c r="AA523" s="26" t="b">
        <f>IF(Checks!C523,ISERROR(FIND("&amp;",Data!D523)),TRUE)</f>
        <v>1</v>
      </c>
      <c r="AB523" s="26" t="b">
        <f>IF(Checks!$C523,IF(AND(UPPER(Data!$C523)&lt;&gt;"START",UPPER(Data!$C523)&lt;&gt;"DATA OBJECT",Data!E523&lt;&gt;""),NOT(ISERROR(MATCH(Data!$A523&amp;"||"&amp;Data!E523,Key,0))),TRUE),TRUE)</f>
        <v>1</v>
      </c>
      <c r="AC523" s="27" t="b">
        <f>IF(Checks!C523,IF(UPPER(Data!C523)="END",Data!E523&lt;&gt;"",TRUE),TRUE)</f>
        <v>1</v>
      </c>
    </row>
    <row r="524" spans="1:29" x14ac:dyDescent="0.25">
      <c r="A524" s="1" t="str">
        <f>Data!A524&amp;"||"&amp;Data!B524</f>
        <v>Miscellaneous/subflow/irmifrs9_postprocess.bpmn||020_02_00</v>
      </c>
      <c r="B524" s="19"/>
      <c r="C524" s="24" t="b">
        <f>AND(UPPER(Data!A524)&lt;&gt;"EMPTY",Data!B524&lt;&gt;"")</f>
        <v>1</v>
      </c>
      <c r="D524" s="1"/>
      <c r="E524" s="25" t="b">
        <f t="shared" ca="1" si="16"/>
        <v>0</v>
      </c>
      <c r="F524" s="26" t="b">
        <f ca="1">IF(UPPER(Data!C524)="SUB PROCESS",NOT(ISERROR(MATCH(RIGHT(Data!BY524,LEN(Data!BY524)-5),OFFSET(Data,0,0,ItemsCount,1),0))),TRUE)</f>
        <v>1</v>
      </c>
      <c r="G524" s="26" t="b">
        <f ca="1">IF(MID(UPPER(Data!A524),1,13)="MISCELLANEOUS",NOT(ISERROR(MATCH("path="&amp;Data!A524,OFFSET(Data,0,76,ItemsCount,1),0))),TRUE)</f>
        <v>0</v>
      </c>
      <c r="L524" s="25" t="b">
        <f t="shared" ca="1" si="17"/>
        <v>1</v>
      </c>
      <c r="M524" s="24" t="b">
        <f>IF(Checks!$C524,Data!A524&lt;&gt;"",TRUE)</f>
        <v>1</v>
      </c>
      <c r="N524" s="26" t="b">
        <f>IF(Checks!C524,Data!B524&lt;&gt;"",TRUE)</f>
        <v>1</v>
      </c>
      <c r="O524" s="26" t="b">
        <f>IF(Checks!C524,IF(AND(UPPER(Data!C524)="SERVICE TASK",UPPER(Data!BZ524)="TYPE=SAS"),NodeExists(TRIM(RIGHT(Data!CA524,LEN(Data!CA524)-FIND("=",Data!CA524)))),TRUE),TRUE)</f>
        <v>1</v>
      </c>
      <c r="P524" s="26" t="b">
        <f>IF(Checks!C524,IF(Data!C524="DATA OBJECT",OR(AND(Data!BW524&lt;&gt;"",Data!BX524=""),AND(Data!BW524="",Data!BX524&lt;&gt;"")),TRUE),TRUE)</f>
        <v>1</v>
      </c>
      <c r="Q524" s="26" t="b">
        <f>IF(Checks!C524,UPPER(RIGHT(Data!A524,5))=".BPMN",TRUE)</f>
        <v>1</v>
      </c>
      <c r="R524" s="26" t="b">
        <f>IF(Checks!C524,IF(UPPER(Data!C524)="SUB PROCESS",UPPER(RIGHT(Data!BY524,5))=".BPMN",TRUE),TRUE)</f>
        <v>1</v>
      </c>
      <c r="S524" s="26" t="b">
        <f>IF(Checks!C524,IF(UPPER(Data!C524)="SERVICE TASK",IF(UPPER(Data!BZ524)="TYPE=SAS",UPPER(RIGHT(Data!CA524,4))=".SAS",TRUE),TRUE),TRUE)</f>
        <v>1</v>
      </c>
      <c r="T524" s="26" t="b">
        <f>IF(Checks!C524,IF(Data!B524&lt;&gt;"",Data!D524&lt;&gt;"",TRUE),TRUE)</f>
        <v>1</v>
      </c>
      <c r="U524" s="26" t="b">
        <f ca="1">IF(Checks!C524,IF(UPPER(Data!C524)="DATA OBJECT",NOT(ISERROR(MATCH(Data!A524&amp;"||"&amp;Data!BW524&amp;Data!BX524,Key,0))),TRUE),TRUE)</f>
        <v>1</v>
      </c>
      <c r="V524" s="26" t="b">
        <f>IF(Checks!C524,IF(UPPER(Data!C524)="SUB PROCESS",Data!BY524&lt;&gt;"",TRUE),TRUE)</f>
        <v>1</v>
      </c>
      <c r="W524" s="26" t="b">
        <f>IF(Checks!C524,IF(UPPER(Data!C524)="SERVICE TASK",AND(Data!BZ524&lt;&gt;"",Data!CA524&lt;&gt;""),TRUE),TRUE)</f>
        <v>1</v>
      </c>
      <c r="X524" s="26" t="b">
        <f t="array" aca="1" ref="X524" ca="1">SUM((OFFSET(Data!B524,MAX(ROW(Data!$B$5)-ROW(Data!B524),-200),0,400,1)=Data!B524)*(OFFSET(Data!A524,MAX(ROW(Data!$B$5)-ROW(Data!B524),-200),0,400,1)=Data!A524))=1</f>
        <v>1</v>
      </c>
      <c r="Y524" s="26" t="b">
        <f t="array" aca="1" ref="Y524" ca="1">IF(UPPER(Data!C524)="START",SUM((OFFSET(Data!C524,MAX(ROW(Data!$C$5)-ROW(Data!C524),-200),0,400,1)="START")*(OFFSET(Data!A524,MAX(ROW(Data!$B$5)-ROW(Data!B524),-200),0,400,1)=Data!A524))=1,TRUE)</f>
        <v>1</v>
      </c>
      <c r="Z524" s="26" t="b">
        <f t="array" aca="1" ref="Z524" ca="1">IF(UPPER(Data!C524)="END",SUM((OFFSET(Data!C524,MAX(ROW(Data!$C$5)-ROW(Data!C524),-200),0,400,1)="END")*(OFFSET(Data!A524,MAX(ROW(Data!$B$5)-ROW(Data!B524),-200),0,400,1)=Data!A524))=1,TRUE)</f>
        <v>1</v>
      </c>
      <c r="AA524" s="26" t="b">
        <f>IF(Checks!C524,ISERROR(FIND("&amp;",Data!D524)),TRUE)</f>
        <v>1</v>
      </c>
      <c r="AB524" s="26" t="b">
        <f>IF(Checks!$C524,IF(AND(UPPER(Data!$C524)&lt;&gt;"START",UPPER(Data!$C524)&lt;&gt;"DATA OBJECT",Data!E524&lt;&gt;""),NOT(ISERROR(MATCH(Data!$A524&amp;"||"&amp;Data!E524,Key,0))),TRUE),TRUE)</f>
        <v>1</v>
      </c>
      <c r="AC524" s="27" t="b">
        <f>IF(Checks!C524,IF(UPPER(Data!C524)="END",Data!E524&lt;&gt;"",TRUE),TRUE)</f>
        <v>1</v>
      </c>
    </row>
    <row r="525" spans="1:29" x14ac:dyDescent="0.25">
      <c r="A525" s="1" t="str">
        <f>Data!A525&amp;"||"&amp;Data!B525</f>
        <v>Miscellaneous/subflow/irmifrs9_postprocess.bpmn||020_03_00</v>
      </c>
      <c r="B525" s="19"/>
      <c r="C525" s="24" t="b">
        <f>AND(UPPER(Data!A525)&lt;&gt;"EMPTY",Data!B525&lt;&gt;"")</f>
        <v>1</v>
      </c>
      <c r="D525" s="1"/>
      <c r="E525" s="25" t="b">
        <f t="shared" ca="1" si="16"/>
        <v>0</v>
      </c>
      <c r="F525" s="26" t="b">
        <f ca="1">IF(UPPER(Data!C525)="SUB PROCESS",NOT(ISERROR(MATCH(RIGHT(Data!BY525,LEN(Data!BY525)-5),OFFSET(Data,0,0,ItemsCount,1),0))),TRUE)</f>
        <v>1</v>
      </c>
      <c r="G525" s="26" t="b">
        <f ca="1">IF(MID(UPPER(Data!A525),1,13)="MISCELLANEOUS",NOT(ISERROR(MATCH("path="&amp;Data!A525,OFFSET(Data,0,76,ItemsCount,1),0))),TRUE)</f>
        <v>0</v>
      </c>
      <c r="L525" s="25" t="b">
        <f t="shared" ca="1" si="17"/>
        <v>1</v>
      </c>
      <c r="M525" s="24" t="b">
        <f>IF(Checks!$C525,Data!A525&lt;&gt;"",TRUE)</f>
        <v>1</v>
      </c>
      <c r="N525" s="26" t="b">
        <f>IF(Checks!C525,Data!B525&lt;&gt;"",TRUE)</f>
        <v>1</v>
      </c>
      <c r="O525" s="26" t="b">
        <f>IF(Checks!C525,IF(AND(UPPER(Data!C525)="SERVICE TASK",UPPER(Data!BZ525)="TYPE=SAS"),NodeExists(TRIM(RIGHT(Data!CA525,LEN(Data!CA525)-FIND("=",Data!CA525)))),TRUE),TRUE)</f>
        <v>1</v>
      </c>
      <c r="P525" s="26" t="b">
        <f>IF(Checks!C525,IF(Data!C525="DATA OBJECT",OR(AND(Data!BW525&lt;&gt;"",Data!BX525=""),AND(Data!BW525="",Data!BX525&lt;&gt;"")),TRUE),TRUE)</f>
        <v>1</v>
      </c>
      <c r="Q525" s="26" t="b">
        <f>IF(Checks!C525,UPPER(RIGHT(Data!A525,5))=".BPMN",TRUE)</f>
        <v>1</v>
      </c>
      <c r="R525" s="26" t="b">
        <f>IF(Checks!C525,IF(UPPER(Data!C525)="SUB PROCESS",UPPER(RIGHT(Data!BY525,5))=".BPMN",TRUE),TRUE)</f>
        <v>1</v>
      </c>
      <c r="S525" s="26" t="b">
        <f>IF(Checks!C525,IF(UPPER(Data!C525)="SERVICE TASK",IF(UPPER(Data!BZ525)="TYPE=SAS",UPPER(RIGHT(Data!CA525,4))=".SAS",TRUE),TRUE),TRUE)</f>
        <v>1</v>
      </c>
      <c r="T525" s="26" t="b">
        <f>IF(Checks!C525,IF(Data!B525&lt;&gt;"",Data!D525&lt;&gt;"",TRUE),TRUE)</f>
        <v>1</v>
      </c>
      <c r="U525" s="26" t="b">
        <f ca="1">IF(Checks!C525,IF(UPPER(Data!C525)="DATA OBJECT",NOT(ISERROR(MATCH(Data!A525&amp;"||"&amp;Data!BW525&amp;Data!BX525,Key,0))),TRUE),TRUE)</f>
        <v>1</v>
      </c>
      <c r="V525" s="26" t="b">
        <f>IF(Checks!C525,IF(UPPER(Data!C525)="SUB PROCESS",Data!BY525&lt;&gt;"",TRUE),TRUE)</f>
        <v>1</v>
      </c>
      <c r="W525" s="26" t="b">
        <f>IF(Checks!C525,IF(UPPER(Data!C525)="SERVICE TASK",AND(Data!BZ525&lt;&gt;"",Data!CA525&lt;&gt;""),TRUE),TRUE)</f>
        <v>1</v>
      </c>
      <c r="X525" s="26" t="b">
        <f t="array" aca="1" ref="X525" ca="1">SUM((OFFSET(Data!B525,MAX(ROW(Data!$B$5)-ROW(Data!B525),-200),0,400,1)=Data!B525)*(OFFSET(Data!A525,MAX(ROW(Data!$B$5)-ROW(Data!B525),-200),0,400,1)=Data!A525))=1</f>
        <v>1</v>
      </c>
      <c r="Y525" s="26" t="b">
        <f t="array" aca="1" ref="Y525" ca="1">IF(UPPER(Data!C525)="START",SUM((OFFSET(Data!C525,MAX(ROW(Data!$C$5)-ROW(Data!C525),-200),0,400,1)="START")*(OFFSET(Data!A525,MAX(ROW(Data!$B$5)-ROW(Data!B525),-200),0,400,1)=Data!A525))=1,TRUE)</f>
        <v>1</v>
      </c>
      <c r="Z525" s="26" t="b">
        <f t="array" aca="1" ref="Z525" ca="1">IF(UPPER(Data!C525)="END",SUM((OFFSET(Data!C525,MAX(ROW(Data!$C$5)-ROW(Data!C525),-200),0,400,1)="END")*(OFFSET(Data!A525,MAX(ROW(Data!$B$5)-ROW(Data!B525),-200),0,400,1)=Data!A525))=1,TRUE)</f>
        <v>1</v>
      </c>
      <c r="AA525" s="26" t="b">
        <f>IF(Checks!C525,ISERROR(FIND("&amp;",Data!D525)),TRUE)</f>
        <v>1</v>
      </c>
      <c r="AB525" s="26" t="b">
        <f>IF(Checks!$C525,IF(AND(UPPER(Data!$C525)&lt;&gt;"START",UPPER(Data!$C525)&lt;&gt;"DATA OBJECT",Data!E525&lt;&gt;""),NOT(ISERROR(MATCH(Data!$A525&amp;"||"&amp;Data!E525,Key,0))),TRUE),TRUE)</f>
        <v>1</v>
      </c>
      <c r="AC525" s="27" t="b">
        <f>IF(Checks!C525,IF(UPPER(Data!C525)="END",Data!E525&lt;&gt;"",TRUE),TRUE)</f>
        <v>1</v>
      </c>
    </row>
    <row r="526" spans="1:29" x14ac:dyDescent="0.25">
      <c r="A526" s="1" t="str">
        <f>Data!A526&amp;"||"&amp;Data!B526</f>
        <v>Miscellaneous/subflow/irmifrs9_postprocess.bpmn||030_00_00</v>
      </c>
      <c r="B526" s="19"/>
      <c r="C526" s="24" t="b">
        <f>AND(UPPER(Data!A526)&lt;&gt;"EMPTY",Data!B526&lt;&gt;"")</f>
        <v>1</v>
      </c>
      <c r="D526" s="1"/>
      <c r="E526" s="25" t="b">
        <f t="shared" ca="1" si="16"/>
        <v>0</v>
      </c>
      <c r="F526" s="26" t="b">
        <f ca="1">IF(UPPER(Data!C526)="SUB PROCESS",NOT(ISERROR(MATCH(RIGHT(Data!BY526,LEN(Data!BY526)-5),OFFSET(Data,0,0,ItemsCount,1),0))),TRUE)</f>
        <v>1</v>
      </c>
      <c r="G526" s="26" t="b">
        <f ca="1">IF(MID(UPPER(Data!A526),1,13)="MISCELLANEOUS",NOT(ISERROR(MATCH("path="&amp;Data!A526,OFFSET(Data,0,76,ItemsCount,1),0))),TRUE)</f>
        <v>0</v>
      </c>
      <c r="L526" s="25" t="b">
        <f t="shared" ca="1" si="17"/>
        <v>1</v>
      </c>
      <c r="M526" s="24" t="b">
        <f>IF(Checks!$C526,Data!A526&lt;&gt;"",TRUE)</f>
        <v>1</v>
      </c>
      <c r="N526" s="26" t="b">
        <f>IF(Checks!C526,Data!B526&lt;&gt;"",TRUE)</f>
        <v>1</v>
      </c>
      <c r="O526" s="26" t="b">
        <f>IF(Checks!C526,IF(AND(UPPER(Data!C526)="SERVICE TASK",UPPER(Data!BZ526)="TYPE=SAS"),NodeExists(TRIM(RIGHT(Data!CA526,LEN(Data!CA526)-FIND("=",Data!CA526)))),TRUE),TRUE)</f>
        <v>1</v>
      </c>
      <c r="P526" s="26" t="b">
        <f>IF(Checks!C526,IF(Data!C526="DATA OBJECT",OR(AND(Data!BW526&lt;&gt;"",Data!BX526=""),AND(Data!BW526="",Data!BX526&lt;&gt;"")),TRUE),TRUE)</f>
        <v>1</v>
      </c>
      <c r="Q526" s="26" t="b">
        <f>IF(Checks!C526,UPPER(RIGHT(Data!A526,5))=".BPMN",TRUE)</f>
        <v>1</v>
      </c>
      <c r="R526" s="26" t="b">
        <f>IF(Checks!C526,IF(UPPER(Data!C526)="SUB PROCESS",UPPER(RIGHT(Data!BY526,5))=".BPMN",TRUE),TRUE)</f>
        <v>1</v>
      </c>
      <c r="S526" s="26" t="b">
        <f>IF(Checks!C526,IF(UPPER(Data!C526)="SERVICE TASK",IF(UPPER(Data!BZ526)="TYPE=SAS",UPPER(RIGHT(Data!CA526,4))=".SAS",TRUE),TRUE),TRUE)</f>
        <v>1</v>
      </c>
      <c r="T526" s="26" t="b">
        <f>IF(Checks!C526,IF(Data!B526&lt;&gt;"",Data!D526&lt;&gt;"",TRUE),TRUE)</f>
        <v>1</v>
      </c>
      <c r="U526" s="26" t="b">
        <f>IF(Checks!C526,IF(UPPER(Data!C526)="DATA OBJECT",NOT(ISERROR(MATCH(Data!A526&amp;"||"&amp;Data!BW526&amp;Data!BX526,Key,0))),TRUE),TRUE)</f>
        <v>1</v>
      </c>
      <c r="V526" s="26" t="b">
        <f>IF(Checks!C526,IF(UPPER(Data!C526)="SUB PROCESS",Data!BY526&lt;&gt;"",TRUE),TRUE)</f>
        <v>1</v>
      </c>
      <c r="W526" s="26" t="b">
        <f>IF(Checks!C526,IF(UPPER(Data!C526)="SERVICE TASK",AND(Data!BZ526&lt;&gt;"",Data!CA526&lt;&gt;""),TRUE),TRUE)</f>
        <v>1</v>
      </c>
      <c r="X526" s="26" t="b">
        <f t="array" aca="1" ref="X526" ca="1">SUM((OFFSET(Data!B526,MAX(ROW(Data!$B$5)-ROW(Data!B526),-200),0,400,1)=Data!B526)*(OFFSET(Data!A526,MAX(ROW(Data!$B$5)-ROW(Data!B526),-200),0,400,1)=Data!A526))=1</f>
        <v>1</v>
      </c>
      <c r="Y526" s="26" t="b">
        <f t="array" aca="1" ref="Y526" ca="1">IF(UPPER(Data!C526)="START",SUM((OFFSET(Data!C526,MAX(ROW(Data!$C$5)-ROW(Data!C526),-200),0,400,1)="START")*(OFFSET(Data!A526,MAX(ROW(Data!$B$5)-ROW(Data!B526),-200),0,400,1)=Data!A526))=1,TRUE)</f>
        <v>1</v>
      </c>
      <c r="Z526" s="26" t="b">
        <f t="array" aca="1" ref="Z526" ca="1">IF(UPPER(Data!C526)="END",SUM((OFFSET(Data!C526,MAX(ROW(Data!$C$5)-ROW(Data!C526),-200),0,400,1)="END")*(OFFSET(Data!A526,MAX(ROW(Data!$B$5)-ROW(Data!B526),-200),0,400,1)=Data!A526))=1,TRUE)</f>
        <v>1</v>
      </c>
      <c r="AA526" s="26" t="b">
        <f>IF(Checks!C526,ISERROR(FIND("&amp;",Data!D526)),TRUE)</f>
        <v>1</v>
      </c>
      <c r="AB526" s="26" t="b">
        <f ca="1">IF(Checks!$C526,IF(AND(UPPER(Data!$C526)&lt;&gt;"START",UPPER(Data!$C526)&lt;&gt;"DATA OBJECT",Data!E526&lt;&gt;""),NOT(ISERROR(MATCH(Data!$A526&amp;"||"&amp;Data!E526,Key,0))),TRUE),TRUE)</f>
        <v>1</v>
      </c>
      <c r="AC526" s="27" t="b">
        <f>IF(Checks!C526,IF(UPPER(Data!C526)="END",Data!E526&lt;&gt;"",TRUE),TRUE)</f>
        <v>1</v>
      </c>
    </row>
    <row r="527" spans="1:29" x14ac:dyDescent="0.25">
      <c r="A527" s="1" t="str">
        <f>Data!A527&amp;"||"&amp;Data!B527</f>
        <v>Miscellaneous/subflow/irmifrs9_postprocess.bpmn||030_00_01</v>
      </c>
      <c r="B527" s="19"/>
      <c r="C527" s="24" t="b">
        <f>AND(UPPER(Data!A527)&lt;&gt;"EMPTY",Data!B527&lt;&gt;"")</f>
        <v>1</v>
      </c>
      <c r="D527" s="1"/>
      <c r="E527" s="25" t="b">
        <f t="shared" ca="1" si="16"/>
        <v>0</v>
      </c>
      <c r="F527" s="26" t="b">
        <f ca="1">IF(UPPER(Data!C527)="SUB PROCESS",NOT(ISERROR(MATCH(RIGHT(Data!BY527,LEN(Data!BY527)-5),OFFSET(Data,0,0,ItemsCount,1),0))),TRUE)</f>
        <v>1</v>
      </c>
      <c r="G527" s="26" t="b">
        <f ca="1">IF(MID(UPPER(Data!A527),1,13)="MISCELLANEOUS",NOT(ISERROR(MATCH("path="&amp;Data!A527,OFFSET(Data,0,76,ItemsCount,1),0))),TRUE)</f>
        <v>0</v>
      </c>
      <c r="L527" s="25" t="b">
        <f t="shared" ca="1" si="17"/>
        <v>1</v>
      </c>
      <c r="M527" s="24" t="b">
        <f>IF(Checks!$C527,Data!A527&lt;&gt;"",TRUE)</f>
        <v>1</v>
      </c>
      <c r="N527" s="26" t="b">
        <f>IF(Checks!C527,Data!B527&lt;&gt;"",TRUE)</f>
        <v>1</v>
      </c>
      <c r="O527" s="26" t="b">
        <f>IF(Checks!C527,IF(AND(UPPER(Data!C527)="SERVICE TASK",UPPER(Data!BZ527)="TYPE=SAS"),NodeExists(TRIM(RIGHT(Data!CA527,LEN(Data!CA527)-FIND("=",Data!CA527)))),TRUE),TRUE)</f>
        <v>1</v>
      </c>
      <c r="P527" s="26" t="b">
        <f>IF(Checks!C527,IF(Data!C527="DATA OBJECT",OR(AND(Data!BW527&lt;&gt;"",Data!BX527=""),AND(Data!BW527="",Data!BX527&lt;&gt;"")),TRUE),TRUE)</f>
        <v>1</v>
      </c>
      <c r="Q527" s="26" t="b">
        <f>IF(Checks!C527,UPPER(RIGHT(Data!A527,5))=".BPMN",TRUE)</f>
        <v>1</v>
      </c>
      <c r="R527" s="26" t="b">
        <f>IF(Checks!C527,IF(UPPER(Data!C527)="SUB PROCESS",UPPER(RIGHT(Data!BY527,5))=".BPMN",TRUE),TRUE)</f>
        <v>1</v>
      </c>
      <c r="S527" s="26" t="b">
        <f>IF(Checks!C527,IF(UPPER(Data!C527)="SERVICE TASK",IF(UPPER(Data!BZ527)="TYPE=SAS",UPPER(RIGHT(Data!CA527,4))=".SAS",TRUE),TRUE),TRUE)</f>
        <v>1</v>
      </c>
      <c r="T527" s="26" t="b">
        <f>IF(Checks!C527,IF(Data!B527&lt;&gt;"",Data!D527&lt;&gt;"",TRUE),TRUE)</f>
        <v>1</v>
      </c>
      <c r="U527" s="26" t="b">
        <f ca="1">IF(Checks!C527,IF(UPPER(Data!C527)="DATA OBJECT",NOT(ISERROR(MATCH(Data!A527&amp;"||"&amp;Data!BW527&amp;Data!BX527,Key,0))),TRUE),TRUE)</f>
        <v>1</v>
      </c>
      <c r="V527" s="26" t="b">
        <f>IF(Checks!C527,IF(UPPER(Data!C527)="SUB PROCESS",Data!BY527&lt;&gt;"",TRUE),TRUE)</f>
        <v>1</v>
      </c>
      <c r="W527" s="26" t="b">
        <f>IF(Checks!C527,IF(UPPER(Data!C527)="SERVICE TASK",AND(Data!BZ527&lt;&gt;"",Data!CA527&lt;&gt;""),TRUE),TRUE)</f>
        <v>1</v>
      </c>
      <c r="X527" s="26" t="b">
        <f t="array" aca="1" ref="X527" ca="1">SUM((OFFSET(Data!B527,MAX(ROW(Data!$B$5)-ROW(Data!B527),-200),0,400,1)=Data!B527)*(OFFSET(Data!A527,MAX(ROW(Data!$B$5)-ROW(Data!B527),-200),0,400,1)=Data!A527))=1</f>
        <v>1</v>
      </c>
      <c r="Y527" s="26" t="b">
        <f t="array" aca="1" ref="Y527" ca="1">IF(UPPER(Data!C527)="START",SUM((OFFSET(Data!C527,MAX(ROW(Data!$C$5)-ROW(Data!C527),-200),0,400,1)="START")*(OFFSET(Data!A527,MAX(ROW(Data!$B$5)-ROW(Data!B527),-200),0,400,1)=Data!A527))=1,TRUE)</f>
        <v>1</v>
      </c>
      <c r="Z527" s="26" t="b">
        <f t="array" aca="1" ref="Z527" ca="1">IF(UPPER(Data!C527)="END",SUM((OFFSET(Data!C527,MAX(ROW(Data!$C$5)-ROW(Data!C527),-200),0,400,1)="END")*(OFFSET(Data!A527,MAX(ROW(Data!$B$5)-ROW(Data!B527),-200),0,400,1)=Data!A527))=1,TRUE)</f>
        <v>1</v>
      </c>
      <c r="AA527" s="26" t="b">
        <f>IF(Checks!C527,ISERROR(FIND("&amp;",Data!D527)),TRUE)</f>
        <v>1</v>
      </c>
      <c r="AB527" s="26" t="b">
        <f>IF(Checks!$C527,IF(AND(UPPER(Data!$C527)&lt;&gt;"START",UPPER(Data!$C527)&lt;&gt;"DATA OBJECT",Data!E527&lt;&gt;""),NOT(ISERROR(MATCH(Data!$A527&amp;"||"&amp;Data!E527,Key,0))),TRUE),TRUE)</f>
        <v>1</v>
      </c>
      <c r="AC527" s="27" t="b">
        <f>IF(Checks!C527,IF(UPPER(Data!C527)="END",Data!E527&lt;&gt;"",TRUE),TRUE)</f>
        <v>1</v>
      </c>
    </row>
    <row r="528" spans="1:29" x14ac:dyDescent="0.25">
      <c r="A528" s="1" t="str">
        <f>Data!A528&amp;"||"&amp;Data!B528</f>
        <v>Miscellaneous/subflow/irmifrs9_postprocess.bpmn||030_01_00</v>
      </c>
      <c r="B528" s="19"/>
      <c r="C528" s="24" t="b">
        <f>AND(UPPER(Data!A528)&lt;&gt;"EMPTY",Data!B528&lt;&gt;"")</f>
        <v>1</v>
      </c>
      <c r="D528" s="1"/>
      <c r="E528" s="25" t="b">
        <f t="shared" ca="1" si="16"/>
        <v>0</v>
      </c>
      <c r="F528" s="26" t="b">
        <f ca="1">IF(UPPER(Data!C528)="SUB PROCESS",NOT(ISERROR(MATCH(RIGHT(Data!BY528,LEN(Data!BY528)-5),OFFSET(Data,0,0,ItemsCount,1),0))),TRUE)</f>
        <v>1</v>
      </c>
      <c r="G528" s="26" t="b">
        <f ca="1">IF(MID(UPPER(Data!A528),1,13)="MISCELLANEOUS",NOT(ISERROR(MATCH("path="&amp;Data!A528,OFFSET(Data,0,76,ItemsCount,1),0))),TRUE)</f>
        <v>0</v>
      </c>
      <c r="L528" s="25" t="b">
        <f t="shared" ca="1" si="17"/>
        <v>1</v>
      </c>
      <c r="M528" s="24" t="b">
        <f>IF(Checks!$C528,Data!A528&lt;&gt;"",TRUE)</f>
        <v>1</v>
      </c>
      <c r="N528" s="26" t="b">
        <f>IF(Checks!C528,Data!B528&lt;&gt;"",TRUE)</f>
        <v>1</v>
      </c>
      <c r="O528" s="26" t="b">
        <f>IF(Checks!C528,IF(AND(UPPER(Data!C528)="SERVICE TASK",UPPER(Data!BZ528)="TYPE=SAS"),NodeExists(TRIM(RIGHT(Data!CA528,LEN(Data!CA528)-FIND("=",Data!CA528)))),TRUE),TRUE)</f>
        <v>1</v>
      </c>
      <c r="P528" s="26" t="b">
        <f>IF(Checks!C528,IF(Data!C528="DATA OBJECT",OR(AND(Data!BW528&lt;&gt;"",Data!BX528=""),AND(Data!BW528="",Data!BX528&lt;&gt;"")),TRUE),TRUE)</f>
        <v>1</v>
      </c>
      <c r="Q528" s="26" t="b">
        <f>IF(Checks!C528,UPPER(RIGHT(Data!A528,5))=".BPMN",TRUE)</f>
        <v>1</v>
      </c>
      <c r="R528" s="26" t="b">
        <f>IF(Checks!C528,IF(UPPER(Data!C528)="SUB PROCESS",UPPER(RIGHT(Data!BY528,5))=".BPMN",TRUE),TRUE)</f>
        <v>1</v>
      </c>
      <c r="S528" s="26" t="b">
        <f>IF(Checks!C528,IF(UPPER(Data!C528)="SERVICE TASK",IF(UPPER(Data!BZ528)="TYPE=SAS",UPPER(RIGHT(Data!CA528,4))=".SAS",TRUE),TRUE),TRUE)</f>
        <v>1</v>
      </c>
      <c r="T528" s="26" t="b">
        <f>IF(Checks!C528,IF(Data!B528&lt;&gt;"",Data!D528&lt;&gt;"",TRUE),TRUE)</f>
        <v>1</v>
      </c>
      <c r="U528" s="26" t="b">
        <f ca="1">IF(Checks!C528,IF(UPPER(Data!C528)="DATA OBJECT",NOT(ISERROR(MATCH(Data!A528&amp;"||"&amp;Data!BW528&amp;Data!BX528,Key,0))),TRUE),TRUE)</f>
        <v>1</v>
      </c>
      <c r="V528" s="26" t="b">
        <f>IF(Checks!C528,IF(UPPER(Data!C528)="SUB PROCESS",Data!BY528&lt;&gt;"",TRUE),TRUE)</f>
        <v>1</v>
      </c>
      <c r="W528" s="26" t="b">
        <f>IF(Checks!C528,IF(UPPER(Data!C528)="SERVICE TASK",AND(Data!BZ528&lt;&gt;"",Data!CA528&lt;&gt;""),TRUE),TRUE)</f>
        <v>1</v>
      </c>
      <c r="X528" s="26" t="b">
        <f t="array" aca="1" ref="X528" ca="1">SUM((OFFSET(Data!B528,MAX(ROW(Data!$B$5)-ROW(Data!B528),-200),0,400,1)=Data!B528)*(OFFSET(Data!A528,MAX(ROW(Data!$B$5)-ROW(Data!B528),-200),0,400,1)=Data!A528))=1</f>
        <v>1</v>
      </c>
      <c r="Y528" s="26" t="b">
        <f t="array" aca="1" ref="Y528" ca="1">IF(UPPER(Data!C528)="START",SUM((OFFSET(Data!C528,MAX(ROW(Data!$C$5)-ROW(Data!C528),-200),0,400,1)="START")*(OFFSET(Data!A528,MAX(ROW(Data!$B$5)-ROW(Data!B528),-200),0,400,1)=Data!A528))=1,TRUE)</f>
        <v>1</v>
      </c>
      <c r="Z528" s="26" t="b">
        <f t="array" aca="1" ref="Z528" ca="1">IF(UPPER(Data!C528)="END",SUM((OFFSET(Data!C528,MAX(ROW(Data!$C$5)-ROW(Data!C528),-200),0,400,1)="END")*(OFFSET(Data!A528,MAX(ROW(Data!$B$5)-ROW(Data!B528),-200),0,400,1)=Data!A528))=1,TRUE)</f>
        <v>1</v>
      </c>
      <c r="AA528" s="26" t="b">
        <f>IF(Checks!C528,ISERROR(FIND("&amp;",Data!D528)),TRUE)</f>
        <v>1</v>
      </c>
      <c r="AB528" s="26" t="b">
        <f>IF(Checks!$C528,IF(AND(UPPER(Data!$C528)&lt;&gt;"START",UPPER(Data!$C528)&lt;&gt;"DATA OBJECT",Data!E528&lt;&gt;""),NOT(ISERROR(MATCH(Data!$A528&amp;"||"&amp;Data!E528,Key,0))),TRUE),TRUE)</f>
        <v>1</v>
      </c>
      <c r="AC528" s="27" t="b">
        <f>IF(Checks!C528,IF(UPPER(Data!C528)="END",Data!E528&lt;&gt;"",TRUE),TRUE)</f>
        <v>1</v>
      </c>
    </row>
    <row r="529" spans="1:29" x14ac:dyDescent="0.25">
      <c r="A529" s="1" t="str">
        <f>Data!A529&amp;"||"&amp;Data!B529</f>
        <v>Miscellaneous/subflow/irmifrs9_postprocess.bpmn||040_00_00</v>
      </c>
      <c r="B529" s="19"/>
      <c r="C529" s="24" t="b">
        <f>AND(UPPER(Data!A529)&lt;&gt;"EMPTY",Data!B529&lt;&gt;"")</f>
        <v>1</v>
      </c>
      <c r="D529" s="1"/>
      <c r="E529" s="25" t="b">
        <f t="shared" ca="1" si="16"/>
        <v>0</v>
      </c>
      <c r="F529" s="26" t="b">
        <f ca="1">IF(UPPER(Data!C529)="SUB PROCESS",NOT(ISERROR(MATCH(RIGHT(Data!BY529,LEN(Data!BY529)-5),OFFSET(Data,0,0,ItemsCount,1),0))),TRUE)</f>
        <v>1</v>
      </c>
      <c r="G529" s="26" t="b">
        <f ca="1">IF(MID(UPPER(Data!A529),1,13)="MISCELLANEOUS",NOT(ISERROR(MATCH("path="&amp;Data!A529,OFFSET(Data,0,76,ItemsCount,1),0))),TRUE)</f>
        <v>0</v>
      </c>
      <c r="L529" s="25" t="b">
        <f t="shared" ca="1" si="17"/>
        <v>1</v>
      </c>
      <c r="M529" s="24" t="b">
        <f>IF(Checks!$C529,Data!A529&lt;&gt;"",TRUE)</f>
        <v>1</v>
      </c>
      <c r="N529" s="26" t="b">
        <f>IF(Checks!C529,Data!B529&lt;&gt;"",TRUE)</f>
        <v>1</v>
      </c>
      <c r="O529" s="26" t="b">
        <f>IF(Checks!C529,IF(AND(UPPER(Data!C529)="SERVICE TASK",UPPER(Data!BZ529)="TYPE=SAS"),NodeExists(TRIM(RIGHT(Data!CA529,LEN(Data!CA529)-FIND("=",Data!CA529)))),TRUE),TRUE)</f>
        <v>1</v>
      </c>
      <c r="P529" s="26" t="b">
        <f>IF(Checks!C529,IF(Data!C529="DATA OBJECT",OR(AND(Data!BW529&lt;&gt;"",Data!BX529=""),AND(Data!BW529="",Data!BX529&lt;&gt;"")),TRUE),TRUE)</f>
        <v>1</v>
      </c>
      <c r="Q529" s="26" t="b">
        <f>IF(Checks!C529,UPPER(RIGHT(Data!A529,5))=".BPMN",TRUE)</f>
        <v>1</v>
      </c>
      <c r="R529" s="26" t="b">
        <f>IF(Checks!C529,IF(UPPER(Data!C529)="SUB PROCESS",UPPER(RIGHT(Data!BY529,5))=".BPMN",TRUE),TRUE)</f>
        <v>1</v>
      </c>
      <c r="S529" s="26" t="b">
        <f>IF(Checks!C529,IF(UPPER(Data!C529)="SERVICE TASK",IF(UPPER(Data!BZ529)="TYPE=SAS",UPPER(RIGHT(Data!CA529,4))=".SAS",TRUE),TRUE),TRUE)</f>
        <v>1</v>
      </c>
      <c r="T529" s="26" t="b">
        <f>IF(Checks!C529,IF(Data!B529&lt;&gt;"",Data!D529&lt;&gt;"",TRUE),TRUE)</f>
        <v>1</v>
      </c>
      <c r="U529" s="26" t="b">
        <f>IF(Checks!C529,IF(UPPER(Data!C529)="DATA OBJECT",NOT(ISERROR(MATCH(Data!A529&amp;"||"&amp;Data!BW529&amp;Data!BX529,Key,0))),TRUE),TRUE)</f>
        <v>1</v>
      </c>
      <c r="V529" s="26" t="b">
        <f>IF(Checks!C529,IF(UPPER(Data!C529)="SUB PROCESS",Data!BY529&lt;&gt;"",TRUE),TRUE)</f>
        <v>1</v>
      </c>
      <c r="W529" s="26" t="b">
        <f>IF(Checks!C529,IF(UPPER(Data!C529)="SERVICE TASK",AND(Data!BZ529&lt;&gt;"",Data!CA529&lt;&gt;""),TRUE),TRUE)</f>
        <v>1</v>
      </c>
      <c r="X529" s="26" t="b">
        <f t="array" aca="1" ref="X529" ca="1">SUM((OFFSET(Data!B529,MAX(ROW(Data!$B$5)-ROW(Data!B529),-200),0,400,1)=Data!B529)*(OFFSET(Data!A529,MAX(ROW(Data!$B$5)-ROW(Data!B529),-200),0,400,1)=Data!A529))=1</f>
        <v>1</v>
      </c>
      <c r="Y529" s="26" t="b">
        <f t="array" aca="1" ref="Y529" ca="1">IF(UPPER(Data!C529)="START",SUM((OFFSET(Data!C529,MAX(ROW(Data!$C$5)-ROW(Data!C529),-200),0,400,1)="START")*(OFFSET(Data!A529,MAX(ROW(Data!$B$5)-ROW(Data!B529),-200),0,400,1)=Data!A529))=1,TRUE)</f>
        <v>1</v>
      </c>
      <c r="Z529" s="26" t="b">
        <f t="array" aca="1" ref="Z529" ca="1">IF(UPPER(Data!C529)="END",SUM((OFFSET(Data!C529,MAX(ROW(Data!$C$5)-ROW(Data!C529),-200),0,400,1)="END")*(OFFSET(Data!A529,MAX(ROW(Data!$B$5)-ROW(Data!B529),-200),0,400,1)=Data!A529))=1,TRUE)</f>
        <v>1</v>
      </c>
      <c r="AA529" s="26" t="b">
        <f>IF(Checks!C529,ISERROR(FIND("&amp;",Data!D529)),TRUE)</f>
        <v>1</v>
      </c>
      <c r="AB529" s="26" t="b">
        <f ca="1">IF(Checks!$C529,IF(AND(UPPER(Data!$C529)&lt;&gt;"START",UPPER(Data!$C529)&lt;&gt;"DATA OBJECT",Data!E529&lt;&gt;""),NOT(ISERROR(MATCH(Data!$A529&amp;"||"&amp;Data!E529,Key,0))),TRUE),TRUE)</f>
        <v>1</v>
      </c>
      <c r="AC529" s="27" t="b">
        <f>IF(Checks!C529,IF(UPPER(Data!C529)="END",Data!E529&lt;&gt;"",TRUE),TRUE)</f>
        <v>1</v>
      </c>
    </row>
    <row r="530" spans="1:29" x14ac:dyDescent="0.25">
      <c r="A530" s="1" t="str">
        <f>Data!A530&amp;"||"&amp;Data!B530</f>
        <v>Miscellaneous/subflow/irmifrs9_postprocess.bpmn||040_00_01</v>
      </c>
      <c r="B530" s="19"/>
      <c r="C530" s="24" t="b">
        <f>AND(UPPER(Data!A530)&lt;&gt;"EMPTY",Data!B530&lt;&gt;"")</f>
        <v>1</v>
      </c>
      <c r="D530" s="1"/>
      <c r="E530" s="25" t="b">
        <f t="shared" ca="1" si="16"/>
        <v>0</v>
      </c>
      <c r="F530" s="26" t="b">
        <f ca="1">IF(UPPER(Data!C530)="SUB PROCESS",NOT(ISERROR(MATCH(RIGHT(Data!BY530,LEN(Data!BY530)-5),OFFSET(Data,0,0,ItemsCount,1),0))),TRUE)</f>
        <v>1</v>
      </c>
      <c r="G530" s="26" t="b">
        <f ca="1">IF(MID(UPPER(Data!A530),1,13)="MISCELLANEOUS",NOT(ISERROR(MATCH("path="&amp;Data!A530,OFFSET(Data,0,76,ItemsCount,1),0))),TRUE)</f>
        <v>0</v>
      </c>
      <c r="L530" s="25" t="b">
        <f t="shared" ca="1" si="17"/>
        <v>1</v>
      </c>
      <c r="M530" s="24" t="b">
        <f>IF(Checks!$C530,Data!A530&lt;&gt;"",TRUE)</f>
        <v>1</v>
      </c>
      <c r="N530" s="26" t="b">
        <f>IF(Checks!C530,Data!B530&lt;&gt;"",TRUE)</f>
        <v>1</v>
      </c>
      <c r="O530" s="26" t="b">
        <f>IF(Checks!C530,IF(AND(UPPER(Data!C530)="SERVICE TASK",UPPER(Data!BZ530)="TYPE=SAS"),NodeExists(TRIM(RIGHT(Data!CA530,LEN(Data!CA530)-FIND("=",Data!CA530)))),TRUE),TRUE)</f>
        <v>1</v>
      </c>
      <c r="P530" s="26" t="b">
        <f>IF(Checks!C530,IF(Data!C530="DATA OBJECT",OR(AND(Data!BW530&lt;&gt;"",Data!BX530=""),AND(Data!BW530="",Data!BX530&lt;&gt;"")),TRUE),TRUE)</f>
        <v>1</v>
      </c>
      <c r="Q530" s="26" t="b">
        <f>IF(Checks!C530,UPPER(RIGHT(Data!A530,5))=".BPMN",TRUE)</f>
        <v>1</v>
      </c>
      <c r="R530" s="26" t="b">
        <f>IF(Checks!C530,IF(UPPER(Data!C530)="SUB PROCESS",UPPER(RIGHT(Data!BY530,5))=".BPMN",TRUE),TRUE)</f>
        <v>1</v>
      </c>
      <c r="S530" s="26" t="b">
        <f>IF(Checks!C530,IF(UPPER(Data!C530)="SERVICE TASK",IF(UPPER(Data!BZ530)="TYPE=SAS",UPPER(RIGHT(Data!CA530,4))=".SAS",TRUE),TRUE),TRUE)</f>
        <v>1</v>
      </c>
      <c r="T530" s="26" t="b">
        <f>IF(Checks!C530,IF(Data!B530&lt;&gt;"",Data!D530&lt;&gt;"",TRUE),TRUE)</f>
        <v>1</v>
      </c>
      <c r="U530" s="26" t="b">
        <f ca="1">IF(Checks!C530,IF(UPPER(Data!C530)="DATA OBJECT",NOT(ISERROR(MATCH(Data!A530&amp;"||"&amp;Data!BW530&amp;Data!BX530,Key,0))),TRUE),TRUE)</f>
        <v>1</v>
      </c>
      <c r="V530" s="26" t="b">
        <f>IF(Checks!C530,IF(UPPER(Data!C530)="SUB PROCESS",Data!BY530&lt;&gt;"",TRUE),TRUE)</f>
        <v>1</v>
      </c>
      <c r="W530" s="26" t="b">
        <f>IF(Checks!C530,IF(UPPER(Data!C530)="SERVICE TASK",AND(Data!BZ530&lt;&gt;"",Data!CA530&lt;&gt;""),TRUE),TRUE)</f>
        <v>1</v>
      </c>
      <c r="X530" s="26" t="b">
        <f t="array" aca="1" ref="X530" ca="1">SUM((OFFSET(Data!B530,MAX(ROW(Data!$B$5)-ROW(Data!B530),-200),0,400,1)=Data!B530)*(OFFSET(Data!A530,MAX(ROW(Data!$B$5)-ROW(Data!B530),-200),0,400,1)=Data!A530))=1</f>
        <v>1</v>
      </c>
      <c r="Y530" s="26" t="b">
        <f t="array" aca="1" ref="Y530" ca="1">IF(UPPER(Data!C530)="START",SUM((OFFSET(Data!C530,MAX(ROW(Data!$C$5)-ROW(Data!C530),-200),0,400,1)="START")*(OFFSET(Data!A530,MAX(ROW(Data!$B$5)-ROW(Data!B530),-200),0,400,1)=Data!A530))=1,TRUE)</f>
        <v>1</v>
      </c>
      <c r="Z530" s="26" t="b">
        <f t="array" aca="1" ref="Z530" ca="1">IF(UPPER(Data!C530)="END",SUM((OFFSET(Data!C530,MAX(ROW(Data!$C$5)-ROW(Data!C530),-200),0,400,1)="END")*(OFFSET(Data!A530,MAX(ROW(Data!$B$5)-ROW(Data!B530),-200),0,400,1)=Data!A530))=1,TRUE)</f>
        <v>1</v>
      </c>
      <c r="AA530" s="26" t="b">
        <f>IF(Checks!C530,ISERROR(FIND("&amp;",Data!D530)),TRUE)</f>
        <v>1</v>
      </c>
      <c r="AB530" s="26" t="b">
        <f>IF(Checks!$C530,IF(AND(UPPER(Data!$C530)&lt;&gt;"START",UPPER(Data!$C530)&lt;&gt;"DATA OBJECT",Data!E530&lt;&gt;""),NOT(ISERROR(MATCH(Data!$A530&amp;"||"&amp;Data!E530,Key,0))),TRUE),TRUE)</f>
        <v>1</v>
      </c>
      <c r="AC530" s="27" t="b">
        <f>IF(Checks!C530,IF(UPPER(Data!C530)="END",Data!E530&lt;&gt;"",TRUE),TRUE)</f>
        <v>1</v>
      </c>
    </row>
    <row r="531" spans="1:29" x14ac:dyDescent="0.25">
      <c r="A531" s="1" t="str">
        <f>Data!A531&amp;"||"&amp;Data!B531</f>
        <v>Miscellaneous/subflow/irmifrs9_postprocess.bpmn||040_00_02</v>
      </c>
      <c r="B531" s="19"/>
      <c r="C531" s="24" t="b">
        <f>AND(UPPER(Data!A531)&lt;&gt;"EMPTY",Data!B531&lt;&gt;"")</f>
        <v>1</v>
      </c>
      <c r="D531" s="1"/>
      <c r="E531" s="25" t="b">
        <f t="shared" ca="1" si="16"/>
        <v>0</v>
      </c>
      <c r="F531" s="26" t="b">
        <f ca="1">IF(UPPER(Data!C531)="SUB PROCESS",NOT(ISERROR(MATCH(RIGHT(Data!BY531,LEN(Data!BY531)-5),OFFSET(Data,0,0,ItemsCount,1),0))),TRUE)</f>
        <v>1</v>
      </c>
      <c r="G531" s="26" t="b">
        <f ca="1">IF(MID(UPPER(Data!A531),1,13)="MISCELLANEOUS",NOT(ISERROR(MATCH("path="&amp;Data!A531,OFFSET(Data,0,76,ItemsCount,1),0))),TRUE)</f>
        <v>0</v>
      </c>
      <c r="L531" s="25" t="b">
        <f t="shared" ca="1" si="17"/>
        <v>1</v>
      </c>
      <c r="M531" s="24" t="b">
        <f>IF(Checks!$C531,Data!A531&lt;&gt;"",TRUE)</f>
        <v>1</v>
      </c>
      <c r="N531" s="26" t="b">
        <f>IF(Checks!C531,Data!B531&lt;&gt;"",TRUE)</f>
        <v>1</v>
      </c>
      <c r="O531" s="26" t="b">
        <f>IF(Checks!C531,IF(AND(UPPER(Data!C531)="SERVICE TASK",UPPER(Data!BZ531)="TYPE=SAS"),NodeExists(TRIM(RIGHT(Data!CA531,LEN(Data!CA531)-FIND("=",Data!CA531)))),TRUE),TRUE)</f>
        <v>1</v>
      </c>
      <c r="P531" s="26" t="b">
        <f>IF(Checks!C531,IF(Data!C531="DATA OBJECT",OR(AND(Data!BW531&lt;&gt;"",Data!BX531=""),AND(Data!BW531="",Data!BX531&lt;&gt;"")),TRUE),TRUE)</f>
        <v>1</v>
      </c>
      <c r="Q531" s="26" t="b">
        <f>IF(Checks!C531,UPPER(RIGHT(Data!A531,5))=".BPMN",TRUE)</f>
        <v>1</v>
      </c>
      <c r="R531" s="26" t="b">
        <f>IF(Checks!C531,IF(UPPER(Data!C531)="SUB PROCESS",UPPER(RIGHT(Data!BY531,5))=".BPMN",TRUE),TRUE)</f>
        <v>1</v>
      </c>
      <c r="S531" s="26" t="b">
        <f>IF(Checks!C531,IF(UPPER(Data!C531)="SERVICE TASK",IF(UPPER(Data!BZ531)="TYPE=SAS",UPPER(RIGHT(Data!CA531,4))=".SAS",TRUE),TRUE),TRUE)</f>
        <v>1</v>
      </c>
      <c r="T531" s="26" t="b">
        <f>IF(Checks!C531,IF(Data!B531&lt;&gt;"",Data!D531&lt;&gt;"",TRUE),TRUE)</f>
        <v>1</v>
      </c>
      <c r="U531" s="26" t="b">
        <f ca="1">IF(Checks!C531,IF(UPPER(Data!C531)="DATA OBJECT",NOT(ISERROR(MATCH(Data!A531&amp;"||"&amp;Data!BW531&amp;Data!BX531,Key,0))),TRUE),TRUE)</f>
        <v>1</v>
      </c>
      <c r="V531" s="26" t="b">
        <f>IF(Checks!C531,IF(UPPER(Data!C531)="SUB PROCESS",Data!BY531&lt;&gt;"",TRUE),TRUE)</f>
        <v>1</v>
      </c>
      <c r="W531" s="26" t="b">
        <f>IF(Checks!C531,IF(UPPER(Data!C531)="SERVICE TASK",AND(Data!BZ531&lt;&gt;"",Data!CA531&lt;&gt;""),TRUE),TRUE)</f>
        <v>1</v>
      </c>
      <c r="X531" s="26" t="b">
        <f t="array" aca="1" ref="X531" ca="1">SUM((OFFSET(Data!B531,MAX(ROW(Data!$B$5)-ROW(Data!B531),-200),0,400,1)=Data!B531)*(OFFSET(Data!A531,MAX(ROW(Data!$B$5)-ROW(Data!B531),-200),0,400,1)=Data!A531))=1</f>
        <v>1</v>
      </c>
      <c r="Y531" s="26" t="b">
        <f t="array" aca="1" ref="Y531" ca="1">IF(UPPER(Data!C531)="START",SUM((OFFSET(Data!C531,MAX(ROW(Data!$C$5)-ROW(Data!C531),-200),0,400,1)="START")*(OFFSET(Data!A531,MAX(ROW(Data!$B$5)-ROW(Data!B531),-200),0,400,1)=Data!A531))=1,TRUE)</f>
        <v>1</v>
      </c>
      <c r="Z531" s="26" t="b">
        <f t="array" aca="1" ref="Z531" ca="1">IF(UPPER(Data!C531)="END",SUM((OFFSET(Data!C531,MAX(ROW(Data!$C$5)-ROW(Data!C531),-200),0,400,1)="END")*(OFFSET(Data!A531,MAX(ROW(Data!$B$5)-ROW(Data!B531),-200),0,400,1)=Data!A531))=1,TRUE)</f>
        <v>1</v>
      </c>
      <c r="AA531" s="26" t="b">
        <f>IF(Checks!C531,ISERROR(FIND("&amp;",Data!D531)),TRUE)</f>
        <v>1</v>
      </c>
      <c r="AB531" s="26" t="b">
        <f>IF(Checks!$C531,IF(AND(UPPER(Data!$C531)&lt;&gt;"START",UPPER(Data!$C531)&lt;&gt;"DATA OBJECT",Data!E531&lt;&gt;""),NOT(ISERROR(MATCH(Data!$A531&amp;"||"&amp;Data!E531,Key,0))),TRUE),TRUE)</f>
        <v>1</v>
      </c>
      <c r="AC531" s="27" t="b">
        <f>IF(Checks!C531,IF(UPPER(Data!C531)="END",Data!E531&lt;&gt;"",TRUE),TRUE)</f>
        <v>1</v>
      </c>
    </row>
    <row r="532" spans="1:29" x14ac:dyDescent="0.25">
      <c r="A532" s="1" t="str">
        <f>Data!A532&amp;"||"&amp;Data!B532</f>
        <v>Miscellaneous/subflow/irmifrs9_postprocess.bpmn||050_00_00</v>
      </c>
      <c r="B532" s="19"/>
      <c r="C532" s="24" t="b">
        <f>AND(UPPER(Data!A532)&lt;&gt;"EMPTY",Data!B532&lt;&gt;"")</f>
        <v>1</v>
      </c>
      <c r="D532" s="1"/>
      <c r="E532" s="25" t="b">
        <f t="shared" ca="1" si="16"/>
        <v>0</v>
      </c>
      <c r="F532" s="26" t="b">
        <f ca="1">IF(UPPER(Data!C532)="SUB PROCESS",NOT(ISERROR(MATCH(RIGHT(Data!BY532,LEN(Data!BY532)-5),OFFSET(Data,0,0,ItemsCount,1),0))),TRUE)</f>
        <v>1</v>
      </c>
      <c r="G532" s="26" t="b">
        <f ca="1">IF(MID(UPPER(Data!A532),1,13)="MISCELLANEOUS",NOT(ISERROR(MATCH("path="&amp;Data!A532,OFFSET(Data,0,76,ItemsCount,1),0))),TRUE)</f>
        <v>0</v>
      </c>
      <c r="L532" s="25" t="b">
        <f t="shared" ca="1" si="17"/>
        <v>1</v>
      </c>
      <c r="M532" s="24" t="b">
        <f>IF(Checks!$C532,Data!A532&lt;&gt;"",TRUE)</f>
        <v>1</v>
      </c>
      <c r="N532" s="26" t="b">
        <f>IF(Checks!C532,Data!B532&lt;&gt;"",TRUE)</f>
        <v>1</v>
      </c>
      <c r="O532" s="26" t="b">
        <f>IF(Checks!C532,IF(AND(UPPER(Data!C532)="SERVICE TASK",UPPER(Data!BZ532)="TYPE=SAS"),NodeExists(TRIM(RIGHT(Data!CA532,LEN(Data!CA532)-FIND("=",Data!CA532)))),TRUE),TRUE)</f>
        <v>1</v>
      </c>
      <c r="P532" s="26" t="b">
        <f>IF(Checks!C532,IF(Data!C532="DATA OBJECT",OR(AND(Data!BW532&lt;&gt;"",Data!BX532=""),AND(Data!BW532="",Data!BX532&lt;&gt;"")),TRUE),TRUE)</f>
        <v>1</v>
      </c>
      <c r="Q532" s="26" t="b">
        <f>IF(Checks!C532,UPPER(RIGHT(Data!A532,5))=".BPMN",TRUE)</f>
        <v>1</v>
      </c>
      <c r="R532" s="26" t="b">
        <f>IF(Checks!C532,IF(UPPER(Data!C532)="SUB PROCESS",UPPER(RIGHT(Data!BY532,5))=".BPMN",TRUE),TRUE)</f>
        <v>1</v>
      </c>
      <c r="S532" s="26" t="b">
        <f>IF(Checks!C532,IF(UPPER(Data!C532)="SERVICE TASK",IF(UPPER(Data!BZ532)="TYPE=SAS",UPPER(RIGHT(Data!CA532,4))=".SAS",TRUE),TRUE),TRUE)</f>
        <v>1</v>
      </c>
      <c r="T532" s="26" t="b">
        <f>IF(Checks!C532,IF(Data!B532&lt;&gt;"",Data!D532&lt;&gt;"",TRUE),TRUE)</f>
        <v>1</v>
      </c>
      <c r="U532" s="26" t="b">
        <f>IF(Checks!C532,IF(UPPER(Data!C532)="DATA OBJECT",NOT(ISERROR(MATCH(Data!A532&amp;"||"&amp;Data!BW532&amp;Data!BX532,Key,0))),TRUE),TRUE)</f>
        <v>1</v>
      </c>
      <c r="V532" s="26" t="b">
        <f>IF(Checks!C532,IF(UPPER(Data!C532)="SUB PROCESS",Data!BY532&lt;&gt;"",TRUE),TRUE)</f>
        <v>1</v>
      </c>
      <c r="W532" s="26" t="b">
        <f>IF(Checks!C532,IF(UPPER(Data!C532)="SERVICE TASK",AND(Data!BZ532&lt;&gt;"",Data!CA532&lt;&gt;""),TRUE),TRUE)</f>
        <v>1</v>
      </c>
      <c r="X532" s="26" t="b">
        <f t="array" aca="1" ref="X532" ca="1">SUM((OFFSET(Data!B532,MAX(ROW(Data!$B$5)-ROW(Data!B532),-200),0,400,1)=Data!B532)*(OFFSET(Data!A532,MAX(ROW(Data!$B$5)-ROW(Data!B532),-200),0,400,1)=Data!A532))=1</f>
        <v>1</v>
      </c>
      <c r="Y532" s="26" t="b">
        <f t="array" aca="1" ref="Y532" ca="1">IF(UPPER(Data!C532)="START",SUM((OFFSET(Data!C532,MAX(ROW(Data!$C$5)-ROW(Data!C532),-200),0,400,1)="START")*(OFFSET(Data!A532,MAX(ROW(Data!$B$5)-ROW(Data!B532),-200),0,400,1)=Data!A532))=1,TRUE)</f>
        <v>1</v>
      </c>
      <c r="Z532" s="26" t="b">
        <f t="array" aca="1" ref="Z532" ca="1">IF(UPPER(Data!C532)="END",SUM((OFFSET(Data!C532,MAX(ROW(Data!$C$5)-ROW(Data!C532),-200),0,400,1)="END")*(OFFSET(Data!A532,MAX(ROW(Data!$B$5)-ROW(Data!B532),-200),0,400,1)=Data!A532))=1,TRUE)</f>
        <v>1</v>
      </c>
      <c r="AA532" s="26" t="b">
        <f>IF(Checks!C532,ISERROR(FIND("&amp;",Data!D532)),TRUE)</f>
        <v>1</v>
      </c>
      <c r="AB532" s="26" t="b">
        <f ca="1">IF(Checks!$C532,IF(AND(UPPER(Data!$C532)&lt;&gt;"START",UPPER(Data!$C532)&lt;&gt;"DATA OBJECT",Data!E532&lt;&gt;""),NOT(ISERROR(MATCH(Data!$A532&amp;"||"&amp;Data!E532,Key,0))),TRUE),TRUE)</f>
        <v>1</v>
      </c>
      <c r="AC532" s="27" t="b">
        <f>IF(Checks!C532,IF(UPPER(Data!C532)="END",Data!E532&lt;&gt;"",TRUE),TRUE)</f>
        <v>1</v>
      </c>
    </row>
    <row r="533" spans="1:29" x14ac:dyDescent="0.25">
      <c r="A533" s="1" t="str">
        <f>Data!A533&amp;"||"&amp;Data!B533</f>
        <v>Miscellaneous/subflow/irmifrs9_postprocess.bpmn||050_00_01</v>
      </c>
      <c r="B533" s="19"/>
      <c r="C533" s="24" t="b">
        <f>AND(UPPER(Data!A533)&lt;&gt;"EMPTY",Data!B533&lt;&gt;"")</f>
        <v>1</v>
      </c>
      <c r="D533" s="1"/>
      <c r="E533" s="25" t="b">
        <f t="shared" ca="1" si="16"/>
        <v>0</v>
      </c>
      <c r="F533" s="26" t="b">
        <f ca="1">IF(UPPER(Data!C533)="SUB PROCESS",NOT(ISERROR(MATCH(RIGHT(Data!BY533,LEN(Data!BY533)-5),OFFSET(Data,0,0,ItemsCount,1),0))),TRUE)</f>
        <v>1</v>
      </c>
      <c r="G533" s="26" t="b">
        <f ca="1">IF(MID(UPPER(Data!A533),1,13)="MISCELLANEOUS",NOT(ISERROR(MATCH("path="&amp;Data!A533,OFFSET(Data,0,76,ItemsCount,1),0))),TRUE)</f>
        <v>0</v>
      </c>
      <c r="L533" s="25" t="b">
        <f t="shared" ca="1" si="17"/>
        <v>1</v>
      </c>
      <c r="M533" s="24" t="b">
        <f>IF(Checks!$C533,Data!A533&lt;&gt;"",TRUE)</f>
        <v>1</v>
      </c>
      <c r="N533" s="26" t="b">
        <f>IF(Checks!C533,Data!B533&lt;&gt;"",TRUE)</f>
        <v>1</v>
      </c>
      <c r="O533" s="26" t="b">
        <f>IF(Checks!C533,IF(AND(UPPER(Data!C533)="SERVICE TASK",UPPER(Data!BZ533)="TYPE=SAS"),NodeExists(TRIM(RIGHT(Data!CA533,LEN(Data!CA533)-FIND("=",Data!CA533)))),TRUE),TRUE)</f>
        <v>1</v>
      </c>
      <c r="P533" s="26" t="b">
        <f>IF(Checks!C533,IF(Data!C533="DATA OBJECT",OR(AND(Data!BW533&lt;&gt;"",Data!BX533=""),AND(Data!BW533="",Data!BX533&lt;&gt;"")),TRUE),TRUE)</f>
        <v>1</v>
      </c>
      <c r="Q533" s="26" t="b">
        <f>IF(Checks!C533,UPPER(RIGHT(Data!A533,5))=".BPMN",TRUE)</f>
        <v>1</v>
      </c>
      <c r="R533" s="26" t="b">
        <f>IF(Checks!C533,IF(UPPER(Data!C533)="SUB PROCESS",UPPER(RIGHT(Data!BY533,5))=".BPMN",TRUE),TRUE)</f>
        <v>1</v>
      </c>
      <c r="S533" s="26" t="b">
        <f>IF(Checks!C533,IF(UPPER(Data!C533)="SERVICE TASK",IF(UPPER(Data!BZ533)="TYPE=SAS",UPPER(RIGHT(Data!CA533,4))=".SAS",TRUE),TRUE),TRUE)</f>
        <v>1</v>
      </c>
      <c r="T533" s="26" t="b">
        <f>IF(Checks!C533,IF(Data!B533&lt;&gt;"",Data!D533&lt;&gt;"",TRUE),TRUE)</f>
        <v>1</v>
      </c>
      <c r="U533" s="26" t="b">
        <f ca="1">IF(Checks!C533,IF(UPPER(Data!C533)="DATA OBJECT",NOT(ISERROR(MATCH(Data!A533&amp;"||"&amp;Data!BW533&amp;Data!BX533,Key,0))),TRUE),TRUE)</f>
        <v>1</v>
      </c>
      <c r="V533" s="26" t="b">
        <f>IF(Checks!C533,IF(UPPER(Data!C533)="SUB PROCESS",Data!BY533&lt;&gt;"",TRUE),TRUE)</f>
        <v>1</v>
      </c>
      <c r="W533" s="26" t="b">
        <f>IF(Checks!C533,IF(UPPER(Data!C533)="SERVICE TASK",AND(Data!BZ533&lt;&gt;"",Data!CA533&lt;&gt;""),TRUE),TRUE)</f>
        <v>1</v>
      </c>
      <c r="X533" s="26" t="b">
        <f t="array" aca="1" ref="X533" ca="1">SUM((OFFSET(Data!B533,MAX(ROW(Data!$B$5)-ROW(Data!B533),-200),0,400,1)=Data!B533)*(OFFSET(Data!A533,MAX(ROW(Data!$B$5)-ROW(Data!B533),-200),0,400,1)=Data!A533))=1</f>
        <v>1</v>
      </c>
      <c r="Y533" s="26" t="b">
        <f t="array" aca="1" ref="Y533" ca="1">IF(UPPER(Data!C533)="START",SUM((OFFSET(Data!C533,MAX(ROW(Data!$C$5)-ROW(Data!C533),-200),0,400,1)="START")*(OFFSET(Data!A533,MAX(ROW(Data!$B$5)-ROW(Data!B533),-200),0,400,1)=Data!A533))=1,TRUE)</f>
        <v>1</v>
      </c>
      <c r="Z533" s="26" t="b">
        <f t="array" aca="1" ref="Z533" ca="1">IF(UPPER(Data!C533)="END",SUM((OFFSET(Data!C533,MAX(ROW(Data!$C$5)-ROW(Data!C533),-200),0,400,1)="END")*(OFFSET(Data!A533,MAX(ROW(Data!$B$5)-ROW(Data!B533),-200),0,400,1)=Data!A533))=1,TRUE)</f>
        <v>1</v>
      </c>
      <c r="AA533" s="26" t="b">
        <f>IF(Checks!C533,ISERROR(FIND("&amp;",Data!D533)),TRUE)</f>
        <v>1</v>
      </c>
      <c r="AB533" s="26" t="b">
        <f>IF(Checks!$C533,IF(AND(UPPER(Data!$C533)&lt;&gt;"START",UPPER(Data!$C533)&lt;&gt;"DATA OBJECT",Data!E533&lt;&gt;""),NOT(ISERROR(MATCH(Data!$A533&amp;"||"&amp;Data!E533,Key,0))),TRUE),TRUE)</f>
        <v>1</v>
      </c>
      <c r="AC533" s="27" t="b">
        <f>IF(Checks!C533,IF(UPPER(Data!C533)="END",Data!E533&lt;&gt;"",TRUE),TRUE)</f>
        <v>1</v>
      </c>
    </row>
    <row r="534" spans="1:29" x14ac:dyDescent="0.25">
      <c r="A534" s="1" t="str">
        <f>Data!A534&amp;"||"&amp;Data!B534</f>
        <v>Miscellaneous/subflow/irmifrs9_postprocess.bpmn||050_00_02</v>
      </c>
      <c r="B534" s="19"/>
      <c r="C534" s="24" t="b">
        <f>AND(UPPER(Data!A534)&lt;&gt;"EMPTY",Data!B534&lt;&gt;"")</f>
        <v>1</v>
      </c>
      <c r="D534" s="1"/>
      <c r="E534" s="25" t="b">
        <f t="shared" ca="1" si="16"/>
        <v>0</v>
      </c>
      <c r="F534" s="26" t="b">
        <f ca="1">IF(UPPER(Data!C534)="SUB PROCESS",NOT(ISERROR(MATCH(RIGHT(Data!BY534,LEN(Data!BY534)-5),OFFSET(Data,0,0,ItemsCount,1),0))),TRUE)</f>
        <v>1</v>
      </c>
      <c r="G534" s="26" t="b">
        <f ca="1">IF(MID(UPPER(Data!A534),1,13)="MISCELLANEOUS",NOT(ISERROR(MATCH("path="&amp;Data!A534,OFFSET(Data,0,76,ItemsCount,1),0))),TRUE)</f>
        <v>0</v>
      </c>
      <c r="L534" s="25" t="b">
        <f t="shared" ca="1" si="17"/>
        <v>1</v>
      </c>
      <c r="M534" s="24" t="b">
        <f>IF(Checks!$C534,Data!A534&lt;&gt;"",TRUE)</f>
        <v>1</v>
      </c>
      <c r="N534" s="26" t="b">
        <f>IF(Checks!C534,Data!B534&lt;&gt;"",TRUE)</f>
        <v>1</v>
      </c>
      <c r="O534" s="26" t="b">
        <f>IF(Checks!C534,IF(AND(UPPER(Data!C534)="SERVICE TASK",UPPER(Data!BZ534)="TYPE=SAS"),NodeExists(TRIM(RIGHT(Data!CA534,LEN(Data!CA534)-FIND("=",Data!CA534)))),TRUE),TRUE)</f>
        <v>1</v>
      </c>
      <c r="P534" s="26" t="b">
        <f>IF(Checks!C534,IF(Data!C534="DATA OBJECT",OR(AND(Data!BW534&lt;&gt;"",Data!BX534=""),AND(Data!BW534="",Data!BX534&lt;&gt;"")),TRUE),TRUE)</f>
        <v>1</v>
      </c>
      <c r="Q534" s="26" t="b">
        <f>IF(Checks!C534,UPPER(RIGHT(Data!A534,5))=".BPMN",TRUE)</f>
        <v>1</v>
      </c>
      <c r="R534" s="26" t="b">
        <f>IF(Checks!C534,IF(UPPER(Data!C534)="SUB PROCESS",UPPER(RIGHT(Data!BY534,5))=".BPMN",TRUE),TRUE)</f>
        <v>1</v>
      </c>
      <c r="S534" s="26" t="b">
        <f>IF(Checks!C534,IF(UPPER(Data!C534)="SERVICE TASK",IF(UPPER(Data!BZ534)="TYPE=SAS",UPPER(RIGHT(Data!CA534,4))=".SAS",TRUE),TRUE),TRUE)</f>
        <v>1</v>
      </c>
      <c r="T534" s="26" t="b">
        <f>IF(Checks!C534,IF(Data!B534&lt;&gt;"",Data!D534&lt;&gt;"",TRUE),TRUE)</f>
        <v>1</v>
      </c>
      <c r="U534" s="26" t="b">
        <f ca="1">IF(Checks!C534,IF(UPPER(Data!C534)="DATA OBJECT",NOT(ISERROR(MATCH(Data!A534&amp;"||"&amp;Data!BW534&amp;Data!BX534,Key,0))),TRUE),TRUE)</f>
        <v>1</v>
      </c>
      <c r="V534" s="26" t="b">
        <f>IF(Checks!C534,IF(UPPER(Data!C534)="SUB PROCESS",Data!BY534&lt;&gt;"",TRUE),TRUE)</f>
        <v>1</v>
      </c>
      <c r="W534" s="26" t="b">
        <f>IF(Checks!C534,IF(UPPER(Data!C534)="SERVICE TASK",AND(Data!BZ534&lt;&gt;"",Data!CA534&lt;&gt;""),TRUE),TRUE)</f>
        <v>1</v>
      </c>
      <c r="X534" s="26" t="b">
        <f t="array" aca="1" ref="X534" ca="1">SUM((OFFSET(Data!B534,MAX(ROW(Data!$B$5)-ROW(Data!B534),-200),0,400,1)=Data!B534)*(OFFSET(Data!A534,MAX(ROW(Data!$B$5)-ROW(Data!B534),-200),0,400,1)=Data!A534))=1</f>
        <v>1</v>
      </c>
      <c r="Y534" s="26" t="b">
        <f t="array" aca="1" ref="Y534" ca="1">IF(UPPER(Data!C534)="START",SUM((OFFSET(Data!C534,MAX(ROW(Data!$C$5)-ROW(Data!C534),-200),0,400,1)="START")*(OFFSET(Data!A534,MAX(ROW(Data!$B$5)-ROW(Data!B534),-200),0,400,1)=Data!A534))=1,TRUE)</f>
        <v>1</v>
      </c>
      <c r="Z534" s="26" t="b">
        <f t="array" aca="1" ref="Z534" ca="1">IF(UPPER(Data!C534)="END",SUM((OFFSET(Data!C534,MAX(ROW(Data!$C$5)-ROW(Data!C534),-200),0,400,1)="END")*(OFFSET(Data!A534,MAX(ROW(Data!$B$5)-ROW(Data!B534),-200),0,400,1)=Data!A534))=1,TRUE)</f>
        <v>1</v>
      </c>
      <c r="AA534" s="26" t="b">
        <f>IF(Checks!C534,ISERROR(FIND("&amp;",Data!D534)),TRUE)</f>
        <v>1</v>
      </c>
      <c r="AB534" s="26" t="b">
        <f>IF(Checks!$C534,IF(AND(UPPER(Data!$C534)&lt;&gt;"START",UPPER(Data!$C534)&lt;&gt;"DATA OBJECT",Data!E534&lt;&gt;""),NOT(ISERROR(MATCH(Data!$A534&amp;"||"&amp;Data!E534,Key,0))),TRUE),TRUE)</f>
        <v>1</v>
      </c>
      <c r="AC534" s="27" t="b">
        <f>IF(Checks!C534,IF(UPPER(Data!C534)="END",Data!E534&lt;&gt;"",TRUE),TRUE)</f>
        <v>1</v>
      </c>
    </row>
    <row r="535" spans="1:29" x14ac:dyDescent="0.25">
      <c r="A535" s="1" t="str">
        <f>Data!A535&amp;"||"&amp;Data!B535</f>
        <v>Miscellaneous/subflow/irmifrs9_postprocess.bpmn||080_00_00</v>
      </c>
      <c r="B535" s="19"/>
      <c r="C535" s="24" t="b">
        <f>AND(UPPER(Data!A535)&lt;&gt;"EMPTY",Data!B535&lt;&gt;"")</f>
        <v>1</v>
      </c>
      <c r="D535" s="1"/>
      <c r="E535" s="25" t="b">
        <f t="shared" ca="1" si="16"/>
        <v>0</v>
      </c>
      <c r="F535" s="26" t="b">
        <f ca="1">IF(UPPER(Data!C535)="SUB PROCESS",NOT(ISERROR(MATCH(RIGHT(Data!BY535,LEN(Data!BY535)-5),OFFSET(Data,0,0,ItemsCount,1),0))),TRUE)</f>
        <v>1</v>
      </c>
      <c r="G535" s="26" t="b">
        <f ca="1">IF(MID(UPPER(Data!A535),1,13)="MISCELLANEOUS",NOT(ISERROR(MATCH("path="&amp;Data!A535,OFFSET(Data,0,76,ItemsCount,1),0))),TRUE)</f>
        <v>0</v>
      </c>
      <c r="L535" s="25" t="b">
        <f t="shared" ca="1" si="17"/>
        <v>1</v>
      </c>
      <c r="M535" s="24" t="b">
        <f>IF(Checks!$C535,Data!A535&lt;&gt;"",TRUE)</f>
        <v>1</v>
      </c>
      <c r="N535" s="26" t="b">
        <f>IF(Checks!C535,Data!B535&lt;&gt;"",TRUE)</f>
        <v>1</v>
      </c>
      <c r="O535" s="26" t="b">
        <f>IF(Checks!C535,IF(AND(UPPER(Data!C535)="SERVICE TASK",UPPER(Data!BZ535)="TYPE=SAS"),NodeExists(TRIM(RIGHT(Data!CA535,LEN(Data!CA535)-FIND("=",Data!CA535)))),TRUE),TRUE)</f>
        <v>1</v>
      </c>
      <c r="P535" s="26" t="b">
        <f>IF(Checks!C535,IF(Data!C535="DATA OBJECT",OR(AND(Data!BW535&lt;&gt;"",Data!BX535=""),AND(Data!BW535="",Data!BX535&lt;&gt;"")),TRUE),TRUE)</f>
        <v>1</v>
      </c>
      <c r="Q535" s="26" t="b">
        <f>IF(Checks!C535,UPPER(RIGHT(Data!A535,5))=".BPMN",TRUE)</f>
        <v>1</v>
      </c>
      <c r="R535" s="26" t="b">
        <f>IF(Checks!C535,IF(UPPER(Data!C535)="SUB PROCESS",UPPER(RIGHT(Data!BY535,5))=".BPMN",TRUE),TRUE)</f>
        <v>1</v>
      </c>
      <c r="S535" s="26" t="b">
        <f>IF(Checks!C535,IF(UPPER(Data!C535)="SERVICE TASK",IF(UPPER(Data!BZ535)="TYPE=SAS",UPPER(RIGHT(Data!CA535,4))=".SAS",TRUE),TRUE),TRUE)</f>
        <v>1</v>
      </c>
      <c r="T535" s="26" t="b">
        <f>IF(Checks!C535,IF(Data!B535&lt;&gt;"",Data!D535&lt;&gt;"",TRUE),TRUE)</f>
        <v>1</v>
      </c>
      <c r="U535" s="26" t="b">
        <f>IF(Checks!C535,IF(UPPER(Data!C535)="DATA OBJECT",NOT(ISERROR(MATCH(Data!A535&amp;"||"&amp;Data!BW535&amp;Data!BX535,Key,0))),TRUE),TRUE)</f>
        <v>1</v>
      </c>
      <c r="V535" s="26" t="b">
        <f>IF(Checks!C535,IF(UPPER(Data!C535)="SUB PROCESS",Data!BY535&lt;&gt;"",TRUE),TRUE)</f>
        <v>1</v>
      </c>
      <c r="W535" s="26" t="b">
        <f>IF(Checks!C535,IF(UPPER(Data!C535)="SERVICE TASK",AND(Data!BZ535&lt;&gt;"",Data!CA535&lt;&gt;""),TRUE),TRUE)</f>
        <v>1</v>
      </c>
      <c r="X535" s="26" t="b">
        <f t="array" aca="1" ref="X535" ca="1">SUM((OFFSET(Data!B535,MAX(ROW(Data!$B$5)-ROW(Data!B535),-200),0,400,1)=Data!B535)*(OFFSET(Data!A535,MAX(ROW(Data!$B$5)-ROW(Data!B535),-200),0,400,1)=Data!A535))=1</f>
        <v>1</v>
      </c>
      <c r="Y535" s="26" t="b">
        <f t="array" aca="1" ref="Y535" ca="1">IF(UPPER(Data!C535)="START",SUM((OFFSET(Data!C535,MAX(ROW(Data!$C$5)-ROW(Data!C535),-200),0,400,1)="START")*(OFFSET(Data!A535,MAX(ROW(Data!$B$5)-ROW(Data!B535),-200),0,400,1)=Data!A535))=1,TRUE)</f>
        <v>1</v>
      </c>
      <c r="Z535" s="26" t="b">
        <f t="array" aca="1" ref="Z535" ca="1">IF(UPPER(Data!C535)="END",SUM((OFFSET(Data!C535,MAX(ROW(Data!$C$5)-ROW(Data!C535),-200),0,400,1)="END")*(OFFSET(Data!A535,MAX(ROW(Data!$B$5)-ROW(Data!B535),-200),0,400,1)=Data!A535))=1,TRUE)</f>
        <v>1</v>
      </c>
      <c r="AA535" s="26" t="b">
        <f>IF(Checks!C535,ISERROR(FIND("&amp;",Data!D535)),TRUE)</f>
        <v>1</v>
      </c>
      <c r="AB535" s="26" t="b">
        <f ca="1">IF(Checks!$C535,IF(AND(UPPER(Data!$C535)&lt;&gt;"START",UPPER(Data!$C535)&lt;&gt;"DATA OBJECT",Data!E535&lt;&gt;""),NOT(ISERROR(MATCH(Data!$A535&amp;"||"&amp;Data!E535,Key,0))),TRUE),TRUE)</f>
        <v>1</v>
      </c>
      <c r="AC535" s="27" t="b">
        <f>IF(Checks!C535,IF(UPPER(Data!C535)="END",Data!E535&lt;&gt;"",TRUE),TRUE)</f>
        <v>1</v>
      </c>
    </row>
    <row r="536" spans="1:29" x14ac:dyDescent="0.25">
      <c r="A536" s="1" t="str">
        <f>Data!A536&amp;"||"&amp;Data!B536</f>
        <v>Miscellaneous/subflow/irmifrs9_postprocess.bpmn||080_00_01</v>
      </c>
      <c r="B536" s="19"/>
      <c r="C536" s="24" t="b">
        <f>AND(UPPER(Data!A536)&lt;&gt;"EMPTY",Data!B536&lt;&gt;"")</f>
        <v>1</v>
      </c>
      <c r="D536" s="1"/>
      <c r="E536" s="25" t="b">
        <f t="shared" ca="1" si="16"/>
        <v>0</v>
      </c>
      <c r="F536" s="26" t="b">
        <f ca="1">IF(UPPER(Data!C536)="SUB PROCESS",NOT(ISERROR(MATCH(RIGHT(Data!BY536,LEN(Data!BY536)-5),OFFSET(Data,0,0,ItemsCount,1),0))),TRUE)</f>
        <v>1</v>
      </c>
      <c r="G536" s="26" t="b">
        <f ca="1">IF(MID(UPPER(Data!A536),1,13)="MISCELLANEOUS",NOT(ISERROR(MATCH("path="&amp;Data!A536,OFFSET(Data,0,76,ItemsCount,1),0))),TRUE)</f>
        <v>0</v>
      </c>
      <c r="L536" s="25" t="b">
        <f t="shared" ca="1" si="17"/>
        <v>1</v>
      </c>
      <c r="M536" s="24" t="b">
        <f>IF(Checks!$C536,Data!A536&lt;&gt;"",TRUE)</f>
        <v>1</v>
      </c>
      <c r="N536" s="26" t="b">
        <f>IF(Checks!C536,Data!B536&lt;&gt;"",TRUE)</f>
        <v>1</v>
      </c>
      <c r="O536" s="26" t="b">
        <f>IF(Checks!C536,IF(AND(UPPER(Data!C536)="SERVICE TASK",UPPER(Data!BZ536)="TYPE=SAS"),NodeExists(TRIM(RIGHT(Data!CA536,LEN(Data!CA536)-FIND("=",Data!CA536)))),TRUE),TRUE)</f>
        <v>1</v>
      </c>
      <c r="P536" s="26" t="b">
        <f>IF(Checks!C536,IF(Data!C536="DATA OBJECT",OR(AND(Data!BW536&lt;&gt;"",Data!BX536=""),AND(Data!BW536="",Data!BX536&lt;&gt;"")),TRUE),TRUE)</f>
        <v>1</v>
      </c>
      <c r="Q536" s="26" t="b">
        <f>IF(Checks!C536,UPPER(RIGHT(Data!A536,5))=".BPMN",TRUE)</f>
        <v>1</v>
      </c>
      <c r="R536" s="26" t="b">
        <f>IF(Checks!C536,IF(UPPER(Data!C536)="SUB PROCESS",UPPER(RIGHT(Data!BY536,5))=".BPMN",TRUE),TRUE)</f>
        <v>1</v>
      </c>
      <c r="S536" s="26" t="b">
        <f>IF(Checks!C536,IF(UPPER(Data!C536)="SERVICE TASK",IF(UPPER(Data!BZ536)="TYPE=SAS",UPPER(RIGHT(Data!CA536,4))=".SAS",TRUE),TRUE),TRUE)</f>
        <v>1</v>
      </c>
      <c r="T536" s="26" t="b">
        <f>IF(Checks!C536,IF(Data!B536&lt;&gt;"",Data!D536&lt;&gt;"",TRUE),TRUE)</f>
        <v>1</v>
      </c>
      <c r="U536" s="26" t="b">
        <f ca="1">IF(Checks!C536,IF(UPPER(Data!C536)="DATA OBJECT",NOT(ISERROR(MATCH(Data!A536&amp;"||"&amp;Data!BW536&amp;Data!BX536,Key,0))),TRUE),TRUE)</f>
        <v>1</v>
      </c>
      <c r="V536" s="26" t="b">
        <f>IF(Checks!C536,IF(UPPER(Data!C536)="SUB PROCESS",Data!BY536&lt;&gt;"",TRUE),TRUE)</f>
        <v>1</v>
      </c>
      <c r="W536" s="26" t="b">
        <f>IF(Checks!C536,IF(UPPER(Data!C536)="SERVICE TASK",AND(Data!BZ536&lt;&gt;"",Data!CA536&lt;&gt;""),TRUE),TRUE)</f>
        <v>1</v>
      </c>
      <c r="X536" s="26" t="b">
        <f t="array" aca="1" ref="X536" ca="1">SUM((OFFSET(Data!B536,MAX(ROW(Data!$B$5)-ROW(Data!B536),-200),0,400,1)=Data!B536)*(OFFSET(Data!A536,MAX(ROW(Data!$B$5)-ROW(Data!B536),-200),0,400,1)=Data!A536))=1</f>
        <v>1</v>
      </c>
      <c r="Y536" s="26" t="b">
        <f t="array" aca="1" ref="Y536" ca="1">IF(UPPER(Data!C536)="START",SUM((OFFSET(Data!C536,MAX(ROW(Data!$C$5)-ROW(Data!C536),-200),0,400,1)="START")*(OFFSET(Data!A536,MAX(ROW(Data!$B$5)-ROW(Data!B536),-200),0,400,1)=Data!A536))=1,TRUE)</f>
        <v>1</v>
      </c>
      <c r="Z536" s="26" t="b">
        <f t="array" aca="1" ref="Z536" ca="1">IF(UPPER(Data!C536)="END",SUM((OFFSET(Data!C536,MAX(ROW(Data!$C$5)-ROW(Data!C536),-200),0,400,1)="END")*(OFFSET(Data!A536,MAX(ROW(Data!$B$5)-ROW(Data!B536),-200),0,400,1)=Data!A536))=1,TRUE)</f>
        <v>1</v>
      </c>
      <c r="AA536" s="26" t="b">
        <f>IF(Checks!C536,ISERROR(FIND("&amp;",Data!D536)),TRUE)</f>
        <v>1</v>
      </c>
      <c r="AB536" s="26" t="b">
        <f>IF(Checks!$C536,IF(AND(UPPER(Data!$C536)&lt;&gt;"START",UPPER(Data!$C536)&lt;&gt;"DATA OBJECT",Data!E536&lt;&gt;""),NOT(ISERROR(MATCH(Data!$A536&amp;"||"&amp;Data!E536,Key,0))),TRUE),TRUE)</f>
        <v>1</v>
      </c>
      <c r="AC536" s="27" t="b">
        <f>IF(Checks!C536,IF(UPPER(Data!C536)="END",Data!E536&lt;&gt;"",TRUE),TRUE)</f>
        <v>1</v>
      </c>
    </row>
    <row r="537" spans="1:29" x14ac:dyDescent="0.25">
      <c r="A537" s="1" t="str">
        <f>Data!A537&amp;"||"&amp;Data!B537</f>
        <v>Miscellaneous/subflow/irmifrs9_postprocess.bpmn||080_00_02</v>
      </c>
      <c r="B537" s="19"/>
      <c r="C537" s="24" t="b">
        <f>AND(UPPER(Data!A537)&lt;&gt;"EMPTY",Data!B537&lt;&gt;"")</f>
        <v>1</v>
      </c>
      <c r="D537" s="1"/>
      <c r="E537" s="25" t="b">
        <f t="shared" ca="1" si="16"/>
        <v>0</v>
      </c>
      <c r="F537" s="26" t="b">
        <f ca="1">IF(UPPER(Data!C537)="SUB PROCESS",NOT(ISERROR(MATCH(RIGHT(Data!BY537,LEN(Data!BY537)-5),OFFSET(Data,0,0,ItemsCount,1),0))),TRUE)</f>
        <v>1</v>
      </c>
      <c r="G537" s="26" t="b">
        <f ca="1">IF(MID(UPPER(Data!A537),1,13)="MISCELLANEOUS",NOT(ISERROR(MATCH("path="&amp;Data!A537,OFFSET(Data,0,76,ItemsCount,1),0))),TRUE)</f>
        <v>0</v>
      </c>
      <c r="L537" s="25" t="b">
        <f t="shared" ca="1" si="17"/>
        <v>1</v>
      </c>
      <c r="M537" s="24" t="b">
        <f>IF(Checks!$C537,Data!A537&lt;&gt;"",TRUE)</f>
        <v>1</v>
      </c>
      <c r="N537" s="26" t="b">
        <f>IF(Checks!C537,Data!B537&lt;&gt;"",TRUE)</f>
        <v>1</v>
      </c>
      <c r="O537" s="26" t="b">
        <f>IF(Checks!C537,IF(AND(UPPER(Data!C537)="SERVICE TASK",UPPER(Data!BZ537)="TYPE=SAS"),NodeExists(TRIM(RIGHT(Data!CA537,LEN(Data!CA537)-FIND("=",Data!CA537)))),TRUE),TRUE)</f>
        <v>1</v>
      </c>
      <c r="P537" s="26" t="b">
        <f>IF(Checks!C537,IF(Data!C537="DATA OBJECT",OR(AND(Data!BW537&lt;&gt;"",Data!BX537=""),AND(Data!BW537="",Data!BX537&lt;&gt;"")),TRUE),TRUE)</f>
        <v>1</v>
      </c>
      <c r="Q537" s="26" t="b">
        <f>IF(Checks!C537,UPPER(RIGHT(Data!A537,5))=".BPMN",TRUE)</f>
        <v>1</v>
      </c>
      <c r="R537" s="26" t="b">
        <f>IF(Checks!C537,IF(UPPER(Data!C537)="SUB PROCESS",UPPER(RIGHT(Data!BY537,5))=".BPMN",TRUE),TRUE)</f>
        <v>1</v>
      </c>
      <c r="S537" s="26" t="b">
        <f>IF(Checks!C537,IF(UPPER(Data!C537)="SERVICE TASK",IF(UPPER(Data!BZ537)="TYPE=SAS",UPPER(RIGHT(Data!CA537,4))=".SAS",TRUE),TRUE),TRUE)</f>
        <v>1</v>
      </c>
      <c r="T537" s="26" t="b">
        <f>IF(Checks!C537,IF(Data!B537&lt;&gt;"",Data!D537&lt;&gt;"",TRUE),TRUE)</f>
        <v>1</v>
      </c>
      <c r="U537" s="26" t="b">
        <f ca="1">IF(Checks!C537,IF(UPPER(Data!C537)="DATA OBJECT",NOT(ISERROR(MATCH(Data!A537&amp;"||"&amp;Data!BW537&amp;Data!BX537,Key,0))),TRUE),TRUE)</f>
        <v>1</v>
      </c>
      <c r="V537" s="26" t="b">
        <f>IF(Checks!C537,IF(UPPER(Data!C537)="SUB PROCESS",Data!BY537&lt;&gt;"",TRUE),TRUE)</f>
        <v>1</v>
      </c>
      <c r="W537" s="26" t="b">
        <f>IF(Checks!C537,IF(UPPER(Data!C537)="SERVICE TASK",AND(Data!BZ537&lt;&gt;"",Data!CA537&lt;&gt;""),TRUE),TRUE)</f>
        <v>1</v>
      </c>
      <c r="X537" s="26" t="b">
        <f t="array" aca="1" ref="X537" ca="1">SUM((OFFSET(Data!B537,MAX(ROW(Data!$B$5)-ROW(Data!B537),-200),0,400,1)=Data!B537)*(OFFSET(Data!A537,MAX(ROW(Data!$B$5)-ROW(Data!B537),-200),0,400,1)=Data!A537))=1</f>
        <v>1</v>
      </c>
      <c r="Y537" s="26" t="b">
        <f t="array" aca="1" ref="Y537" ca="1">IF(UPPER(Data!C537)="START",SUM((OFFSET(Data!C537,MAX(ROW(Data!$C$5)-ROW(Data!C537),-200),0,400,1)="START")*(OFFSET(Data!A537,MAX(ROW(Data!$B$5)-ROW(Data!B537),-200),0,400,1)=Data!A537))=1,TRUE)</f>
        <v>1</v>
      </c>
      <c r="Z537" s="26" t="b">
        <f t="array" aca="1" ref="Z537" ca="1">IF(UPPER(Data!C537)="END",SUM((OFFSET(Data!C537,MAX(ROW(Data!$C$5)-ROW(Data!C537),-200),0,400,1)="END")*(OFFSET(Data!A537,MAX(ROW(Data!$B$5)-ROW(Data!B537),-200),0,400,1)=Data!A537))=1,TRUE)</f>
        <v>1</v>
      </c>
      <c r="AA537" s="26" t="b">
        <f>IF(Checks!C537,ISERROR(FIND("&amp;",Data!D537)),TRUE)</f>
        <v>1</v>
      </c>
      <c r="AB537" s="26" t="b">
        <f>IF(Checks!$C537,IF(AND(UPPER(Data!$C537)&lt;&gt;"START",UPPER(Data!$C537)&lt;&gt;"DATA OBJECT",Data!E537&lt;&gt;""),NOT(ISERROR(MATCH(Data!$A537&amp;"||"&amp;Data!E537,Key,0))),TRUE),TRUE)</f>
        <v>1</v>
      </c>
      <c r="AC537" s="27" t="b">
        <f>IF(Checks!C537,IF(UPPER(Data!C537)="END",Data!E537&lt;&gt;"",TRUE),TRUE)</f>
        <v>1</v>
      </c>
    </row>
    <row r="538" spans="1:29" x14ac:dyDescent="0.25">
      <c r="A538" s="1" t="str">
        <f>Data!A538&amp;"||"&amp;Data!B538</f>
        <v>Miscellaneous/subflow/irmifrs9_postprocess.bpmn||080_00_03</v>
      </c>
      <c r="B538" s="19"/>
      <c r="C538" s="24" t="b">
        <f>AND(UPPER(Data!A538)&lt;&gt;"EMPTY",Data!B538&lt;&gt;"")</f>
        <v>1</v>
      </c>
      <c r="D538" s="1"/>
      <c r="E538" s="25" t="b">
        <f t="shared" ca="1" si="16"/>
        <v>0</v>
      </c>
      <c r="F538" s="26" t="b">
        <f ca="1">IF(UPPER(Data!C538)="SUB PROCESS",NOT(ISERROR(MATCH(RIGHT(Data!BY538,LEN(Data!BY538)-5),OFFSET(Data,0,0,ItemsCount,1),0))),TRUE)</f>
        <v>1</v>
      </c>
      <c r="G538" s="26" t="b">
        <f ca="1">IF(MID(UPPER(Data!A538),1,13)="MISCELLANEOUS",NOT(ISERROR(MATCH("path="&amp;Data!A538,OFFSET(Data,0,76,ItemsCount,1),0))),TRUE)</f>
        <v>0</v>
      </c>
      <c r="L538" s="25" t="b">
        <f t="shared" ca="1" si="17"/>
        <v>1</v>
      </c>
      <c r="M538" s="24" t="b">
        <f>IF(Checks!$C538,Data!A538&lt;&gt;"",TRUE)</f>
        <v>1</v>
      </c>
      <c r="N538" s="26" t="b">
        <f>IF(Checks!C538,Data!B538&lt;&gt;"",TRUE)</f>
        <v>1</v>
      </c>
      <c r="O538" s="26" t="b">
        <f>IF(Checks!C538,IF(AND(UPPER(Data!C538)="SERVICE TASK",UPPER(Data!BZ538)="TYPE=SAS"),NodeExists(TRIM(RIGHT(Data!CA538,LEN(Data!CA538)-FIND("=",Data!CA538)))),TRUE),TRUE)</f>
        <v>1</v>
      </c>
      <c r="P538" s="26" t="b">
        <f>IF(Checks!C538,IF(Data!C538="DATA OBJECT",OR(AND(Data!BW538&lt;&gt;"",Data!BX538=""),AND(Data!BW538="",Data!BX538&lt;&gt;"")),TRUE),TRUE)</f>
        <v>1</v>
      </c>
      <c r="Q538" s="26" t="b">
        <f>IF(Checks!C538,UPPER(RIGHT(Data!A538,5))=".BPMN",TRUE)</f>
        <v>1</v>
      </c>
      <c r="R538" s="26" t="b">
        <f>IF(Checks!C538,IF(UPPER(Data!C538)="SUB PROCESS",UPPER(RIGHT(Data!BY538,5))=".BPMN",TRUE),TRUE)</f>
        <v>1</v>
      </c>
      <c r="S538" s="26" t="b">
        <f>IF(Checks!C538,IF(UPPER(Data!C538)="SERVICE TASK",IF(UPPER(Data!BZ538)="TYPE=SAS",UPPER(RIGHT(Data!CA538,4))=".SAS",TRUE),TRUE),TRUE)</f>
        <v>1</v>
      </c>
      <c r="T538" s="26" t="b">
        <f>IF(Checks!C538,IF(Data!B538&lt;&gt;"",Data!D538&lt;&gt;"",TRUE),TRUE)</f>
        <v>1</v>
      </c>
      <c r="U538" s="26" t="b">
        <f ca="1">IF(Checks!C538,IF(UPPER(Data!C538)="DATA OBJECT",NOT(ISERROR(MATCH(Data!A538&amp;"||"&amp;Data!BW538&amp;Data!BX538,Key,0))),TRUE),TRUE)</f>
        <v>1</v>
      </c>
      <c r="V538" s="26" t="b">
        <f>IF(Checks!C538,IF(UPPER(Data!C538)="SUB PROCESS",Data!BY538&lt;&gt;"",TRUE),TRUE)</f>
        <v>1</v>
      </c>
      <c r="W538" s="26" t="b">
        <f>IF(Checks!C538,IF(UPPER(Data!C538)="SERVICE TASK",AND(Data!BZ538&lt;&gt;"",Data!CA538&lt;&gt;""),TRUE),TRUE)</f>
        <v>1</v>
      </c>
      <c r="X538" s="26" t="b">
        <f t="array" aca="1" ref="X538" ca="1">SUM((OFFSET(Data!B538,MAX(ROW(Data!$B$5)-ROW(Data!B538),-200),0,400,1)=Data!B538)*(OFFSET(Data!A538,MAX(ROW(Data!$B$5)-ROW(Data!B538),-200),0,400,1)=Data!A538))=1</f>
        <v>1</v>
      </c>
      <c r="Y538" s="26" t="b">
        <f t="array" aca="1" ref="Y538" ca="1">IF(UPPER(Data!C538)="START",SUM((OFFSET(Data!C538,MAX(ROW(Data!$C$5)-ROW(Data!C538),-200),0,400,1)="START")*(OFFSET(Data!A538,MAX(ROW(Data!$B$5)-ROW(Data!B538),-200),0,400,1)=Data!A538))=1,TRUE)</f>
        <v>1</v>
      </c>
      <c r="Z538" s="26" t="b">
        <f t="array" aca="1" ref="Z538" ca="1">IF(UPPER(Data!C538)="END",SUM((OFFSET(Data!C538,MAX(ROW(Data!$C$5)-ROW(Data!C538),-200),0,400,1)="END")*(OFFSET(Data!A538,MAX(ROW(Data!$B$5)-ROW(Data!B538),-200),0,400,1)=Data!A538))=1,TRUE)</f>
        <v>1</v>
      </c>
      <c r="AA538" s="26" t="b">
        <f>IF(Checks!C538,ISERROR(FIND("&amp;",Data!D538)),TRUE)</f>
        <v>1</v>
      </c>
      <c r="AB538" s="26" t="b">
        <f>IF(Checks!$C538,IF(AND(UPPER(Data!$C538)&lt;&gt;"START",UPPER(Data!$C538)&lt;&gt;"DATA OBJECT",Data!E538&lt;&gt;""),NOT(ISERROR(MATCH(Data!$A538&amp;"||"&amp;Data!E538,Key,0))),TRUE),TRUE)</f>
        <v>1</v>
      </c>
      <c r="AC538" s="27" t="b">
        <f>IF(Checks!C538,IF(UPPER(Data!C538)="END",Data!E538&lt;&gt;"",TRUE),TRUE)</f>
        <v>1</v>
      </c>
    </row>
    <row r="539" spans="1:29" x14ac:dyDescent="0.25">
      <c r="A539" s="1" t="str">
        <f>Data!A539&amp;"||"&amp;Data!B539</f>
        <v>Miscellaneous/subflow/irmifrs9_postprocess.bpmn||080_00_04</v>
      </c>
      <c r="B539" s="19"/>
      <c r="C539" s="24" t="b">
        <f>AND(UPPER(Data!A539)&lt;&gt;"EMPTY",Data!B539&lt;&gt;"")</f>
        <v>1</v>
      </c>
      <c r="D539" s="1"/>
      <c r="E539" s="25" t="b">
        <f t="shared" ca="1" si="16"/>
        <v>0</v>
      </c>
      <c r="F539" s="26" t="b">
        <f ca="1">IF(UPPER(Data!C539)="SUB PROCESS",NOT(ISERROR(MATCH(RIGHT(Data!BY539,LEN(Data!BY539)-5),OFFSET(Data,0,0,ItemsCount,1),0))),TRUE)</f>
        <v>1</v>
      </c>
      <c r="G539" s="26" t="b">
        <f ca="1">IF(MID(UPPER(Data!A539),1,13)="MISCELLANEOUS",NOT(ISERROR(MATCH("path="&amp;Data!A539,OFFSET(Data,0,76,ItemsCount,1),0))),TRUE)</f>
        <v>0</v>
      </c>
      <c r="L539" s="25" t="b">
        <f t="shared" ca="1" si="17"/>
        <v>1</v>
      </c>
      <c r="M539" s="24" t="b">
        <f>IF(Checks!$C539,Data!A539&lt;&gt;"",TRUE)</f>
        <v>1</v>
      </c>
      <c r="N539" s="26" t="b">
        <f>IF(Checks!C539,Data!B539&lt;&gt;"",TRUE)</f>
        <v>1</v>
      </c>
      <c r="O539" s="26" t="b">
        <f>IF(Checks!C539,IF(AND(UPPER(Data!C539)="SERVICE TASK",UPPER(Data!BZ539)="TYPE=SAS"),NodeExists(TRIM(RIGHT(Data!CA539,LEN(Data!CA539)-FIND("=",Data!CA539)))),TRUE),TRUE)</f>
        <v>1</v>
      </c>
      <c r="P539" s="26" t="b">
        <f>IF(Checks!C539,IF(Data!C539="DATA OBJECT",OR(AND(Data!BW539&lt;&gt;"",Data!BX539=""),AND(Data!BW539="",Data!BX539&lt;&gt;"")),TRUE),TRUE)</f>
        <v>1</v>
      </c>
      <c r="Q539" s="26" t="b">
        <f>IF(Checks!C539,UPPER(RIGHT(Data!A539,5))=".BPMN",TRUE)</f>
        <v>1</v>
      </c>
      <c r="R539" s="26" t="b">
        <f>IF(Checks!C539,IF(UPPER(Data!C539)="SUB PROCESS",UPPER(RIGHT(Data!BY539,5))=".BPMN",TRUE),TRUE)</f>
        <v>1</v>
      </c>
      <c r="S539" s="26" t="b">
        <f>IF(Checks!C539,IF(UPPER(Data!C539)="SERVICE TASK",IF(UPPER(Data!BZ539)="TYPE=SAS",UPPER(RIGHT(Data!CA539,4))=".SAS",TRUE),TRUE),TRUE)</f>
        <v>1</v>
      </c>
      <c r="T539" s="26" t="b">
        <f>IF(Checks!C539,IF(Data!B539&lt;&gt;"",Data!D539&lt;&gt;"",TRUE),TRUE)</f>
        <v>1</v>
      </c>
      <c r="U539" s="26" t="b">
        <f ca="1">IF(Checks!C539,IF(UPPER(Data!C539)="DATA OBJECT",NOT(ISERROR(MATCH(Data!A539&amp;"||"&amp;Data!BW539&amp;Data!BX539,Key,0))),TRUE),TRUE)</f>
        <v>1</v>
      </c>
      <c r="V539" s="26" t="b">
        <f>IF(Checks!C539,IF(UPPER(Data!C539)="SUB PROCESS",Data!BY539&lt;&gt;"",TRUE),TRUE)</f>
        <v>1</v>
      </c>
      <c r="W539" s="26" t="b">
        <f>IF(Checks!C539,IF(UPPER(Data!C539)="SERVICE TASK",AND(Data!BZ539&lt;&gt;"",Data!CA539&lt;&gt;""),TRUE),TRUE)</f>
        <v>1</v>
      </c>
      <c r="X539" s="26" t="b">
        <f t="array" aca="1" ref="X539" ca="1">SUM((OFFSET(Data!B539,MAX(ROW(Data!$B$5)-ROW(Data!B539),-200),0,400,1)=Data!B539)*(OFFSET(Data!A539,MAX(ROW(Data!$B$5)-ROW(Data!B539),-200),0,400,1)=Data!A539))=1</f>
        <v>1</v>
      </c>
      <c r="Y539" s="26" t="b">
        <f t="array" aca="1" ref="Y539" ca="1">IF(UPPER(Data!C539)="START",SUM((OFFSET(Data!C539,MAX(ROW(Data!$C$5)-ROW(Data!C539),-200),0,400,1)="START")*(OFFSET(Data!A539,MAX(ROW(Data!$B$5)-ROW(Data!B539),-200),0,400,1)=Data!A539))=1,TRUE)</f>
        <v>1</v>
      </c>
      <c r="Z539" s="26" t="b">
        <f t="array" aca="1" ref="Z539" ca="1">IF(UPPER(Data!C539)="END",SUM((OFFSET(Data!C539,MAX(ROW(Data!$C$5)-ROW(Data!C539),-200),0,400,1)="END")*(OFFSET(Data!A539,MAX(ROW(Data!$B$5)-ROW(Data!B539),-200),0,400,1)=Data!A539))=1,TRUE)</f>
        <v>1</v>
      </c>
      <c r="AA539" s="26" t="b">
        <f>IF(Checks!C539,ISERROR(FIND("&amp;",Data!D539)),TRUE)</f>
        <v>1</v>
      </c>
      <c r="AB539" s="26" t="b">
        <f>IF(Checks!$C539,IF(AND(UPPER(Data!$C539)&lt;&gt;"START",UPPER(Data!$C539)&lt;&gt;"DATA OBJECT",Data!E539&lt;&gt;""),NOT(ISERROR(MATCH(Data!$A539&amp;"||"&amp;Data!E539,Key,0))),TRUE),TRUE)</f>
        <v>1</v>
      </c>
      <c r="AC539" s="27" t="b">
        <f>IF(Checks!C539,IF(UPPER(Data!C539)="END",Data!E539&lt;&gt;"",TRUE),TRUE)</f>
        <v>1</v>
      </c>
    </row>
    <row r="540" spans="1:29" x14ac:dyDescent="0.25">
      <c r="A540" s="1" t="str">
        <f>Data!A540&amp;"||"&amp;Data!B540</f>
        <v>Miscellaneous/subflow/irmifrs9_postprocess.bpmn||080_01_00</v>
      </c>
      <c r="B540" s="19"/>
      <c r="C540" s="24" t="b">
        <f>AND(UPPER(Data!A540)&lt;&gt;"EMPTY",Data!B540&lt;&gt;"")</f>
        <v>1</v>
      </c>
      <c r="D540" s="1"/>
      <c r="E540" s="25" t="b">
        <f t="shared" ca="1" si="16"/>
        <v>0</v>
      </c>
      <c r="F540" s="26" t="b">
        <f ca="1">IF(UPPER(Data!C540)="SUB PROCESS",NOT(ISERROR(MATCH(RIGHT(Data!BY540,LEN(Data!BY540)-5),OFFSET(Data,0,0,ItemsCount,1),0))),TRUE)</f>
        <v>1</v>
      </c>
      <c r="G540" s="26" t="b">
        <f ca="1">IF(MID(UPPER(Data!A540),1,13)="MISCELLANEOUS",NOT(ISERROR(MATCH("path="&amp;Data!A540,OFFSET(Data,0,76,ItemsCount,1),0))),TRUE)</f>
        <v>0</v>
      </c>
      <c r="L540" s="25" t="b">
        <f t="shared" ca="1" si="17"/>
        <v>1</v>
      </c>
      <c r="M540" s="24" t="b">
        <f>IF(Checks!$C540,Data!A540&lt;&gt;"",TRUE)</f>
        <v>1</v>
      </c>
      <c r="N540" s="26" t="b">
        <f>IF(Checks!C540,Data!B540&lt;&gt;"",TRUE)</f>
        <v>1</v>
      </c>
      <c r="O540" s="26" t="b">
        <f>IF(Checks!C540,IF(AND(UPPER(Data!C540)="SERVICE TASK",UPPER(Data!BZ540)="TYPE=SAS"),NodeExists(TRIM(RIGHT(Data!CA540,LEN(Data!CA540)-FIND("=",Data!CA540)))),TRUE),TRUE)</f>
        <v>1</v>
      </c>
      <c r="P540" s="26" t="b">
        <f>IF(Checks!C540,IF(Data!C540="DATA OBJECT",OR(AND(Data!BW540&lt;&gt;"",Data!BX540=""),AND(Data!BW540="",Data!BX540&lt;&gt;"")),TRUE),TRUE)</f>
        <v>1</v>
      </c>
      <c r="Q540" s="26" t="b">
        <f>IF(Checks!C540,UPPER(RIGHT(Data!A540,5))=".BPMN",TRUE)</f>
        <v>1</v>
      </c>
      <c r="R540" s="26" t="b">
        <f>IF(Checks!C540,IF(UPPER(Data!C540)="SUB PROCESS",UPPER(RIGHT(Data!BY540,5))=".BPMN",TRUE),TRUE)</f>
        <v>1</v>
      </c>
      <c r="S540" s="26" t="b">
        <f>IF(Checks!C540,IF(UPPER(Data!C540)="SERVICE TASK",IF(UPPER(Data!BZ540)="TYPE=SAS",UPPER(RIGHT(Data!CA540,4))=".SAS",TRUE),TRUE),TRUE)</f>
        <v>1</v>
      </c>
      <c r="T540" s="26" t="b">
        <f>IF(Checks!C540,IF(Data!B540&lt;&gt;"",Data!D540&lt;&gt;"",TRUE),TRUE)</f>
        <v>1</v>
      </c>
      <c r="U540" s="26" t="b">
        <f ca="1">IF(Checks!C540,IF(UPPER(Data!C540)="DATA OBJECT",NOT(ISERROR(MATCH(Data!A540&amp;"||"&amp;Data!BW540&amp;Data!BX540,Key,0))),TRUE),TRUE)</f>
        <v>1</v>
      </c>
      <c r="V540" s="26" t="b">
        <f>IF(Checks!C540,IF(UPPER(Data!C540)="SUB PROCESS",Data!BY540&lt;&gt;"",TRUE),TRUE)</f>
        <v>1</v>
      </c>
      <c r="W540" s="26" t="b">
        <f>IF(Checks!C540,IF(UPPER(Data!C540)="SERVICE TASK",AND(Data!BZ540&lt;&gt;"",Data!CA540&lt;&gt;""),TRUE),TRUE)</f>
        <v>1</v>
      </c>
      <c r="X540" s="26" t="b">
        <f t="array" aca="1" ref="X540" ca="1">SUM((OFFSET(Data!B540,MAX(ROW(Data!$B$5)-ROW(Data!B540),-200),0,400,1)=Data!B540)*(OFFSET(Data!A540,MAX(ROW(Data!$B$5)-ROW(Data!B540),-200),0,400,1)=Data!A540))=1</f>
        <v>1</v>
      </c>
      <c r="Y540" s="26" t="b">
        <f t="array" aca="1" ref="Y540" ca="1">IF(UPPER(Data!C540)="START",SUM((OFFSET(Data!C540,MAX(ROW(Data!$C$5)-ROW(Data!C540),-200),0,400,1)="START")*(OFFSET(Data!A540,MAX(ROW(Data!$B$5)-ROW(Data!B540),-200),0,400,1)=Data!A540))=1,TRUE)</f>
        <v>1</v>
      </c>
      <c r="Z540" s="26" t="b">
        <f t="array" aca="1" ref="Z540" ca="1">IF(UPPER(Data!C540)="END",SUM((OFFSET(Data!C540,MAX(ROW(Data!$C$5)-ROW(Data!C540),-200),0,400,1)="END")*(OFFSET(Data!A540,MAX(ROW(Data!$B$5)-ROW(Data!B540),-200),0,400,1)=Data!A540))=1,TRUE)</f>
        <v>1</v>
      </c>
      <c r="AA540" s="26" t="b">
        <f>IF(Checks!C540,ISERROR(FIND("&amp;",Data!D540)),TRUE)</f>
        <v>1</v>
      </c>
      <c r="AB540" s="26" t="b">
        <f>IF(Checks!$C540,IF(AND(UPPER(Data!$C540)&lt;&gt;"START",UPPER(Data!$C540)&lt;&gt;"DATA OBJECT",Data!E540&lt;&gt;""),NOT(ISERROR(MATCH(Data!$A540&amp;"||"&amp;Data!E540,Key,0))),TRUE),TRUE)</f>
        <v>1</v>
      </c>
      <c r="AC540" s="27" t="b">
        <f>IF(Checks!C540,IF(UPPER(Data!C540)="END",Data!E540&lt;&gt;"",TRUE),TRUE)</f>
        <v>1</v>
      </c>
    </row>
    <row r="541" spans="1:29" x14ac:dyDescent="0.25">
      <c r="A541" s="1" t="str">
        <f>Data!A541&amp;"||"&amp;Data!B541</f>
        <v>Miscellaneous/subflow/irmifrs9_postprocess.bpmn||999_00_00</v>
      </c>
      <c r="B541" s="19"/>
      <c r="C541" s="24" t="b">
        <f>AND(UPPER(Data!A541)&lt;&gt;"EMPTY",Data!B541&lt;&gt;"")</f>
        <v>1</v>
      </c>
      <c r="D541" s="1"/>
      <c r="E541" s="25" t="b">
        <f t="shared" ca="1" si="16"/>
        <v>0</v>
      </c>
      <c r="F541" s="26" t="b">
        <f ca="1">IF(UPPER(Data!C541)="SUB PROCESS",NOT(ISERROR(MATCH(RIGHT(Data!BY541,LEN(Data!BY541)-5),OFFSET(Data,0,0,ItemsCount,1),0))),TRUE)</f>
        <v>1</v>
      </c>
      <c r="G541" s="26" t="b">
        <f ca="1">IF(MID(UPPER(Data!A541),1,13)="MISCELLANEOUS",NOT(ISERROR(MATCH("path="&amp;Data!A541,OFFSET(Data,0,76,ItemsCount,1),0))),TRUE)</f>
        <v>0</v>
      </c>
      <c r="L541" s="25" t="b">
        <f t="shared" ca="1" si="17"/>
        <v>1</v>
      </c>
      <c r="M541" s="24" t="b">
        <f>IF(Checks!$C541,Data!A541&lt;&gt;"",TRUE)</f>
        <v>1</v>
      </c>
      <c r="N541" s="26" t="b">
        <f>IF(Checks!C541,Data!B541&lt;&gt;"",TRUE)</f>
        <v>1</v>
      </c>
      <c r="O541" s="26" t="b">
        <f>IF(Checks!C541,IF(AND(UPPER(Data!C541)="SERVICE TASK",UPPER(Data!BZ541)="TYPE=SAS"),NodeExists(TRIM(RIGHT(Data!CA541,LEN(Data!CA541)-FIND("=",Data!CA541)))),TRUE),TRUE)</f>
        <v>1</v>
      </c>
      <c r="P541" s="26" t="b">
        <f>IF(Checks!C541,IF(Data!C541="DATA OBJECT",OR(AND(Data!BW541&lt;&gt;"",Data!BX541=""),AND(Data!BW541="",Data!BX541&lt;&gt;"")),TRUE),TRUE)</f>
        <v>1</v>
      </c>
      <c r="Q541" s="26" t="b">
        <f>IF(Checks!C541,UPPER(RIGHT(Data!A541,5))=".BPMN",TRUE)</f>
        <v>1</v>
      </c>
      <c r="R541" s="26" t="b">
        <f>IF(Checks!C541,IF(UPPER(Data!C541)="SUB PROCESS",UPPER(RIGHT(Data!BY541,5))=".BPMN",TRUE),TRUE)</f>
        <v>1</v>
      </c>
      <c r="S541" s="26" t="b">
        <f>IF(Checks!C541,IF(UPPER(Data!C541)="SERVICE TASK",IF(UPPER(Data!BZ541)="TYPE=SAS",UPPER(RIGHT(Data!CA541,4))=".SAS",TRUE),TRUE),TRUE)</f>
        <v>1</v>
      </c>
      <c r="T541" s="26" t="b">
        <f>IF(Checks!C541,IF(Data!B541&lt;&gt;"",Data!D541&lt;&gt;"",TRUE),TRUE)</f>
        <v>1</v>
      </c>
      <c r="U541" s="26" t="b">
        <f>IF(Checks!C541,IF(UPPER(Data!C541)="DATA OBJECT",NOT(ISERROR(MATCH(Data!A541&amp;"||"&amp;Data!BW541&amp;Data!BX541,Key,0))),TRUE),TRUE)</f>
        <v>1</v>
      </c>
      <c r="V541" s="26" t="b">
        <f>IF(Checks!C541,IF(UPPER(Data!C541)="SUB PROCESS",Data!BY541&lt;&gt;"",TRUE),TRUE)</f>
        <v>1</v>
      </c>
      <c r="W541" s="26" t="b">
        <f>IF(Checks!C541,IF(UPPER(Data!C541)="SERVICE TASK",AND(Data!BZ541&lt;&gt;"",Data!CA541&lt;&gt;""),TRUE),TRUE)</f>
        <v>1</v>
      </c>
      <c r="X541" s="26" t="b">
        <f t="array" aca="1" ref="X541" ca="1">SUM((OFFSET(Data!B541,MAX(ROW(Data!$B$5)-ROW(Data!B541),-200),0,400,1)=Data!B541)*(OFFSET(Data!A541,MAX(ROW(Data!$B$5)-ROW(Data!B541),-200),0,400,1)=Data!A541))=1</f>
        <v>1</v>
      </c>
      <c r="Y541" s="26" t="b">
        <f t="array" aca="1" ref="Y541" ca="1">IF(UPPER(Data!C541)="START",SUM((OFFSET(Data!C541,MAX(ROW(Data!$C$5)-ROW(Data!C541),-200),0,400,1)="START")*(OFFSET(Data!A541,MAX(ROW(Data!$B$5)-ROW(Data!B541),-200),0,400,1)=Data!A541))=1,TRUE)</f>
        <v>1</v>
      </c>
      <c r="Z541" s="26" t="b">
        <f t="array" aca="1" ref="Z541" ca="1">IF(UPPER(Data!C541)="END",SUM((OFFSET(Data!C541,MAX(ROW(Data!$C$5)-ROW(Data!C541),-200),0,400,1)="END")*(OFFSET(Data!A541,MAX(ROW(Data!$B$5)-ROW(Data!B541),-200),0,400,1)=Data!A541))=1,TRUE)</f>
        <v>1</v>
      </c>
      <c r="AA541" s="26" t="b">
        <f>IF(Checks!C541,ISERROR(FIND("&amp;",Data!D541)),TRUE)</f>
        <v>1</v>
      </c>
      <c r="AB541" s="26" t="b">
        <f ca="1">IF(Checks!$C541,IF(AND(UPPER(Data!$C541)&lt;&gt;"START",UPPER(Data!$C541)&lt;&gt;"DATA OBJECT",Data!E541&lt;&gt;""),NOT(ISERROR(MATCH(Data!$A541&amp;"||"&amp;Data!E541,Key,0))),TRUE),TRUE)</f>
        <v>1</v>
      </c>
      <c r="AC541" s="27" t="b">
        <f>IF(Checks!C541,IF(UPPER(Data!C541)="END",Data!E541&lt;&gt;"",TRUE),TRUE)</f>
        <v>1</v>
      </c>
    </row>
    <row r="542" spans="1:29" x14ac:dyDescent="0.25">
      <c r="A542" s="1" t="str">
        <f>Data!A542&amp;"||"&amp;Data!B542</f>
        <v>Miscellaneous/subflow/irmifrs9_create_reports.bpmn||000_00_00</v>
      </c>
      <c r="B542" s="19"/>
      <c r="C542" s="24" t="b">
        <f>AND(UPPER(Data!A542)&lt;&gt;"EMPTY",Data!B542&lt;&gt;"")</f>
        <v>1</v>
      </c>
      <c r="D542" s="1"/>
      <c r="E542" s="25" t="b">
        <f t="shared" ca="1" si="16"/>
        <v>1</v>
      </c>
      <c r="F542" s="26" t="b">
        <f ca="1">IF(UPPER(Data!C542)="SUB PROCESS",NOT(ISERROR(MATCH(RIGHT(Data!BY542,LEN(Data!BY542)-5),OFFSET(Data,0,0,ItemsCount,1),0))),TRUE)</f>
        <v>1</v>
      </c>
      <c r="G542" s="26" t="b">
        <f ca="1">IF(MID(UPPER(Data!A542),1,13)="MISCELLANEOUS",NOT(ISERROR(MATCH("path="&amp;Data!A542,OFFSET(Data,0,76,ItemsCount,1),0))),TRUE)</f>
        <v>1</v>
      </c>
      <c r="L542" s="25" t="b">
        <f t="shared" ca="1" si="17"/>
        <v>1</v>
      </c>
      <c r="M542" s="24" t="b">
        <f>IF(Checks!$C542,Data!A542&lt;&gt;"",TRUE)</f>
        <v>1</v>
      </c>
      <c r="N542" s="26" t="b">
        <f>IF(Checks!C542,Data!B542&lt;&gt;"",TRUE)</f>
        <v>1</v>
      </c>
      <c r="O542" s="26" t="b">
        <f>IF(Checks!C542,IF(AND(UPPER(Data!C542)="SERVICE TASK",UPPER(Data!BZ542)="TYPE=SAS"),NodeExists(TRIM(RIGHT(Data!CA542,LEN(Data!CA542)-FIND("=",Data!CA542)))),TRUE),TRUE)</f>
        <v>1</v>
      </c>
      <c r="P542" s="26" t="b">
        <f>IF(Checks!C542,IF(Data!C542="DATA OBJECT",OR(AND(Data!BW542&lt;&gt;"",Data!BX542=""),AND(Data!BW542="",Data!BX542&lt;&gt;"")),TRUE),TRUE)</f>
        <v>1</v>
      </c>
      <c r="Q542" s="26" t="b">
        <f>IF(Checks!C542,UPPER(RIGHT(Data!A542,5))=".BPMN",TRUE)</f>
        <v>1</v>
      </c>
      <c r="R542" s="26" t="b">
        <f>IF(Checks!C542,IF(UPPER(Data!C542)="SUB PROCESS",UPPER(RIGHT(Data!BY542,5))=".BPMN",TRUE),TRUE)</f>
        <v>1</v>
      </c>
      <c r="S542" s="26" t="b">
        <f>IF(Checks!C542,IF(UPPER(Data!C542)="SERVICE TASK",IF(UPPER(Data!BZ542)="TYPE=SAS",UPPER(RIGHT(Data!CA542,4))=".SAS",TRUE),TRUE),TRUE)</f>
        <v>1</v>
      </c>
      <c r="T542" s="26" t="b">
        <f>IF(Checks!C542,IF(Data!B542&lt;&gt;"",Data!D542&lt;&gt;"",TRUE),TRUE)</f>
        <v>1</v>
      </c>
      <c r="U542" s="26" t="b">
        <f>IF(Checks!C542,IF(UPPER(Data!C542)="DATA OBJECT",NOT(ISERROR(MATCH(Data!A542&amp;"||"&amp;Data!BW542&amp;Data!BX542,Key,0))),TRUE),TRUE)</f>
        <v>1</v>
      </c>
      <c r="V542" s="26" t="b">
        <f>IF(Checks!C542,IF(UPPER(Data!C542)="SUB PROCESS",Data!BY542&lt;&gt;"",TRUE),TRUE)</f>
        <v>1</v>
      </c>
      <c r="W542" s="26" t="b">
        <f>IF(Checks!C542,IF(UPPER(Data!C542)="SERVICE TASK",AND(Data!BZ542&lt;&gt;"",Data!CA542&lt;&gt;""),TRUE),TRUE)</f>
        <v>1</v>
      </c>
      <c r="X542" s="26" t="b">
        <f t="array" aca="1" ref="X542" ca="1">SUM((OFFSET(Data!B542,MAX(ROW(Data!$B$5)-ROW(Data!B542),-200),0,400,1)=Data!B542)*(OFFSET(Data!A542,MAX(ROW(Data!$B$5)-ROW(Data!B542),-200),0,400,1)=Data!A542))=1</f>
        <v>1</v>
      </c>
      <c r="Y542" s="26" t="b">
        <f t="array" aca="1" ref="Y542" ca="1">IF(UPPER(Data!C542)="START",SUM((OFFSET(Data!C542,MAX(ROW(Data!$C$5)-ROW(Data!C542),-200),0,400,1)="START")*(OFFSET(Data!A542,MAX(ROW(Data!$B$5)-ROW(Data!B542),-200),0,400,1)=Data!A542))=1,TRUE)</f>
        <v>1</v>
      </c>
      <c r="Z542" s="26" t="b">
        <f t="array" aca="1" ref="Z542" ca="1">IF(UPPER(Data!C542)="END",SUM((OFFSET(Data!C542,MAX(ROW(Data!$C$5)-ROW(Data!C542),-200),0,400,1)="END")*(OFFSET(Data!A542,MAX(ROW(Data!$B$5)-ROW(Data!B542),-200),0,400,1)=Data!A542))=1,TRUE)</f>
        <v>1</v>
      </c>
      <c r="AA542" s="26" t="b">
        <f>IF(Checks!C542,ISERROR(FIND("&amp;",Data!D542)),TRUE)</f>
        <v>1</v>
      </c>
      <c r="AB542" s="26" t="b">
        <f>IF(Checks!$C542,IF(AND(UPPER(Data!$C542)&lt;&gt;"START",UPPER(Data!$C542)&lt;&gt;"DATA OBJECT",Data!E542&lt;&gt;""),NOT(ISERROR(MATCH(Data!$A542&amp;"||"&amp;Data!E542,Key,0))),TRUE),TRUE)</f>
        <v>1</v>
      </c>
      <c r="AC542" s="27" t="b">
        <f>IF(Checks!C542,IF(UPPER(Data!C542)="END",Data!E542&lt;&gt;"",TRUE),TRUE)</f>
        <v>1</v>
      </c>
    </row>
    <row r="543" spans="1:29" x14ac:dyDescent="0.25">
      <c r="A543" s="1" t="str">
        <f>Data!A543&amp;"||"&amp;Data!B543</f>
        <v>Miscellaneous/subflow/irmifrs9_create_reports.bpmn||001_00_00</v>
      </c>
      <c r="B543" s="19"/>
      <c r="C543" s="24" t="b">
        <f>AND(UPPER(Data!A543)&lt;&gt;"EMPTY",Data!B543&lt;&gt;"")</f>
        <v>1</v>
      </c>
      <c r="D543" s="1"/>
      <c r="E543" s="25" t="b">
        <f t="shared" ca="1" si="16"/>
        <v>1</v>
      </c>
      <c r="F543" s="26" t="b">
        <f ca="1">IF(UPPER(Data!C543)="SUB PROCESS",NOT(ISERROR(MATCH(RIGHT(Data!BY543,LEN(Data!BY543)-5),OFFSET(Data,0,0,ItemsCount,1),0))),TRUE)</f>
        <v>1</v>
      </c>
      <c r="G543" s="26" t="b">
        <f ca="1">IF(MID(UPPER(Data!A543),1,13)="MISCELLANEOUS",NOT(ISERROR(MATCH("path="&amp;Data!A543,OFFSET(Data,0,76,ItemsCount,1),0))),TRUE)</f>
        <v>1</v>
      </c>
      <c r="L543" s="25" t="b">
        <f t="shared" ca="1" si="17"/>
        <v>1</v>
      </c>
      <c r="M543" s="24" t="b">
        <f>IF(Checks!$C543,Data!A543&lt;&gt;"",TRUE)</f>
        <v>1</v>
      </c>
      <c r="N543" s="26" t="b">
        <f>IF(Checks!C543,Data!B543&lt;&gt;"",TRUE)</f>
        <v>1</v>
      </c>
      <c r="O543" s="26" t="b">
        <f>IF(Checks!C543,IF(AND(UPPER(Data!C543)="SERVICE TASK",UPPER(Data!BZ543)="TYPE=SAS"),NodeExists(TRIM(RIGHT(Data!CA543,LEN(Data!CA543)-FIND("=",Data!CA543)))),TRUE),TRUE)</f>
        <v>1</v>
      </c>
      <c r="P543" s="26" t="b">
        <f>IF(Checks!C543,IF(Data!C543="DATA OBJECT",OR(AND(Data!BW543&lt;&gt;"",Data!BX543=""),AND(Data!BW543="",Data!BX543&lt;&gt;"")),TRUE),TRUE)</f>
        <v>1</v>
      </c>
      <c r="Q543" s="26" t="b">
        <f>IF(Checks!C543,UPPER(RIGHT(Data!A543,5))=".BPMN",TRUE)</f>
        <v>1</v>
      </c>
      <c r="R543" s="26" t="b">
        <f>IF(Checks!C543,IF(UPPER(Data!C543)="SUB PROCESS",UPPER(RIGHT(Data!BY543,5))=".BPMN",TRUE),TRUE)</f>
        <v>1</v>
      </c>
      <c r="S543" s="26" t="b">
        <f>IF(Checks!C543,IF(UPPER(Data!C543)="SERVICE TASK",IF(UPPER(Data!BZ543)="TYPE=SAS",UPPER(RIGHT(Data!CA543,4))=".SAS",TRUE),TRUE),TRUE)</f>
        <v>1</v>
      </c>
      <c r="T543" s="26" t="b">
        <f>IF(Checks!C543,IF(Data!B543&lt;&gt;"",Data!D543&lt;&gt;"",TRUE),TRUE)</f>
        <v>1</v>
      </c>
      <c r="U543" s="26" t="b">
        <f>IF(Checks!C543,IF(UPPER(Data!C543)="DATA OBJECT",NOT(ISERROR(MATCH(Data!A543&amp;"||"&amp;Data!BW543&amp;Data!BX543,Key,0))),TRUE),TRUE)</f>
        <v>1</v>
      </c>
      <c r="V543" s="26" t="b">
        <f>IF(Checks!C543,IF(UPPER(Data!C543)="SUB PROCESS",Data!BY543&lt;&gt;"",TRUE),TRUE)</f>
        <v>1</v>
      </c>
      <c r="W543" s="26" t="b">
        <f>IF(Checks!C543,IF(UPPER(Data!C543)="SERVICE TASK",AND(Data!BZ543&lt;&gt;"",Data!CA543&lt;&gt;""),TRUE),TRUE)</f>
        <v>1</v>
      </c>
      <c r="X543" s="26" t="b">
        <f t="array" aca="1" ref="X543" ca="1">SUM((OFFSET(Data!B543,MAX(ROW(Data!$B$5)-ROW(Data!B543),-200),0,400,1)=Data!B543)*(OFFSET(Data!A543,MAX(ROW(Data!$B$5)-ROW(Data!B543),-200),0,400,1)=Data!A543))=1</f>
        <v>1</v>
      </c>
      <c r="Y543" s="26" t="b">
        <f t="array" aca="1" ref="Y543" ca="1">IF(UPPER(Data!C543)="START",SUM((OFFSET(Data!C543,MAX(ROW(Data!$C$5)-ROW(Data!C543),-200),0,400,1)="START")*(OFFSET(Data!A543,MAX(ROW(Data!$B$5)-ROW(Data!B543),-200),0,400,1)=Data!A543))=1,TRUE)</f>
        <v>1</v>
      </c>
      <c r="Z543" s="26" t="b">
        <f t="array" aca="1" ref="Z543" ca="1">IF(UPPER(Data!C543)="END",SUM((OFFSET(Data!C543,MAX(ROW(Data!$C$5)-ROW(Data!C543),-200),0,400,1)="END")*(OFFSET(Data!A543,MAX(ROW(Data!$B$5)-ROW(Data!B543),-200),0,400,1)=Data!A543))=1,TRUE)</f>
        <v>1</v>
      </c>
      <c r="AA543" s="26" t="b">
        <f>IF(Checks!C543,ISERROR(FIND("&amp;",Data!D543)),TRUE)</f>
        <v>1</v>
      </c>
      <c r="AB543" s="26" t="b">
        <f ca="1">IF(Checks!$C543,IF(AND(UPPER(Data!$C543)&lt;&gt;"START",UPPER(Data!$C543)&lt;&gt;"DATA OBJECT",Data!E543&lt;&gt;""),NOT(ISERROR(MATCH(Data!$A543&amp;"||"&amp;Data!E543,Key,0))),TRUE),TRUE)</f>
        <v>1</v>
      </c>
      <c r="AC543" s="27" t="b">
        <f>IF(Checks!C543,IF(UPPER(Data!C543)="END",Data!E543&lt;&gt;"",TRUE),TRUE)</f>
        <v>1</v>
      </c>
    </row>
    <row r="544" spans="1:29" x14ac:dyDescent="0.25">
      <c r="A544" s="1" t="str">
        <f>Data!A544&amp;"||"&amp;Data!B544</f>
        <v>Miscellaneous/subflow/irmifrs9_create_reports.bpmn||001_00_01</v>
      </c>
      <c r="B544" s="19"/>
      <c r="C544" s="24" t="b">
        <f>AND(UPPER(Data!A544)&lt;&gt;"EMPTY",Data!B544&lt;&gt;"")</f>
        <v>1</v>
      </c>
      <c r="D544" s="1"/>
      <c r="E544" s="25" t="b">
        <f t="shared" ca="1" si="16"/>
        <v>1</v>
      </c>
      <c r="F544" s="26" t="b">
        <f ca="1">IF(UPPER(Data!C544)="SUB PROCESS",NOT(ISERROR(MATCH(RIGHT(Data!BY544,LEN(Data!BY544)-5),OFFSET(Data,0,0,ItemsCount,1),0))),TRUE)</f>
        <v>1</v>
      </c>
      <c r="G544" s="26" t="b">
        <f ca="1">IF(MID(UPPER(Data!A544),1,13)="MISCELLANEOUS",NOT(ISERROR(MATCH("path="&amp;Data!A544,OFFSET(Data,0,76,ItemsCount,1),0))),TRUE)</f>
        <v>1</v>
      </c>
      <c r="L544" s="25" t="b">
        <f t="shared" ca="1" si="17"/>
        <v>1</v>
      </c>
      <c r="M544" s="24" t="b">
        <f>IF(Checks!$C544,Data!A544&lt;&gt;"",TRUE)</f>
        <v>1</v>
      </c>
      <c r="N544" s="26" t="b">
        <f>IF(Checks!C544,Data!B544&lt;&gt;"",TRUE)</f>
        <v>1</v>
      </c>
      <c r="O544" s="26" t="b">
        <f>IF(Checks!C544,IF(AND(UPPER(Data!C544)="SERVICE TASK",UPPER(Data!BZ544)="TYPE=SAS"),NodeExists(TRIM(RIGHT(Data!CA544,LEN(Data!CA544)-FIND("=",Data!CA544)))),TRUE),TRUE)</f>
        <v>1</v>
      </c>
      <c r="P544" s="26" t="b">
        <f>IF(Checks!C544,IF(Data!C544="DATA OBJECT",OR(AND(Data!BW544&lt;&gt;"",Data!BX544=""),AND(Data!BW544="",Data!BX544&lt;&gt;"")),TRUE),TRUE)</f>
        <v>1</v>
      </c>
      <c r="Q544" s="26" t="b">
        <f>IF(Checks!C544,UPPER(RIGHT(Data!A544,5))=".BPMN",TRUE)</f>
        <v>1</v>
      </c>
      <c r="R544" s="26" t="b">
        <f>IF(Checks!C544,IF(UPPER(Data!C544)="SUB PROCESS",UPPER(RIGHT(Data!BY544,5))=".BPMN",TRUE),TRUE)</f>
        <v>1</v>
      </c>
      <c r="S544" s="26" t="b">
        <f>IF(Checks!C544,IF(UPPER(Data!C544)="SERVICE TASK",IF(UPPER(Data!BZ544)="TYPE=SAS",UPPER(RIGHT(Data!CA544,4))=".SAS",TRUE),TRUE),TRUE)</f>
        <v>1</v>
      </c>
      <c r="T544" s="26" t="b">
        <f>IF(Checks!C544,IF(Data!B544&lt;&gt;"",Data!D544&lt;&gt;"",TRUE),TRUE)</f>
        <v>1</v>
      </c>
      <c r="U544" s="26" t="b">
        <f ca="1">IF(Checks!C544,IF(UPPER(Data!C544)="DATA OBJECT",NOT(ISERROR(MATCH(Data!A544&amp;"||"&amp;Data!BW544&amp;Data!BX544,Key,0))),TRUE),TRUE)</f>
        <v>1</v>
      </c>
      <c r="V544" s="26" t="b">
        <f>IF(Checks!C544,IF(UPPER(Data!C544)="SUB PROCESS",Data!BY544&lt;&gt;"",TRUE),TRUE)</f>
        <v>1</v>
      </c>
      <c r="W544" s="26" t="b">
        <f>IF(Checks!C544,IF(UPPER(Data!C544)="SERVICE TASK",AND(Data!BZ544&lt;&gt;"",Data!CA544&lt;&gt;""),TRUE),TRUE)</f>
        <v>1</v>
      </c>
      <c r="X544" s="26" t="b">
        <f t="array" aca="1" ref="X544" ca="1">SUM((OFFSET(Data!B544,MAX(ROW(Data!$B$5)-ROW(Data!B544),-200),0,400,1)=Data!B544)*(OFFSET(Data!A544,MAX(ROW(Data!$B$5)-ROW(Data!B544),-200),0,400,1)=Data!A544))=1</f>
        <v>1</v>
      </c>
      <c r="Y544" s="26" t="b">
        <f t="array" aca="1" ref="Y544" ca="1">IF(UPPER(Data!C544)="START",SUM((OFFSET(Data!C544,MAX(ROW(Data!$C$5)-ROW(Data!C544),-200),0,400,1)="START")*(OFFSET(Data!A544,MAX(ROW(Data!$B$5)-ROW(Data!B544),-200),0,400,1)=Data!A544))=1,TRUE)</f>
        <v>1</v>
      </c>
      <c r="Z544" s="26" t="b">
        <f t="array" aca="1" ref="Z544" ca="1">IF(UPPER(Data!C544)="END",SUM((OFFSET(Data!C544,MAX(ROW(Data!$C$5)-ROW(Data!C544),-200),0,400,1)="END")*(OFFSET(Data!A544,MAX(ROW(Data!$B$5)-ROW(Data!B544),-200),0,400,1)=Data!A544))=1,TRUE)</f>
        <v>1</v>
      </c>
      <c r="AA544" s="26" t="b">
        <f>IF(Checks!C544,ISERROR(FIND("&amp;",Data!D544)),TRUE)</f>
        <v>1</v>
      </c>
      <c r="AB544" s="26" t="b">
        <f>IF(Checks!$C544,IF(AND(UPPER(Data!$C544)&lt;&gt;"START",UPPER(Data!$C544)&lt;&gt;"DATA OBJECT",Data!E544&lt;&gt;""),NOT(ISERROR(MATCH(Data!$A544&amp;"||"&amp;Data!E544,Key,0))),TRUE),TRUE)</f>
        <v>1</v>
      </c>
      <c r="AC544" s="27" t="b">
        <f>IF(Checks!C544,IF(UPPER(Data!C544)="END",Data!E544&lt;&gt;"",TRUE),TRUE)</f>
        <v>1</v>
      </c>
    </row>
    <row r="545" spans="1:29" x14ac:dyDescent="0.25">
      <c r="A545" s="1" t="str">
        <f>Data!A545&amp;"||"&amp;Data!B545</f>
        <v>Miscellaneous/subflow/irmifrs9_create_reports.bpmn||001_00_02</v>
      </c>
      <c r="B545" s="19"/>
      <c r="C545" s="24" t="b">
        <f>AND(UPPER(Data!A545)&lt;&gt;"EMPTY",Data!B545&lt;&gt;"")</f>
        <v>1</v>
      </c>
      <c r="D545" s="1"/>
      <c r="E545" s="25" t="b">
        <f t="shared" ca="1" si="16"/>
        <v>1</v>
      </c>
      <c r="F545" s="26" t="b">
        <f ca="1">IF(UPPER(Data!C545)="SUB PROCESS",NOT(ISERROR(MATCH(RIGHT(Data!BY545,LEN(Data!BY545)-5),OFFSET(Data,0,0,ItemsCount,1),0))),TRUE)</f>
        <v>1</v>
      </c>
      <c r="G545" s="26" t="b">
        <f ca="1">IF(MID(UPPER(Data!A545),1,13)="MISCELLANEOUS",NOT(ISERROR(MATCH("path="&amp;Data!A545,OFFSET(Data,0,76,ItemsCount,1),0))),TRUE)</f>
        <v>1</v>
      </c>
      <c r="L545" s="25" t="b">
        <f t="shared" ca="1" si="17"/>
        <v>1</v>
      </c>
      <c r="M545" s="24" t="b">
        <f>IF(Checks!$C545,Data!A545&lt;&gt;"",TRUE)</f>
        <v>1</v>
      </c>
      <c r="N545" s="26" t="b">
        <f>IF(Checks!C545,Data!B545&lt;&gt;"",TRUE)</f>
        <v>1</v>
      </c>
      <c r="O545" s="26" t="b">
        <f>IF(Checks!C545,IF(AND(UPPER(Data!C545)="SERVICE TASK",UPPER(Data!BZ545)="TYPE=SAS"),NodeExists(TRIM(RIGHT(Data!CA545,LEN(Data!CA545)-FIND("=",Data!CA545)))),TRUE),TRUE)</f>
        <v>1</v>
      </c>
      <c r="P545" s="26" t="b">
        <f>IF(Checks!C545,IF(Data!C545="DATA OBJECT",OR(AND(Data!BW545&lt;&gt;"",Data!BX545=""),AND(Data!BW545="",Data!BX545&lt;&gt;"")),TRUE),TRUE)</f>
        <v>1</v>
      </c>
      <c r="Q545" s="26" t="b">
        <f>IF(Checks!C545,UPPER(RIGHT(Data!A545,5))=".BPMN",TRUE)</f>
        <v>1</v>
      </c>
      <c r="R545" s="26" t="b">
        <f>IF(Checks!C545,IF(UPPER(Data!C545)="SUB PROCESS",UPPER(RIGHT(Data!BY545,5))=".BPMN",TRUE),TRUE)</f>
        <v>1</v>
      </c>
      <c r="S545" s="26" t="b">
        <f>IF(Checks!C545,IF(UPPER(Data!C545)="SERVICE TASK",IF(UPPER(Data!BZ545)="TYPE=SAS",UPPER(RIGHT(Data!CA545,4))=".SAS",TRUE),TRUE),TRUE)</f>
        <v>1</v>
      </c>
      <c r="T545" s="26" t="b">
        <f>IF(Checks!C545,IF(Data!B545&lt;&gt;"",Data!D545&lt;&gt;"",TRUE),TRUE)</f>
        <v>1</v>
      </c>
      <c r="U545" s="26" t="b">
        <f ca="1">IF(Checks!C545,IF(UPPER(Data!C545)="DATA OBJECT",NOT(ISERROR(MATCH(Data!A545&amp;"||"&amp;Data!BW545&amp;Data!BX545,Key,0))),TRUE),TRUE)</f>
        <v>1</v>
      </c>
      <c r="V545" s="26" t="b">
        <f>IF(Checks!C545,IF(UPPER(Data!C545)="SUB PROCESS",Data!BY545&lt;&gt;"",TRUE),TRUE)</f>
        <v>1</v>
      </c>
      <c r="W545" s="26" t="b">
        <f>IF(Checks!C545,IF(UPPER(Data!C545)="SERVICE TASK",AND(Data!BZ545&lt;&gt;"",Data!CA545&lt;&gt;""),TRUE),TRUE)</f>
        <v>1</v>
      </c>
      <c r="X545" s="26" t="b">
        <f t="array" aca="1" ref="X545" ca="1">SUM((OFFSET(Data!B545,MAX(ROW(Data!$B$5)-ROW(Data!B545),-200),0,400,1)=Data!B545)*(OFFSET(Data!A545,MAX(ROW(Data!$B$5)-ROW(Data!B545),-200),0,400,1)=Data!A545))=1</f>
        <v>1</v>
      </c>
      <c r="Y545" s="26" t="b">
        <f t="array" aca="1" ref="Y545" ca="1">IF(UPPER(Data!C545)="START",SUM((OFFSET(Data!C545,MAX(ROW(Data!$C$5)-ROW(Data!C545),-200),0,400,1)="START")*(OFFSET(Data!A545,MAX(ROW(Data!$B$5)-ROW(Data!B545),-200),0,400,1)=Data!A545))=1,TRUE)</f>
        <v>1</v>
      </c>
      <c r="Z545" s="26" t="b">
        <f t="array" aca="1" ref="Z545" ca="1">IF(UPPER(Data!C545)="END",SUM((OFFSET(Data!C545,MAX(ROW(Data!$C$5)-ROW(Data!C545),-200),0,400,1)="END")*(OFFSET(Data!A545,MAX(ROW(Data!$B$5)-ROW(Data!B545),-200),0,400,1)=Data!A545))=1,TRUE)</f>
        <v>1</v>
      </c>
      <c r="AA545" s="26" t="b">
        <f>IF(Checks!C545,ISERROR(FIND("&amp;",Data!D545)),TRUE)</f>
        <v>1</v>
      </c>
      <c r="AB545" s="26" t="b">
        <f>IF(Checks!$C545,IF(AND(UPPER(Data!$C545)&lt;&gt;"START",UPPER(Data!$C545)&lt;&gt;"DATA OBJECT",Data!E545&lt;&gt;""),NOT(ISERROR(MATCH(Data!$A545&amp;"||"&amp;Data!E545,Key,0))),TRUE),TRUE)</f>
        <v>1</v>
      </c>
      <c r="AC545" s="27" t="b">
        <f>IF(Checks!C545,IF(UPPER(Data!C545)="END",Data!E545&lt;&gt;"",TRUE),TRUE)</f>
        <v>1</v>
      </c>
    </row>
    <row r="546" spans="1:29" x14ac:dyDescent="0.25">
      <c r="A546" s="1" t="str">
        <f>Data!A546&amp;"||"&amp;Data!B546</f>
        <v>Miscellaneous/subflow/irmifrs9_create_reports.bpmn||001_00_03</v>
      </c>
      <c r="B546" s="19"/>
      <c r="C546" s="24" t="b">
        <f>AND(UPPER(Data!A546)&lt;&gt;"EMPTY",Data!B546&lt;&gt;"")</f>
        <v>1</v>
      </c>
      <c r="D546" s="1"/>
      <c r="E546" s="25" t="b">
        <f t="shared" ca="1" si="16"/>
        <v>1</v>
      </c>
      <c r="F546" s="26" t="b">
        <f ca="1">IF(UPPER(Data!C546)="SUB PROCESS",NOT(ISERROR(MATCH(RIGHT(Data!BY546,LEN(Data!BY546)-5),OFFSET(Data,0,0,ItemsCount,1),0))),TRUE)</f>
        <v>1</v>
      </c>
      <c r="G546" s="26" t="b">
        <f ca="1">IF(MID(UPPER(Data!A546),1,13)="MISCELLANEOUS",NOT(ISERROR(MATCH("path="&amp;Data!A546,OFFSET(Data,0,76,ItemsCount,1),0))),TRUE)</f>
        <v>1</v>
      </c>
      <c r="L546" s="25" t="b">
        <f t="shared" ca="1" si="17"/>
        <v>1</v>
      </c>
      <c r="M546" s="24" t="b">
        <f>IF(Checks!$C546,Data!A546&lt;&gt;"",TRUE)</f>
        <v>1</v>
      </c>
      <c r="N546" s="26" t="b">
        <f>IF(Checks!C546,Data!B546&lt;&gt;"",TRUE)</f>
        <v>1</v>
      </c>
      <c r="O546" s="26" t="b">
        <f>IF(Checks!C546,IF(AND(UPPER(Data!C546)="SERVICE TASK",UPPER(Data!BZ546)="TYPE=SAS"),NodeExists(TRIM(RIGHT(Data!CA546,LEN(Data!CA546)-FIND("=",Data!CA546)))),TRUE),TRUE)</f>
        <v>1</v>
      </c>
      <c r="P546" s="26" t="b">
        <f>IF(Checks!C546,IF(Data!C546="DATA OBJECT",OR(AND(Data!BW546&lt;&gt;"",Data!BX546=""),AND(Data!BW546="",Data!BX546&lt;&gt;"")),TRUE),TRUE)</f>
        <v>1</v>
      </c>
      <c r="Q546" s="26" t="b">
        <f>IF(Checks!C546,UPPER(RIGHT(Data!A546,5))=".BPMN",TRUE)</f>
        <v>1</v>
      </c>
      <c r="R546" s="26" t="b">
        <f>IF(Checks!C546,IF(UPPER(Data!C546)="SUB PROCESS",UPPER(RIGHT(Data!BY546,5))=".BPMN",TRUE),TRUE)</f>
        <v>1</v>
      </c>
      <c r="S546" s="26" t="b">
        <f>IF(Checks!C546,IF(UPPER(Data!C546)="SERVICE TASK",IF(UPPER(Data!BZ546)="TYPE=SAS",UPPER(RIGHT(Data!CA546,4))=".SAS",TRUE),TRUE),TRUE)</f>
        <v>1</v>
      </c>
      <c r="T546" s="26" t="b">
        <f>IF(Checks!C546,IF(Data!B546&lt;&gt;"",Data!D546&lt;&gt;"",TRUE),TRUE)</f>
        <v>1</v>
      </c>
      <c r="U546" s="26" t="b">
        <f ca="1">IF(Checks!C546,IF(UPPER(Data!C546)="DATA OBJECT",NOT(ISERROR(MATCH(Data!A546&amp;"||"&amp;Data!BW546&amp;Data!BX546,Key,0))),TRUE),TRUE)</f>
        <v>1</v>
      </c>
      <c r="V546" s="26" t="b">
        <f>IF(Checks!C546,IF(UPPER(Data!C546)="SUB PROCESS",Data!BY546&lt;&gt;"",TRUE),TRUE)</f>
        <v>1</v>
      </c>
      <c r="W546" s="26" t="b">
        <f>IF(Checks!C546,IF(UPPER(Data!C546)="SERVICE TASK",AND(Data!BZ546&lt;&gt;"",Data!CA546&lt;&gt;""),TRUE),TRUE)</f>
        <v>1</v>
      </c>
      <c r="X546" s="26" t="b">
        <f t="array" aca="1" ref="X546" ca="1">SUM((OFFSET(Data!B546,MAX(ROW(Data!$B$5)-ROW(Data!B546),-200),0,400,1)=Data!B546)*(OFFSET(Data!A546,MAX(ROW(Data!$B$5)-ROW(Data!B546),-200),0,400,1)=Data!A546))=1</f>
        <v>1</v>
      </c>
      <c r="Y546" s="26" t="b">
        <f t="array" aca="1" ref="Y546" ca="1">IF(UPPER(Data!C546)="START",SUM((OFFSET(Data!C546,MAX(ROW(Data!$C$5)-ROW(Data!C546),-200),0,400,1)="START")*(OFFSET(Data!A546,MAX(ROW(Data!$B$5)-ROW(Data!B546),-200),0,400,1)=Data!A546))=1,TRUE)</f>
        <v>1</v>
      </c>
      <c r="Z546" s="26" t="b">
        <f t="array" aca="1" ref="Z546" ca="1">IF(UPPER(Data!C546)="END",SUM((OFFSET(Data!C546,MAX(ROW(Data!$C$5)-ROW(Data!C546),-200),0,400,1)="END")*(OFFSET(Data!A546,MAX(ROW(Data!$B$5)-ROW(Data!B546),-200),0,400,1)=Data!A546))=1,TRUE)</f>
        <v>1</v>
      </c>
      <c r="AA546" s="26" t="b">
        <f>IF(Checks!C546,ISERROR(FIND("&amp;",Data!D546)),TRUE)</f>
        <v>1</v>
      </c>
      <c r="AB546" s="26" t="b">
        <f>IF(Checks!$C546,IF(AND(UPPER(Data!$C546)&lt;&gt;"START",UPPER(Data!$C546)&lt;&gt;"DATA OBJECT",Data!E546&lt;&gt;""),NOT(ISERROR(MATCH(Data!$A546&amp;"||"&amp;Data!E546,Key,0))),TRUE),TRUE)</f>
        <v>1</v>
      </c>
      <c r="AC546" s="27" t="b">
        <f>IF(Checks!C546,IF(UPPER(Data!C546)="END",Data!E546&lt;&gt;"",TRUE),TRUE)</f>
        <v>1</v>
      </c>
    </row>
    <row r="547" spans="1:29" x14ac:dyDescent="0.25">
      <c r="A547" s="1" t="str">
        <f>Data!A547&amp;"||"&amp;Data!B547</f>
        <v>Miscellaneous/subflow/irmifrs9_create_reports.bpmn||001_00_04</v>
      </c>
      <c r="B547" s="19"/>
      <c r="C547" s="24" t="b">
        <f>AND(UPPER(Data!A547)&lt;&gt;"EMPTY",Data!B547&lt;&gt;"")</f>
        <v>1</v>
      </c>
      <c r="D547" s="1"/>
      <c r="E547" s="25" t="b">
        <f t="shared" ca="1" si="16"/>
        <v>1</v>
      </c>
      <c r="F547" s="26" t="b">
        <f ca="1">IF(UPPER(Data!C547)="SUB PROCESS",NOT(ISERROR(MATCH(RIGHT(Data!BY547,LEN(Data!BY547)-5),OFFSET(Data,0,0,ItemsCount,1),0))),TRUE)</f>
        <v>1</v>
      </c>
      <c r="G547" s="26" t="b">
        <f ca="1">IF(MID(UPPER(Data!A547),1,13)="MISCELLANEOUS",NOT(ISERROR(MATCH("path="&amp;Data!A547,OFFSET(Data,0,76,ItemsCount,1),0))),TRUE)</f>
        <v>1</v>
      </c>
      <c r="L547" s="25" t="b">
        <f t="shared" ca="1" si="17"/>
        <v>1</v>
      </c>
      <c r="M547" s="24" t="b">
        <f>IF(Checks!$C547,Data!A547&lt;&gt;"",TRUE)</f>
        <v>1</v>
      </c>
      <c r="N547" s="26" t="b">
        <f>IF(Checks!C547,Data!B547&lt;&gt;"",TRUE)</f>
        <v>1</v>
      </c>
      <c r="O547" s="26" t="b">
        <f>IF(Checks!C547,IF(AND(UPPER(Data!C547)="SERVICE TASK",UPPER(Data!BZ547)="TYPE=SAS"),NodeExists(TRIM(RIGHT(Data!CA547,LEN(Data!CA547)-FIND("=",Data!CA547)))),TRUE),TRUE)</f>
        <v>1</v>
      </c>
      <c r="P547" s="26" t="b">
        <f>IF(Checks!C547,IF(Data!C547="DATA OBJECT",OR(AND(Data!BW547&lt;&gt;"",Data!BX547=""),AND(Data!BW547="",Data!BX547&lt;&gt;"")),TRUE),TRUE)</f>
        <v>1</v>
      </c>
      <c r="Q547" s="26" t="b">
        <f>IF(Checks!C547,UPPER(RIGHT(Data!A547,5))=".BPMN",TRUE)</f>
        <v>1</v>
      </c>
      <c r="R547" s="26" t="b">
        <f>IF(Checks!C547,IF(UPPER(Data!C547)="SUB PROCESS",UPPER(RIGHT(Data!BY547,5))=".BPMN",TRUE),TRUE)</f>
        <v>1</v>
      </c>
      <c r="S547" s="26" t="b">
        <f>IF(Checks!C547,IF(UPPER(Data!C547)="SERVICE TASK",IF(UPPER(Data!BZ547)="TYPE=SAS",UPPER(RIGHT(Data!CA547,4))=".SAS",TRUE),TRUE),TRUE)</f>
        <v>1</v>
      </c>
      <c r="T547" s="26" t="b">
        <f>IF(Checks!C547,IF(Data!B547&lt;&gt;"",Data!D547&lt;&gt;"",TRUE),TRUE)</f>
        <v>1</v>
      </c>
      <c r="U547" s="26" t="b">
        <f ca="1">IF(Checks!C547,IF(UPPER(Data!C547)="DATA OBJECT",NOT(ISERROR(MATCH(Data!A547&amp;"||"&amp;Data!BW547&amp;Data!BX547,Key,0))),TRUE),TRUE)</f>
        <v>1</v>
      </c>
      <c r="V547" s="26" t="b">
        <f>IF(Checks!C547,IF(UPPER(Data!C547)="SUB PROCESS",Data!BY547&lt;&gt;"",TRUE),TRUE)</f>
        <v>1</v>
      </c>
      <c r="W547" s="26" t="b">
        <f>IF(Checks!C547,IF(UPPER(Data!C547)="SERVICE TASK",AND(Data!BZ547&lt;&gt;"",Data!CA547&lt;&gt;""),TRUE),TRUE)</f>
        <v>1</v>
      </c>
      <c r="X547" s="26" t="b">
        <f t="array" aca="1" ref="X547" ca="1">SUM((OFFSET(Data!B547,MAX(ROW(Data!$B$5)-ROW(Data!B547),-200),0,400,1)=Data!B547)*(OFFSET(Data!A547,MAX(ROW(Data!$B$5)-ROW(Data!B547),-200),0,400,1)=Data!A547))=1</f>
        <v>1</v>
      </c>
      <c r="Y547" s="26" t="b">
        <f t="array" aca="1" ref="Y547" ca="1">IF(UPPER(Data!C547)="START",SUM((OFFSET(Data!C547,MAX(ROW(Data!$C$5)-ROW(Data!C547),-200),0,400,1)="START")*(OFFSET(Data!A547,MAX(ROW(Data!$B$5)-ROW(Data!B547),-200),0,400,1)=Data!A547))=1,TRUE)</f>
        <v>1</v>
      </c>
      <c r="Z547" s="26" t="b">
        <f t="array" aca="1" ref="Z547" ca="1">IF(UPPER(Data!C547)="END",SUM((OFFSET(Data!C547,MAX(ROW(Data!$C$5)-ROW(Data!C547),-200),0,400,1)="END")*(OFFSET(Data!A547,MAX(ROW(Data!$B$5)-ROW(Data!B547),-200),0,400,1)=Data!A547))=1,TRUE)</f>
        <v>1</v>
      </c>
      <c r="AA547" s="26" t="b">
        <f>IF(Checks!C547,ISERROR(FIND("&amp;",Data!D547)),TRUE)</f>
        <v>1</v>
      </c>
      <c r="AB547" s="26" t="b">
        <f>IF(Checks!$C547,IF(AND(UPPER(Data!$C547)&lt;&gt;"START",UPPER(Data!$C547)&lt;&gt;"DATA OBJECT",Data!E547&lt;&gt;""),NOT(ISERROR(MATCH(Data!$A547&amp;"||"&amp;Data!E547,Key,0))),TRUE),TRUE)</f>
        <v>1</v>
      </c>
      <c r="AC547" s="27" t="b">
        <f>IF(Checks!C547,IF(UPPER(Data!C547)="END",Data!E547&lt;&gt;"",TRUE),TRUE)</f>
        <v>1</v>
      </c>
    </row>
    <row r="548" spans="1:29" x14ac:dyDescent="0.25">
      <c r="A548" s="1" t="str">
        <f>Data!A548&amp;"||"&amp;Data!B548</f>
        <v>Miscellaneous/subflow/irmifrs9_create_reports.bpmn||001_00_05</v>
      </c>
      <c r="B548" s="19"/>
      <c r="C548" s="24" t="b">
        <f>AND(UPPER(Data!A548)&lt;&gt;"EMPTY",Data!B548&lt;&gt;"")</f>
        <v>1</v>
      </c>
      <c r="D548" s="1"/>
      <c r="E548" s="25" t="b">
        <f t="shared" ca="1" si="16"/>
        <v>1</v>
      </c>
      <c r="F548" s="26" t="b">
        <f ca="1">IF(UPPER(Data!C548)="SUB PROCESS",NOT(ISERROR(MATCH(RIGHT(Data!BY548,LEN(Data!BY548)-5),OFFSET(Data,0,0,ItemsCount,1),0))),TRUE)</f>
        <v>1</v>
      </c>
      <c r="G548" s="26" t="b">
        <f ca="1">IF(MID(UPPER(Data!A548),1,13)="MISCELLANEOUS",NOT(ISERROR(MATCH("path="&amp;Data!A548,OFFSET(Data,0,76,ItemsCount,1),0))),TRUE)</f>
        <v>1</v>
      </c>
      <c r="L548" s="25" t="b">
        <f t="shared" ca="1" si="17"/>
        <v>1</v>
      </c>
      <c r="M548" s="24" t="b">
        <f>IF(Checks!$C548,Data!A548&lt;&gt;"",TRUE)</f>
        <v>1</v>
      </c>
      <c r="N548" s="26" t="b">
        <f>IF(Checks!C548,Data!B548&lt;&gt;"",TRUE)</f>
        <v>1</v>
      </c>
      <c r="O548" s="26" t="b">
        <f>IF(Checks!C548,IF(AND(UPPER(Data!C548)="SERVICE TASK",UPPER(Data!BZ548)="TYPE=SAS"),NodeExists(TRIM(RIGHT(Data!CA548,LEN(Data!CA548)-FIND("=",Data!CA548)))),TRUE),TRUE)</f>
        <v>1</v>
      </c>
      <c r="P548" s="26" t="b">
        <f>IF(Checks!C548,IF(Data!C548="DATA OBJECT",OR(AND(Data!BW548&lt;&gt;"",Data!BX548=""),AND(Data!BW548="",Data!BX548&lt;&gt;"")),TRUE),TRUE)</f>
        <v>1</v>
      </c>
      <c r="Q548" s="26" t="b">
        <f>IF(Checks!C548,UPPER(RIGHT(Data!A548,5))=".BPMN",TRUE)</f>
        <v>1</v>
      </c>
      <c r="R548" s="26" t="b">
        <f>IF(Checks!C548,IF(UPPER(Data!C548)="SUB PROCESS",UPPER(RIGHT(Data!BY548,5))=".BPMN",TRUE),TRUE)</f>
        <v>1</v>
      </c>
      <c r="S548" s="26" t="b">
        <f>IF(Checks!C548,IF(UPPER(Data!C548)="SERVICE TASK",IF(UPPER(Data!BZ548)="TYPE=SAS",UPPER(RIGHT(Data!CA548,4))=".SAS",TRUE),TRUE),TRUE)</f>
        <v>1</v>
      </c>
      <c r="T548" s="26" t="b">
        <f>IF(Checks!C548,IF(Data!B548&lt;&gt;"",Data!D548&lt;&gt;"",TRUE),TRUE)</f>
        <v>1</v>
      </c>
      <c r="U548" s="26" t="b">
        <f ca="1">IF(Checks!C548,IF(UPPER(Data!C548)="DATA OBJECT",NOT(ISERROR(MATCH(Data!A548&amp;"||"&amp;Data!BW548&amp;Data!BX548,Key,0))),TRUE),TRUE)</f>
        <v>1</v>
      </c>
      <c r="V548" s="26" t="b">
        <f>IF(Checks!C548,IF(UPPER(Data!C548)="SUB PROCESS",Data!BY548&lt;&gt;"",TRUE),TRUE)</f>
        <v>1</v>
      </c>
      <c r="W548" s="26" t="b">
        <f>IF(Checks!C548,IF(UPPER(Data!C548)="SERVICE TASK",AND(Data!BZ548&lt;&gt;"",Data!CA548&lt;&gt;""),TRUE),TRUE)</f>
        <v>1</v>
      </c>
      <c r="X548" s="26" t="b">
        <f t="array" aca="1" ref="X548" ca="1">SUM((OFFSET(Data!B548,MAX(ROW(Data!$B$5)-ROW(Data!B548),-200),0,400,1)=Data!B548)*(OFFSET(Data!A548,MAX(ROW(Data!$B$5)-ROW(Data!B548),-200),0,400,1)=Data!A548))=1</f>
        <v>1</v>
      </c>
      <c r="Y548" s="26" t="b">
        <f t="array" aca="1" ref="Y548" ca="1">IF(UPPER(Data!C548)="START",SUM((OFFSET(Data!C548,MAX(ROW(Data!$C$5)-ROW(Data!C548),-200),0,400,1)="START")*(OFFSET(Data!A548,MAX(ROW(Data!$B$5)-ROW(Data!B548),-200),0,400,1)=Data!A548))=1,TRUE)</f>
        <v>1</v>
      </c>
      <c r="Z548" s="26" t="b">
        <f t="array" aca="1" ref="Z548" ca="1">IF(UPPER(Data!C548)="END",SUM((OFFSET(Data!C548,MAX(ROW(Data!$C$5)-ROW(Data!C548),-200),0,400,1)="END")*(OFFSET(Data!A548,MAX(ROW(Data!$B$5)-ROW(Data!B548),-200),0,400,1)=Data!A548))=1,TRUE)</f>
        <v>1</v>
      </c>
      <c r="AA548" s="26" t="b">
        <f>IF(Checks!C548,ISERROR(FIND("&amp;",Data!D548)),TRUE)</f>
        <v>1</v>
      </c>
      <c r="AB548" s="26" t="b">
        <f>IF(Checks!$C548,IF(AND(UPPER(Data!$C548)&lt;&gt;"START",UPPER(Data!$C548)&lt;&gt;"DATA OBJECT",Data!E548&lt;&gt;""),NOT(ISERROR(MATCH(Data!$A548&amp;"||"&amp;Data!E548,Key,0))),TRUE),TRUE)</f>
        <v>1</v>
      </c>
      <c r="AC548" s="27" t="b">
        <f>IF(Checks!C548,IF(UPPER(Data!C548)="END",Data!E548&lt;&gt;"",TRUE),TRUE)</f>
        <v>1</v>
      </c>
    </row>
    <row r="549" spans="1:29" x14ac:dyDescent="0.25">
      <c r="A549" s="1" t="str">
        <f>Data!A549&amp;"||"&amp;Data!B549</f>
        <v>Miscellaneous/subflow/irmifrs9_create_reports.bpmn||001_01_00</v>
      </c>
      <c r="B549" s="19"/>
      <c r="C549" s="24" t="b">
        <f>AND(UPPER(Data!A549)&lt;&gt;"EMPTY",Data!B549&lt;&gt;"")</f>
        <v>1</v>
      </c>
      <c r="D549" s="1"/>
      <c r="E549" s="25" t="b">
        <f t="shared" ca="1" si="16"/>
        <v>1</v>
      </c>
      <c r="F549" s="26" t="b">
        <f ca="1">IF(UPPER(Data!C549)="SUB PROCESS",NOT(ISERROR(MATCH(RIGHT(Data!BY549,LEN(Data!BY549)-5),OFFSET(Data,0,0,ItemsCount,1),0))),TRUE)</f>
        <v>1</v>
      </c>
      <c r="G549" s="26" t="b">
        <f ca="1">IF(MID(UPPER(Data!A549),1,13)="MISCELLANEOUS",NOT(ISERROR(MATCH("path="&amp;Data!A549,OFFSET(Data,0,76,ItemsCount,1),0))),TRUE)</f>
        <v>1</v>
      </c>
      <c r="L549" s="25" t="b">
        <f t="shared" ca="1" si="17"/>
        <v>1</v>
      </c>
      <c r="M549" s="24" t="b">
        <f>IF(Checks!$C549,Data!A549&lt;&gt;"",TRUE)</f>
        <v>1</v>
      </c>
      <c r="N549" s="26" t="b">
        <f>IF(Checks!C549,Data!B549&lt;&gt;"",TRUE)</f>
        <v>1</v>
      </c>
      <c r="O549" s="26" t="b">
        <f>IF(Checks!C549,IF(AND(UPPER(Data!C549)="SERVICE TASK",UPPER(Data!BZ549)="TYPE=SAS"),NodeExists(TRIM(RIGHT(Data!CA549,LEN(Data!CA549)-FIND("=",Data!CA549)))),TRUE),TRUE)</f>
        <v>1</v>
      </c>
      <c r="P549" s="26" t="b">
        <f>IF(Checks!C549,IF(Data!C549="DATA OBJECT",OR(AND(Data!BW549&lt;&gt;"",Data!BX549=""),AND(Data!BW549="",Data!BX549&lt;&gt;"")),TRUE),TRUE)</f>
        <v>1</v>
      </c>
      <c r="Q549" s="26" t="b">
        <f>IF(Checks!C549,UPPER(RIGHT(Data!A549,5))=".BPMN",TRUE)</f>
        <v>1</v>
      </c>
      <c r="R549" s="26" t="b">
        <f>IF(Checks!C549,IF(UPPER(Data!C549)="SUB PROCESS",UPPER(RIGHT(Data!BY549,5))=".BPMN",TRUE),TRUE)</f>
        <v>1</v>
      </c>
      <c r="S549" s="26" t="b">
        <f>IF(Checks!C549,IF(UPPER(Data!C549)="SERVICE TASK",IF(UPPER(Data!BZ549)="TYPE=SAS",UPPER(RIGHT(Data!CA549,4))=".SAS",TRUE),TRUE),TRUE)</f>
        <v>1</v>
      </c>
      <c r="T549" s="26" t="b">
        <f>IF(Checks!C549,IF(Data!B549&lt;&gt;"",Data!D549&lt;&gt;"",TRUE),TRUE)</f>
        <v>1</v>
      </c>
      <c r="U549" s="26" t="b">
        <f ca="1">IF(Checks!C549,IF(UPPER(Data!C549)="DATA OBJECT",NOT(ISERROR(MATCH(Data!A549&amp;"||"&amp;Data!BW549&amp;Data!BX549,Key,0))),TRUE),TRUE)</f>
        <v>1</v>
      </c>
      <c r="V549" s="26" t="b">
        <f>IF(Checks!C549,IF(UPPER(Data!C549)="SUB PROCESS",Data!BY549&lt;&gt;"",TRUE),TRUE)</f>
        <v>1</v>
      </c>
      <c r="W549" s="26" t="b">
        <f>IF(Checks!C549,IF(UPPER(Data!C549)="SERVICE TASK",AND(Data!BZ549&lt;&gt;"",Data!CA549&lt;&gt;""),TRUE),TRUE)</f>
        <v>1</v>
      </c>
      <c r="X549" s="26" t="b">
        <f t="array" aca="1" ref="X549" ca="1">SUM((OFFSET(Data!B549,MAX(ROW(Data!$B$5)-ROW(Data!B549),-200),0,400,1)=Data!B549)*(OFFSET(Data!A549,MAX(ROW(Data!$B$5)-ROW(Data!B549),-200),0,400,1)=Data!A549))=1</f>
        <v>1</v>
      </c>
      <c r="Y549" s="26" t="b">
        <f t="array" aca="1" ref="Y549" ca="1">IF(UPPER(Data!C549)="START",SUM((OFFSET(Data!C549,MAX(ROW(Data!$C$5)-ROW(Data!C549),-200),0,400,1)="START")*(OFFSET(Data!A549,MAX(ROW(Data!$B$5)-ROW(Data!B549),-200),0,400,1)=Data!A549))=1,TRUE)</f>
        <v>1</v>
      </c>
      <c r="Z549" s="26" t="b">
        <f t="array" aca="1" ref="Z549" ca="1">IF(UPPER(Data!C549)="END",SUM((OFFSET(Data!C549,MAX(ROW(Data!$C$5)-ROW(Data!C549),-200),0,400,1)="END")*(OFFSET(Data!A549,MAX(ROW(Data!$B$5)-ROW(Data!B549),-200),0,400,1)=Data!A549))=1,TRUE)</f>
        <v>1</v>
      </c>
      <c r="AA549" s="26" t="b">
        <f>IF(Checks!C549,ISERROR(FIND("&amp;",Data!D549)),TRUE)</f>
        <v>1</v>
      </c>
      <c r="AB549" s="26" t="b">
        <f>IF(Checks!$C549,IF(AND(UPPER(Data!$C549)&lt;&gt;"START",UPPER(Data!$C549)&lt;&gt;"DATA OBJECT",Data!E549&lt;&gt;""),NOT(ISERROR(MATCH(Data!$A549&amp;"||"&amp;Data!E549,Key,0))),TRUE),TRUE)</f>
        <v>1</v>
      </c>
      <c r="AC549" s="27" t="b">
        <f>IF(Checks!C549,IF(UPPER(Data!C549)="END",Data!E549&lt;&gt;"",TRUE),TRUE)</f>
        <v>1</v>
      </c>
    </row>
    <row r="550" spans="1:29" x14ac:dyDescent="0.25">
      <c r="A550" s="1" t="str">
        <f>Data!A550&amp;"||"&amp;Data!B550</f>
        <v>Miscellaneous/subflow/irmifrs9_create_reports.bpmn||001_02_00</v>
      </c>
      <c r="B550" s="19"/>
      <c r="C550" s="24" t="b">
        <f>AND(UPPER(Data!A550)&lt;&gt;"EMPTY",Data!B550&lt;&gt;"")</f>
        <v>1</v>
      </c>
      <c r="D550" s="1"/>
      <c r="E550" s="25" t="b">
        <f t="shared" ca="1" si="16"/>
        <v>1</v>
      </c>
      <c r="F550" s="26" t="b">
        <f ca="1">IF(UPPER(Data!C550)="SUB PROCESS",NOT(ISERROR(MATCH(RIGHT(Data!BY550,LEN(Data!BY550)-5),OFFSET(Data,0,0,ItemsCount,1),0))),TRUE)</f>
        <v>1</v>
      </c>
      <c r="G550" s="26" t="b">
        <f ca="1">IF(MID(UPPER(Data!A550),1,13)="MISCELLANEOUS",NOT(ISERROR(MATCH("path="&amp;Data!A550,OFFSET(Data,0,76,ItemsCount,1),0))),TRUE)</f>
        <v>1</v>
      </c>
      <c r="L550" s="25" t="b">
        <f t="shared" ca="1" si="17"/>
        <v>1</v>
      </c>
      <c r="M550" s="24" t="b">
        <f>IF(Checks!$C550,Data!A550&lt;&gt;"",TRUE)</f>
        <v>1</v>
      </c>
      <c r="N550" s="26" t="b">
        <f>IF(Checks!C550,Data!B550&lt;&gt;"",TRUE)</f>
        <v>1</v>
      </c>
      <c r="O550" s="26" t="b">
        <f>IF(Checks!C550,IF(AND(UPPER(Data!C550)="SERVICE TASK",UPPER(Data!BZ550)="TYPE=SAS"),NodeExists(TRIM(RIGHT(Data!CA550,LEN(Data!CA550)-FIND("=",Data!CA550)))),TRUE),TRUE)</f>
        <v>1</v>
      </c>
      <c r="P550" s="26" t="b">
        <f>IF(Checks!C550,IF(Data!C550="DATA OBJECT",OR(AND(Data!BW550&lt;&gt;"",Data!BX550=""),AND(Data!BW550="",Data!BX550&lt;&gt;"")),TRUE),TRUE)</f>
        <v>1</v>
      </c>
      <c r="Q550" s="26" t="b">
        <f>IF(Checks!C550,UPPER(RIGHT(Data!A550,5))=".BPMN",TRUE)</f>
        <v>1</v>
      </c>
      <c r="R550" s="26" t="b">
        <f>IF(Checks!C550,IF(UPPER(Data!C550)="SUB PROCESS",UPPER(RIGHT(Data!BY550,5))=".BPMN",TRUE),TRUE)</f>
        <v>1</v>
      </c>
      <c r="S550" s="26" t="b">
        <f>IF(Checks!C550,IF(UPPER(Data!C550)="SERVICE TASK",IF(UPPER(Data!BZ550)="TYPE=SAS",UPPER(RIGHT(Data!CA550,4))=".SAS",TRUE),TRUE),TRUE)</f>
        <v>1</v>
      </c>
      <c r="T550" s="26" t="b">
        <f>IF(Checks!C550,IF(Data!B550&lt;&gt;"",Data!D550&lt;&gt;"",TRUE),TRUE)</f>
        <v>1</v>
      </c>
      <c r="U550" s="26" t="b">
        <f ca="1">IF(Checks!C550,IF(UPPER(Data!C550)="DATA OBJECT",NOT(ISERROR(MATCH(Data!A550&amp;"||"&amp;Data!BW550&amp;Data!BX550,Key,0))),TRUE),TRUE)</f>
        <v>1</v>
      </c>
      <c r="V550" s="26" t="b">
        <f>IF(Checks!C550,IF(UPPER(Data!C550)="SUB PROCESS",Data!BY550&lt;&gt;"",TRUE),TRUE)</f>
        <v>1</v>
      </c>
      <c r="W550" s="26" t="b">
        <f>IF(Checks!C550,IF(UPPER(Data!C550)="SERVICE TASK",AND(Data!BZ550&lt;&gt;"",Data!CA550&lt;&gt;""),TRUE),TRUE)</f>
        <v>1</v>
      </c>
      <c r="X550" s="26" t="b">
        <f t="array" aca="1" ref="X550" ca="1">SUM((OFFSET(Data!B550,MAX(ROW(Data!$B$5)-ROW(Data!B550),-200),0,400,1)=Data!B550)*(OFFSET(Data!A550,MAX(ROW(Data!$B$5)-ROW(Data!B550),-200),0,400,1)=Data!A550))=1</f>
        <v>1</v>
      </c>
      <c r="Y550" s="26" t="b">
        <f t="array" aca="1" ref="Y550" ca="1">IF(UPPER(Data!C550)="START",SUM((OFFSET(Data!C550,MAX(ROW(Data!$C$5)-ROW(Data!C550),-200),0,400,1)="START")*(OFFSET(Data!A550,MAX(ROW(Data!$B$5)-ROW(Data!B550),-200),0,400,1)=Data!A550))=1,TRUE)</f>
        <v>1</v>
      </c>
      <c r="Z550" s="26" t="b">
        <f t="array" aca="1" ref="Z550" ca="1">IF(UPPER(Data!C550)="END",SUM((OFFSET(Data!C550,MAX(ROW(Data!$C$5)-ROW(Data!C550),-200),0,400,1)="END")*(OFFSET(Data!A550,MAX(ROW(Data!$B$5)-ROW(Data!B550),-200),0,400,1)=Data!A550))=1,TRUE)</f>
        <v>1</v>
      </c>
      <c r="AA550" s="26" t="b">
        <f>IF(Checks!C550,ISERROR(FIND("&amp;",Data!D550)),TRUE)</f>
        <v>1</v>
      </c>
      <c r="AB550" s="26" t="b">
        <f>IF(Checks!$C550,IF(AND(UPPER(Data!$C550)&lt;&gt;"START",UPPER(Data!$C550)&lt;&gt;"DATA OBJECT",Data!E550&lt;&gt;""),NOT(ISERROR(MATCH(Data!$A550&amp;"||"&amp;Data!E550,Key,0))),TRUE),TRUE)</f>
        <v>1</v>
      </c>
      <c r="AC550" s="27" t="b">
        <f>IF(Checks!C550,IF(UPPER(Data!C550)="END",Data!E550&lt;&gt;"",TRUE),TRUE)</f>
        <v>1</v>
      </c>
    </row>
    <row r="551" spans="1:29" x14ac:dyDescent="0.25">
      <c r="A551" s="1" t="str">
        <f>Data!A551&amp;"||"&amp;Data!B551</f>
        <v>Miscellaneous/subflow/irmifrs9_create_reports.bpmn||010_00_00</v>
      </c>
      <c r="B551" s="19"/>
      <c r="C551" s="24" t="b">
        <f>AND(UPPER(Data!A551)&lt;&gt;"EMPTY",Data!B551&lt;&gt;"")</f>
        <v>1</v>
      </c>
      <c r="D551" s="1"/>
      <c r="E551" s="25" t="b">
        <f t="shared" ca="1" si="16"/>
        <v>1</v>
      </c>
      <c r="F551" s="26" t="b">
        <f ca="1">IF(UPPER(Data!C551)="SUB PROCESS",NOT(ISERROR(MATCH(RIGHT(Data!BY551,LEN(Data!BY551)-5),OFFSET(Data,0,0,ItemsCount,1),0))),TRUE)</f>
        <v>1</v>
      </c>
      <c r="G551" s="26" t="b">
        <f ca="1">IF(MID(UPPER(Data!A551),1,13)="MISCELLANEOUS",NOT(ISERROR(MATCH("path="&amp;Data!A551,OFFSET(Data,0,76,ItemsCount,1),0))),TRUE)</f>
        <v>1</v>
      </c>
      <c r="L551" s="25" t="b">
        <f t="shared" ca="1" si="17"/>
        <v>1</v>
      </c>
      <c r="M551" s="24" t="b">
        <f>IF(Checks!$C551,Data!A551&lt;&gt;"",TRUE)</f>
        <v>1</v>
      </c>
      <c r="N551" s="26" t="b">
        <f>IF(Checks!C551,Data!B551&lt;&gt;"",TRUE)</f>
        <v>1</v>
      </c>
      <c r="O551" s="26" t="b">
        <f>IF(Checks!C551,IF(AND(UPPER(Data!C551)="SERVICE TASK",UPPER(Data!BZ551)="TYPE=SAS"),NodeExists(TRIM(RIGHT(Data!CA551,LEN(Data!CA551)-FIND("=",Data!CA551)))),TRUE),TRUE)</f>
        <v>1</v>
      </c>
      <c r="P551" s="26" t="b">
        <f>IF(Checks!C551,IF(Data!C551="DATA OBJECT",OR(AND(Data!BW551&lt;&gt;"",Data!BX551=""),AND(Data!BW551="",Data!BX551&lt;&gt;"")),TRUE),TRUE)</f>
        <v>1</v>
      </c>
      <c r="Q551" s="26" t="b">
        <f>IF(Checks!C551,UPPER(RIGHT(Data!A551,5))=".BPMN",TRUE)</f>
        <v>1</v>
      </c>
      <c r="R551" s="26" t="b">
        <f>IF(Checks!C551,IF(UPPER(Data!C551)="SUB PROCESS",UPPER(RIGHT(Data!BY551,5))=".BPMN",TRUE),TRUE)</f>
        <v>1</v>
      </c>
      <c r="S551" s="26" t="b">
        <f>IF(Checks!C551,IF(UPPER(Data!C551)="SERVICE TASK",IF(UPPER(Data!BZ551)="TYPE=SAS",UPPER(RIGHT(Data!CA551,4))=".SAS",TRUE),TRUE),TRUE)</f>
        <v>1</v>
      </c>
      <c r="T551" s="26" t="b">
        <f>IF(Checks!C551,IF(Data!B551&lt;&gt;"",Data!D551&lt;&gt;"",TRUE),TRUE)</f>
        <v>1</v>
      </c>
      <c r="U551" s="26" t="b">
        <f>IF(Checks!C551,IF(UPPER(Data!C551)="DATA OBJECT",NOT(ISERROR(MATCH(Data!A551&amp;"||"&amp;Data!BW551&amp;Data!BX551,Key,0))),TRUE),TRUE)</f>
        <v>1</v>
      </c>
      <c r="V551" s="26" t="b">
        <f>IF(Checks!C551,IF(UPPER(Data!C551)="SUB PROCESS",Data!BY551&lt;&gt;"",TRUE),TRUE)</f>
        <v>1</v>
      </c>
      <c r="W551" s="26" t="b">
        <f>IF(Checks!C551,IF(UPPER(Data!C551)="SERVICE TASK",AND(Data!BZ551&lt;&gt;"",Data!CA551&lt;&gt;""),TRUE),TRUE)</f>
        <v>1</v>
      </c>
      <c r="X551" s="26" t="b">
        <f t="array" aca="1" ref="X551" ca="1">SUM((OFFSET(Data!B551,MAX(ROW(Data!$B$5)-ROW(Data!B551),-200),0,400,1)=Data!B551)*(OFFSET(Data!A551,MAX(ROW(Data!$B$5)-ROW(Data!B551),-200),0,400,1)=Data!A551))=1</f>
        <v>1</v>
      </c>
      <c r="Y551" s="26" t="b">
        <f t="array" aca="1" ref="Y551" ca="1">IF(UPPER(Data!C551)="START",SUM((OFFSET(Data!C551,MAX(ROW(Data!$C$5)-ROW(Data!C551),-200),0,400,1)="START")*(OFFSET(Data!A551,MAX(ROW(Data!$B$5)-ROW(Data!B551),-200),0,400,1)=Data!A551))=1,TRUE)</f>
        <v>1</v>
      </c>
      <c r="Z551" s="26" t="b">
        <f t="array" aca="1" ref="Z551" ca="1">IF(UPPER(Data!C551)="END",SUM((OFFSET(Data!C551,MAX(ROW(Data!$C$5)-ROW(Data!C551),-200),0,400,1)="END")*(OFFSET(Data!A551,MAX(ROW(Data!$B$5)-ROW(Data!B551),-200),0,400,1)=Data!A551))=1,TRUE)</f>
        <v>1</v>
      </c>
      <c r="AA551" s="26" t="b">
        <f>IF(Checks!C551,ISERROR(FIND("&amp;",Data!D551)),TRUE)</f>
        <v>1</v>
      </c>
      <c r="AB551" s="26" t="b">
        <f ca="1">IF(Checks!$C551,IF(AND(UPPER(Data!$C551)&lt;&gt;"START",UPPER(Data!$C551)&lt;&gt;"DATA OBJECT",Data!E551&lt;&gt;""),NOT(ISERROR(MATCH(Data!$A551&amp;"||"&amp;Data!E551,Key,0))),TRUE),TRUE)</f>
        <v>1</v>
      </c>
      <c r="AC551" s="27" t="b">
        <f>IF(Checks!C551,IF(UPPER(Data!C551)="END",Data!E551&lt;&gt;"",TRUE),TRUE)</f>
        <v>1</v>
      </c>
    </row>
    <row r="552" spans="1:29" x14ac:dyDescent="0.25">
      <c r="A552" s="1" t="str">
        <f>Data!A552&amp;"||"&amp;Data!B552</f>
        <v>Miscellaneous/subflow/irmifrs9_create_reports.bpmn||010_00_01</v>
      </c>
      <c r="B552" s="19"/>
      <c r="C552" s="24" t="b">
        <f>AND(UPPER(Data!A552)&lt;&gt;"EMPTY",Data!B552&lt;&gt;"")</f>
        <v>1</v>
      </c>
      <c r="D552" s="1"/>
      <c r="E552" s="25" t="b">
        <f t="shared" ca="1" si="16"/>
        <v>1</v>
      </c>
      <c r="F552" s="26" t="b">
        <f ca="1">IF(UPPER(Data!C552)="SUB PROCESS",NOT(ISERROR(MATCH(RIGHT(Data!BY552,LEN(Data!BY552)-5),OFFSET(Data,0,0,ItemsCount,1),0))),TRUE)</f>
        <v>1</v>
      </c>
      <c r="G552" s="26" t="b">
        <f ca="1">IF(MID(UPPER(Data!A552),1,13)="MISCELLANEOUS",NOT(ISERROR(MATCH("path="&amp;Data!A552,OFFSET(Data,0,76,ItemsCount,1),0))),TRUE)</f>
        <v>1</v>
      </c>
      <c r="L552" s="25" t="b">
        <f t="shared" ca="1" si="17"/>
        <v>1</v>
      </c>
      <c r="M552" s="24" t="b">
        <f>IF(Checks!$C552,Data!A552&lt;&gt;"",TRUE)</f>
        <v>1</v>
      </c>
      <c r="N552" s="26" t="b">
        <f>IF(Checks!C552,Data!B552&lt;&gt;"",TRUE)</f>
        <v>1</v>
      </c>
      <c r="O552" s="26" t="b">
        <f>IF(Checks!C552,IF(AND(UPPER(Data!C552)="SERVICE TASK",UPPER(Data!BZ552)="TYPE=SAS"),NodeExists(TRIM(RIGHT(Data!CA552,LEN(Data!CA552)-FIND("=",Data!CA552)))),TRUE),TRUE)</f>
        <v>1</v>
      </c>
      <c r="P552" s="26" t="b">
        <f>IF(Checks!C552,IF(Data!C552="DATA OBJECT",OR(AND(Data!BW552&lt;&gt;"",Data!BX552=""),AND(Data!BW552="",Data!BX552&lt;&gt;"")),TRUE),TRUE)</f>
        <v>1</v>
      </c>
      <c r="Q552" s="26" t="b">
        <f>IF(Checks!C552,UPPER(RIGHT(Data!A552,5))=".BPMN",TRUE)</f>
        <v>1</v>
      </c>
      <c r="R552" s="26" t="b">
        <f>IF(Checks!C552,IF(UPPER(Data!C552)="SUB PROCESS",UPPER(RIGHT(Data!BY552,5))=".BPMN",TRUE),TRUE)</f>
        <v>1</v>
      </c>
      <c r="S552" s="26" t="b">
        <f>IF(Checks!C552,IF(UPPER(Data!C552)="SERVICE TASK",IF(UPPER(Data!BZ552)="TYPE=SAS",UPPER(RIGHT(Data!CA552,4))=".SAS",TRUE),TRUE),TRUE)</f>
        <v>1</v>
      </c>
      <c r="T552" s="26" t="b">
        <f>IF(Checks!C552,IF(Data!B552&lt;&gt;"",Data!D552&lt;&gt;"",TRUE),TRUE)</f>
        <v>1</v>
      </c>
      <c r="U552" s="26" t="b">
        <f ca="1">IF(Checks!C552,IF(UPPER(Data!C552)="DATA OBJECT",NOT(ISERROR(MATCH(Data!A552&amp;"||"&amp;Data!BW552&amp;Data!BX552,Key,0))),TRUE),TRUE)</f>
        <v>1</v>
      </c>
      <c r="V552" s="26" t="b">
        <f>IF(Checks!C552,IF(UPPER(Data!C552)="SUB PROCESS",Data!BY552&lt;&gt;"",TRUE),TRUE)</f>
        <v>1</v>
      </c>
      <c r="W552" s="26" t="b">
        <f>IF(Checks!C552,IF(UPPER(Data!C552)="SERVICE TASK",AND(Data!BZ552&lt;&gt;"",Data!CA552&lt;&gt;""),TRUE),TRUE)</f>
        <v>1</v>
      </c>
      <c r="X552" s="26" t="b">
        <f t="array" aca="1" ref="X552" ca="1">SUM((OFFSET(Data!B552,MAX(ROW(Data!$B$5)-ROW(Data!B552),-200),0,400,1)=Data!B552)*(OFFSET(Data!A552,MAX(ROW(Data!$B$5)-ROW(Data!B552),-200),0,400,1)=Data!A552))=1</f>
        <v>1</v>
      </c>
      <c r="Y552" s="26" t="b">
        <f t="array" aca="1" ref="Y552" ca="1">IF(UPPER(Data!C552)="START",SUM((OFFSET(Data!C552,MAX(ROW(Data!$C$5)-ROW(Data!C552),-200),0,400,1)="START")*(OFFSET(Data!A552,MAX(ROW(Data!$B$5)-ROW(Data!B552),-200),0,400,1)=Data!A552))=1,TRUE)</f>
        <v>1</v>
      </c>
      <c r="Z552" s="26" t="b">
        <f t="array" aca="1" ref="Z552" ca="1">IF(UPPER(Data!C552)="END",SUM((OFFSET(Data!C552,MAX(ROW(Data!$C$5)-ROW(Data!C552),-200),0,400,1)="END")*(OFFSET(Data!A552,MAX(ROW(Data!$B$5)-ROW(Data!B552),-200),0,400,1)=Data!A552))=1,TRUE)</f>
        <v>1</v>
      </c>
      <c r="AA552" s="26" t="b">
        <f>IF(Checks!C552,ISERROR(FIND("&amp;",Data!D552)),TRUE)</f>
        <v>1</v>
      </c>
      <c r="AB552" s="26" t="b">
        <f>IF(Checks!$C552,IF(AND(UPPER(Data!$C552)&lt;&gt;"START",UPPER(Data!$C552)&lt;&gt;"DATA OBJECT",Data!E552&lt;&gt;""),NOT(ISERROR(MATCH(Data!$A552&amp;"||"&amp;Data!E552,Key,0))),TRUE),TRUE)</f>
        <v>1</v>
      </c>
      <c r="AC552" s="27" t="b">
        <f>IF(Checks!C552,IF(UPPER(Data!C552)="END",Data!E552&lt;&gt;"",TRUE),TRUE)</f>
        <v>1</v>
      </c>
    </row>
    <row r="553" spans="1:29" x14ac:dyDescent="0.25">
      <c r="A553" s="1" t="str">
        <f>Data!A553&amp;"||"&amp;Data!B553</f>
        <v>Miscellaneous/subflow/irmifrs9_create_reports.bpmn||010_00_02</v>
      </c>
      <c r="B553" s="19"/>
      <c r="C553" s="24" t="b">
        <f>AND(UPPER(Data!A553)&lt;&gt;"EMPTY",Data!B553&lt;&gt;"")</f>
        <v>1</v>
      </c>
      <c r="D553" s="1"/>
      <c r="E553" s="25" t="b">
        <f t="shared" ca="1" si="16"/>
        <v>1</v>
      </c>
      <c r="F553" s="26" t="b">
        <f ca="1">IF(UPPER(Data!C553)="SUB PROCESS",NOT(ISERROR(MATCH(RIGHT(Data!BY553,LEN(Data!BY553)-5),OFFSET(Data,0,0,ItemsCount,1),0))),TRUE)</f>
        <v>1</v>
      </c>
      <c r="G553" s="26" t="b">
        <f ca="1">IF(MID(UPPER(Data!A553),1,13)="MISCELLANEOUS",NOT(ISERROR(MATCH("path="&amp;Data!A553,OFFSET(Data,0,76,ItemsCount,1),0))),TRUE)</f>
        <v>1</v>
      </c>
      <c r="L553" s="25" t="b">
        <f t="shared" ca="1" si="17"/>
        <v>1</v>
      </c>
      <c r="M553" s="24" t="b">
        <f>IF(Checks!$C553,Data!A553&lt;&gt;"",TRUE)</f>
        <v>1</v>
      </c>
      <c r="N553" s="26" t="b">
        <f>IF(Checks!C553,Data!B553&lt;&gt;"",TRUE)</f>
        <v>1</v>
      </c>
      <c r="O553" s="26" t="b">
        <f>IF(Checks!C553,IF(AND(UPPER(Data!C553)="SERVICE TASK",UPPER(Data!BZ553)="TYPE=SAS"),NodeExists(TRIM(RIGHT(Data!CA553,LEN(Data!CA553)-FIND("=",Data!CA553)))),TRUE),TRUE)</f>
        <v>1</v>
      </c>
      <c r="P553" s="26" t="b">
        <f>IF(Checks!C553,IF(Data!C553="DATA OBJECT",OR(AND(Data!BW553&lt;&gt;"",Data!BX553=""),AND(Data!BW553="",Data!BX553&lt;&gt;"")),TRUE),TRUE)</f>
        <v>1</v>
      </c>
      <c r="Q553" s="26" t="b">
        <f>IF(Checks!C553,UPPER(RIGHT(Data!A553,5))=".BPMN",TRUE)</f>
        <v>1</v>
      </c>
      <c r="R553" s="26" t="b">
        <f>IF(Checks!C553,IF(UPPER(Data!C553)="SUB PROCESS",UPPER(RIGHT(Data!BY553,5))=".BPMN",TRUE),TRUE)</f>
        <v>1</v>
      </c>
      <c r="S553" s="26" t="b">
        <f>IF(Checks!C553,IF(UPPER(Data!C553)="SERVICE TASK",IF(UPPER(Data!BZ553)="TYPE=SAS",UPPER(RIGHT(Data!CA553,4))=".SAS",TRUE),TRUE),TRUE)</f>
        <v>1</v>
      </c>
      <c r="T553" s="26" t="b">
        <f>IF(Checks!C553,IF(Data!B553&lt;&gt;"",Data!D553&lt;&gt;"",TRUE),TRUE)</f>
        <v>1</v>
      </c>
      <c r="U553" s="26" t="b">
        <f ca="1">IF(Checks!C553,IF(UPPER(Data!C553)="DATA OBJECT",NOT(ISERROR(MATCH(Data!A553&amp;"||"&amp;Data!BW553&amp;Data!BX553,Key,0))),TRUE),TRUE)</f>
        <v>1</v>
      </c>
      <c r="V553" s="26" t="b">
        <f>IF(Checks!C553,IF(UPPER(Data!C553)="SUB PROCESS",Data!BY553&lt;&gt;"",TRUE),TRUE)</f>
        <v>1</v>
      </c>
      <c r="W553" s="26" t="b">
        <f>IF(Checks!C553,IF(UPPER(Data!C553)="SERVICE TASK",AND(Data!BZ553&lt;&gt;"",Data!CA553&lt;&gt;""),TRUE),TRUE)</f>
        <v>1</v>
      </c>
      <c r="X553" s="26" t="b">
        <f t="array" aca="1" ref="X553" ca="1">SUM((OFFSET(Data!B553,MAX(ROW(Data!$B$5)-ROW(Data!B553),-200),0,400,1)=Data!B553)*(OFFSET(Data!A553,MAX(ROW(Data!$B$5)-ROW(Data!B553),-200),0,400,1)=Data!A553))=1</f>
        <v>1</v>
      </c>
      <c r="Y553" s="26" t="b">
        <f t="array" aca="1" ref="Y553" ca="1">IF(UPPER(Data!C553)="START",SUM((OFFSET(Data!C553,MAX(ROW(Data!$C$5)-ROW(Data!C553),-200),0,400,1)="START")*(OFFSET(Data!A553,MAX(ROW(Data!$B$5)-ROW(Data!B553),-200),0,400,1)=Data!A553))=1,TRUE)</f>
        <v>1</v>
      </c>
      <c r="Z553" s="26" t="b">
        <f t="array" aca="1" ref="Z553" ca="1">IF(UPPER(Data!C553)="END",SUM((OFFSET(Data!C553,MAX(ROW(Data!$C$5)-ROW(Data!C553),-200),0,400,1)="END")*(OFFSET(Data!A553,MAX(ROW(Data!$B$5)-ROW(Data!B553),-200),0,400,1)=Data!A553))=1,TRUE)</f>
        <v>1</v>
      </c>
      <c r="AA553" s="26" t="b">
        <f>IF(Checks!C553,ISERROR(FIND("&amp;",Data!D553)),TRUE)</f>
        <v>1</v>
      </c>
      <c r="AB553" s="26" t="b">
        <f>IF(Checks!$C553,IF(AND(UPPER(Data!$C553)&lt;&gt;"START",UPPER(Data!$C553)&lt;&gt;"DATA OBJECT",Data!E553&lt;&gt;""),NOT(ISERROR(MATCH(Data!$A553&amp;"||"&amp;Data!E553,Key,0))),TRUE),TRUE)</f>
        <v>1</v>
      </c>
      <c r="AC553" s="27" t="b">
        <f>IF(Checks!C553,IF(UPPER(Data!C553)="END",Data!E553&lt;&gt;"",TRUE),TRUE)</f>
        <v>1</v>
      </c>
    </row>
    <row r="554" spans="1:29" x14ac:dyDescent="0.25">
      <c r="A554" s="1" t="str">
        <f>Data!A554&amp;"||"&amp;Data!B554</f>
        <v>Miscellaneous/subflow/irmifrs9_create_reports.bpmn||010_00_03</v>
      </c>
      <c r="B554" s="19"/>
      <c r="C554" s="24" t="b">
        <f>AND(UPPER(Data!A554)&lt;&gt;"EMPTY",Data!B554&lt;&gt;"")</f>
        <v>1</v>
      </c>
      <c r="D554" s="1"/>
      <c r="E554" s="25" t="b">
        <f t="shared" ca="1" si="16"/>
        <v>1</v>
      </c>
      <c r="F554" s="26" t="b">
        <f ca="1">IF(UPPER(Data!C554)="SUB PROCESS",NOT(ISERROR(MATCH(RIGHT(Data!BY554,LEN(Data!BY554)-5),OFFSET(Data,0,0,ItemsCount,1),0))),TRUE)</f>
        <v>1</v>
      </c>
      <c r="G554" s="26" t="b">
        <f ca="1">IF(MID(UPPER(Data!A554),1,13)="MISCELLANEOUS",NOT(ISERROR(MATCH("path="&amp;Data!A554,OFFSET(Data,0,76,ItemsCount,1),0))),TRUE)</f>
        <v>1</v>
      </c>
      <c r="L554" s="25" t="b">
        <f t="shared" ca="1" si="17"/>
        <v>1</v>
      </c>
      <c r="M554" s="24" t="b">
        <f>IF(Checks!$C554,Data!A554&lt;&gt;"",TRUE)</f>
        <v>1</v>
      </c>
      <c r="N554" s="26" t="b">
        <f>IF(Checks!C554,Data!B554&lt;&gt;"",TRUE)</f>
        <v>1</v>
      </c>
      <c r="O554" s="26" t="b">
        <f>IF(Checks!C554,IF(AND(UPPER(Data!C554)="SERVICE TASK",UPPER(Data!BZ554)="TYPE=SAS"),NodeExists(TRIM(RIGHT(Data!CA554,LEN(Data!CA554)-FIND("=",Data!CA554)))),TRUE),TRUE)</f>
        <v>1</v>
      </c>
      <c r="P554" s="26" t="b">
        <f>IF(Checks!C554,IF(Data!C554="DATA OBJECT",OR(AND(Data!BW554&lt;&gt;"",Data!BX554=""),AND(Data!BW554="",Data!BX554&lt;&gt;"")),TRUE),TRUE)</f>
        <v>1</v>
      </c>
      <c r="Q554" s="26" t="b">
        <f>IF(Checks!C554,UPPER(RIGHT(Data!A554,5))=".BPMN",TRUE)</f>
        <v>1</v>
      </c>
      <c r="R554" s="26" t="b">
        <f>IF(Checks!C554,IF(UPPER(Data!C554)="SUB PROCESS",UPPER(RIGHT(Data!BY554,5))=".BPMN",TRUE),TRUE)</f>
        <v>1</v>
      </c>
      <c r="S554" s="26" t="b">
        <f>IF(Checks!C554,IF(UPPER(Data!C554)="SERVICE TASK",IF(UPPER(Data!BZ554)="TYPE=SAS",UPPER(RIGHT(Data!CA554,4))=".SAS",TRUE),TRUE),TRUE)</f>
        <v>1</v>
      </c>
      <c r="T554" s="26" t="b">
        <f>IF(Checks!C554,IF(Data!B554&lt;&gt;"",Data!D554&lt;&gt;"",TRUE),TRUE)</f>
        <v>1</v>
      </c>
      <c r="U554" s="26" t="b">
        <f ca="1">IF(Checks!C554,IF(UPPER(Data!C554)="DATA OBJECT",NOT(ISERROR(MATCH(Data!A554&amp;"||"&amp;Data!BW554&amp;Data!BX554,Key,0))),TRUE),TRUE)</f>
        <v>1</v>
      </c>
      <c r="V554" s="26" t="b">
        <f>IF(Checks!C554,IF(UPPER(Data!C554)="SUB PROCESS",Data!BY554&lt;&gt;"",TRUE),TRUE)</f>
        <v>1</v>
      </c>
      <c r="W554" s="26" t="b">
        <f>IF(Checks!C554,IF(UPPER(Data!C554)="SERVICE TASK",AND(Data!BZ554&lt;&gt;"",Data!CA554&lt;&gt;""),TRUE),TRUE)</f>
        <v>1</v>
      </c>
      <c r="X554" s="26" t="b">
        <f t="array" aca="1" ref="X554" ca="1">SUM((OFFSET(Data!B554,MAX(ROW(Data!$B$5)-ROW(Data!B554),-200),0,400,1)=Data!B554)*(OFFSET(Data!A554,MAX(ROW(Data!$B$5)-ROW(Data!B554),-200),0,400,1)=Data!A554))=1</f>
        <v>1</v>
      </c>
      <c r="Y554" s="26" t="b">
        <f t="array" aca="1" ref="Y554" ca="1">IF(UPPER(Data!C554)="START",SUM((OFFSET(Data!C554,MAX(ROW(Data!$C$5)-ROW(Data!C554),-200),0,400,1)="START")*(OFFSET(Data!A554,MAX(ROW(Data!$B$5)-ROW(Data!B554),-200),0,400,1)=Data!A554))=1,TRUE)</f>
        <v>1</v>
      </c>
      <c r="Z554" s="26" t="b">
        <f t="array" aca="1" ref="Z554" ca="1">IF(UPPER(Data!C554)="END",SUM((OFFSET(Data!C554,MAX(ROW(Data!$C$5)-ROW(Data!C554),-200),0,400,1)="END")*(OFFSET(Data!A554,MAX(ROW(Data!$B$5)-ROW(Data!B554),-200),0,400,1)=Data!A554))=1,TRUE)</f>
        <v>1</v>
      </c>
      <c r="AA554" s="26" t="b">
        <f>IF(Checks!C554,ISERROR(FIND("&amp;",Data!D554)),TRUE)</f>
        <v>1</v>
      </c>
      <c r="AB554" s="26" t="b">
        <f>IF(Checks!$C554,IF(AND(UPPER(Data!$C554)&lt;&gt;"START",UPPER(Data!$C554)&lt;&gt;"DATA OBJECT",Data!E554&lt;&gt;""),NOT(ISERROR(MATCH(Data!$A554&amp;"||"&amp;Data!E554,Key,0))),TRUE),TRUE)</f>
        <v>1</v>
      </c>
      <c r="AC554" s="27" t="b">
        <f>IF(Checks!C554,IF(UPPER(Data!C554)="END",Data!E554&lt;&gt;"",TRUE),TRUE)</f>
        <v>1</v>
      </c>
    </row>
    <row r="555" spans="1:29" x14ac:dyDescent="0.25">
      <c r="A555" s="1" t="str">
        <f>Data!A555&amp;"||"&amp;Data!B555</f>
        <v>Miscellaneous/subflow/irmifrs9_create_reports.bpmn||010_01_00</v>
      </c>
      <c r="B555" s="19"/>
      <c r="C555" s="24" t="b">
        <f>AND(UPPER(Data!A555)&lt;&gt;"EMPTY",Data!B555&lt;&gt;"")</f>
        <v>1</v>
      </c>
      <c r="D555" s="1"/>
      <c r="E555" s="25" t="b">
        <f t="shared" ca="1" si="16"/>
        <v>1</v>
      </c>
      <c r="F555" s="26" t="b">
        <f ca="1">IF(UPPER(Data!C555)="SUB PROCESS",NOT(ISERROR(MATCH(RIGHT(Data!BY555,LEN(Data!BY555)-5),OFFSET(Data,0,0,ItemsCount,1),0))),TRUE)</f>
        <v>1</v>
      </c>
      <c r="G555" s="26" t="b">
        <f ca="1">IF(MID(UPPER(Data!A555),1,13)="MISCELLANEOUS",NOT(ISERROR(MATCH("path="&amp;Data!A555,OFFSET(Data,0,76,ItemsCount,1),0))),TRUE)</f>
        <v>1</v>
      </c>
      <c r="L555" s="25" t="b">
        <f t="shared" ca="1" si="17"/>
        <v>1</v>
      </c>
      <c r="M555" s="24" t="b">
        <f>IF(Checks!$C555,Data!A555&lt;&gt;"",TRUE)</f>
        <v>1</v>
      </c>
      <c r="N555" s="26" t="b">
        <f>IF(Checks!C555,Data!B555&lt;&gt;"",TRUE)</f>
        <v>1</v>
      </c>
      <c r="O555" s="26" t="b">
        <f>IF(Checks!C555,IF(AND(UPPER(Data!C555)="SERVICE TASK",UPPER(Data!BZ555)="TYPE=SAS"),NodeExists(TRIM(RIGHT(Data!CA555,LEN(Data!CA555)-FIND("=",Data!CA555)))),TRUE),TRUE)</f>
        <v>1</v>
      </c>
      <c r="P555" s="26" t="b">
        <f>IF(Checks!C555,IF(Data!C555="DATA OBJECT",OR(AND(Data!BW555&lt;&gt;"",Data!BX555=""),AND(Data!BW555="",Data!BX555&lt;&gt;"")),TRUE),TRUE)</f>
        <v>1</v>
      </c>
      <c r="Q555" s="26" t="b">
        <f>IF(Checks!C555,UPPER(RIGHT(Data!A555,5))=".BPMN",TRUE)</f>
        <v>1</v>
      </c>
      <c r="R555" s="26" t="b">
        <f>IF(Checks!C555,IF(UPPER(Data!C555)="SUB PROCESS",UPPER(RIGHT(Data!BY555,5))=".BPMN",TRUE),TRUE)</f>
        <v>1</v>
      </c>
      <c r="S555" s="26" t="b">
        <f>IF(Checks!C555,IF(UPPER(Data!C555)="SERVICE TASK",IF(UPPER(Data!BZ555)="TYPE=SAS",UPPER(RIGHT(Data!CA555,4))=".SAS",TRUE),TRUE),TRUE)</f>
        <v>1</v>
      </c>
      <c r="T555" s="26" t="b">
        <f>IF(Checks!C555,IF(Data!B555&lt;&gt;"",Data!D555&lt;&gt;"",TRUE),TRUE)</f>
        <v>1</v>
      </c>
      <c r="U555" s="26" t="b">
        <f ca="1">IF(Checks!C555,IF(UPPER(Data!C555)="DATA OBJECT",NOT(ISERROR(MATCH(Data!A555&amp;"||"&amp;Data!BW555&amp;Data!BX555,Key,0))),TRUE),TRUE)</f>
        <v>1</v>
      </c>
      <c r="V555" s="26" t="b">
        <f>IF(Checks!C555,IF(UPPER(Data!C555)="SUB PROCESS",Data!BY555&lt;&gt;"",TRUE),TRUE)</f>
        <v>1</v>
      </c>
      <c r="W555" s="26" t="b">
        <f>IF(Checks!C555,IF(UPPER(Data!C555)="SERVICE TASK",AND(Data!BZ555&lt;&gt;"",Data!CA555&lt;&gt;""),TRUE),TRUE)</f>
        <v>1</v>
      </c>
      <c r="X555" s="26" t="b">
        <f t="array" aca="1" ref="X555" ca="1">SUM((OFFSET(Data!B555,MAX(ROW(Data!$B$5)-ROW(Data!B555),-200),0,400,1)=Data!B555)*(OFFSET(Data!A555,MAX(ROW(Data!$B$5)-ROW(Data!B555),-200),0,400,1)=Data!A555))=1</f>
        <v>1</v>
      </c>
      <c r="Y555" s="26" t="b">
        <f t="array" aca="1" ref="Y555" ca="1">IF(UPPER(Data!C555)="START",SUM((OFFSET(Data!C555,MAX(ROW(Data!$C$5)-ROW(Data!C555),-200),0,400,1)="START")*(OFFSET(Data!A555,MAX(ROW(Data!$B$5)-ROW(Data!B555),-200),0,400,1)=Data!A555))=1,TRUE)</f>
        <v>1</v>
      </c>
      <c r="Z555" s="26" t="b">
        <f t="array" aca="1" ref="Z555" ca="1">IF(UPPER(Data!C555)="END",SUM((OFFSET(Data!C555,MAX(ROW(Data!$C$5)-ROW(Data!C555),-200),0,400,1)="END")*(OFFSET(Data!A555,MAX(ROW(Data!$B$5)-ROW(Data!B555),-200),0,400,1)=Data!A555))=1,TRUE)</f>
        <v>1</v>
      </c>
      <c r="AA555" s="26" t="b">
        <f>IF(Checks!C555,ISERROR(FIND("&amp;",Data!D555)),TRUE)</f>
        <v>1</v>
      </c>
      <c r="AB555" s="26" t="b">
        <f>IF(Checks!$C555,IF(AND(UPPER(Data!$C555)&lt;&gt;"START",UPPER(Data!$C555)&lt;&gt;"DATA OBJECT",Data!E555&lt;&gt;""),NOT(ISERROR(MATCH(Data!$A555&amp;"||"&amp;Data!E555,Key,0))),TRUE),TRUE)</f>
        <v>1</v>
      </c>
      <c r="AC555" s="27" t="b">
        <f>IF(Checks!C555,IF(UPPER(Data!C555)="END",Data!E555&lt;&gt;"",TRUE),TRUE)</f>
        <v>1</v>
      </c>
    </row>
    <row r="556" spans="1:29" x14ac:dyDescent="0.25">
      <c r="A556" s="1" t="str">
        <f>Data!A556&amp;"||"&amp;Data!B556</f>
        <v>Miscellaneous/subflow/irmifrs9_create_reports.bpmn||020_00_00</v>
      </c>
      <c r="B556" s="19"/>
      <c r="C556" s="24" t="b">
        <f>AND(UPPER(Data!A556)&lt;&gt;"EMPTY",Data!B556&lt;&gt;"")</f>
        <v>1</v>
      </c>
      <c r="D556" s="1"/>
      <c r="E556" s="25" t="b">
        <f t="shared" ca="1" si="16"/>
        <v>1</v>
      </c>
      <c r="F556" s="26" t="b">
        <f ca="1">IF(UPPER(Data!C556)="SUB PROCESS",NOT(ISERROR(MATCH(RIGHT(Data!BY556,LEN(Data!BY556)-5),OFFSET(Data,0,0,ItemsCount,1),0))),TRUE)</f>
        <v>1</v>
      </c>
      <c r="G556" s="26" t="b">
        <f ca="1">IF(MID(UPPER(Data!A556),1,13)="MISCELLANEOUS",NOT(ISERROR(MATCH("path="&amp;Data!A556,OFFSET(Data,0,76,ItemsCount,1),0))),TRUE)</f>
        <v>1</v>
      </c>
      <c r="L556" s="25" t="b">
        <f t="shared" ca="1" si="17"/>
        <v>1</v>
      </c>
      <c r="M556" s="24" t="b">
        <f>IF(Checks!$C556,Data!A556&lt;&gt;"",TRUE)</f>
        <v>1</v>
      </c>
      <c r="N556" s="26" t="b">
        <f>IF(Checks!C556,Data!B556&lt;&gt;"",TRUE)</f>
        <v>1</v>
      </c>
      <c r="O556" s="26" t="b">
        <f>IF(Checks!C556,IF(AND(UPPER(Data!C556)="SERVICE TASK",UPPER(Data!BZ556)="TYPE=SAS"),NodeExists(TRIM(RIGHT(Data!CA556,LEN(Data!CA556)-FIND("=",Data!CA556)))),TRUE),TRUE)</f>
        <v>1</v>
      </c>
      <c r="P556" s="26" t="b">
        <f>IF(Checks!C556,IF(Data!C556="DATA OBJECT",OR(AND(Data!BW556&lt;&gt;"",Data!BX556=""),AND(Data!BW556="",Data!BX556&lt;&gt;"")),TRUE),TRUE)</f>
        <v>1</v>
      </c>
      <c r="Q556" s="26" t="b">
        <f>IF(Checks!C556,UPPER(RIGHT(Data!A556,5))=".BPMN",TRUE)</f>
        <v>1</v>
      </c>
      <c r="R556" s="26" t="b">
        <f>IF(Checks!C556,IF(UPPER(Data!C556)="SUB PROCESS",UPPER(RIGHT(Data!BY556,5))=".BPMN",TRUE),TRUE)</f>
        <v>1</v>
      </c>
      <c r="S556" s="26" t="b">
        <f>IF(Checks!C556,IF(UPPER(Data!C556)="SERVICE TASK",IF(UPPER(Data!BZ556)="TYPE=SAS",UPPER(RIGHT(Data!CA556,4))=".SAS",TRUE),TRUE),TRUE)</f>
        <v>1</v>
      </c>
      <c r="T556" s="26" t="b">
        <f>IF(Checks!C556,IF(Data!B556&lt;&gt;"",Data!D556&lt;&gt;"",TRUE),TRUE)</f>
        <v>1</v>
      </c>
      <c r="U556" s="26" t="b">
        <f>IF(Checks!C556,IF(UPPER(Data!C556)="DATA OBJECT",NOT(ISERROR(MATCH(Data!A556&amp;"||"&amp;Data!BW556&amp;Data!BX556,Key,0))),TRUE),TRUE)</f>
        <v>1</v>
      </c>
      <c r="V556" s="26" t="b">
        <f>IF(Checks!C556,IF(UPPER(Data!C556)="SUB PROCESS",Data!BY556&lt;&gt;"",TRUE),TRUE)</f>
        <v>1</v>
      </c>
      <c r="W556" s="26" t="b">
        <f>IF(Checks!C556,IF(UPPER(Data!C556)="SERVICE TASK",AND(Data!BZ556&lt;&gt;"",Data!CA556&lt;&gt;""),TRUE),TRUE)</f>
        <v>1</v>
      </c>
      <c r="X556" s="26" t="b">
        <f t="array" aca="1" ref="X556" ca="1">SUM((OFFSET(Data!B556,MAX(ROW(Data!$B$5)-ROW(Data!B556),-200),0,400,1)=Data!B556)*(OFFSET(Data!A556,MAX(ROW(Data!$B$5)-ROW(Data!B556),-200),0,400,1)=Data!A556))=1</f>
        <v>1</v>
      </c>
      <c r="Y556" s="26" t="b">
        <f t="array" aca="1" ref="Y556" ca="1">IF(UPPER(Data!C556)="START",SUM((OFFSET(Data!C556,MAX(ROW(Data!$C$5)-ROW(Data!C556),-200),0,400,1)="START")*(OFFSET(Data!A556,MAX(ROW(Data!$B$5)-ROW(Data!B556),-200),0,400,1)=Data!A556))=1,TRUE)</f>
        <v>1</v>
      </c>
      <c r="Z556" s="26" t="b">
        <f t="array" aca="1" ref="Z556" ca="1">IF(UPPER(Data!C556)="END",SUM((OFFSET(Data!C556,MAX(ROW(Data!$C$5)-ROW(Data!C556),-200),0,400,1)="END")*(OFFSET(Data!A556,MAX(ROW(Data!$B$5)-ROW(Data!B556),-200),0,400,1)=Data!A556))=1,TRUE)</f>
        <v>1</v>
      </c>
      <c r="AA556" s="26" t="b">
        <f>IF(Checks!C556,ISERROR(FIND("&amp;",Data!D556)),TRUE)</f>
        <v>1</v>
      </c>
      <c r="AB556" s="26" t="b">
        <f ca="1">IF(Checks!$C556,IF(AND(UPPER(Data!$C556)&lt;&gt;"START",UPPER(Data!$C556)&lt;&gt;"DATA OBJECT",Data!E556&lt;&gt;""),NOT(ISERROR(MATCH(Data!$A556&amp;"||"&amp;Data!E556,Key,0))),TRUE),TRUE)</f>
        <v>1</v>
      </c>
      <c r="AC556" s="27" t="b">
        <f>IF(Checks!C556,IF(UPPER(Data!C556)="END",Data!E556&lt;&gt;"",TRUE),TRUE)</f>
        <v>1</v>
      </c>
    </row>
    <row r="557" spans="1:29" x14ac:dyDescent="0.25">
      <c r="A557" s="1" t="str">
        <f>Data!A557&amp;"||"&amp;Data!B557</f>
        <v>Miscellaneous/subflow/irmifrs9_create_reports.bpmn||020_00_01</v>
      </c>
      <c r="B557" s="19"/>
      <c r="C557" s="24" t="b">
        <f>AND(UPPER(Data!A557)&lt;&gt;"EMPTY",Data!B557&lt;&gt;"")</f>
        <v>1</v>
      </c>
      <c r="D557" s="1"/>
      <c r="E557" s="25" t="b">
        <f t="shared" ca="1" si="16"/>
        <v>1</v>
      </c>
      <c r="F557" s="26" t="b">
        <f ca="1">IF(UPPER(Data!C557)="SUB PROCESS",NOT(ISERROR(MATCH(RIGHT(Data!BY557,LEN(Data!BY557)-5),OFFSET(Data,0,0,ItemsCount,1),0))),TRUE)</f>
        <v>1</v>
      </c>
      <c r="G557" s="26" t="b">
        <f ca="1">IF(MID(UPPER(Data!A557),1,13)="MISCELLANEOUS",NOT(ISERROR(MATCH("path="&amp;Data!A557,OFFSET(Data,0,76,ItemsCount,1),0))),TRUE)</f>
        <v>1</v>
      </c>
      <c r="L557" s="25" t="b">
        <f t="shared" ca="1" si="17"/>
        <v>1</v>
      </c>
      <c r="M557" s="24" t="b">
        <f>IF(Checks!$C557,Data!A557&lt;&gt;"",TRUE)</f>
        <v>1</v>
      </c>
      <c r="N557" s="26" t="b">
        <f>IF(Checks!C557,Data!B557&lt;&gt;"",TRUE)</f>
        <v>1</v>
      </c>
      <c r="O557" s="26" t="b">
        <f>IF(Checks!C557,IF(AND(UPPER(Data!C557)="SERVICE TASK",UPPER(Data!BZ557)="TYPE=SAS"),NodeExists(TRIM(RIGHT(Data!CA557,LEN(Data!CA557)-FIND("=",Data!CA557)))),TRUE),TRUE)</f>
        <v>1</v>
      </c>
      <c r="P557" s="26" t="b">
        <f>IF(Checks!C557,IF(Data!C557="DATA OBJECT",OR(AND(Data!BW557&lt;&gt;"",Data!BX557=""),AND(Data!BW557="",Data!BX557&lt;&gt;"")),TRUE),TRUE)</f>
        <v>1</v>
      </c>
      <c r="Q557" s="26" t="b">
        <f>IF(Checks!C557,UPPER(RIGHT(Data!A557,5))=".BPMN",TRUE)</f>
        <v>1</v>
      </c>
      <c r="R557" s="26" t="b">
        <f>IF(Checks!C557,IF(UPPER(Data!C557)="SUB PROCESS",UPPER(RIGHT(Data!BY557,5))=".BPMN",TRUE),TRUE)</f>
        <v>1</v>
      </c>
      <c r="S557" s="26" t="b">
        <f>IF(Checks!C557,IF(UPPER(Data!C557)="SERVICE TASK",IF(UPPER(Data!BZ557)="TYPE=SAS",UPPER(RIGHT(Data!CA557,4))=".SAS",TRUE),TRUE),TRUE)</f>
        <v>1</v>
      </c>
      <c r="T557" s="26" t="b">
        <f>IF(Checks!C557,IF(Data!B557&lt;&gt;"",Data!D557&lt;&gt;"",TRUE),TRUE)</f>
        <v>1</v>
      </c>
      <c r="U557" s="26" t="b">
        <f ca="1">IF(Checks!C557,IF(UPPER(Data!C557)="DATA OBJECT",NOT(ISERROR(MATCH(Data!A557&amp;"||"&amp;Data!BW557&amp;Data!BX557,Key,0))),TRUE),TRUE)</f>
        <v>1</v>
      </c>
      <c r="V557" s="26" t="b">
        <f>IF(Checks!C557,IF(UPPER(Data!C557)="SUB PROCESS",Data!BY557&lt;&gt;"",TRUE),TRUE)</f>
        <v>1</v>
      </c>
      <c r="W557" s="26" t="b">
        <f>IF(Checks!C557,IF(UPPER(Data!C557)="SERVICE TASK",AND(Data!BZ557&lt;&gt;"",Data!CA557&lt;&gt;""),TRUE),TRUE)</f>
        <v>1</v>
      </c>
      <c r="X557" s="26" t="b">
        <f t="array" aca="1" ref="X557" ca="1">SUM((OFFSET(Data!B557,MAX(ROW(Data!$B$5)-ROW(Data!B557),-200),0,400,1)=Data!B557)*(OFFSET(Data!A557,MAX(ROW(Data!$B$5)-ROW(Data!B557),-200),0,400,1)=Data!A557))=1</f>
        <v>1</v>
      </c>
      <c r="Y557" s="26" t="b">
        <f t="array" aca="1" ref="Y557" ca="1">IF(UPPER(Data!C557)="START",SUM((OFFSET(Data!C557,MAX(ROW(Data!$C$5)-ROW(Data!C557),-200),0,400,1)="START")*(OFFSET(Data!A557,MAX(ROW(Data!$B$5)-ROW(Data!B557),-200),0,400,1)=Data!A557))=1,TRUE)</f>
        <v>1</v>
      </c>
      <c r="Z557" s="26" t="b">
        <f t="array" aca="1" ref="Z557" ca="1">IF(UPPER(Data!C557)="END",SUM((OFFSET(Data!C557,MAX(ROW(Data!$C$5)-ROW(Data!C557),-200),0,400,1)="END")*(OFFSET(Data!A557,MAX(ROW(Data!$B$5)-ROW(Data!B557),-200),0,400,1)=Data!A557))=1,TRUE)</f>
        <v>1</v>
      </c>
      <c r="AA557" s="26" t="b">
        <f>IF(Checks!C557,ISERROR(FIND("&amp;",Data!D557)),TRUE)</f>
        <v>1</v>
      </c>
      <c r="AB557" s="26" t="b">
        <f>IF(Checks!$C557,IF(AND(UPPER(Data!$C557)&lt;&gt;"START",UPPER(Data!$C557)&lt;&gt;"DATA OBJECT",Data!E557&lt;&gt;""),NOT(ISERROR(MATCH(Data!$A557&amp;"||"&amp;Data!E557,Key,0))),TRUE),TRUE)</f>
        <v>1</v>
      </c>
      <c r="AC557" s="27" t="b">
        <f>IF(Checks!C557,IF(UPPER(Data!C557)="END",Data!E557&lt;&gt;"",TRUE),TRUE)</f>
        <v>1</v>
      </c>
    </row>
    <row r="558" spans="1:29" x14ac:dyDescent="0.25">
      <c r="A558" s="1" t="str">
        <f>Data!A558&amp;"||"&amp;Data!B558</f>
        <v>Miscellaneous/subflow/irmifrs9_create_reports.bpmn||020_00_02</v>
      </c>
      <c r="B558" s="19"/>
      <c r="C558" s="24" t="b">
        <f>AND(UPPER(Data!A558)&lt;&gt;"EMPTY",Data!B558&lt;&gt;"")</f>
        <v>1</v>
      </c>
      <c r="D558" s="1"/>
      <c r="E558" s="25" t="b">
        <f t="shared" ca="1" si="16"/>
        <v>1</v>
      </c>
      <c r="F558" s="26" t="b">
        <f ca="1">IF(UPPER(Data!C558)="SUB PROCESS",NOT(ISERROR(MATCH(RIGHT(Data!BY558,LEN(Data!BY558)-5),OFFSET(Data,0,0,ItemsCount,1),0))),TRUE)</f>
        <v>1</v>
      </c>
      <c r="G558" s="26" t="b">
        <f ca="1">IF(MID(UPPER(Data!A558),1,13)="MISCELLANEOUS",NOT(ISERROR(MATCH("path="&amp;Data!A558,OFFSET(Data,0,76,ItemsCount,1),0))),TRUE)</f>
        <v>1</v>
      </c>
      <c r="L558" s="25" t="b">
        <f t="shared" ca="1" si="17"/>
        <v>1</v>
      </c>
      <c r="M558" s="24" t="b">
        <f>IF(Checks!$C558,Data!A558&lt;&gt;"",TRUE)</f>
        <v>1</v>
      </c>
      <c r="N558" s="26" t="b">
        <f>IF(Checks!C558,Data!B558&lt;&gt;"",TRUE)</f>
        <v>1</v>
      </c>
      <c r="O558" s="26" t="b">
        <f>IF(Checks!C558,IF(AND(UPPER(Data!C558)="SERVICE TASK",UPPER(Data!BZ558)="TYPE=SAS"),NodeExists(TRIM(RIGHT(Data!CA558,LEN(Data!CA558)-FIND("=",Data!CA558)))),TRUE),TRUE)</f>
        <v>1</v>
      </c>
      <c r="P558" s="26" t="b">
        <f>IF(Checks!C558,IF(Data!C558="DATA OBJECT",OR(AND(Data!BW558&lt;&gt;"",Data!BX558=""),AND(Data!BW558="",Data!BX558&lt;&gt;"")),TRUE),TRUE)</f>
        <v>1</v>
      </c>
      <c r="Q558" s="26" t="b">
        <f>IF(Checks!C558,UPPER(RIGHT(Data!A558,5))=".BPMN",TRUE)</f>
        <v>1</v>
      </c>
      <c r="R558" s="26" t="b">
        <f>IF(Checks!C558,IF(UPPER(Data!C558)="SUB PROCESS",UPPER(RIGHT(Data!BY558,5))=".BPMN",TRUE),TRUE)</f>
        <v>1</v>
      </c>
      <c r="S558" s="26" t="b">
        <f>IF(Checks!C558,IF(UPPER(Data!C558)="SERVICE TASK",IF(UPPER(Data!BZ558)="TYPE=SAS",UPPER(RIGHT(Data!CA558,4))=".SAS",TRUE),TRUE),TRUE)</f>
        <v>1</v>
      </c>
      <c r="T558" s="26" t="b">
        <f>IF(Checks!C558,IF(Data!B558&lt;&gt;"",Data!D558&lt;&gt;"",TRUE),TRUE)</f>
        <v>1</v>
      </c>
      <c r="U558" s="26" t="b">
        <f ca="1">IF(Checks!C558,IF(UPPER(Data!C558)="DATA OBJECT",NOT(ISERROR(MATCH(Data!A558&amp;"||"&amp;Data!BW558&amp;Data!BX558,Key,0))),TRUE),TRUE)</f>
        <v>1</v>
      </c>
      <c r="V558" s="26" t="b">
        <f>IF(Checks!C558,IF(UPPER(Data!C558)="SUB PROCESS",Data!BY558&lt;&gt;"",TRUE),TRUE)</f>
        <v>1</v>
      </c>
      <c r="W558" s="26" t="b">
        <f>IF(Checks!C558,IF(UPPER(Data!C558)="SERVICE TASK",AND(Data!BZ558&lt;&gt;"",Data!CA558&lt;&gt;""),TRUE),TRUE)</f>
        <v>1</v>
      </c>
      <c r="X558" s="26" t="b">
        <f t="array" aca="1" ref="X558" ca="1">SUM((OFFSET(Data!B558,MAX(ROW(Data!$B$5)-ROW(Data!B558),-200),0,400,1)=Data!B558)*(OFFSET(Data!A558,MAX(ROW(Data!$B$5)-ROW(Data!B558),-200),0,400,1)=Data!A558))=1</f>
        <v>1</v>
      </c>
      <c r="Y558" s="26" t="b">
        <f t="array" aca="1" ref="Y558" ca="1">IF(UPPER(Data!C558)="START",SUM((OFFSET(Data!C558,MAX(ROW(Data!$C$5)-ROW(Data!C558),-200),0,400,1)="START")*(OFFSET(Data!A558,MAX(ROW(Data!$B$5)-ROW(Data!B558),-200),0,400,1)=Data!A558))=1,TRUE)</f>
        <v>1</v>
      </c>
      <c r="Z558" s="26" t="b">
        <f t="array" aca="1" ref="Z558" ca="1">IF(UPPER(Data!C558)="END",SUM((OFFSET(Data!C558,MAX(ROW(Data!$C$5)-ROW(Data!C558),-200),0,400,1)="END")*(OFFSET(Data!A558,MAX(ROW(Data!$B$5)-ROW(Data!B558),-200),0,400,1)=Data!A558))=1,TRUE)</f>
        <v>1</v>
      </c>
      <c r="AA558" s="26" t="b">
        <f>IF(Checks!C558,ISERROR(FIND("&amp;",Data!D558)),TRUE)</f>
        <v>1</v>
      </c>
      <c r="AB558" s="26" t="b">
        <f>IF(Checks!$C558,IF(AND(UPPER(Data!$C558)&lt;&gt;"START",UPPER(Data!$C558)&lt;&gt;"DATA OBJECT",Data!E558&lt;&gt;""),NOT(ISERROR(MATCH(Data!$A558&amp;"||"&amp;Data!E558,Key,0))),TRUE),TRUE)</f>
        <v>1</v>
      </c>
      <c r="AC558" s="27" t="b">
        <f>IF(Checks!C558,IF(UPPER(Data!C558)="END",Data!E558&lt;&gt;"",TRUE),TRUE)</f>
        <v>1</v>
      </c>
    </row>
    <row r="559" spans="1:29" x14ac:dyDescent="0.25">
      <c r="A559" s="1" t="str">
        <f>Data!A559&amp;"||"&amp;Data!B559</f>
        <v>Miscellaneous/subflow/irmifrs9_create_reports.bpmn||020_00_03</v>
      </c>
      <c r="B559" s="19"/>
      <c r="C559" s="24" t="b">
        <f>AND(UPPER(Data!A559)&lt;&gt;"EMPTY",Data!B559&lt;&gt;"")</f>
        <v>1</v>
      </c>
      <c r="D559" s="1"/>
      <c r="E559" s="25" t="b">
        <f t="shared" ca="1" si="16"/>
        <v>1</v>
      </c>
      <c r="F559" s="26" t="b">
        <f ca="1">IF(UPPER(Data!C559)="SUB PROCESS",NOT(ISERROR(MATCH(RIGHT(Data!BY559,LEN(Data!BY559)-5),OFFSET(Data,0,0,ItemsCount,1),0))),TRUE)</f>
        <v>1</v>
      </c>
      <c r="G559" s="26" t="b">
        <f ca="1">IF(MID(UPPER(Data!A559),1,13)="MISCELLANEOUS",NOT(ISERROR(MATCH("path="&amp;Data!A559,OFFSET(Data,0,76,ItemsCount,1),0))),TRUE)</f>
        <v>1</v>
      </c>
      <c r="L559" s="25" t="b">
        <f t="shared" ca="1" si="17"/>
        <v>1</v>
      </c>
      <c r="M559" s="24" t="b">
        <f>IF(Checks!$C559,Data!A559&lt;&gt;"",TRUE)</f>
        <v>1</v>
      </c>
      <c r="N559" s="26" t="b">
        <f>IF(Checks!C559,Data!B559&lt;&gt;"",TRUE)</f>
        <v>1</v>
      </c>
      <c r="O559" s="26" t="b">
        <f>IF(Checks!C559,IF(AND(UPPER(Data!C559)="SERVICE TASK",UPPER(Data!BZ559)="TYPE=SAS"),NodeExists(TRIM(RIGHT(Data!CA559,LEN(Data!CA559)-FIND("=",Data!CA559)))),TRUE),TRUE)</f>
        <v>1</v>
      </c>
      <c r="P559" s="26" t="b">
        <f>IF(Checks!C559,IF(Data!C559="DATA OBJECT",OR(AND(Data!BW559&lt;&gt;"",Data!BX559=""),AND(Data!BW559="",Data!BX559&lt;&gt;"")),TRUE),TRUE)</f>
        <v>1</v>
      </c>
      <c r="Q559" s="26" t="b">
        <f>IF(Checks!C559,UPPER(RIGHT(Data!A559,5))=".BPMN",TRUE)</f>
        <v>1</v>
      </c>
      <c r="R559" s="26" t="b">
        <f>IF(Checks!C559,IF(UPPER(Data!C559)="SUB PROCESS",UPPER(RIGHT(Data!BY559,5))=".BPMN",TRUE),TRUE)</f>
        <v>1</v>
      </c>
      <c r="S559" s="26" t="b">
        <f>IF(Checks!C559,IF(UPPER(Data!C559)="SERVICE TASK",IF(UPPER(Data!BZ559)="TYPE=SAS",UPPER(RIGHT(Data!CA559,4))=".SAS",TRUE),TRUE),TRUE)</f>
        <v>1</v>
      </c>
      <c r="T559" s="26" t="b">
        <f>IF(Checks!C559,IF(Data!B559&lt;&gt;"",Data!D559&lt;&gt;"",TRUE),TRUE)</f>
        <v>1</v>
      </c>
      <c r="U559" s="26" t="b">
        <f ca="1">IF(Checks!C559,IF(UPPER(Data!C559)="DATA OBJECT",NOT(ISERROR(MATCH(Data!A559&amp;"||"&amp;Data!BW559&amp;Data!BX559,Key,0))),TRUE),TRUE)</f>
        <v>1</v>
      </c>
      <c r="V559" s="26" t="b">
        <f>IF(Checks!C559,IF(UPPER(Data!C559)="SUB PROCESS",Data!BY559&lt;&gt;"",TRUE),TRUE)</f>
        <v>1</v>
      </c>
      <c r="W559" s="26" t="b">
        <f>IF(Checks!C559,IF(UPPER(Data!C559)="SERVICE TASK",AND(Data!BZ559&lt;&gt;"",Data!CA559&lt;&gt;""),TRUE),TRUE)</f>
        <v>1</v>
      </c>
      <c r="X559" s="26" t="b">
        <f t="array" aca="1" ref="X559" ca="1">SUM((OFFSET(Data!B559,MAX(ROW(Data!$B$5)-ROW(Data!B559),-200),0,400,1)=Data!B559)*(OFFSET(Data!A559,MAX(ROW(Data!$B$5)-ROW(Data!B559),-200),0,400,1)=Data!A559))=1</f>
        <v>1</v>
      </c>
      <c r="Y559" s="26" t="b">
        <f t="array" aca="1" ref="Y559" ca="1">IF(UPPER(Data!C559)="START",SUM((OFFSET(Data!C559,MAX(ROW(Data!$C$5)-ROW(Data!C559),-200),0,400,1)="START")*(OFFSET(Data!A559,MAX(ROW(Data!$B$5)-ROW(Data!B559),-200),0,400,1)=Data!A559))=1,TRUE)</f>
        <v>1</v>
      </c>
      <c r="Z559" s="26" t="b">
        <f t="array" aca="1" ref="Z559" ca="1">IF(UPPER(Data!C559)="END",SUM((OFFSET(Data!C559,MAX(ROW(Data!$C$5)-ROW(Data!C559),-200),0,400,1)="END")*(OFFSET(Data!A559,MAX(ROW(Data!$B$5)-ROW(Data!B559),-200),0,400,1)=Data!A559))=1,TRUE)</f>
        <v>1</v>
      </c>
      <c r="AA559" s="26" t="b">
        <f>IF(Checks!C559,ISERROR(FIND("&amp;",Data!D559)),TRUE)</f>
        <v>1</v>
      </c>
      <c r="AB559" s="26" t="b">
        <f>IF(Checks!$C559,IF(AND(UPPER(Data!$C559)&lt;&gt;"START",UPPER(Data!$C559)&lt;&gt;"DATA OBJECT",Data!E559&lt;&gt;""),NOT(ISERROR(MATCH(Data!$A559&amp;"||"&amp;Data!E559,Key,0))),TRUE),TRUE)</f>
        <v>1</v>
      </c>
      <c r="AC559" s="27" t="b">
        <f>IF(Checks!C559,IF(UPPER(Data!C559)="END",Data!E559&lt;&gt;"",TRUE),TRUE)</f>
        <v>1</v>
      </c>
    </row>
    <row r="560" spans="1:29" x14ac:dyDescent="0.25">
      <c r="A560" s="1" t="str">
        <f>Data!A560&amp;"||"&amp;Data!B560</f>
        <v>Miscellaneous/subflow/irmifrs9_create_reports.bpmn||020_00_04</v>
      </c>
      <c r="B560" s="19"/>
      <c r="C560" s="24" t="b">
        <f>AND(UPPER(Data!A560)&lt;&gt;"EMPTY",Data!B560&lt;&gt;"")</f>
        <v>1</v>
      </c>
      <c r="D560" s="1"/>
      <c r="E560" s="25" t="b">
        <f t="shared" ca="1" si="16"/>
        <v>1</v>
      </c>
      <c r="F560" s="26" t="b">
        <f ca="1">IF(UPPER(Data!C560)="SUB PROCESS",NOT(ISERROR(MATCH(RIGHT(Data!BY560,LEN(Data!BY560)-5),OFFSET(Data,0,0,ItemsCount,1),0))),TRUE)</f>
        <v>1</v>
      </c>
      <c r="G560" s="26" t="b">
        <f ca="1">IF(MID(UPPER(Data!A560),1,13)="MISCELLANEOUS",NOT(ISERROR(MATCH("path="&amp;Data!A560,OFFSET(Data,0,76,ItemsCount,1),0))),TRUE)</f>
        <v>1</v>
      </c>
      <c r="L560" s="25" t="b">
        <f t="shared" ca="1" si="17"/>
        <v>1</v>
      </c>
      <c r="M560" s="24" t="b">
        <f>IF(Checks!$C560,Data!A560&lt;&gt;"",TRUE)</f>
        <v>1</v>
      </c>
      <c r="N560" s="26" t="b">
        <f>IF(Checks!C560,Data!B560&lt;&gt;"",TRUE)</f>
        <v>1</v>
      </c>
      <c r="O560" s="26" t="b">
        <f>IF(Checks!C560,IF(AND(UPPER(Data!C560)="SERVICE TASK",UPPER(Data!BZ560)="TYPE=SAS"),NodeExists(TRIM(RIGHT(Data!CA560,LEN(Data!CA560)-FIND("=",Data!CA560)))),TRUE),TRUE)</f>
        <v>1</v>
      </c>
      <c r="P560" s="26" t="b">
        <f>IF(Checks!C560,IF(Data!C560="DATA OBJECT",OR(AND(Data!BW560&lt;&gt;"",Data!BX560=""),AND(Data!BW560="",Data!BX560&lt;&gt;"")),TRUE),TRUE)</f>
        <v>1</v>
      </c>
      <c r="Q560" s="26" t="b">
        <f>IF(Checks!C560,UPPER(RIGHT(Data!A560,5))=".BPMN",TRUE)</f>
        <v>1</v>
      </c>
      <c r="R560" s="26" t="b">
        <f>IF(Checks!C560,IF(UPPER(Data!C560)="SUB PROCESS",UPPER(RIGHT(Data!BY560,5))=".BPMN",TRUE),TRUE)</f>
        <v>1</v>
      </c>
      <c r="S560" s="26" t="b">
        <f>IF(Checks!C560,IF(UPPER(Data!C560)="SERVICE TASK",IF(UPPER(Data!BZ560)="TYPE=SAS",UPPER(RIGHT(Data!CA560,4))=".SAS",TRUE),TRUE),TRUE)</f>
        <v>1</v>
      </c>
      <c r="T560" s="26" t="b">
        <f>IF(Checks!C560,IF(Data!B560&lt;&gt;"",Data!D560&lt;&gt;"",TRUE),TRUE)</f>
        <v>1</v>
      </c>
      <c r="U560" s="26" t="b">
        <f ca="1">IF(Checks!C560,IF(UPPER(Data!C560)="DATA OBJECT",NOT(ISERROR(MATCH(Data!A560&amp;"||"&amp;Data!BW560&amp;Data!BX560,Key,0))),TRUE),TRUE)</f>
        <v>1</v>
      </c>
      <c r="V560" s="26" t="b">
        <f>IF(Checks!C560,IF(UPPER(Data!C560)="SUB PROCESS",Data!BY560&lt;&gt;"",TRUE),TRUE)</f>
        <v>1</v>
      </c>
      <c r="W560" s="26" t="b">
        <f>IF(Checks!C560,IF(UPPER(Data!C560)="SERVICE TASK",AND(Data!BZ560&lt;&gt;"",Data!CA560&lt;&gt;""),TRUE),TRUE)</f>
        <v>1</v>
      </c>
      <c r="X560" s="26" t="b">
        <f t="array" aca="1" ref="X560" ca="1">SUM((OFFSET(Data!B560,MAX(ROW(Data!$B$5)-ROW(Data!B560),-200),0,400,1)=Data!B560)*(OFFSET(Data!A560,MAX(ROW(Data!$B$5)-ROW(Data!B560),-200),0,400,1)=Data!A560))=1</f>
        <v>1</v>
      </c>
      <c r="Y560" s="26" t="b">
        <f t="array" aca="1" ref="Y560" ca="1">IF(UPPER(Data!C560)="START",SUM((OFFSET(Data!C560,MAX(ROW(Data!$C$5)-ROW(Data!C560),-200),0,400,1)="START")*(OFFSET(Data!A560,MAX(ROW(Data!$B$5)-ROW(Data!B560),-200),0,400,1)=Data!A560))=1,TRUE)</f>
        <v>1</v>
      </c>
      <c r="Z560" s="26" t="b">
        <f t="array" aca="1" ref="Z560" ca="1">IF(UPPER(Data!C560)="END",SUM((OFFSET(Data!C560,MAX(ROW(Data!$C$5)-ROW(Data!C560),-200),0,400,1)="END")*(OFFSET(Data!A560,MAX(ROW(Data!$B$5)-ROW(Data!B560),-200),0,400,1)=Data!A560))=1,TRUE)</f>
        <v>1</v>
      </c>
      <c r="AA560" s="26" t="b">
        <f>IF(Checks!C560,ISERROR(FIND("&amp;",Data!D560)),TRUE)</f>
        <v>1</v>
      </c>
      <c r="AB560" s="26" t="b">
        <f>IF(Checks!$C560,IF(AND(UPPER(Data!$C560)&lt;&gt;"START",UPPER(Data!$C560)&lt;&gt;"DATA OBJECT",Data!E560&lt;&gt;""),NOT(ISERROR(MATCH(Data!$A560&amp;"||"&amp;Data!E560,Key,0))),TRUE),TRUE)</f>
        <v>1</v>
      </c>
      <c r="AC560" s="27" t="b">
        <f>IF(Checks!C560,IF(UPPER(Data!C560)="END",Data!E560&lt;&gt;"",TRUE),TRUE)</f>
        <v>1</v>
      </c>
    </row>
    <row r="561" spans="1:29" x14ac:dyDescent="0.25">
      <c r="A561" s="1" t="str">
        <f>Data!A561&amp;"||"&amp;Data!B561</f>
        <v>Miscellaneous/subflow/irmifrs9_create_reports.bpmn||020_00_05</v>
      </c>
      <c r="B561" s="19"/>
      <c r="C561" s="24" t="b">
        <f>AND(UPPER(Data!A561)&lt;&gt;"EMPTY",Data!B561&lt;&gt;"")</f>
        <v>1</v>
      </c>
      <c r="D561" s="1"/>
      <c r="E561" s="25" t="b">
        <f t="shared" ca="1" si="16"/>
        <v>1</v>
      </c>
      <c r="F561" s="26" t="b">
        <f ca="1">IF(UPPER(Data!C561)="SUB PROCESS",NOT(ISERROR(MATCH(RIGHT(Data!BY561,LEN(Data!BY561)-5),OFFSET(Data,0,0,ItemsCount,1),0))),TRUE)</f>
        <v>1</v>
      </c>
      <c r="G561" s="26" t="b">
        <f ca="1">IF(MID(UPPER(Data!A561),1,13)="MISCELLANEOUS",NOT(ISERROR(MATCH("path="&amp;Data!A561,OFFSET(Data,0,76,ItemsCount,1),0))),TRUE)</f>
        <v>1</v>
      </c>
      <c r="L561" s="25" t="b">
        <f t="shared" ca="1" si="17"/>
        <v>1</v>
      </c>
      <c r="M561" s="24" t="b">
        <f>IF(Checks!$C561,Data!A561&lt;&gt;"",TRUE)</f>
        <v>1</v>
      </c>
      <c r="N561" s="26" t="b">
        <f>IF(Checks!C561,Data!B561&lt;&gt;"",TRUE)</f>
        <v>1</v>
      </c>
      <c r="O561" s="26" t="b">
        <f>IF(Checks!C561,IF(AND(UPPER(Data!C561)="SERVICE TASK",UPPER(Data!BZ561)="TYPE=SAS"),NodeExists(TRIM(RIGHT(Data!CA561,LEN(Data!CA561)-FIND("=",Data!CA561)))),TRUE),TRUE)</f>
        <v>1</v>
      </c>
      <c r="P561" s="26" t="b">
        <f>IF(Checks!C561,IF(Data!C561="DATA OBJECT",OR(AND(Data!BW561&lt;&gt;"",Data!BX561=""),AND(Data!BW561="",Data!BX561&lt;&gt;"")),TRUE),TRUE)</f>
        <v>1</v>
      </c>
      <c r="Q561" s="26" t="b">
        <f>IF(Checks!C561,UPPER(RIGHT(Data!A561,5))=".BPMN",TRUE)</f>
        <v>1</v>
      </c>
      <c r="R561" s="26" t="b">
        <f>IF(Checks!C561,IF(UPPER(Data!C561)="SUB PROCESS",UPPER(RIGHT(Data!BY561,5))=".BPMN",TRUE),TRUE)</f>
        <v>1</v>
      </c>
      <c r="S561" s="26" t="b">
        <f>IF(Checks!C561,IF(UPPER(Data!C561)="SERVICE TASK",IF(UPPER(Data!BZ561)="TYPE=SAS",UPPER(RIGHT(Data!CA561,4))=".SAS",TRUE),TRUE),TRUE)</f>
        <v>1</v>
      </c>
      <c r="T561" s="26" t="b">
        <f>IF(Checks!C561,IF(Data!B561&lt;&gt;"",Data!D561&lt;&gt;"",TRUE),TRUE)</f>
        <v>1</v>
      </c>
      <c r="U561" s="26" t="b">
        <f ca="1">IF(Checks!C561,IF(UPPER(Data!C561)="DATA OBJECT",NOT(ISERROR(MATCH(Data!A561&amp;"||"&amp;Data!BW561&amp;Data!BX561,Key,0))),TRUE),TRUE)</f>
        <v>1</v>
      </c>
      <c r="V561" s="26" t="b">
        <f>IF(Checks!C561,IF(UPPER(Data!C561)="SUB PROCESS",Data!BY561&lt;&gt;"",TRUE),TRUE)</f>
        <v>1</v>
      </c>
      <c r="W561" s="26" t="b">
        <f>IF(Checks!C561,IF(UPPER(Data!C561)="SERVICE TASK",AND(Data!BZ561&lt;&gt;"",Data!CA561&lt;&gt;""),TRUE),TRUE)</f>
        <v>1</v>
      </c>
      <c r="X561" s="26" t="b">
        <f t="array" aca="1" ref="X561" ca="1">SUM((OFFSET(Data!B561,MAX(ROW(Data!$B$5)-ROW(Data!B561),-200),0,400,1)=Data!B561)*(OFFSET(Data!A561,MAX(ROW(Data!$B$5)-ROW(Data!B561),-200),0,400,1)=Data!A561))=1</f>
        <v>1</v>
      </c>
      <c r="Y561" s="26" t="b">
        <f t="array" aca="1" ref="Y561" ca="1">IF(UPPER(Data!C561)="START",SUM((OFFSET(Data!C561,MAX(ROW(Data!$C$5)-ROW(Data!C561),-200),0,400,1)="START")*(OFFSET(Data!A561,MAX(ROW(Data!$B$5)-ROW(Data!B561),-200),0,400,1)=Data!A561))=1,TRUE)</f>
        <v>1</v>
      </c>
      <c r="Z561" s="26" t="b">
        <f t="array" aca="1" ref="Z561" ca="1">IF(UPPER(Data!C561)="END",SUM((OFFSET(Data!C561,MAX(ROW(Data!$C$5)-ROW(Data!C561),-200),0,400,1)="END")*(OFFSET(Data!A561,MAX(ROW(Data!$B$5)-ROW(Data!B561),-200),0,400,1)=Data!A561))=1,TRUE)</f>
        <v>1</v>
      </c>
      <c r="AA561" s="26" t="b">
        <f>IF(Checks!C561,ISERROR(FIND("&amp;",Data!D561)),TRUE)</f>
        <v>1</v>
      </c>
      <c r="AB561" s="26" t="b">
        <f>IF(Checks!$C561,IF(AND(UPPER(Data!$C561)&lt;&gt;"START",UPPER(Data!$C561)&lt;&gt;"DATA OBJECT",Data!E561&lt;&gt;""),NOT(ISERROR(MATCH(Data!$A561&amp;"||"&amp;Data!E561,Key,0))),TRUE),TRUE)</f>
        <v>1</v>
      </c>
      <c r="AC561" s="27" t="b">
        <f>IF(Checks!C561,IF(UPPER(Data!C561)="END",Data!E561&lt;&gt;"",TRUE),TRUE)</f>
        <v>1</v>
      </c>
    </row>
    <row r="562" spans="1:29" x14ac:dyDescent="0.25">
      <c r="A562" s="1" t="str">
        <f>Data!A562&amp;"||"&amp;Data!B562</f>
        <v>Miscellaneous/subflow/irmifrs9_create_reports.bpmn||020_00_06</v>
      </c>
      <c r="B562" s="19"/>
      <c r="C562" s="24" t="b">
        <f>AND(UPPER(Data!A562)&lt;&gt;"EMPTY",Data!B562&lt;&gt;"")</f>
        <v>1</v>
      </c>
      <c r="D562" s="1"/>
      <c r="E562" s="25" t="b">
        <f t="shared" ca="1" si="16"/>
        <v>1</v>
      </c>
      <c r="F562" s="26" t="b">
        <f ca="1">IF(UPPER(Data!C562)="SUB PROCESS",NOT(ISERROR(MATCH(RIGHT(Data!BY562,LEN(Data!BY562)-5),OFFSET(Data,0,0,ItemsCount,1),0))),TRUE)</f>
        <v>1</v>
      </c>
      <c r="G562" s="26" t="b">
        <f ca="1">IF(MID(UPPER(Data!A562),1,13)="MISCELLANEOUS",NOT(ISERROR(MATCH("path="&amp;Data!A562,OFFSET(Data,0,76,ItemsCount,1),0))),TRUE)</f>
        <v>1</v>
      </c>
      <c r="L562" s="25" t="b">
        <f t="shared" ca="1" si="17"/>
        <v>1</v>
      </c>
      <c r="M562" s="24" t="b">
        <f>IF(Checks!$C562,Data!A562&lt;&gt;"",TRUE)</f>
        <v>1</v>
      </c>
      <c r="N562" s="26" t="b">
        <f>IF(Checks!C562,Data!B562&lt;&gt;"",TRUE)</f>
        <v>1</v>
      </c>
      <c r="O562" s="26" t="b">
        <f>IF(Checks!C562,IF(AND(UPPER(Data!C562)="SERVICE TASK",UPPER(Data!BZ562)="TYPE=SAS"),NodeExists(TRIM(RIGHT(Data!CA562,LEN(Data!CA562)-FIND("=",Data!CA562)))),TRUE),TRUE)</f>
        <v>1</v>
      </c>
      <c r="P562" s="26" t="b">
        <f>IF(Checks!C562,IF(Data!C562="DATA OBJECT",OR(AND(Data!BW562&lt;&gt;"",Data!BX562=""),AND(Data!BW562="",Data!BX562&lt;&gt;"")),TRUE),TRUE)</f>
        <v>1</v>
      </c>
      <c r="Q562" s="26" t="b">
        <f>IF(Checks!C562,UPPER(RIGHT(Data!A562,5))=".BPMN",TRUE)</f>
        <v>1</v>
      </c>
      <c r="R562" s="26" t="b">
        <f>IF(Checks!C562,IF(UPPER(Data!C562)="SUB PROCESS",UPPER(RIGHT(Data!BY562,5))=".BPMN",TRUE),TRUE)</f>
        <v>1</v>
      </c>
      <c r="S562" s="26" t="b">
        <f>IF(Checks!C562,IF(UPPER(Data!C562)="SERVICE TASK",IF(UPPER(Data!BZ562)="TYPE=SAS",UPPER(RIGHT(Data!CA562,4))=".SAS",TRUE),TRUE),TRUE)</f>
        <v>1</v>
      </c>
      <c r="T562" s="26" t="b">
        <f>IF(Checks!C562,IF(Data!B562&lt;&gt;"",Data!D562&lt;&gt;"",TRUE),TRUE)</f>
        <v>1</v>
      </c>
      <c r="U562" s="26" t="b">
        <f ca="1">IF(Checks!C562,IF(UPPER(Data!C562)="DATA OBJECT",NOT(ISERROR(MATCH(Data!A562&amp;"||"&amp;Data!BW562&amp;Data!BX562,Key,0))),TRUE),TRUE)</f>
        <v>1</v>
      </c>
      <c r="V562" s="26" t="b">
        <f>IF(Checks!C562,IF(UPPER(Data!C562)="SUB PROCESS",Data!BY562&lt;&gt;"",TRUE),TRUE)</f>
        <v>1</v>
      </c>
      <c r="W562" s="26" t="b">
        <f>IF(Checks!C562,IF(UPPER(Data!C562)="SERVICE TASK",AND(Data!BZ562&lt;&gt;"",Data!CA562&lt;&gt;""),TRUE),TRUE)</f>
        <v>1</v>
      </c>
      <c r="X562" s="26" t="b">
        <f t="array" aca="1" ref="X562" ca="1">SUM((OFFSET(Data!B562,MAX(ROW(Data!$B$5)-ROW(Data!B562),-200),0,400,1)=Data!B562)*(OFFSET(Data!A562,MAX(ROW(Data!$B$5)-ROW(Data!B562),-200),0,400,1)=Data!A562))=1</f>
        <v>1</v>
      </c>
      <c r="Y562" s="26" t="b">
        <f t="array" aca="1" ref="Y562" ca="1">IF(UPPER(Data!C562)="START",SUM((OFFSET(Data!C562,MAX(ROW(Data!$C$5)-ROW(Data!C562),-200),0,400,1)="START")*(OFFSET(Data!A562,MAX(ROW(Data!$B$5)-ROW(Data!B562),-200),0,400,1)=Data!A562))=1,TRUE)</f>
        <v>1</v>
      </c>
      <c r="Z562" s="26" t="b">
        <f t="array" aca="1" ref="Z562" ca="1">IF(UPPER(Data!C562)="END",SUM((OFFSET(Data!C562,MAX(ROW(Data!$C$5)-ROW(Data!C562),-200),0,400,1)="END")*(OFFSET(Data!A562,MAX(ROW(Data!$B$5)-ROW(Data!B562),-200),0,400,1)=Data!A562))=1,TRUE)</f>
        <v>1</v>
      </c>
      <c r="AA562" s="26" t="b">
        <f>IF(Checks!C562,ISERROR(FIND("&amp;",Data!D562)),TRUE)</f>
        <v>1</v>
      </c>
      <c r="AB562" s="26" t="b">
        <f>IF(Checks!$C562,IF(AND(UPPER(Data!$C562)&lt;&gt;"START",UPPER(Data!$C562)&lt;&gt;"DATA OBJECT",Data!E562&lt;&gt;""),NOT(ISERROR(MATCH(Data!$A562&amp;"||"&amp;Data!E562,Key,0))),TRUE),TRUE)</f>
        <v>1</v>
      </c>
      <c r="AC562" s="27" t="b">
        <f>IF(Checks!C562,IF(UPPER(Data!C562)="END",Data!E562&lt;&gt;"",TRUE),TRUE)</f>
        <v>1</v>
      </c>
    </row>
    <row r="563" spans="1:29" x14ac:dyDescent="0.25">
      <c r="A563" s="1" t="str">
        <f>Data!A563&amp;"||"&amp;Data!B563</f>
        <v>Miscellaneous/subflow/irmifrs9_create_reports.bpmn||020_01_00</v>
      </c>
      <c r="B563" s="19"/>
      <c r="C563" s="24" t="b">
        <f>AND(UPPER(Data!A563)&lt;&gt;"EMPTY",Data!B563&lt;&gt;"")</f>
        <v>1</v>
      </c>
      <c r="D563" s="1"/>
      <c r="E563" s="25" t="b">
        <f t="shared" ca="1" si="16"/>
        <v>1</v>
      </c>
      <c r="F563" s="26" t="b">
        <f ca="1">IF(UPPER(Data!C563)="SUB PROCESS",NOT(ISERROR(MATCH(RIGHT(Data!BY563,LEN(Data!BY563)-5),OFFSET(Data,0,0,ItemsCount,1),0))),TRUE)</f>
        <v>1</v>
      </c>
      <c r="G563" s="26" t="b">
        <f ca="1">IF(MID(UPPER(Data!A563),1,13)="MISCELLANEOUS",NOT(ISERROR(MATCH("path="&amp;Data!A563,OFFSET(Data,0,76,ItemsCount,1),0))),TRUE)</f>
        <v>1</v>
      </c>
      <c r="L563" s="25" t="b">
        <f t="shared" ca="1" si="17"/>
        <v>1</v>
      </c>
      <c r="M563" s="24" t="b">
        <f>IF(Checks!$C563,Data!A563&lt;&gt;"",TRUE)</f>
        <v>1</v>
      </c>
      <c r="N563" s="26" t="b">
        <f>IF(Checks!C563,Data!B563&lt;&gt;"",TRUE)</f>
        <v>1</v>
      </c>
      <c r="O563" s="26" t="b">
        <f>IF(Checks!C563,IF(AND(UPPER(Data!C563)="SERVICE TASK",UPPER(Data!BZ563)="TYPE=SAS"),NodeExists(TRIM(RIGHT(Data!CA563,LEN(Data!CA563)-FIND("=",Data!CA563)))),TRUE),TRUE)</f>
        <v>1</v>
      </c>
      <c r="P563" s="26" t="b">
        <f>IF(Checks!C563,IF(Data!C563="DATA OBJECT",OR(AND(Data!BW563&lt;&gt;"",Data!BX563=""),AND(Data!BW563="",Data!BX563&lt;&gt;"")),TRUE),TRUE)</f>
        <v>1</v>
      </c>
      <c r="Q563" s="26" t="b">
        <f>IF(Checks!C563,UPPER(RIGHT(Data!A563,5))=".BPMN",TRUE)</f>
        <v>1</v>
      </c>
      <c r="R563" s="26" t="b">
        <f>IF(Checks!C563,IF(UPPER(Data!C563)="SUB PROCESS",UPPER(RIGHT(Data!BY563,5))=".BPMN",TRUE),TRUE)</f>
        <v>1</v>
      </c>
      <c r="S563" s="26" t="b">
        <f>IF(Checks!C563,IF(UPPER(Data!C563)="SERVICE TASK",IF(UPPER(Data!BZ563)="TYPE=SAS",UPPER(RIGHT(Data!CA563,4))=".SAS",TRUE),TRUE),TRUE)</f>
        <v>1</v>
      </c>
      <c r="T563" s="26" t="b">
        <f>IF(Checks!C563,IF(Data!B563&lt;&gt;"",Data!D563&lt;&gt;"",TRUE),TRUE)</f>
        <v>1</v>
      </c>
      <c r="U563" s="26" t="b">
        <f ca="1">IF(Checks!C563,IF(UPPER(Data!C563)="DATA OBJECT",NOT(ISERROR(MATCH(Data!A563&amp;"||"&amp;Data!BW563&amp;Data!BX563,Key,0))),TRUE),TRUE)</f>
        <v>1</v>
      </c>
      <c r="V563" s="26" t="b">
        <f>IF(Checks!C563,IF(UPPER(Data!C563)="SUB PROCESS",Data!BY563&lt;&gt;"",TRUE),TRUE)</f>
        <v>1</v>
      </c>
      <c r="W563" s="26" t="b">
        <f>IF(Checks!C563,IF(UPPER(Data!C563)="SERVICE TASK",AND(Data!BZ563&lt;&gt;"",Data!CA563&lt;&gt;""),TRUE),TRUE)</f>
        <v>1</v>
      </c>
      <c r="X563" s="26" t="b">
        <f t="array" aca="1" ref="X563" ca="1">SUM((OFFSET(Data!B563,MAX(ROW(Data!$B$5)-ROW(Data!B563),-200),0,400,1)=Data!B563)*(OFFSET(Data!A563,MAX(ROW(Data!$B$5)-ROW(Data!B563),-200),0,400,1)=Data!A563))=1</f>
        <v>1</v>
      </c>
      <c r="Y563" s="26" t="b">
        <f t="array" aca="1" ref="Y563" ca="1">IF(UPPER(Data!C563)="START",SUM((OFFSET(Data!C563,MAX(ROW(Data!$C$5)-ROW(Data!C563),-200),0,400,1)="START")*(OFFSET(Data!A563,MAX(ROW(Data!$B$5)-ROW(Data!B563),-200),0,400,1)=Data!A563))=1,TRUE)</f>
        <v>1</v>
      </c>
      <c r="Z563" s="26" t="b">
        <f t="array" aca="1" ref="Z563" ca="1">IF(UPPER(Data!C563)="END",SUM((OFFSET(Data!C563,MAX(ROW(Data!$C$5)-ROW(Data!C563),-200),0,400,1)="END")*(OFFSET(Data!A563,MAX(ROW(Data!$B$5)-ROW(Data!B563),-200),0,400,1)=Data!A563))=1,TRUE)</f>
        <v>1</v>
      </c>
      <c r="AA563" s="26" t="b">
        <f>IF(Checks!C563,ISERROR(FIND("&amp;",Data!D563)),TRUE)</f>
        <v>1</v>
      </c>
      <c r="AB563" s="26" t="b">
        <f>IF(Checks!$C563,IF(AND(UPPER(Data!$C563)&lt;&gt;"START",UPPER(Data!$C563)&lt;&gt;"DATA OBJECT",Data!E563&lt;&gt;""),NOT(ISERROR(MATCH(Data!$A563&amp;"||"&amp;Data!E563,Key,0))),TRUE),TRUE)</f>
        <v>1</v>
      </c>
      <c r="AC563" s="27" t="b">
        <f>IF(Checks!C563,IF(UPPER(Data!C563)="END",Data!E563&lt;&gt;"",TRUE),TRUE)</f>
        <v>1</v>
      </c>
    </row>
    <row r="564" spans="1:29" x14ac:dyDescent="0.25">
      <c r="A564" s="1" t="str">
        <f>Data!A564&amp;"||"&amp;Data!B564</f>
        <v>Miscellaneous/subflow/irmifrs9_create_reports.bpmn||030_00_00</v>
      </c>
      <c r="B564" s="19"/>
      <c r="C564" s="24" t="b">
        <f>AND(UPPER(Data!A564)&lt;&gt;"EMPTY",Data!B564&lt;&gt;"")</f>
        <v>1</v>
      </c>
      <c r="D564" s="1"/>
      <c r="E564" s="25" t="b">
        <f t="shared" ca="1" si="16"/>
        <v>1</v>
      </c>
      <c r="F564" s="26" t="b">
        <f ca="1">IF(UPPER(Data!C564)="SUB PROCESS",NOT(ISERROR(MATCH(RIGHT(Data!BY564,LEN(Data!BY564)-5),OFFSET(Data,0,0,ItemsCount,1),0))),TRUE)</f>
        <v>1</v>
      </c>
      <c r="G564" s="26" t="b">
        <f ca="1">IF(MID(UPPER(Data!A564),1,13)="MISCELLANEOUS",NOT(ISERROR(MATCH("path="&amp;Data!A564,OFFSET(Data,0,76,ItemsCount,1),0))),TRUE)</f>
        <v>1</v>
      </c>
      <c r="L564" s="25" t="b">
        <f t="shared" ca="1" si="17"/>
        <v>1</v>
      </c>
      <c r="M564" s="24" t="b">
        <f>IF(Checks!$C564,Data!A564&lt;&gt;"",TRUE)</f>
        <v>1</v>
      </c>
      <c r="N564" s="26" t="b">
        <f>IF(Checks!C564,Data!B564&lt;&gt;"",TRUE)</f>
        <v>1</v>
      </c>
      <c r="O564" s="26" t="b">
        <f>IF(Checks!C564,IF(AND(UPPER(Data!C564)="SERVICE TASK",UPPER(Data!BZ564)="TYPE=SAS"),NodeExists(TRIM(RIGHT(Data!CA564,LEN(Data!CA564)-FIND("=",Data!CA564)))),TRUE),TRUE)</f>
        <v>1</v>
      </c>
      <c r="P564" s="26" t="b">
        <f>IF(Checks!C564,IF(Data!C564="DATA OBJECT",OR(AND(Data!BW564&lt;&gt;"",Data!BX564=""),AND(Data!BW564="",Data!BX564&lt;&gt;"")),TRUE),TRUE)</f>
        <v>1</v>
      </c>
      <c r="Q564" s="26" t="b">
        <f>IF(Checks!C564,UPPER(RIGHT(Data!A564,5))=".BPMN",TRUE)</f>
        <v>1</v>
      </c>
      <c r="R564" s="26" t="b">
        <f>IF(Checks!C564,IF(UPPER(Data!C564)="SUB PROCESS",UPPER(RIGHT(Data!BY564,5))=".BPMN",TRUE),TRUE)</f>
        <v>1</v>
      </c>
      <c r="S564" s="26" t="b">
        <f>IF(Checks!C564,IF(UPPER(Data!C564)="SERVICE TASK",IF(UPPER(Data!BZ564)="TYPE=SAS",UPPER(RIGHT(Data!CA564,4))=".SAS",TRUE),TRUE),TRUE)</f>
        <v>1</v>
      </c>
      <c r="T564" s="26" t="b">
        <f>IF(Checks!C564,IF(Data!B564&lt;&gt;"",Data!D564&lt;&gt;"",TRUE),TRUE)</f>
        <v>1</v>
      </c>
      <c r="U564" s="26" t="b">
        <f>IF(Checks!C564,IF(UPPER(Data!C564)="DATA OBJECT",NOT(ISERROR(MATCH(Data!A564&amp;"||"&amp;Data!BW564&amp;Data!BX564,Key,0))),TRUE),TRUE)</f>
        <v>1</v>
      </c>
      <c r="V564" s="26" t="b">
        <f>IF(Checks!C564,IF(UPPER(Data!C564)="SUB PROCESS",Data!BY564&lt;&gt;"",TRUE),TRUE)</f>
        <v>1</v>
      </c>
      <c r="W564" s="26" t="b">
        <f>IF(Checks!C564,IF(UPPER(Data!C564)="SERVICE TASK",AND(Data!BZ564&lt;&gt;"",Data!CA564&lt;&gt;""),TRUE),TRUE)</f>
        <v>1</v>
      </c>
      <c r="X564" s="26" t="b">
        <f t="array" aca="1" ref="X564" ca="1">SUM((OFFSET(Data!B564,MAX(ROW(Data!$B$5)-ROW(Data!B564),-200),0,400,1)=Data!B564)*(OFFSET(Data!A564,MAX(ROW(Data!$B$5)-ROW(Data!B564),-200),0,400,1)=Data!A564))=1</f>
        <v>1</v>
      </c>
      <c r="Y564" s="26" t="b">
        <f t="array" aca="1" ref="Y564" ca="1">IF(UPPER(Data!C564)="START",SUM((OFFSET(Data!C564,MAX(ROW(Data!$C$5)-ROW(Data!C564),-200),0,400,1)="START")*(OFFSET(Data!A564,MAX(ROW(Data!$B$5)-ROW(Data!B564),-200),0,400,1)=Data!A564))=1,TRUE)</f>
        <v>1</v>
      </c>
      <c r="Z564" s="26" t="b">
        <f t="array" aca="1" ref="Z564" ca="1">IF(UPPER(Data!C564)="END",SUM((OFFSET(Data!C564,MAX(ROW(Data!$C$5)-ROW(Data!C564),-200),0,400,1)="END")*(OFFSET(Data!A564,MAX(ROW(Data!$B$5)-ROW(Data!B564),-200),0,400,1)=Data!A564))=1,TRUE)</f>
        <v>1</v>
      </c>
      <c r="AA564" s="26" t="b">
        <f>IF(Checks!C564,ISERROR(FIND("&amp;",Data!D564)),TRUE)</f>
        <v>1</v>
      </c>
      <c r="AB564" s="26" t="b">
        <f ca="1">IF(Checks!$C564,IF(AND(UPPER(Data!$C564)&lt;&gt;"START",UPPER(Data!$C564)&lt;&gt;"DATA OBJECT",Data!E564&lt;&gt;""),NOT(ISERROR(MATCH(Data!$A564&amp;"||"&amp;Data!E564,Key,0))),TRUE),TRUE)</f>
        <v>1</v>
      </c>
      <c r="AC564" s="27" t="b">
        <f>IF(Checks!C564,IF(UPPER(Data!C564)="END",Data!E564&lt;&gt;"",TRUE),TRUE)</f>
        <v>1</v>
      </c>
    </row>
    <row r="565" spans="1:29" x14ac:dyDescent="0.25">
      <c r="A565" s="1" t="str">
        <f>Data!A565&amp;"||"&amp;Data!B565</f>
        <v>Miscellaneous/subflow/irmifrs9_create_reports.bpmn||030_00_01</v>
      </c>
      <c r="B565" s="19"/>
      <c r="C565" s="24" t="b">
        <f>AND(UPPER(Data!A565)&lt;&gt;"EMPTY",Data!B565&lt;&gt;"")</f>
        <v>1</v>
      </c>
      <c r="D565" s="1"/>
      <c r="E565" s="25" t="b">
        <f t="shared" ca="1" si="16"/>
        <v>1</v>
      </c>
      <c r="F565" s="26" t="b">
        <f ca="1">IF(UPPER(Data!C565)="SUB PROCESS",NOT(ISERROR(MATCH(RIGHT(Data!BY565,LEN(Data!BY565)-5),OFFSET(Data,0,0,ItemsCount,1),0))),TRUE)</f>
        <v>1</v>
      </c>
      <c r="G565" s="26" t="b">
        <f ca="1">IF(MID(UPPER(Data!A565),1,13)="MISCELLANEOUS",NOT(ISERROR(MATCH("path="&amp;Data!A565,OFFSET(Data,0,76,ItemsCount,1),0))),TRUE)</f>
        <v>1</v>
      </c>
      <c r="L565" s="25" t="b">
        <f t="shared" ca="1" si="17"/>
        <v>1</v>
      </c>
      <c r="M565" s="24" t="b">
        <f>IF(Checks!$C565,Data!A565&lt;&gt;"",TRUE)</f>
        <v>1</v>
      </c>
      <c r="N565" s="26" t="b">
        <f>IF(Checks!C565,Data!B565&lt;&gt;"",TRUE)</f>
        <v>1</v>
      </c>
      <c r="O565" s="26" t="b">
        <f>IF(Checks!C565,IF(AND(UPPER(Data!C565)="SERVICE TASK",UPPER(Data!BZ565)="TYPE=SAS"),NodeExists(TRIM(RIGHT(Data!CA565,LEN(Data!CA565)-FIND("=",Data!CA565)))),TRUE),TRUE)</f>
        <v>1</v>
      </c>
      <c r="P565" s="26" t="b">
        <f>IF(Checks!C565,IF(Data!C565="DATA OBJECT",OR(AND(Data!BW565&lt;&gt;"",Data!BX565=""),AND(Data!BW565="",Data!BX565&lt;&gt;"")),TRUE),TRUE)</f>
        <v>1</v>
      </c>
      <c r="Q565" s="26" t="b">
        <f>IF(Checks!C565,UPPER(RIGHT(Data!A565,5))=".BPMN",TRUE)</f>
        <v>1</v>
      </c>
      <c r="R565" s="26" t="b">
        <f>IF(Checks!C565,IF(UPPER(Data!C565)="SUB PROCESS",UPPER(RIGHT(Data!BY565,5))=".BPMN",TRUE),TRUE)</f>
        <v>1</v>
      </c>
      <c r="S565" s="26" t="b">
        <f>IF(Checks!C565,IF(UPPER(Data!C565)="SERVICE TASK",IF(UPPER(Data!BZ565)="TYPE=SAS",UPPER(RIGHT(Data!CA565,4))=".SAS",TRUE),TRUE),TRUE)</f>
        <v>1</v>
      </c>
      <c r="T565" s="26" t="b">
        <f>IF(Checks!C565,IF(Data!B565&lt;&gt;"",Data!D565&lt;&gt;"",TRUE),TRUE)</f>
        <v>1</v>
      </c>
      <c r="U565" s="26" t="b">
        <f ca="1">IF(Checks!C565,IF(UPPER(Data!C565)="DATA OBJECT",NOT(ISERROR(MATCH(Data!A565&amp;"||"&amp;Data!BW565&amp;Data!BX565,Key,0))),TRUE),TRUE)</f>
        <v>1</v>
      </c>
      <c r="V565" s="26" t="b">
        <f>IF(Checks!C565,IF(UPPER(Data!C565)="SUB PROCESS",Data!BY565&lt;&gt;"",TRUE),TRUE)</f>
        <v>1</v>
      </c>
      <c r="W565" s="26" t="b">
        <f>IF(Checks!C565,IF(UPPER(Data!C565)="SERVICE TASK",AND(Data!BZ565&lt;&gt;"",Data!CA565&lt;&gt;""),TRUE),TRUE)</f>
        <v>1</v>
      </c>
      <c r="X565" s="26" t="b">
        <f t="array" aca="1" ref="X565" ca="1">SUM((OFFSET(Data!B565,MAX(ROW(Data!$B$5)-ROW(Data!B565),-200),0,400,1)=Data!B565)*(OFFSET(Data!A565,MAX(ROW(Data!$B$5)-ROW(Data!B565),-200),0,400,1)=Data!A565))=1</f>
        <v>1</v>
      </c>
      <c r="Y565" s="26" t="b">
        <f t="array" aca="1" ref="Y565" ca="1">IF(UPPER(Data!C565)="START",SUM((OFFSET(Data!C565,MAX(ROW(Data!$C$5)-ROW(Data!C565),-200),0,400,1)="START")*(OFFSET(Data!A565,MAX(ROW(Data!$B$5)-ROW(Data!B565),-200),0,400,1)=Data!A565))=1,TRUE)</f>
        <v>1</v>
      </c>
      <c r="Z565" s="26" t="b">
        <f t="array" aca="1" ref="Z565" ca="1">IF(UPPER(Data!C565)="END",SUM((OFFSET(Data!C565,MAX(ROW(Data!$C$5)-ROW(Data!C565),-200),0,400,1)="END")*(OFFSET(Data!A565,MAX(ROW(Data!$B$5)-ROW(Data!B565),-200),0,400,1)=Data!A565))=1,TRUE)</f>
        <v>1</v>
      </c>
      <c r="AA565" s="26" t="b">
        <f>IF(Checks!C565,ISERROR(FIND("&amp;",Data!D565)),TRUE)</f>
        <v>1</v>
      </c>
      <c r="AB565" s="26" t="b">
        <f>IF(Checks!$C565,IF(AND(UPPER(Data!$C565)&lt;&gt;"START",UPPER(Data!$C565)&lt;&gt;"DATA OBJECT",Data!E565&lt;&gt;""),NOT(ISERROR(MATCH(Data!$A565&amp;"||"&amp;Data!E565,Key,0))),TRUE),TRUE)</f>
        <v>1</v>
      </c>
      <c r="AC565" s="27" t="b">
        <f>IF(Checks!C565,IF(UPPER(Data!C565)="END",Data!E565&lt;&gt;"",TRUE),TRUE)</f>
        <v>1</v>
      </c>
    </row>
    <row r="566" spans="1:29" x14ac:dyDescent="0.25">
      <c r="A566" s="1" t="str">
        <f>Data!A566&amp;"||"&amp;Data!B566</f>
        <v>Miscellaneous/subflow/irmifrs9_create_reports.bpmn||030_00_02</v>
      </c>
      <c r="B566" s="19"/>
      <c r="C566" s="24" t="b">
        <f>AND(UPPER(Data!A566)&lt;&gt;"EMPTY",Data!B566&lt;&gt;"")</f>
        <v>1</v>
      </c>
      <c r="D566" s="1"/>
      <c r="E566" s="25" t="b">
        <f t="shared" ca="1" si="16"/>
        <v>1</v>
      </c>
      <c r="F566" s="26" t="b">
        <f ca="1">IF(UPPER(Data!C566)="SUB PROCESS",NOT(ISERROR(MATCH(RIGHT(Data!BY566,LEN(Data!BY566)-5),OFFSET(Data,0,0,ItemsCount,1),0))),TRUE)</f>
        <v>1</v>
      </c>
      <c r="G566" s="26" t="b">
        <f ca="1">IF(MID(UPPER(Data!A566),1,13)="MISCELLANEOUS",NOT(ISERROR(MATCH("path="&amp;Data!A566,OFFSET(Data,0,76,ItemsCount,1),0))),TRUE)</f>
        <v>1</v>
      </c>
      <c r="L566" s="25" t="b">
        <f t="shared" ca="1" si="17"/>
        <v>1</v>
      </c>
      <c r="M566" s="24" t="b">
        <f>IF(Checks!$C566,Data!A566&lt;&gt;"",TRUE)</f>
        <v>1</v>
      </c>
      <c r="N566" s="26" t="b">
        <f>IF(Checks!C566,Data!B566&lt;&gt;"",TRUE)</f>
        <v>1</v>
      </c>
      <c r="O566" s="26" t="b">
        <f>IF(Checks!C566,IF(AND(UPPER(Data!C566)="SERVICE TASK",UPPER(Data!BZ566)="TYPE=SAS"),NodeExists(TRIM(RIGHT(Data!CA566,LEN(Data!CA566)-FIND("=",Data!CA566)))),TRUE),TRUE)</f>
        <v>1</v>
      </c>
      <c r="P566" s="26" t="b">
        <f>IF(Checks!C566,IF(Data!C566="DATA OBJECT",OR(AND(Data!BW566&lt;&gt;"",Data!BX566=""),AND(Data!BW566="",Data!BX566&lt;&gt;"")),TRUE),TRUE)</f>
        <v>1</v>
      </c>
      <c r="Q566" s="26" t="b">
        <f>IF(Checks!C566,UPPER(RIGHT(Data!A566,5))=".BPMN",TRUE)</f>
        <v>1</v>
      </c>
      <c r="R566" s="26" t="b">
        <f>IF(Checks!C566,IF(UPPER(Data!C566)="SUB PROCESS",UPPER(RIGHT(Data!BY566,5))=".BPMN",TRUE),TRUE)</f>
        <v>1</v>
      </c>
      <c r="S566" s="26" t="b">
        <f>IF(Checks!C566,IF(UPPER(Data!C566)="SERVICE TASK",IF(UPPER(Data!BZ566)="TYPE=SAS",UPPER(RIGHT(Data!CA566,4))=".SAS",TRUE),TRUE),TRUE)</f>
        <v>1</v>
      </c>
      <c r="T566" s="26" t="b">
        <f>IF(Checks!C566,IF(Data!B566&lt;&gt;"",Data!D566&lt;&gt;"",TRUE),TRUE)</f>
        <v>1</v>
      </c>
      <c r="U566" s="26" t="b">
        <f ca="1">IF(Checks!C566,IF(UPPER(Data!C566)="DATA OBJECT",NOT(ISERROR(MATCH(Data!A566&amp;"||"&amp;Data!BW566&amp;Data!BX566,Key,0))),TRUE),TRUE)</f>
        <v>1</v>
      </c>
      <c r="V566" s="26" t="b">
        <f>IF(Checks!C566,IF(UPPER(Data!C566)="SUB PROCESS",Data!BY566&lt;&gt;"",TRUE),TRUE)</f>
        <v>1</v>
      </c>
      <c r="W566" s="26" t="b">
        <f>IF(Checks!C566,IF(UPPER(Data!C566)="SERVICE TASK",AND(Data!BZ566&lt;&gt;"",Data!CA566&lt;&gt;""),TRUE),TRUE)</f>
        <v>1</v>
      </c>
      <c r="X566" s="26" t="b">
        <f t="array" aca="1" ref="X566" ca="1">SUM((OFFSET(Data!B566,MAX(ROW(Data!$B$5)-ROW(Data!B566),-200),0,400,1)=Data!B566)*(OFFSET(Data!A566,MAX(ROW(Data!$B$5)-ROW(Data!B566),-200),0,400,1)=Data!A566))=1</f>
        <v>1</v>
      </c>
      <c r="Y566" s="26" t="b">
        <f t="array" aca="1" ref="Y566" ca="1">IF(UPPER(Data!C566)="START",SUM((OFFSET(Data!C566,MAX(ROW(Data!$C$5)-ROW(Data!C566),-200),0,400,1)="START")*(OFFSET(Data!A566,MAX(ROW(Data!$B$5)-ROW(Data!B566),-200),0,400,1)=Data!A566))=1,TRUE)</f>
        <v>1</v>
      </c>
      <c r="Z566" s="26" t="b">
        <f t="array" aca="1" ref="Z566" ca="1">IF(UPPER(Data!C566)="END",SUM((OFFSET(Data!C566,MAX(ROW(Data!$C$5)-ROW(Data!C566),-200),0,400,1)="END")*(OFFSET(Data!A566,MAX(ROW(Data!$B$5)-ROW(Data!B566),-200),0,400,1)=Data!A566))=1,TRUE)</f>
        <v>1</v>
      </c>
      <c r="AA566" s="26" t="b">
        <f>IF(Checks!C566,ISERROR(FIND("&amp;",Data!D566)),TRUE)</f>
        <v>1</v>
      </c>
      <c r="AB566" s="26" t="b">
        <f>IF(Checks!$C566,IF(AND(UPPER(Data!$C566)&lt;&gt;"START",UPPER(Data!$C566)&lt;&gt;"DATA OBJECT",Data!E566&lt;&gt;""),NOT(ISERROR(MATCH(Data!$A566&amp;"||"&amp;Data!E566,Key,0))),TRUE),TRUE)</f>
        <v>1</v>
      </c>
      <c r="AC566" s="27" t="b">
        <f>IF(Checks!C566,IF(UPPER(Data!C566)="END",Data!E566&lt;&gt;"",TRUE),TRUE)</f>
        <v>1</v>
      </c>
    </row>
    <row r="567" spans="1:29" x14ac:dyDescent="0.25">
      <c r="A567" s="1" t="str">
        <f>Data!A567&amp;"||"&amp;Data!B567</f>
        <v>Miscellaneous/subflow/irmifrs9_create_reports.bpmn||030_01_00</v>
      </c>
      <c r="B567" s="19"/>
      <c r="C567" s="24" t="b">
        <f>AND(UPPER(Data!A567)&lt;&gt;"EMPTY",Data!B567&lt;&gt;"")</f>
        <v>1</v>
      </c>
      <c r="D567" s="1"/>
      <c r="E567" s="25" t="b">
        <f t="shared" ca="1" si="16"/>
        <v>1</v>
      </c>
      <c r="F567" s="26" t="b">
        <f ca="1">IF(UPPER(Data!C567)="SUB PROCESS",NOT(ISERROR(MATCH(RIGHT(Data!BY567,LEN(Data!BY567)-5),OFFSET(Data,0,0,ItemsCount,1),0))),TRUE)</f>
        <v>1</v>
      </c>
      <c r="G567" s="26" t="b">
        <f ca="1">IF(MID(UPPER(Data!A567),1,13)="MISCELLANEOUS",NOT(ISERROR(MATCH("path="&amp;Data!A567,OFFSET(Data,0,76,ItemsCount,1),0))),TRUE)</f>
        <v>1</v>
      </c>
      <c r="L567" s="25" t="b">
        <f t="shared" ca="1" si="17"/>
        <v>1</v>
      </c>
      <c r="M567" s="24" t="b">
        <f>IF(Checks!$C567,Data!A567&lt;&gt;"",TRUE)</f>
        <v>1</v>
      </c>
      <c r="N567" s="26" t="b">
        <f>IF(Checks!C567,Data!B567&lt;&gt;"",TRUE)</f>
        <v>1</v>
      </c>
      <c r="O567" s="26" t="b">
        <f>IF(Checks!C567,IF(AND(UPPER(Data!C567)="SERVICE TASK",UPPER(Data!BZ567)="TYPE=SAS"),NodeExists(TRIM(RIGHT(Data!CA567,LEN(Data!CA567)-FIND("=",Data!CA567)))),TRUE),TRUE)</f>
        <v>1</v>
      </c>
      <c r="P567" s="26" t="b">
        <f>IF(Checks!C567,IF(Data!C567="DATA OBJECT",OR(AND(Data!BW567&lt;&gt;"",Data!BX567=""),AND(Data!BW567="",Data!BX567&lt;&gt;"")),TRUE),TRUE)</f>
        <v>1</v>
      </c>
      <c r="Q567" s="26" t="b">
        <f>IF(Checks!C567,UPPER(RIGHT(Data!A567,5))=".BPMN",TRUE)</f>
        <v>1</v>
      </c>
      <c r="R567" s="26" t="b">
        <f>IF(Checks!C567,IF(UPPER(Data!C567)="SUB PROCESS",UPPER(RIGHT(Data!BY567,5))=".BPMN",TRUE),TRUE)</f>
        <v>1</v>
      </c>
      <c r="S567" s="26" t="b">
        <f>IF(Checks!C567,IF(UPPER(Data!C567)="SERVICE TASK",IF(UPPER(Data!BZ567)="TYPE=SAS",UPPER(RIGHT(Data!CA567,4))=".SAS",TRUE),TRUE),TRUE)</f>
        <v>1</v>
      </c>
      <c r="T567" s="26" t="b">
        <f>IF(Checks!C567,IF(Data!B567&lt;&gt;"",Data!D567&lt;&gt;"",TRUE),TRUE)</f>
        <v>1</v>
      </c>
      <c r="U567" s="26" t="b">
        <f ca="1">IF(Checks!C567,IF(UPPER(Data!C567)="DATA OBJECT",NOT(ISERROR(MATCH(Data!A567&amp;"||"&amp;Data!BW567&amp;Data!BX567,Key,0))),TRUE),TRUE)</f>
        <v>1</v>
      </c>
      <c r="V567" s="26" t="b">
        <f>IF(Checks!C567,IF(UPPER(Data!C567)="SUB PROCESS",Data!BY567&lt;&gt;"",TRUE),TRUE)</f>
        <v>1</v>
      </c>
      <c r="W567" s="26" t="b">
        <f>IF(Checks!C567,IF(UPPER(Data!C567)="SERVICE TASK",AND(Data!BZ567&lt;&gt;"",Data!CA567&lt;&gt;""),TRUE),TRUE)</f>
        <v>1</v>
      </c>
      <c r="X567" s="26" t="b">
        <f t="array" aca="1" ref="X567" ca="1">SUM((OFFSET(Data!B567,MAX(ROW(Data!$B$5)-ROW(Data!B567),-200),0,400,1)=Data!B567)*(OFFSET(Data!A567,MAX(ROW(Data!$B$5)-ROW(Data!B567),-200),0,400,1)=Data!A567))=1</f>
        <v>1</v>
      </c>
      <c r="Y567" s="26" t="b">
        <f t="array" aca="1" ref="Y567" ca="1">IF(UPPER(Data!C567)="START",SUM((OFFSET(Data!C567,MAX(ROW(Data!$C$5)-ROW(Data!C567),-200),0,400,1)="START")*(OFFSET(Data!A567,MAX(ROW(Data!$B$5)-ROW(Data!B567),-200),0,400,1)=Data!A567))=1,TRUE)</f>
        <v>1</v>
      </c>
      <c r="Z567" s="26" t="b">
        <f t="array" aca="1" ref="Z567" ca="1">IF(UPPER(Data!C567)="END",SUM((OFFSET(Data!C567,MAX(ROW(Data!$C$5)-ROW(Data!C567),-200),0,400,1)="END")*(OFFSET(Data!A567,MAX(ROW(Data!$B$5)-ROW(Data!B567),-200),0,400,1)=Data!A567))=1,TRUE)</f>
        <v>1</v>
      </c>
      <c r="AA567" s="26" t="b">
        <f>IF(Checks!C567,ISERROR(FIND("&amp;",Data!D567)),TRUE)</f>
        <v>1</v>
      </c>
      <c r="AB567" s="26" t="b">
        <f>IF(Checks!$C567,IF(AND(UPPER(Data!$C567)&lt;&gt;"START",UPPER(Data!$C567)&lt;&gt;"DATA OBJECT",Data!E567&lt;&gt;""),NOT(ISERROR(MATCH(Data!$A567&amp;"||"&amp;Data!E567,Key,0))),TRUE),TRUE)</f>
        <v>1</v>
      </c>
      <c r="AC567" s="27" t="b">
        <f>IF(Checks!C567,IF(UPPER(Data!C567)="END",Data!E567&lt;&gt;"",TRUE),TRUE)</f>
        <v>1</v>
      </c>
    </row>
    <row r="568" spans="1:29" x14ac:dyDescent="0.25">
      <c r="A568" s="1" t="str">
        <f>Data!A568&amp;"||"&amp;Data!B568</f>
        <v>Miscellaneous/subflow/irmifrs9_create_reports.bpmn||999_00_00</v>
      </c>
      <c r="B568" s="19"/>
      <c r="C568" s="24" t="b">
        <f>AND(UPPER(Data!A568)&lt;&gt;"EMPTY",Data!B568&lt;&gt;"")</f>
        <v>1</v>
      </c>
      <c r="D568" s="1"/>
      <c r="E568" s="25" t="b">
        <f t="shared" ca="1" si="16"/>
        <v>1</v>
      </c>
      <c r="F568" s="26" t="b">
        <f ca="1">IF(UPPER(Data!C568)="SUB PROCESS",NOT(ISERROR(MATCH(RIGHT(Data!BY568,LEN(Data!BY568)-5),OFFSET(Data,0,0,ItemsCount,1),0))),TRUE)</f>
        <v>1</v>
      </c>
      <c r="G568" s="26" t="b">
        <f ca="1">IF(MID(UPPER(Data!A568),1,13)="MISCELLANEOUS",NOT(ISERROR(MATCH("path="&amp;Data!A568,OFFSET(Data,0,76,ItemsCount,1),0))),TRUE)</f>
        <v>1</v>
      </c>
      <c r="L568" s="25" t="b">
        <f t="shared" ca="1" si="17"/>
        <v>1</v>
      </c>
      <c r="M568" s="24" t="b">
        <f>IF(Checks!$C568,Data!A568&lt;&gt;"",TRUE)</f>
        <v>1</v>
      </c>
      <c r="N568" s="26" t="b">
        <f>IF(Checks!C568,Data!B568&lt;&gt;"",TRUE)</f>
        <v>1</v>
      </c>
      <c r="O568" s="26" t="b">
        <f>IF(Checks!C568,IF(AND(UPPER(Data!C568)="SERVICE TASK",UPPER(Data!BZ568)="TYPE=SAS"),NodeExists(TRIM(RIGHT(Data!CA568,LEN(Data!CA568)-FIND("=",Data!CA568)))),TRUE),TRUE)</f>
        <v>1</v>
      </c>
      <c r="P568" s="26" t="b">
        <f>IF(Checks!C568,IF(Data!C568="DATA OBJECT",OR(AND(Data!BW568&lt;&gt;"",Data!BX568=""),AND(Data!BW568="",Data!BX568&lt;&gt;"")),TRUE),TRUE)</f>
        <v>1</v>
      </c>
      <c r="Q568" s="26" t="b">
        <f>IF(Checks!C568,UPPER(RIGHT(Data!A568,5))=".BPMN",TRUE)</f>
        <v>1</v>
      </c>
      <c r="R568" s="26" t="b">
        <f>IF(Checks!C568,IF(UPPER(Data!C568)="SUB PROCESS",UPPER(RIGHT(Data!BY568,5))=".BPMN",TRUE),TRUE)</f>
        <v>1</v>
      </c>
      <c r="S568" s="26" t="b">
        <f>IF(Checks!C568,IF(UPPER(Data!C568)="SERVICE TASK",IF(UPPER(Data!BZ568)="TYPE=SAS",UPPER(RIGHT(Data!CA568,4))=".SAS",TRUE),TRUE),TRUE)</f>
        <v>1</v>
      </c>
      <c r="T568" s="26" t="b">
        <f>IF(Checks!C568,IF(Data!B568&lt;&gt;"",Data!D568&lt;&gt;"",TRUE),TRUE)</f>
        <v>1</v>
      </c>
      <c r="U568" s="26" t="b">
        <f>IF(Checks!C568,IF(UPPER(Data!C568)="DATA OBJECT",NOT(ISERROR(MATCH(Data!A568&amp;"||"&amp;Data!BW568&amp;Data!BX568,Key,0))),TRUE),TRUE)</f>
        <v>1</v>
      </c>
      <c r="V568" s="26" t="b">
        <f>IF(Checks!C568,IF(UPPER(Data!C568)="SUB PROCESS",Data!BY568&lt;&gt;"",TRUE),TRUE)</f>
        <v>1</v>
      </c>
      <c r="W568" s="26" t="b">
        <f>IF(Checks!C568,IF(UPPER(Data!C568)="SERVICE TASK",AND(Data!BZ568&lt;&gt;"",Data!CA568&lt;&gt;""),TRUE),TRUE)</f>
        <v>1</v>
      </c>
      <c r="X568" s="26" t="b">
        <f t="array" aca="1" ref="X568" ca="1">SUM((OFFSET(Data!B568,MAX(ROW(Data!$B$5)-ROW(Data!B568),-200),0,400,1)=Data!B568)*(OFFSET(Data!A568,MAX(ROW(Data!$B$5)-ROW(Data!B568),-200),0,400,1)=Data!A568))=1</f>
        <v>1</v>
      </c>
      <c r="Y568" s="26" t="b">
        <f t="array" aca="1" ref="Y568" ca="1">IF(UPPER(Data!C568)="START",SUM((OFFSET(Data!C568,MAX(ROW(Data!$C$5)-ROW(Data!C568),-200),0,400,1)="START")*(OFFSET(Data!A568,MAX(ROW(Data!$B$5)-ROW(Data!B568),-200),0,400,1)=Data!A568))=1,TRUE)</f>
        <v>1</v>
      </c>
      <c r="Z568" s="26" t="b">
        <f t="array" aca="1" ref="Z568" ca="1">IF(UPPER(Data!C568)="END",SUM((OFFSET(Data!C568,MAX(ROW(Data!$C$5)-ROW(Data!C568),-200),0,400,1)="END")*(OFFSET(Data!A568,MAX(ROW(Data!$B$5)-ROW(Data!B568),-200),0,400,1)=Data!A568))=1,TRUE)</f>
        <v>1</v>
      </c>
      <c r="AA568" s="26" t="b">
        <f>IF(Checks!C568,ISERROR(FIND("&amp;",Data!D568)),TRUE)</f>
        <v>1</v>
      </c>
      <c r="AB568" s="26" t="b">
        <f ca="1">IF(Checks!$C568,IF(AND(UPPER(Data!$C568)&lt;&gt;"START",UPPER(Data!$C568)&lt;&gt;"DATA OBJECT",Data!E568&lt;&gt;""),NOT(ISERROR(MATCH(Data!$A568&amp;"||"&amp;Data!E568,Key,0))),TRUE),TRUE)</f>
        <v>1</v>
      </c>
      <c r="AC568" s="27" t="b">
        <f>IF(Checks!C568,IF(UPPER(Data!C568)="END",Data!E568&lt;&gt;"",TRUE),TRUE)</f>
        <v>1</v>
      </c>
    </row>
    <row r="569" spans="1:29" x14ac:dyDescent="0.25">
      <c r="A569" s="1" t="str">
        <f>Data!A569&amp;"||"&amp;Data!B569</f>
        <v>Analytics/irmifrs9_disclosure_reports.bpmn||000_00_00</v>
      </c>
      <c r="B569" s="19"/>
      <c r="C569" s="24" t="b">
        <f>AND(UPPER(Data!A569)&lt;&gt;"EMPTY",Data!B569&lt;&gt;"")</f>
        <v>1</v>
      </c>
      <c r="D569" s="1"/>
      <c r="E569" s="25" t="b">
        <f t="shared" ca="1" si="16"/>
        <v>1</v>
      </c>
      <c r="F569" s="26" t="b">
        <f ca="1">IF(UPPER(Data!C569)="SUB PROCESS",NOT(ISERROR(MATCH(RIGHT(Data!BY569,LEN(Data!BY569)-5),OFFSET(Data,0,0,ItemsCount,1),0))),TRUE)</f>
        <v>1</v>
      </c>
      <c r="G569" s="26" t="b">
        <f ca="1">IF(MID(UPPER(Data!A569),1,13)="MISCELLANEOUS",NOT(ISERROR(MATCH("path="&amp;Data!A569,OFFSET(Data,0,76,ItemsCount,1),0))),TRUE)</f>
        <v>1</v>
      </c>
      <c r="L569" s="25" t="b">
        <f t="shared" ca="1" si="17"/>
        <v>1</v>
      </c>
      <c r="M569" s="24" t="b">
        <f>IF(Checks!$C569,Data!A569&lt;&gt;"",TRUE)</f>
        <v>1</v>
      </c>
      <c r="N569" s="26" t="b">
        <f>IF(Checks!C569,Data!B569&lt;&gt;"",TRUE)</f>
        <v>1</v>
      </c>
      <c r="O569" s="26" t="b">
        <f>IF(Checks!C569,IF(AND(UPPER(Data!C569)="SERVICE TASK",UPPER(Data!BZ569)="TYPE=SAS"),NodeExists(TRIM(RIGHT(Data!CA569,LEN(Data!CA569)-FIND("=",Data!CA569)))),TRUE),TRUE)</f>
        <v>1</v>
      </c>
      <c r="P569" s="26" t="b">
        <f>IF(Checks!C569,IF(Data!C569="DATA OBJECT",OR(AND(Data!BW569&lt;&gt;"",Data!BX569=""),AND(Data!BW569="",Data!BX569&lt;&gt;"")),TRUE),TRUE)</f>
        <v>1</v>
      </c>
      <c r="Q569" s="26" t="b">
        <f>IF(Checks!C569,UPPER(RIGHT(Data!A569,5))=".BPMN",TRUE)</f>
        <v>1</v>
      </c>
      <c r="R569" s="26" t="b">
        <f>IF(Checks!C569,IF(UPPER(Data!C569)="SUB PROCESS",UPPER(RIGHT(Data!BY569,5))=".BPMN",TRUE),TRUE)</f>
        <v>1</v>
      </c>
      <c r="S569" s="26" t="b">
        <f>IF(Checks!C569,IF(UPPER(Data!C569)="SERVICE TASK",IF(UPPER(Data!BZ569)="TYPE=SAS",UPPER(RIGHT(Data!CA569,4))=".SAS",TRUE),TRUE),TRUE)</f>
        <v>1</v>
      </c>
      <c r="T569" s="26" t="b">
        <f>IF(Checks!C569,IF(Data!B569&lt;&gt;"",Data!D569&lt;&gt;"",TRUE),TRUE)</f>
        <v>1</v>
      </c>
      <c r="U569" s="26" t="b">
        <f>IF(Checks!C569,IF(UPPER(Data!C569)="DATA OBJECT",NOT(ISERROR(MATCH(Data!A569&amp;"||"&amp;Data!BW569&amp;Data!BX569,Key,0))),TRUE),TRUE)</f>
        <v>1</v>
      </c>
      <c r="V569" s="26" t="b">
        <f>IF(Checks!C569,IF(UPPER(Data!C569)="SUB PROCESS",Data!BY569&lt;&gt;"",TRUE),TRUE)</f>
        <v>1</v>
      </c>
      <c r="W569" s="26" t="b">
        <f>IF(Checks!C569,IF(UPPER(Data!C569)="SERVICE TASK",AND(Data!BZ569&lt;&gt;"",Data!CA569&lt;&gt;""),TRUE),TRUE)</f>
        <v>1</v>
      </c>
      <c r="X569" s="26" t="b">
        <f t="array" aca="1" ref="X569" ca="1">SUM((OFFSET(Data!B569,MAX(ROW(Data!$B$5)-ROW(Data!B569),-200),0,400,1)=Data!B569)*(OFFSET(Data!A569,MAX(ROW(Data!$B$5)-ROW(Data!B569),-200),0,400,1)=Data!A569))=1</f>
        <v>1</v>
      </c>
      <c r="Y569" s="26" t="b">
        <f t="array" aca="1" ref="Y569" ca="1">IF(UPPER(Data!C569)="START",SUM((OFFSET(Data!C569,MAX(ROW(Data!$C$5)-ROW(Data!C569),-200),0,400,1)="START")*(OFFSET(Data!A569,MAX(ROW(Data!$B$5)-ROW(Data!B569),-200),0,400,1)=Data!A569))=1,TRUE)</f>
        <v>1</v>
      </c>
      <c r="Z569" s="26" t="b">
        <f t="array" aca="1" ref="Z569" ca="1">IF(UPPER(Data!C569)="END",SUM((OFFSET(Data!C569,MAX(ROW(Data!$C$5)-ROW(Data!C569),-200),0,400,1)="END")*(OFFSET(Data!A569,MAX(ROW(Data!$B$5)-ROW(Data!B569),-200),0,400,1)=Data!A569))=1,TRUE)</f>
        <v>1</v>
      </c>
      <c r="AA569" s="26" t="b">
        <f>IF(Checks!C569,ISERROR(FIND("&amp;",Data!D569)),TRUE)</f>
        <v>1</v>
      </c>
      <c r="AB569" s="26" t="b">
        <f>IF(Checks!$C569,IF(AND(UPPER(Data!$C569)&lt;&gt;"START",UPPER(Data!$C569)&lt;&gt;"DATA OBJECT",Data!E569&lt;&gt;""),NOT(ISERROR(MATCH(Data!$A569&amp;"||"&amp;Data!E569,Key,0))),TRUE),TRUE)</f>
        <v>1</v>
      </c>
      <c r="AC569" s="27" t="b">
        <f>IF(Checks!C569,IF(UPPER(Data!C569)="END",Data!E569&lt;&gt;"",TRUE),TRUE)</f>
        <v>1</v>
      </c>
    </row>
    <row r="570" spans="1:29" x14ac:dyDescent="0.25">
      <c r="A570" s="1" t="str">
        <f>Data!A570&amp;"||"&amp;Data!B570</f>
        <v>Analytics/irmifrs9_disclosure_reports.bpmn||001_00_00</v>
      </c>
      <c r="B570" s="19"/>
      <c r="C570" s="24" t="b">
        <f>AND(UPPER(Data!A570)&lt;&gt;"EMPTY",Data!B570&lt;&gt;"")</f>
        <v>1</v>
      </c>
      <c r="D570" s="1"/>
      <c r="E570" s="25" t="b">
        <f t="shared" ca="1" si="16"/>
        <v>1</v>
      </c>
      <c r="F570" s="26" t="b">
        <f ca="1">IF(UPPER(Data!C570)="SUB PROCESS",NOT(ISERROR(MATCH(RIGHT(Data!BY570,LEN(Data!BY570)-5),OFFSET(Data,0,0,ItemsCount,1),0))),TRUE)</f>
        <v>1</v>
      </c>
      <c r="G570" s="26" t="b">
        <f ca="1">IF(MID(UPPER(Data!A570),1,13)="MISCELLANEOUS",NOT(ISERROR(MATCH("path="&amp;Data!A570,OFFSET(Data,0,76,ItemsCount,1),0))),TRUE)</f>
        <v>1</v>
      </c>
      <c r="L570" s="25" t="b">
        <f t="shared" ca="1" si="17"/>
        <v>1</v>
      </c>
      <c r="M570" s="24" t="b">
        <f>IF(Checks!$C570,Data!A570&lt;&gt;"",TRUE)</f>
        <v>1</v>
      </c>
      <c r="N570" s="26" t="b">
        <f>IF(Checks!C570,Data!B570&lt;&gt;"",TRUE)</f>
        <v>1</v>
      </c>
      <c r="O570" s="26" t="b">
        <f>IF(Checks!C570,IF(AND(UPPER(Data!C570)="SERVICE TASK",UPPER(Data!BZ570)="TYPE=SAS"),NodeExists(TRIM(RIGHT(Data!CA570,LEN(Data!CA570)-FIND("=",Data!CA570)))),TRUE),TRUE)</f>
        <v>1</v>
      </c>
      <c r="P570" s="26" t="b">
        <f>IF(Checks!C570,IF(Data!C570="DATA OBJECT",OR(AND(Data!BW570&lt;&gt;"",Data!BX570=""),AND(Data!BW570="",Data!BX570&lt;&gt;"")),TRUE),TRUE)</f>
        <v>1</v>
      </c>
      <c r="Q570" s="26" t="b">
        <f>IF(Checks!C570,UPPER(RIGHT(Data!A570,5))=".BPMN",TRUE)</f>
        <v>1</v>
      </c>
      <c r="R570" s="26" t="b">
        <f>IF(Checks!C570,IF(UPPER(Data!C570)="SUB PROCESS",UPPER(RIGHT(Data!BY570,5))=".BPMN",TRUE),TRUE)</f>
        <v>1</v>
      </c>
      <c r="S570" s="26" t="b">
        <f>IF(Checks!C570,IF(UPPER(Data!C570)="SERVICE TASK",IF(UPPER(Data!BZ570)="TYPE=SAS",UPPER(RIGHT(Data!CA570,4))=".SAS",TRUE),TRUE),TRUE)</f>
        <v>1</v>
      </c>
      <c r="T570" s="26" t="b">
        <f>IF(Checks!C570,IF(Data!B570&lt;&gt;"",Data!D570&lt;&gt;"",TRUE),TRUE)</f>
        <v>1</v>
      </c>
      <c r="U570" s="26" t="b">
        <f>IF(Checks!C570,IF(UPPER(Data!C570)="DATA OBJECT",NOT(ISERROR(MATCH(Data!A570&amp;"||"&amp;Data!BW570&amp;Data!BX570,Key,0))),TRUE),TRUE)</f>
        <v>1</v>
      </c>
      <c r="V570" s="26" t="b">
        <f>IF(Checks!C570,IF(UPPER(Data!C570)="SUB PROCESS",Data!BY570&lt;&gt;"",TRUE),TRUE)</f>
        <v>1</v>
      </c>
      <c r="W570" s="26" t="b">
        <f>IF(Checks!C570,IF(UPPER(Data!C570)="SERVICE TASK",AND(Data!BZ570&lt;&gt;"",Data!CA570&lt;&gt;""),TRUE),TRUE)</f>
        <v>1</v>
      </c>
      <c r="X570" s="26" t="b">
        <f t="array" aca="1" ref="X570" ca="1">SUM((OFFSET(Data!B570,MAX(ROW(Data!$B$5)-ROW(Data!B570),-200),0,400,1)=Data!B570)*(OFFSET(Data!A570,MAX(ROW(Data!$B$5)-ROW(Data!B570),-200),0,400,1)=Data!A570))=1</f>
        <v>1</v>
      </c>
      <c r="Y570" s="26" t="b">
        <f t="array" aca="1" ref="Y570" ca="1">IF(UPPER(Data!C570)="START",SUM((OFFSET(Data!C570,MAX(ROW(Data!$C$5)-ROW(Data!C570),-200),0,400,1)="START")*(OFFSET(Data!A570,MAX(ROW(Data!$B$5)-ROW(Data!B570),-200),0,400,1)=Data!A570))=1,TRUE)</f>
        <v>1</v>
      </c>
      <c r="Z570" s="26" t="b">
        <f t="array" aca="1" ref="Z570" ca="1">IF(UPPER(Data!C570)="END",SUM((OFFSET(Data!C570,MAX(ROW(Data!$C$5)-ROW(Data!C570),-200),0,400,1)="END")*(OFFSET(Data!A570,MAX(ROW(Data!$B$5)-ROW(Data!B570),-200),0,400,1)=Data!A570))=1,TRUE)</f>
        <v>1</v>
      </c>
      <c r="AA570" s="26" t="b">
        <f>IF(Checks!C570,ISERROR(FIND("&amp;",Data!D570)),TRUE)</f>
        <v>1</v>
      </c>
      <c r="AB570" s="26" t="b">
        <f ca="1">IF(Checks!$C570,IF(AND(UPPER(Data!$C570)&lt;&gt;"START",UPPER(Data!$C570)&lt;&gt;"DATA OBJECT",Data!E570&lt;&gt;""),NOT(ISERROR(MATCH(Data!$A570&amp;"||"&amp;Data!E570,Key,0))),TRUE),TRUE)</f>
        <v>1</v>
      </c>
      <c r="AC570" s="27" t="b">
        <f>IF(Checks!C570,IF(UPPER(Data!C570)="END",Data!E570&lt;&gt;"",TRUE),TRUE)</f>
        <v>1</v>
      </c>
    </row>
    <row r="571" spans="1:29" x14ac:dyDescent="0.25">
      <c r="A571" s="1" t="str">
        <f>Data!A571&amp;"||"&amp;Data!B571</f>
        <v>Analytics/irmifrs9_disclosure_reports.bpmn||001_00_01</v>
      </c>
      <c r="B571" s="19"/>
      <c r="C571" s="24" t="b">
        <f>AND(UPPER(Data!A571)&lt;&gt;"EMPTY",Data!B571&lt;&gt;"")</f>
        <v>1</v>
      </c>
      <c r="D571" s="1"/>
      <c r="E571" s="25" t="b">
        <f t="shared" ca="1" si="16"/>
        <v>1</v>
      </c>
      <c r="F571" s="26" t="b">
        <f ca="1">IF(UPPER(Data!C571)="SUB PROCESS",NOT(ISERROR(MATCH(RIGHT(Data!BY571,LEN(Data!BY571)-5),OFFSET(Data,0,0,ItemsCount,1),0))),TRUE)</f>
        <v>1</v>
      </c>
      <c r="G571" s="26" t="b">
        <f ca="1">IF(MID(UPPER(Data!A571),1,13)="MISCELLANEOUS",NOT(ISERROR(MATCH("path="&amp;Data!A571,OFFSET(Data,0,76,ItemsCount,1),0))),TRUE)</f>
        <v>1</v>
      </c>
      <c r="L571" s="25" t="b">
        <f t="shared" ca="1" si="17"/>
        <v>1</v>
      </c>
      <c r="M571" s="24" t="b">
        <f>IF(Checks!$C571,Data!A571&lt;&gt;"",TRUE)</f>
        <v>1</v>
      </c>
      <c r="N571" s="26" t="b">
        <f>IF(Checks!C571,Data!B571&lt;&gt;"",TRUE)</f>
        <v>1</v>
      </c>
      <c r="O571" s="26" t="b">
        <f>IF(Checks!C571,IF(AND(UPPER(Data!C571)="SERVICE TASK",UPPER(Data!BZ571)="TYPE=SAS"),NodeExists(TRIM(RIGHT(Data!CA571,LEN(Data!CA571)-FIND("=",Data!CA571)))),TRUE),TRUE)</f>
        <v>1</v>
      </c>
      <c r="P571" s="26" t="b">
        <f>IF(Checks!C571,IF(Data!C571="DATA OBJECT",OR(AND(Data!BW571&lt;&gt;"",Data!BX571=""),AND(Data!BW571="",Data!BX571&lt;&gt;"")),TRUE),TRUE)</f>
        <v>1</v>
      </c>
      <c r="Q571" s="26" t="b">
        <f>IF(Checks!C571,UPPER(RIGHT(Data!A571,5))=".BPMN",TRUE)</f>
        <v>1</v>
      </c>
      <c r="R571" s="26" t="b">
        <f>IF(Checks!C571,IF(UPPER(Data!C571)="SUB PROCESS",UPPER(RIGHT(Data!BY571,5))=".BPMN",TRUE),TRUE)</f>
        <v>1</v>
      </c>
      <c r="S571" s="26" t="b">
        <f>IF(Checks!C571,IF(UPPER(Data!C571)="SERVICE TASK",IF(UPPER(Data!BZ571)="TYPE=SAS",UPPER(RIGHT(Data!CA571,4))=".SAS",TRUE),TRUE),TRUE)</f>
        <v>1</v>
      </c>
      <c r="T571" s="26" t="b">
        <f>IF(Checks!C571,IF(Data!B571&lt;&gt;"",Data!D571&lt;&gt;"",TRUE),TRUE)</f>
        <v>1</v>
      </c>
      <c r="U571" s="26" t="b">
        <f ca="1">IF(Checks!C571,IF(UPPER(Data!C571)="DATA OBJECT",NOT(ISERROR(MATCH(Data!A571&amp;"||"&amp;Data!BW571&amp;Data!BX571,Key,0))),TRUE),TRUE)</f>
        <v>1</v>
      </c>
      <c r="V571" s="26" t="b">
        <f>IF(Checks!C571,IF(UPPER(Data!C571)="SUB PROCESS",Data!BY571&lt;&gt;"",TRUE),TRUE)</f>
        <v>1</v>
      </c>
      <c r="W571" s="26" t="b">
        <f>IF(Checks!C571,IF(UPPER(Data!C571)="SERVICE TASK",AND(Data!BZ571&lt;&gt;"",Data!CA571&lt;&gt;""),TRUE),TRUE)</f>
        <v>1</v>
      </c>
      <c r="X571" s="26" t="b">
        <f t="array" aca="1" ref="X571" ca="1">SUM((OFFSET(Data!B571,MAX(ROW(Data!$B$5)-ROW(Data!B571),-200),0,400,1)=Data!B571)*(OFFSET(Data!A571,MAX(ROW(Data!$B$5)-ROW(Data!B571),-200),0,400,1)=Data!A571))=1</f>
        <v>1</v>
      </c>
      <c r="Y571" s="26" t="b">
        <f t="array" aca="1" ref="Y571" ca="1">IF(UPPER(Data!C571)="START",SUM((OFFSET(Data!C571,MAX(ROW(Data!$C$5)-ROW(Data!C571),-200),0,400,1)="START")*(OFFSET(Data!A571,MAX(ROW(Data!$B$5)-ROW(Data!B571),-200),0,400,1)=Data!A571))=1,TRUE)</f>
        <v>1</v>
      </c>
      <c r="Z571" s="26" t="b">
        <f t="array" aca="1" ref="Z571" ca="1">IF(UPPER(Data!C571)="END",SUM((OFFSET(Data!C571,MAX(ROW(Data!$C$5)-ROW(Data!C571),-200),0,400,1)="END")*(OFFSET(Data!A571,MAX(ROW(Data!$B$5)-ROW(Data!B571),-200),0,400,1)=Data!A571))=1,TRUE)</f>
        <v>1</v>
      </c>
      <c r="AA571" s="26" t="b">
        <f>IF(Checks!C571,ISERROR(FIND("&amp;",Data!D571)),TRUE)</f>
        <v>1</v>
      </c>
      <c r="AB571" s="26" t="b">
        <f>IF(Checks!$C571,IF(AND(UPPER(Data!$C571)&lt;&gt;"START",UPPER(Data!$C571)&lt;&gt;"DATA OBJECT",Data!E571&lt;&gt;""),NOT(ISERROR(MATCH(Data!$A571&amp;"||"&amp;Data!E571,Key,0))),TRUE),TRUE)</f>
        <v>1</v>
      </c>
      <c r="AC571" s="27" t="b">
        <f>IF(Checks!C571,IF(UPPER(Data!C571)="END",Data!E571&lt;&gt;"",TRUE),TRUE)</f>
        <v>1</v>
      </c>
    </row>
    <row r="572" spans="1:29" x14ac:dyDescent="0.25">
      <c r="A572" s="1" t="str">
        <f>Data!A572&amp;"||"&amp;Data!B572</f>
        <v>Analytics/irmifrs9_disclosure_reports.bpmn||010_00_00</v>
      </c>
      <c r="B572" s="19"/>
      <c r="C572" s="24" t="b">
        <f>AND(UPPER(Data!A572)&lt;&gt;"EMPTY",Data!B572&lt;&gt;"")</f>
        <v>1</v>
      </c>
      <c r="D572" s="1"/>
      <c r="E572" s="25" t="b">
        <f t="shared" ca="1" si="16"/>
        <v>1</v>
      </c>
      <c r="F572" s="26" t="b">
        <f ca="1">IF(UPPER(Data!C572)="SUB PROCESS",NOT(ISERROR(MATCH(RIGHT(Data!BY572,LEN(Data!BY572)-5),OFFSET(Data,0,0,ItemsCount,1),0))),TRUE)</f>
        <v>1</v>
      </c>
      <c r="G572" s="26" t="b">
        <f ca="1">IF(MID(UPPER(Data!A572),1,13)="MISCELLANEOUS",NOT(ISERROR(MATCH("path="&amp;Data!A572,OFFSET(Data,0,76,ItemsCount,1),0))),TRUE)</f>
        <v>1</v>
      </c>
      <c r="L572" s="25" t="b">
        <f t="shared" ca="1" si="17"/>
        <v>1</v>
      </c>
      <c r="M572" s="24" t="b">
        <f>IF(Checks!$C572,Data!A572&lt;&gt;"",TRUE)</f>
        <v>1</v>
      </c>
      <c r="N572" s="26" t="b">
        <f>IF(Checks!C572,Data!B572&lt;&gt;"",TRUE)</f>
        <v>1</v>
      </c>
      <c r="O572" s="26" t="b">
        <f>IF(Checks!C572,IF(AND(UPPER(Data!C572)="SERVICE TASK",UPPER(Data!BZ572)="TYPE=SAS"),NodeExists(TRIM(RIGHT(Data!CA572,LEN(Data!CA572)-FIND("=",Data!CA572)))),TRUE),TRUE)</f>
        <v>1</v>
      </c>
      <c r="P572" s="26" t="b">
        <f>IF(Checks!C572,IF(Data!C572="DATA OBJECT",OR(AND(Data!BW572&lt;&gt;"",Data!BX572=""),AND(Data!BW572="",Data!BX572&lt;&gt;"")),TRUE),TRUE)</f>
        <v>1</v>
      </c>
      <c r="Q572" s="26" t="b">
        <f>IF(Checks!C572,UPPER(RIGHT(Data!A572,5))=".BPMN",TRUE)</f>
        <v>1</v>
      </c>
      <c r="R572" s="26" t="b">
        <f>IF(Checks!C572,IF(UPPER(Data!C572)="SUB PROCESS",UPPER(RIGHT(Data!BY572,5))=".BPMN",TRUE),TRUE)</f>
        <v>1</v>
      </c>
      <c r="S572" s="26" t="b">
        <f>IF(Checks!C572,IF(UPPER(Data!C572)="SERVICE TASK",IF(UPPER(Data!BZ572)="TYPE=SAS",UPPER(RIGHT(Data!CA572,4))=".SAS",TRUE),TRUE),TRUE)</f>
        <v>1</v>
      </c>
      <c r="T572" s="26" t="b">
        <f>IF(Checks!C572,IF(Data!B572&lt;&gt;"",Data!D572&lt;&gt;"",TRUE),TRUE)</f>
        <v>1</v>
      </c>
      <c r="U572" s="26" t="b">
        <f>IF(Checks!C572,IF(UPPER(Data!C572)="DATA OBJECT",NOT(ISERROR(MATCH(Data!A572&amp;"||"&amp;Data!BW572&amp;Data!BX572,Key,0))),TRUE),TRUE)</f>
        <v>1</v>
      </c>
      <c r="V572" s="26" t="b">
        <f>IF(Checks!C572,IF(UPPER(Data!C572)="SUB PROCESS",Data!BY572&lt;&gt;"",TRUE),TRUE)</f>
        <v>1</v>
      </c>
      <c r="W572" s="26" t="b">
        <f>IF(Checks!C572,IF(UPPER(Data!C572)="SERVICE TASK",AND(Data!BZ572&lt;&gt;"",Data!CA572&lt;&gt;""),TRUE),TRUE)</f>
        <v>1</v>
      </c>
      <c r="X572" s="26" t="b">
        <f t="array" aca="1" ref="X572" ca="1">SUM((OFFSET(Data!B572,MAX(ROW(Data!$B$5)-ROW(Data!B572),-200),0,400,1)=Data!B572)*(OFFSET(Data!A572,MAX(ROW(Data!$B$5)-ROW(Data!B572),-200),0,400,1)=Data!A572))=1</f>
        <v>1</v>
      </c>
      <c r="Y572" s="26" t="b">
        <f t="array" aca="1" ref="Y572" ca="1">IF(UPPER(Data!C572)="START",SUM((OFFSET(Data!C572,MAX(ROW(Data!$C$5)-ROW(Data!C572),-200),0,400,1)="START")*(OFFSET(Data!A572,MAX(ROW(Data!$B$5)-ROW(Data!B572),-200),0,400,1)=Data!A572))=1,TRUE)</f>
        <v>1</v>
      </c>
      <c r="Z572" s="26" t="b">
        <f t="array" aca="1" ref="Z572" ca="1">IF(UPPER(Data!C572)="END",SUM((OFFSET(Data!C572,MAX(ROW(Data!$C$5)-ROW(Data!C572),-200),0,400,1)="END")*(OFFSET(Data!A572,MAX(ROW(Data!$B$5)-ROW(Data!B572),-200),0,400,1)=Data!A572))=1,TRUE)</f>
        <v>1</v>
      </c>
      <c r="AA572" s="26" t="b">
        <f>IF(Checks!C572,ISERROR(FIND("&amp;",Data!D572)),TRUE)</f>
        <v>1</v>
      </c>
      <c r="AB572" s="26" t="b">
        <f ca="1">IF(Checks!$C572,IF(AND(UPPER(Data!$C572)&lt;&gt;"START",UPPER(Data!$C572)&lt;&gt;"DATA OBJECT",Data!E572&lt;&gt;""),NOT(ISERROR(MATCH(Data!$A572&amp;"||"&amp;Data!E572,Key,0))),TRUE),TRUE)</f>
        <v>1</v>
      </c>
      <c r="AC572" s="27" t="b">
        <f>IF(Checks!C572,IF(UPPER(Data!C572)="END",Data!E572&lt;&gt;"",TRUE),TRUE)</f>
        <v>1</v>
      </c>
    </row>
    <row r="573" spans="1:29" x14ac:dyDescent="0.25">
      <c r="A573" s="1" t="str">
        <f>Data!A573&amp;"||"&amp;Data!B573</f>
        <v>Analytics/irmifrs9_disclosure_reports.bpmn||010_00_01</v>
      </c>
      <c r="B573" s="19"/>
      <c r="C573" s="24" t="b">
        <f>AND(UPPER(Data!A573)&lt;&gt;"EMPTY",Data!B573&lt;&gt;"")</f>
        <v>1</v>
      </c>
      <c r="D573" s="1"/>
      <c r="E573" s="25" t="b">
        <f t="shared" ca="1" si="16"/>
        <v>1</v>
      </c>
      <c r="F573" s="26" t="b">
        <f ca="1">IF(UPPER(Data!C573)="SUB PROCESS",NOT(ISERROR(MATCH(RIGHT(Data!BY573,LEN(Data!BY573)-5),OFFSET(Data,0,0,ItemsCount,1),0))),TRUE)</f>
        <v>1</v>
      </c>
      <c r="G573" s="26" t="b">
        <f ca="1">IF(MID(UPPER(Data!A573),1,13)="MISCELLANEOUS",NOT(ISERROR(MATCH("path="&amp;Data!A573,OFFSET(Data,0,76,ItemsCount,1),0))),TRUE)</f>
        <v>1</v>
      </c>
      <c r="L573" s="25" t="b">
        <f t="shared" ca="1" si="17"/>
        <v>1</v>
      </c>
      <c r="M573" s="24" t="b">
        <f>IF(Checks!$C573,Data!A573&lt;&gt;"",TRUE)</f>
        <v>1</v>
      </c>
      <c r="N573" s="26" t="b">
        <f>IF(Checks!C573,Data!B573&lt;&gt;"",TRUE)</f>
        <v>1</v>
      </c>
      <c r="O573" s="26" t="b">
        <f>IF(Checks!C573,IF(AND(UPPER(Data!C573)="SERVICE TASK",UPPER(Data!BZ573)="TYPE=SAS"),NodeExists(TRIM(RIGHT(Data!CA573,LEN(Data!CA573)-FIND("=",Data!CA573)))),TRUE),TRUE)</f>
        <v>1</v>
      </c>
      <c r="P573" s="26" t="b">
        <f>IF(Checks!C573,IF(Data!C573="DATA OBJECT",OR(AND(Data!BW573&lt;&gt;"",Data!BX573=""),AND(Data!BW573="",Data!BX573&lt;&gt;"")),TRUE),TRUE)</f>
        <v>1</v>
      </c>
      <c r="Q573" s="26" t="b">
        <f>IF(Checks!C573,UPPER(RIGHT(Data!A573,5))=".BPMN",TRUE)</f>
        <v>1</v>
      </c>
      <c r="R573" s="26" t="b">
        <f>IF(Checks!C573,IF(UPPER(Data!C573)="SUB PROCESS",UPPER(RIGHT(Data!BY573,5))=".BPMN",TRUE),TRUE)</f>
        <v>1</v>
      </c>
      <c r="S573" s="26" t="b">
        <f>IF(Checks!C573,IF(UPPER(Data!C573)="SERVICE TASK",IF(UPPER(Data!BZ573)="TYPE=SAS",UPPER(RIGHT(Data!CA573,4))=".SAS",TRUE),TRUE),TRUE)</f>
        <v>1</v>
      </c>
      <c r="T573" s="26" t="b">
        <f>IF(Checks!C573,IF(Data!B573&lt;&gt;"",Data!D573&lt;&gt;"",TRUE),TRUE)</f>
        <v>1</v>
      </c>
      <c r="U573" s="26" t="b">
        <f ca="1">IF(Checks!C573,IF(UPPER(Data!C573)="DATA OBJECT",NOT(ISERROR(MATCH(Data!A573&amp;"||"&amp;Data!BW573&amp;Data!BX573,Key,0))),TRUE),TRUE)</f>
        <v>1</v>
      </c>
      <c r="V573" s="26" t="b">
        <f>IF(Checks!C573,IF(UPPER(Data!C573)="SUB PROCESS",Data!BY573&lt;&gt;"",TRUE),TRUE)</f>
        <v>1</v>
      </c>
      <c r="W573" s="26" t="b">
        <f>IF(Checks!C573,IF(UPPER(Data!C573)="SERVICE TASK",AND(Data!BZ573&lt;&gt;"",Data!CA573&lt;&gt;""),TRUE),TRUE)</f>
        <v>1</v>
      </c>
      <c r="X573" s="26" t="b">
        <f t="array" aca="1" ref="X573" ca="1">SUM((OFFSET(Data!B573,MAX(ROW(Data!$B$5)-ROW(Data!B573),-200),0,400,1)=Data!B573)*(OFFSET(Data!A573,MAX(ROW(Data!$B$5)-ROW(Data!B573),-200),0,400,1)=Data!A573))=1</f>
        <v>1</v>
      </c>
      <c r="Y573" s="26" t="b">
        <f t="array" aca="1" ref="Y573" ca="1">IF(UPPER(Data!C573)="START",SUM((OFFSET(Data!C573,MAX(ROW(Data!$C$5)-ROW(Data!C573),-200),0,400,1)="START")*(OFFSET(Data!A573,MAX(ROW(Data!$B$5)-ROW(Data!B573),-200),0,400,1)=Data!A573))=1,TRUE)</f>
        <v>1</v>
      </c>
      <c r="Z573" s="26" t="b">
        <f t="array" aca="1" ref="Z573" ca="1">IF(UPPER(Data!C573)="END",SUM((OFFSET(Data!C573,MAX(ROW(Data!$C$5)-ROW(Data!C573),-200),0,400,1)="END")*(OFFSET(Data!A573,MAX(ROW(Data!$B$5)-ROW(Data!B573),-200),0,400,1)=Data!A573))=1,TRUE)</f>
        <v>1</v>
      </c>
      <c r="AA573" s="26" t="b">
        <f>IF(Checks!C573,ISERROR(FIND("&amp;",Data!D573)),TRUE)</f>
        <v>1</v>
      </c>
      <c r="AB573" s="26" t="b">
        <f>IF(Checks!$C573,IF(AND(UPPER(Data!$C573)&lt;&gt;"START",UPPER(Data!$C573)&lt;&gt;"DATA OBJECT",Data!E573&lt;&gt;""),NOT(ISERROR(MATCH(Data!$A573&amp;"||"&amp;Data!E573,Key,0))),TRUE),TRUE)</f>
        <v>1</v>
      </c>
      <c r="AC573" s="27" t="b">
        <f>IF(Checks!C573,IF(UPPER(Data!C573)="END",Data!E573&lt;&gt;"",TRUE),TRUE)</f>
        <v>1</v>
      </c>
    </row>
    <row r="574" spans="1:29" x14ac:dyDescent="0.25">
      <c r="A574" s="1" t="str">
        <f>Data!A574&amp;"||"&amp;Data!B574</f>
        <v>Analytics/irmifrs9_disclosure_reports.bpmn||010_00_02</v>
      </c>
      <c r="B574" s="19"/>
      <c r="C574" s="24" t="b">
        <f>AND(UPPER(Data!A574)&lt;&gt;"EMPTY",Data!B574&lt;&gt;"")</f>
        <v>1</v>
      </c>
      <c r="D574" s="1"/>
      <c r="E574" s="25" t="b">
        <f t="shared" ca="1" si="16"/>
        <v>1</v>
      </c>
      <c r="F574" s="26" t="b">
        <f ca="1">IF(UPPER(Data!C574)="SUB PROCESS",NOT(ISERROR(MATCH(RIGHT(Data!BY574,LEN(Data!BY574)-5),OFFSET(Data,0,0,ItemsCount,1),0))),TRUE)</f>
        <v>1</v>
      </c>
      <c r="G574" s="26" t="b">
        <f ca="1">IF(MID(UPPER(Data!A574),1,13)="MISCELLANEOUS",NOT(ISERROR(MATCH("path="&amp;Data!A574,OFFSET(Data,0,76,ItemsCount,1),0))),TRUE)</f>
        <v>1</v>
      </c>
      <c r="L574" s="25" t="b">
        <f t="shared" ca="1" si="17"/>
        <v>1</v>
      </c>
      <c r="M574" s="24" t="b">
        <f>IF(Checks!$C574,Data!A574&lt;&gt;"",TRUE)</f>
        <v>1</v>
      </c>
      <c r="N574" s="26" t="b">
        <f>IF(Checks!C574,Data!B574&lt;&gt;"",TRUE)</f>
        <v>1</v>
      </c>
      <c r="O574" s="26" t="b">
        <f>IF(Checks!C574,IF(AND(UPPER(Data!C574)="SERVICE TASK",UPPER(Data!BZ574)="TYPE=SAS"),NodeExists(TRIM(RIGHT(Data!CA574,LEN(Data!CA574)-FIND("=",Data!CA574)))),TRUE),TRUE)</f>
        <v>1</v>
      </c>
      <c r="P574" s="26" t="b">
        <f>IF(Checks!C574,IF(Data!C574="DATA OBJECT",OR(AND(Data!BW574&lt;&gt;"",Data!BX574=""),AND(Data!BW574="",Data!BX574&lt;&gt;"")),TRUE),TRUE)</f>
        <v>1</v>
      </c>
      <c r="Q574" s="26" t="b">
        <f>IF(Checks!C574,UPPER(RIGHT(Data!A574,5))=".BPMN",TRUE)</f>
        <v>1</v>
      </c>
      <c r="R574" s="26" t="b">
        <f>IF(Checks!C574,IF(UPPER(Data!C574)="SUB PROCESS",UPPER(RIGHT(Data!BY574,5))=".BPMN",TRUE),TRUE)</f>
        <v>1</v>
      </c>
      <c r="S574" s="26" t="b">
        <f>IF(Checks!C574,IF(UPPER(Data!C574)="SERVICE TASK",IF(UPPER(Data!BZ574)="TYPE=SAS",UPPER(RIGHT(Data!CA574,4))=".SAS",TRUE),TRUE),TRUE)</f>
        <v>1</v>
      </c>
      <c r="T574" s="26" t="b">
        <f>IF(Checks!C574,IF(Data!B574&lt;&gt;"",Data!D574&lt;&gt;"",TRUE),TRUE)</f>
        <v>1</v>
      </c>
      <c r="U574" s="26" t="b">
        <f ca="1">IF(Checks!C574,IF(UPPER(Data!C574)="DATA OBJECT",NOT(ISERROR(MATCH(Data!A574&amp;"||"&amp;Data!BW574&amp;Data!BX574,Key,0))),TRUE),TRUE)</f>
        <v>1</v>
      </c>
      <c r="V574" s="26" t="b">
        <f>IF(Checks!C574,IF(UPPER(Data!C574)="SUB PROCESS",Data!BY574&lt;&gt;"",TRUE),TRUE)</f>
        <v>1</v>
      </c>
      <c r="W574" s="26" t="b">
        <f>IF(Checks!C574,IF(UPPER(Data!C574)="SERVICE TASK",AND(Data!BZ574&lt;&gt;"",Data!CA574&lt;&gt;""),TRUE),TRUE)</f>
        <v>1</v>
      </c>
      <c r="X574" s="26" t="b">
        <f t="array" aca="1" ref="X574" ca="1">SUM((OFFSET(Data!B574,MAX(ROW(Data!$B$5)-ROW(Data!B574),-200),0,400,1)=Data!B574)*(OFFSET(Data!A574,MAX(ROW(Data!$B$5)-ROW(Data!B574),-200),0,400,1)=Data!A574))=1</f>
        <v>1</v>
      </c>
      <c r="Y574" s="26" t="b">
        <f t="array" aca="1" ref="Y574" ca="1">IF(UPPER(Data!C574)="START",SUM((OFFSET(Data!C574,MAX(ROW(Data!$C$5)-ROW(Data!C574),-200),0,400,1)="START")*(OFFSET(Data!A574,MAX(ROW(Data!$B$5)-ROW(Data!B574),-200),0,400,1)=Data!A574))=1,TRUE)</f>
        <v>1</v>
      </c>
      <c r="Z574" s="26" t="b">
        <f t="array" aca="1" ref="Z574" ca="1">IF(UPPER(Data!C574)="END",SUM((OFFSET(Data!C574,MAX(ROW(Data!$C$5)-ROW(Data!C574),-200),0,400,1)="END")*(OFFSET(Data!A574,MAX(ROW(Data!$B$5)-ROW(Data!B574),-200),0,400,1)=Data!A574))=1,TRUE)</f>
        <v>1</v>
      </c>
      <c r="AA574" s="26" t="b">
        <f>IF(Checks!C574,ISERROR(FIND("&amp;",Data!D574)),TRUE)</f>
        <v>1</v>
      </c>
      <c r="AB574" s="26" t="b">
        <f>IF(Checks!$C574,IF(AND(UPPER(Data!$C574)&lt;&gt;"START",UPPER(Data!$C574)&lt;&gt;"DATA OBJECT",Data!E574&lt;&gt;""),NOT(ISERROR(MATCH(Data!$A574&amp;"||"&amp;Data!E574,Key,0))),TRUE),TRUE)</f>
        <v>1</v>
      </c>
      <c r="AC574" s="27" t="b">
        <f>IF(Checks!C574,IF(UPPER(Data!C574)="END",Data!E574&lt;&gt;"",TRUE),TRUE)</f>
        <v>1</v>
      </c>
    </row>
    <row r="575" spans="1:29" x14ac:dyDescent="0.25">
      <c r="A575" s="1" t="str">
        <f>Data!A575&amp;"||"&amp;Data!B575</f>
        <v>Analytics/irmifrs9_disclosure_reports.bpmn||010_01_00</v>
      </c>
      <c r="B575" s="19"/>
      <c r="C575" s="24" t="b">
        <f>AND(UPPER(Data!A575)&lt;&gt;"EMPTY",Data!B575&lt;&gt;"")</f>
        <v>1</v>
      </c>
      <c r="D575" s="1"/>
      <c r="E575" s="25" t="b">
        <f t="shared" ca="1" si="16"/>
        <v>1</v>
      </c>
      <c r="F575" s="26" t="b">
        <f ca="1">IF(UPPER(Data!C575)="SUB PROCESS",NOT(ISERROR(MATCH(RIGHT(Data!BY575,LEN(Data!BY575)-5),OFFSET(Data,0,0,ItemsCount,1),0))),TRUE)</f>
        <v>1</v>
      </c>
      <c r="G575" s="26" t="b">
        <f ca="1">IF(MID(UPPER(Data!A575),1,13)="MISCELLANEOUS",NOT(ISERROR(MATCH("path="&amp;Data!A575,OFFSET(Data,0,76,ItemsCount,1),0))),TRUE)</f>
        <v>1</v>
      </c>
      <c r="L575" s="25" t="b">
        <f t="shared" ca="1" si="17"/>
        <v>1</v>
      </c>
      <c r="M575" s="24" t="b">
        <f>IF(Checks!$C575,Data!A575&lt;&gt;"",TRUE)</f>
        <v>1</v>
      </c>
      <c r="N575" s="26" t="b">
        <f>IF(Checks!C575,Data!B575&lt;&gt;"",TRUE)</f>
        <v>1</v>
      </c>
      <c r="O575" s="26" t="b">
        <f>IF(Checks!C575,IF(AND(UPPER(Data!C575)="SERVICE TASK",UPPER(Data!BZ575)="TYPE=SAS"),NodeExists(TRIM(RIGHT(Data!CA575,LEN(Data!CA575)-FIND("=",Data!CA575)))),TRUE),TRUE)</f>
        <v>1</v>
      </c>
      <c r="P575" s="26" t="b">
        <f>IF(Checks!C575,IF(Data!C575="DATA OBJECT",OR(AND(Data!BW575&lt;&gt;"",Data!BX575=""),AND(Data!BW575="",Data!BX575&lt;&gt;"")),TRUE),TRUE)</f>
        <v>1</v>
      </c>
      <c r="Q575" s="26" t="b">
        <f>IF(Checks!C575,UPPER(RIGHT(Data!A575,5))=".BPMN",TRUE)</f>
        <v>1</v>
      </c>
      <c r="R575" s="26" t="b">
        <f>IF(Checks!C575,IF(UPPER(Data!C575)="SUB PROCESS",UPPER(RIGHT(Data!BY575,5))=".BPMN",TRUE),TRUE)</f>
        <v>1</v>
      </c>
      <c r="S575" s="26" t="b">
        <f>IF(Checks!C575,IF(UPPER(Data!C575)="SERVICE TASK",IF(UPPER(Data!BZ575)="TYPE=SAS",UPPER(RIGHT(Data!CA575,4))=".SAS",TRUE),TRUE),TRUE)</f>
        <v>1</v>
      </c>
      <c r="T575" s="26" t="b">
        <f>IF(Checks!C575,IF(Data!B575&lt;&gt;"",Data!D575&lt;&gt;"",TRUE),TRUE)</f>
        <v>1</v>
      </c>
      <c r="U575" s="26" t="b">
        <f ca="1">IF(Checks!C575,IF(UPPER(Data!C575)="DATA OBJECT",NOT(ISERROR(MATCH(Data!A575&amp;"||"&amp;Data!BW575&amp;Data!BX575,Key,0))),TRUE),TRUE)</f>
        <v>1</v>
      </c>
      <c r="V575" s="26" t="b">
        <f>IF(Checks!C575,IF(UPPER(Data!C575)="SUB PROCESS",Data!BY575&lt;&gt;"",TRUE),TRUE)</f>
        <v>1</v>
      </c>
      <c r="W575" s="26" t="b">
        <f>IF(Checks!C575,IF(UPPER(Data!C575)="SERVICE TASK",AND(Data!BZ575&lt;&gt;"",Data!CA575&lt;&gt;""),TRUE),TRUE)</f>
        <v>1</v>
      </c>
      <c r="X575" s="26" t="b">
        <f t="array" aca="1" ref="X575" ca="1">SUM((OFFSET(Data!B575,MAX(ROW(Data!$B$5)-ROW(Data!B575),-200),0,400,1)=Data!B575)*(OFFSET(Data!A575,MAX(ROW(Data!$B$5)-ROW(Data!B575),-200),0,400,1)=Data!A575))=1</f>
        <v>1</v>
      </c>
      <c r="Y575" s="26" t="b">
        <f t="array" aca="1" ref="Y575" ca="1">IF(UPPER(Data!C575)="START",SUM((OFFSET(Data!C575,MAX(ROW(Data!$C$5)-ROW(Data!C575),-200),0,400,1)="START")*(OFFSET(Data!A575,MAX(ROW(Data!$B$5)-ROW(Data!B575),-200),0,400,1)=Data!A575))=1,TRUE)</f>
        <v>1</v>
      </c>
      <c r="Z575" s="26" t="b">
        <f t="array" aca="1" ref="Z575" ca="1">IF(UPPER(Data!C575)="END",SUM((OFFSET(Data!C575,MAX(ROW(Data!$C$5)-ROW(Data!C575),-200),0,400,1)="END")*(OFFSET(Data!A575,MAX(ROW(Data!$B$5)-ROW(Data!B575),-200),0,400,1)=Data!A575))=1,TRUE)</f>
        <v>1</v>
      </c>
      <c r="AA575" s="26" t="b">
        <f>IF(Checks!C575,ISERROR(FIND("&amp;",Data!D575)),TRUE)</f>
        <v>1</v>
      </c>
      <c r="AB575" s="26" t="b">
        <f>IF(Checks!$C575,IF(AND(UPPER(Data!$C575)&lt;&gt;"START",UPPER(Data!$C575)&lt;&gt;"DATA OBJECT",Data!E575&lt;&gt;""),NOT(ISERROR(MATCH(Data!$A575&amp;"||"&amp;Data!E575,Key,0))),TRUE),TRUE)</f>
        <v>1</v>
      </c>
      <c r="AC575" s="27" t="b">
        <f>IF(Checks!C575,IF(UPPER(Data!C575)="END",Data!E575&lt;&gt;"",TRUE),TRUE)</f>
        <v>1</v>
      </c>
    </row>
    <row r="576" spans="1:29" x14ac:dyDescent="0.25">
      <c r="A576" s="1" t="str">
        <f>Data!A576&amp;"||"&amp;Data!B576</f>
        <v>Analytics/irmifrs9_disclosure_reports.bpmn||999_00_00</v>
      </c>
      <c r="B576" s="19"/>
      <c r="C576" s="24" t="b">
        <f>AND(UPPER(Data!A576)&lt;&gt;"EMPTY",Data!B576&lt;&gt;"")</f>
        <v>1</v>
      </c>
      <c r="D576" s="1"/>
      <c r="E576" s="25" t="b">
        <f t="shared" ca="1" si="16"/>
        <v>1</v>
      </c>
      <c r="F576" s="26" t="b">
        <f ca="1">IF(UPPER(Data!C576)="SUB PROCESS",NOT(ISERROR(MATCH(RIGHT(Data!BY576,LEN(Data!BY576)-5),OFFSET(Data,0,0,ItemsCount,1),0))),TRUE)</f>
        <v>1</v>
      </c>
      <c r="G576" s="26" t="b">
        <f ca="1">IF(MID(UPPER(Data!A576),1,13)="MISCELLANEOUS",NOT(ISERROR(MATCH("path="&amp;Data!A576,OFFSET(Data,0,76,ItemsCount,1),0))),TRUE)</f>
        <v>1</v>
      </c>
      <c r="L576" s="25" t="b">
        <f t="shared" ca="1" si="17"/>
        <v>1</v>
      </c>
      <c r="M576" s="24" t="b">
        <f>IF(Checks!$C576,Data!A576&lt;&gt;"",TRUE)</f>
        <v>1</v>
      </c>
      <c r="N576" s="26" t="b">
        <f>IF(Checks!C576,Data!B576&lt;&gt;"",TRUE)</f>
        <v>1</v>
      </c>
      <c r="O576" s="26" t="b">
        <f>IF(Checks!C576,IF(AND(UPPER(Data!C576)="SERVICE TASK",UPPER(Data!BZ576)="TYPE=SAS"),NodeExists(TRIM(RIGHT(Data!CA576,LEN(Data!CA576)-FIND("=",Data!CA576)))),TRUE),TRUE)</f>
        <v>1</v>
      </c>
      <c r="P576" s="26" t="b">
        <f>IF(Checks!C576,IF(Data!C576="DATA OBJECT",OR(AND(Data!BW576&lt;&gt;"",Data!BX576=""),AND(Data!BW576="",Data!BX576&lt;&gt;"")),TRUE),TRUE)</f>
        <v>1</v>
      </c>
      <c r="Q576" s="26" t="b">
        <f>IF(Checks!C576,UPPER(RIGHT(Data!A576,5))=".BPMN",TRUE)</f>
        <v>1</v>
      </c>
      <c r="R576" s="26" t="b">
        <f>IF(Checks!C576,IF(UPPER(Data!C576)="SUB PROCESS",UPPER(RIGHT(Data!BY576,5))=".BPMN",TRUE),TRUE)</f>
        <v>1</v>
      </c>
      <c r="S576" s="26" t="b">
        <f>IF(Checks!C576,IF(UPPER(Data!C576)="SERVICE TASK",IF(UPPER(Data!BZ576)="TYPE=SAS",UPPER(RIGHT(Data!CA576,4))=".SAS",TRUE),TRUE),TRUE)</f>
        <v>1</v>
      </c>
      <c r="T576" s="26" t="b">
        <f>IF(Checks!C576,IF(Data!B576&lt;&gt;"",Data!D576&lt;&gt;"",TRUE),TRUE)</f>
        <v>1</v>
      </c>
      <c r="U576" s="26" t="b">
        <f>IF(Checks!C576,IF(UPPER(Data!C576)="DATA OBJECT",NOT(ISERROR(MATCH(Data!A576&amp;"||"&amp;Data!BW576&amp;Data!BX576,Key,0))),TRUE),TRUE)</f>
        <v>1</v>
      </c>
      <c r="V576" s="26" t="b">
        <f>IF(Checks!C576,IF(UPPER(Data!C576)="SUB PROCESS",Data!BY576&lt;&gt;"",TRUE),TRUE)</f>
        <v>1</v>
      </c>
      <c r="W576" s="26" t="b">
        <f>IF(Checks!C576,IF(UPPER(Data!C576)="SERVICE TASK",AND(Data!BZ576&lt;&gt;"",Data!CA576&lt;&gt;""),TRUE),TRUE)</f>
        <v>1</v>
      </c>
      <c r="X576" s="26" t="b">
        <f t="array" aca="1" ref="X576" ca="1">SUM((OFFSET(Data!B576,MAX(ROW(Data!$B$5)-ROW(Data!B576),-200),0,400,1)=Data!B576)*(OFFSET(Data!A576,MAX(ROW(Data!$B$5)-ROW(Data!B576),-200),0,400,1)=Data!A576))=1</f>
        <v>1</v>
      </c>
      <c r="Y576" s="26" t="b">
        <f t="array" aca="1" ref="Y576" ca="1">IF(UPPER(Data!C576)="START",SUM((OFFSET(Data!C576,MAX(ROW(Data!$C$5)-ROW(Data!C576),-200),0,400,1)="START")*(OFFSET(Data!A576,MAX(ROW(Data!$B$5)-ROW(Data!B576),-200),0,400,1)=Data!A576))=1,TRUE)</f>
        <v>1</v>
      </c>
      <c r="Z576" s="26" t="b">
        <f t="array" aca="1" ref="Z576" ca="1">IF(UPPER(Data!C576)="END",SUM((OFFSET(Data!C576,MAX(ROW(Data!$C$5)-ROW(Data!C576),-200),0,400,1)="END")*(OFFSET(Data!A576,MAX(ROW(Data!$B$5)-ROW(Data!B576),-200),0,400,1)=Data!A576))=1,TRUE)</f>
        <v>1</v>
      </c>
      <c r="AA576" s="26" t="b">
        <f>IF(Checks!C576,ISERROR(FIND("&amp;",Data!D576)),TRUE)</f>
        <v>1</v>
      </c>
      <c r="AB576" s="26" t="b">
        <f ca="1">IF(Checks!$C576,IF(AND(UPPER(Data!$C576)&lt;&gt;"START",UPPER(Data!$C576)&lt;&gt;"DATA OBJECT",Data!E576&lt;&gt;""),NOT(ISERROR(MATCH(Data!$A576&amp;"||"&amp;Data!E576,Key,0))),TRUE),TRUE)</f>
        <v>1</v>
      </c>
      <c r="AC576" s="27" t="b">
        <f>IF(Checks!C576,IF(UPPER(Data!C576)="END",Data!E576&lt;&gt;"",TRUE),TRUE)</f>
        <v>1</v>
      </c>
    </row>
    <row r="577" spans="1:29" x14ac:dyDescent="0.25">
      <c r="A577" s="1" t="str">
        <f>Data!A577&amp;"||"&amp;Data!B577</f>
        <v>Analytics/irmifrs9_afs_calculations.bpmn||000_00_00</v>
      </c>
      <c r="B577" s="19"/>
      <c r="C577" s="24" t="b">
        <f>AND(UPPER(Data!A577)&lt;&gt;"EMPTY",Data!B577&lt;&gt;"")</f>
        <v>1</v>
      </c>
      <c r="D577" s="1"/>
      <c r="E577" s="25" t="b">
        <f t="shared" ca="1" si="16"/>
        <v>1</v>
      </c>
      <c r="F577" s="26" t="b">
        <f ca="1">IF(UPPER(Data!C577)="SUB PROCESS",NOT(ISERROR(MATCH(RIGHT(Data!BY577,LEN(Data!BY577)-5),OFFSET(Data,0,0,ItemsCount,1),0))),TRUE)</f>
        <v>1</v>
      </c>
      <c r="G577" s="26" t="b">
        <f ca="1">IF(MID(UPPER(Data!A577),1,13)="MISCELLANEOUS",NOT(ISERROR(MATCH("path="&amp;Data!A577,OFFSET(Data,0,76,ItemsCount,1),0))),TRUE)</f>
        <v>1</v>
      </c>
      <c r="L577" s="25" t="b">
        <f t="shared" ca="1" si="17"/>
        <v>1</v>
      </c>
      <c r="M577" s="24" t="b">
        <f>IF(Checks!$C577,Data!A577&lt;&gt;"",TRUE)</f>
        <v>1</v>
      </c>
      <c r="N577" s="26" t="b">
        <f>IF(Checks!C577,Data!B577&lt;&gt;"",TRUE)</f>
        <v>1</v>
      </c>
      <c r="O577" s="26" t="b">
        <f>IF(Checks!C577,IF(AND(UPPER(Data!C577)="SERVICE TASK",UPPER(Data!BZ577)="TYPE=SAS"),NodeExists(TRIM(RIGHT(Data!CA577,LEN(Data!CA577)-FIND("=",Data!CA577)))),TRUE),TRUE)</f>
        <v>1</v>
      </c>
      <c r="P577" s="26" t="b">
        <f>IF(Checks!C577,IF(Data!C577="DATA OBJECT",OR(AND(Data!BW577&lt;&gt;"",Data!BX577=""),AND(Data!BW577="",Data!BX577&lt;&gt;"")),TRUE),TRUE)</f>
        <v>1</v>
      </c>
      <c r="Q577" s="26" t="b">
        <f>IF(Checks!C577,UPPER(RIGHT(Data!A577,5))=".BPMN",TRUE)</f>
        <v>1</v>
      </c>
      <c r="R577" s="26" t="b">
        <f>IF(Checks!C577,IF(UPPER(Data!C577)="SUB PROCESS",UPPER(RIGHT(Data!BY577,5))=".BPMN",TRUE),TRUE)</f>
        <v>1</v>
      </c>
      <c r="S577" s="26" t="b">
        <f>IF(Checks!C577,IF(UPPER(Data!C577)="SERVICE TASK",IF(UPPER(Data!BZ577)="TYPE=SAS",UPPER(RIGHT(Data!CA577,4))=".SAS",TRUE),TRUE),TRUE)</f>
        <v>1</v>
      </c>
      <c r="T577" s="26" t="b">
        <f>IF(Checks!C577,IF(Data!B577&lt;&gt;"",Data!D577&lt;&gt;"",TRUE),TRUE)</f>
        <v>1</v>
      </c>
      <c r="U577" s="26" t="b">
        <f>IF(Checks!C577,IF(UPPER(Data!C577)="DATA OBJECT",NOT(ISERROR(MATCH(Data!A577&amp;"||"&amp;Data!BW577&amp;Data!BX577,Key,0))),TRUE),TRUE)</f>
        <v>1</v>
      </c>
      <c r="V577" s="26" t="b">
        <f>IF(Checks!C577,IF(UPPER(Data!C577)="SUB PROCESS",Data!BY577&lt;&gt;"",TRUE),TRUE)</f>
        <v>1</v>
      </c>
      <c r="W577" s="26" t="b">
        <f>IF(Checks!C577,IF(UPPER(Data!C577)="SERVICE TASK",AND(Data!BZ577&lt;&gt;"",Data!CA577&lt;&gt;""),TRUE),TRUE)</f>
        <v>1</v>
      </c>
      <c r="X577" s="26" t="b">
        <f t="array" aca="1" ref="X577" ca="1">SUM((OFFSET(Data!B577,MAX(ROW(Data!$B$5)-ROW(Data!B577),-200),0,400,1)=Data!B577)*(OFFSET(Data!A577,MAX(ROW(Data!$B$5)-ROW(Data!B577),-200),0,400,1)=Data!A577))=1</f>
        <v>1</v>
      </c>
      <c r="Y577" s="26" t="b">
        <f t="array" aca="1" ref="Y577" ca="1">IF(UPPER(Data!C577)="START",SUM((OFFSET(Data!C577,MAX(ROW(Data!$C$5)-ROW(Data!C577),-200),0,400,1)="START")*(OFFSET(Data!A577,MAX(ROW(Data!$B$5)-ROW(Data!B577),-200),0,400,1)=Data!A577))=1,TRUE)</f>
        <v>1</v>
      </c>
      <c r="Z577" s="26" t="b">
        <f t="array" aca="1" ref="Z577" ca="1">IF(UPPER(Data!C577)="END",SUM((OFFSET(Data!C577,MAX(ROW(Data!$C$5)-ROW(Data!C577),-200),0,400,1)="END")*(OFFSET(Data!A577,MAX(ROW(Data!$B$5)-ROW(Data!B577),-200),0,400,1)=Data!A577))=1,TRUE)</f>
        <v>1</v>
      </c>
      <c r="AA577" s="26" t="b">
        <f>IF(Checks!C577,ISERROR(FIND("&amp;",Data!D577)),TRUE)</f>
        <v>1</v>
      </c>
      <c r="AB577" s="26" t="b">
        <f>IF(Checks!$C577,IF(AND(UPPER(Data!$C577)&lt;&gt;"START",UPPER(Data!$C577)&lt;&gt;"DATA OBJECT",Data!E577&lt;&gt;""),NOT(ISERROR(MATCH(Data!$A577&amp;"||"&amp;Data!E577,Key,0))),TRUE),TRUE)</f>
        <v>1</v>
      </c>
      <c r="AC577" s="27" t="b">
        <f>IF(Checks!C577,IF(UPPER(Data!C577)="END",Data!E577&lt;&gt;"",TRUE),TRUE)</f>
        <v>1</v>
      </c>
    </row>
    <row r="578" spans="1:29" x14ac:dyDescent="0.25">
      <c r="A578" s="1" t="str">
        <f>Data!A578&amp;"||"&amp;Data!B578</f>
        <v>Analytics/irmifrs9_afs_calculations.bpmn||010_00_00</v>
      </c>
      <c r="B578" s="19"/>
      <c r="C578" s="24" t="b">
        <f>AND(UPPER(Data!A578)&lt;&gt;"EMPTY",Data!B578&lt;&gt;"")</f>
        <v>1</v>
      </c>
      <c r="D578" s="1"/>
      <c r="E578" s="25" t="b">
        <f t="shared" ca="1" si="16"/>
        <v>1</v>
      </c>
      <c r="F578" s="26" t="b">
        <f ca="1">IF(UPPER(Data!C578)="SUB PROCESS",NOT(ISERROR(MATCH(RIGHT(Data!BY578,LEN(Data!BY578)-5),OFFSET(Data,0,0,ItemsCount,1),0))),TRUE)</f>
        <v>1</v>
      </c>
      <c r="G578" s="26" t="b">
        <f ca="1">IF(MID(UPPER(Data!A578),1,13)="MISCELLANEOUS",NOT(ISERROR(MATCH("path="&amp;Data!A578,OFFSET(Data,0,76,ItemsCount,1),0))),TRUE)</f>
        <v>1</v>
      </c>
      <c r="L578" s="25" t="b">
        <f t="shared" ca="1" si="17"/>
        <v>1</v>
      </c>
      <c r="M578" s="24" t="b">
        <f>IF(Checks!$C578,Data!A578&lt;&gt;"",TRUE)</f>
        <v>1</v>
      </c>
      <c r="N578" s="26" t="b">
        <f>IF(Checks!C578,Data!B578&lt;&gt;"",TRUE)</f>
        <v>1</v>
      </c>
      <c r="O578" s="26" t="b">
        <f>IF(Checks!C578,IF(AND(UPPER(Data!C578)="SERVICE TASK",UPPER(Data!BZ578)="TYPE=SAS"),NodeExists(TRIM(RIGHT(Data!CA578,LEN(Data!CA578)-FIND("=",Data!CA578)))),TRUE),TRUE)</f>
        <v>1</v>
      </c>
      <c r="P578" s="26" t="b">
        <f>IF(Checks!C578,IF(Data!C578="DATA OBJECT",OR(AND(Data!BW578&lt;&gt;"",Data!BX578=""),AND(Data!BW578="",Data!BX578&lt;&gt;"")),TRUE),TRUE)</f>
        <v>1</v>
      </c>
      <c r="Q578" s="26" t="b">
        <f>IF(Checks!C578,UPPER(RIGHT(Data!A578,5))=".BPMN",TRUE)</f>
        <v>1</v>
      </c>
      <c r="R578" s="26" t="b">
        <f>IF(Checks!C578,IF(UPPER(Data!C578)="SUB PROCESS",UPPER(RIGHT(Data!BY578,5))=".BPMN",TRUE),TRUE)</f>
        <v>1</v>
      </c>
      <c r="S578" s="26" t="b">
        <f>IF(Checks!C578,IF(UPPER(Data!C578)="SERVICE TASK",IF(UPPER(Data!BZ578)="TYPE=SAS",UPPER(RIGHT(Data!CA578,4))=".SAS",TRUE),TRUE),TRUE)</f>
        <v>1</v>
      </c>
      <c r="T578" s="26" t="b">
        <f>IF(Checks!C578,IF(Data!B578&lt;&gt;"",Data!D578&lt;&gt;"",TRUE),TRUE)</f>
        <v>1</v>
      </c>
      <c r="U578" s="26" t="b">
        <f>IF(Checks!C578,IF(UPPER(Data!C578)="DATA OBJECT",NOT(ISERROR(MATCH(Data!A578&amp;"||"&amp;Data!BW578&amp;Data!BX578,Key,0))),TRUE),TRUE)</f>
        <v>1</v>
      </c>
      <c r="V578" s="26" t="b">
        <f>IF(Checks!C578,IF(UPPER(Data!C578)="SUB PROCESS",Data!BY578&lt;&gt;"",TRUE),TRUE)</f>
        <v>1</v>
      </c>
      <c r="W578" s="26" t="b">
        <f>IF(Checks!C578,IF(UPPER(Data!C578)="SERVICE TASK",AND(Data!BZ578&lt;&gt;"",Data!CA578&lt;&gt;""),TRUE),TRUE)</f>
        <v>1</v>
      </c>
      <c r="X578" s="26" t="b">
        <f t="array" aca="1" ref="X578" ca="1">SUM((OFFSET(Data!B578,MAX(ROW(Data!$B$5)-ROW(Data!B578),-200),0,400,1)=Data!B578)*(OFFSET(Data!A578,MAX(ROW(Data!$B$5)-ROW(Data!B578),-200),0,400,1)=Data!A578))=1</f>
        <v>1</v>
      </c>
      <c r="Y578" s="26" t="b">
        <f t="array" aca="1" ref="Y578" ca="1">IF(UPPER(Data!C578)="START",SUM((OFFSET(Data!C578,MAX(ROW(Data!$C$5)-ROW(Data!C578),-200),0,400,1)="START")*(OFFSET(Data!A578,MAX(ROW(Data!$B$5)-ROW(Data!B578),-200),0,400,1)=Data!A578))=1,TRUE)</f>
        <v>1</v>
      </c>
      <c r="Z578" s="26" t="b">
        <f t="array" aca="1" ref="Z578" ca="1">IF(UPPER(Data!C578)="END",SUM((OFFSET(Data!C578,MAX(ROW(Data!$C$5)-ROW(Data!C578),-200),0,400,1)="END")*(OFFSET(Data!A578,MAX(ROW(Data!$B$5)-ROW(Data!B578),-200),0,400,1)=Data!A578))=1,TRUE)</f>
        <v>1</v>
      </c>
      <c r="AA578" s="26" t="b">
        <f>IF(Checks!C578,ISERROR(FIND("&amp;",Data!D578)),TRUE)</f>
        <v>1</v>
      </c>
      <c r="AB578" s="26" t="b">
        <f ca="1">IF(Checks!$C578,IF(AND(UPPER(Data!$C578)&lt;&gt;"START",UPPER(Data!$C578)&lt;&gt;"DATA OBJECT",Data!E578&lt;&gt;""),NOT(ISERROR(MATCH(Data!$A578&amp;"||"&amp;Data!E578,Key,0))),TRUE),TRUE)</f>
        <v>1</v>
      </c>
      <c r="AC578" s="27" t="b">
        <f>IF(Checks!C578,IF(UPPER(Data!C578)="END",Data!E578&lt;&gt;"",TRUE),TRUE)</f>
        <v>1</v>
      </c>
    </row>
    <row r="579" spans="1:29" x14ac:dyDescent="0.25">
      <c r="A579" s="1" t="str">
        <f>Data!A579&amp;"||"&amp;Data!B579</f>
        <v>Analytics/irmifrs9_afs_calculations.bpmn||020_00_00</v>
      </c>
      <c r="B579" s="19"/>
      <c r="C579" s="24" t="b">
        <f>AND(UPPER(Data!A579)&lt;&gt;"EMPTY",Data!B579&lt;&gt;"")</f>
        <v>1</v>
      </c>
      <c r="D579" s="1"/>
      <c r="E579" s="25" t="b">
        <f t="shared" ca="1" si="16"/>
        <v>1</v>
      </c>
      <c r="F579" s="26" t="b">
        <f ca="1">IF(UPPER(Data!C579)="SUB PROCESS",NOT(ISERROR(MATCH(RIGHT(Data!BY579,LEN(Data!BY579)-5),OFFSET(Data,0,0,ItemsCount,1),0))),TRUE)</f>
        <v>1</v>
      </c>
      <c r="G579" s="26" t="b">
        <f ca="1">IF(MID(UPPER(Data!A579),1,13)="MISCELLANEOUS",NOT(ISERROR(MATCH("path="&amp;Data!A579,OFFSET(Data,0,76,ItemsCount,1),0))),TRUE)</f>
        <v>1</v>
      </c>
      <c r="L579" s="25" t="b">
        <f t="shared" ca="1" si="17"/>
        <v>1</v>
      </c>
      <c r="M579" s="24" t="b">
        <f>IF(Checks!$C579,Data!A579&lt;&gt;"",TRUE)</f>
        <v>1</v>
      </c>
      <c r="N579" s="26" t="b">
        <f>IF(Checks!C579,Data!B579&lt;&gt;"",TRUE)</f>
        <v>1</v>
      </c>
      <c r="O579" s="26" t="b">
        <f>IF(Checks!C579,IF(AND(UPPER(Data!C579)="SERVICE TASK",UPPER(Data!BZ579)="TYPE=SAS"),NodeExists(TRIM(RIGHT(Data!CA579,LEN(Data!CA579)-FIND("=",Data!CA579)))),TRUE),TRUE)</f>
        <v>1</v>
      </c>
      <c r="P579" s="26" t="b">
        <f>IF(Checks!C579,IF(Data!C579="DATA OBJECT",OR(AND(Data!BW579&lt;&gt;"",Data!BX579=""),AND(Data!BW579="",Data!BX579&lt;&gt;"")),TRUE),TRUE)</f>
        <v>1</v>
      </c>
      <c r="Q579" s="26" t="b">
        <f>IF(Checks!C579,UPPER(RIGHT(Data!A579,5))=".BPMN",TRUE)</f>
        <v>1</v>
      </c>
      <c r="R579" s="26" t="b">
        <f>IF(Checks!C579,IF(UPPER(Data!C579)="SUB PROCESS",UPPER(RIGHT(Data!BY579,5))=".BPMN",TRUE),TRUE)</f>
        <v>1</v>
      </c>
      <c r="S579" s="26" t="b">
        <f>IF(Checks!C579,IF(UPPER(Data!C579)="SERVICE TASK",IF(UPPER(Data!BZ579)="TYPE=SAS",UPPER(RIGHT(Data!CA579,4))=".SAS",TRUE),TRUE),TRUE)</f>
        <v>1</v>
      </c>
      <c r="T579" s="26" t="b">
        <f>IF(Checks!C579,IF(Data!B579&lt;&gt;"",Data!D579&lt;&gt;"",TRUE),TRUE)</f>
        <v>1</v>
      </c>
      <c r="U579" s="26" t="b">
        <f>IF(Checks!C579,IF(UPPER(Data!C579)="DATA OBJECT",NOT(ISERROR(MATCH(Data!A579&amp;"||"&amp;Data!BW579&amp;Data!BX579,Key,0))),TRUE),TRUE)</f>
        <v>1</v>
      </c>
      <c r="V579" s="26" t="b">
        <f>IF(Checks!C579,IF(UPPER(Data!C579)="SUB PROCESS",Data!BY579&lt;&gt;"",TRUE),TRUE)</f>
        <v>1</v>
      </c>
      <c r="W579" s="26" t="b">
        <f>IF(Checks!C579,IF(UPPER(Data!C579)="SERVICE TASK",AND(Data!BZ579&lt;&gt;"",Data!CA579&lt;&gt;""),TRUE),TRUE)</f>
        <v>1</v>
      </c>
      <c r="X579" s="26" t="b">
        <f t="array" aca="1" ref="X579" ca="1">SUM((OFFSET(Data!B579,MAX(ROW(Data!$B$5)-ROW(Data!B579),-200),0,400,1)=Data!B579)*(OFFSET(Data!A579,MAX(ROW(Data!$B$5)-ROW(Data!B579),-200),0,400,1)=Data!A579))=1</f>
        <v>1</v>
      </c>
      <c r="Y579" s="26" t="b">
        <f t="array" aca="1" ref="Y579" ca="1">IF(UPPER(Data!C579)="START",SUM((OFFSET(Data!C579,MAX(ROW(Data!$C$5)-ROW(Data!C579),-200),0,400,1)="START")*(OFFSET(Data!A579,MAX(ROW(Data!$B$5)-ROW(Data!B579),-200),0,400,1)=Data!A579))=1,TRUE)</f>
        <v>1</v>
      </c>
      <c r="Z579" s="26" t="b">
        <f t="array" aca="1" ref="Z579" ca="1">IF(UPPER(Data!C579)="END",SUM((OFFSET(Data!C579,MAX(ROW(Data!$C$5)-ROW(Data!C579),-200),0,400,1)="END")*(OFFSET(Data!A579,MAX(ROW(Data!$B$5)-ROW(Data!B579),-200),0,400,1)=Data!A579))=1,TRUE)</f>
        <v>1</v>
      </c>
      <c r="AA579" s="26" t="b">
        <f>IF(Checks!C579,ISERROR(FIND("&amp;",Data!D579)),TRUE)</f>
        <v>1</v>
      </c>
      <c r="AB579" s="26" t="b">
        <f ca="1">IF(Checks!$C579,IF(AND(UPPER(Data!$C579)&lt;&gt;"START",UPPER(Data!$C579)&lt;&gt;"DATA OBJECT",Data!E579&lt;&gt;""),NOT(ISERROR(MATCH(Data!$A579&amp;"||"&amp;Data!E579,Key,0))),TRUE),TRUE)</f>
        <v>1</v>
      </c>
      <c r="AC579" s="27" t="b">
        <f>IF(Checks!C579,IF(UPPER(Data!C579)="END",Data!E579&lt;&gt;"",TRUE),TRUE)</f>
        <v>1</v>
      </c>
    </row>
    <row r="580" spans="1:29" x14ac:dyDescent="0.25">
      <c r="A580" s="1" t="str">
        <f>Data!A580&amp;"||"&amp;Data!B580</f>
        <v>Analytics/irmifrs9_afs_calculations.bpmn||020_01_00</v>
      </c>
      <c r="B580" s="19"/>
      <c r="C580" s="24" t="b">
        <f>AND(UPPER(Data!A580)&lt;&gt;"EMPTY",Data!B580&lt;&gt;"")</f>
        <v>1</v>
      </c>
      <c r="D580" s="1"/>
      <c r="E580" s="25" t="b">
        <f t="shared" ca="1" si="16"/>
        <v>1</v>
      </c>
      <c r="F580" s="26" t="b">
        <f ca="1">IF(UPPER(Data!C580)="SUB PROCESS",NOT(ISERROR(MATCH(RIGHT(Data!BY580,LEN(Data!BY580)-5),OFFSET(Data,0,0,ItemsCount,1),0))),TRUE)</f>
        <v>1</v>
      </c>
      <c r="G580" s="26" t="b">
        <f ca="1">IF(MID(UPPER(Data!A580),1,13)="MISCELLANEOUS",NOT(ISERROR(MATCH("path="&amp;Data!A580,OFFSET(Data,0,76,ItemsCount,1),0))),TRUE)</f>
        <v>1</v>
      </c>
      <c r="L580" s="25" t="b">
        <f t="shared" ca="1" si="17"/>
        <v>1</v>
      </c>
      <c r="M580" s="24" t="b">
        <f>IF(Checks!$C580,Data!A580&lt;&gt;"",TRUE)</f>
        <v>1</v>
      </c>
      <c r="N580" s="26" t="b">
        <f>IF(Checks!C580,Data!B580&lt;&gt;"",TRUE)</f>
        <v>1</v>
      </c>
      <c r="O580" s="26" t="b">
        <f>IF(Checks!C580,IF(AND(UPPER(Data!C580)="SERVICE TASK",UPPER(Data!BZ580)="TYPE=SAS"),NodeExists(TRIM(RIGHT(Data!CA580,LEN(Data!CA580)-FIND("=",Data!CA580)))),TRUE),TRUE)</f>
        <v>1</v>
      </c>
      <c r="P580" s="26" t="b">
        <f>IF(Checks!C580,IF(Data!C580="DATA OBJECT",OR(AND(Data!BW580&lt;&gt;"",Data!BX580=""),AND(Data!BW580="",Data!BX580&lt;&gt;"")),TRUE),TRUE)</f>
        <v>1</v>
      </c>
      <c r="Q580" s="26" t="b">
        <f>IF(Checks!C580,UPPER(RIGHT(Data!A580,5))=".BPMN",TRUE)</f>
        <v>1</v>
      </c>
      <c r="R580" s="26" t="b">
        <f>IF(Checks!C580,IF(UPPER(Data!C580)="SUB PROCESS",UPPER(RIGHT(Data!BY580,5))=".BPMN",TRUE),TRUE)</f>
        <v>1</v>
      </c>
      <c r="S580" s="26" t="b">
        <f>IF(Checks!C580,IF(UPPER(Data!C580)="SERVICE TASK",IF(UPPER(Data!BZ580)="TYPE=SAS",UPPER(RIGHT(Data!CA580,4))=".SAS",TRUE),TRUE),TRUE)</f>
        <v>1</v>
      </c>
      <c r="T580" s="26" t="b">
        <f>IF(Checks!C580,IF(Data!B580&lt;&gt;"",Data!D580&lt;&gt;"",TRUE),TRUE)</f>
        <v>1</v>
      </c>
      <c r="U580" s="26" t="b">
        <f ca="1">IF(Checks!C580,IF(UPPER(Data!C580)="DATA OBJECT",NOT(ISERROR(MATCH(Data!A580&amp;"||"&amp;Data!BW580&amp;Data!BX580,Key,0))),TRUE),TRUE)</f>
        <v>1</v>
      </c>
      <c r="V580" s="26" t="b">
        <f>IF(Checks!C580,IF(UPPER(Data!C580)="SUB PROCESS",Data!BY580&lt;&gt;"",TRUE),TRUE)</f>
        <v>1</v>
      </c>
      <c r="W580" s="26" t="b">
        <f>IF(Checks!C580,IF(UPPER(Data!C580)="SERVICE TASK",AND(Data!BZ580&lt;&gt;"",Data!CA580&lt;&gt;""),TRUE),TRUE)</f>
        <v>1</v>
      </c>
      <c r="X580" s="26" t="b">
        <f t="array" aca="1" ref="X580" ca="1">SUM((OFFSET(Data!B580,MAX(ROW(Data!$B$5)-ROW(Data!B580),-200),0,400,1)=Data!B580)*(OFFSET(Data!A580,MAX(ROW(Data!$B$5)-ROW(Data!B580),-200),0,400,1)=Data!A580))=1</f>
        <v>1</v>
      </c>
      <c r="Y580" s="26" t="b">
        <f t="array" aca="1" ref="Y580" ca="1">IF(UPPER(Data!C580)="START",SUM((OFFSET(Data!C580,MAX(ROW(Data!$C$5)-ROW(Data!C580),-200),0,400,1)="START")*(OFFSET(Data!A580,MAX(ROW(Data!$B$5)-ROW(Data!B580),-200),0,400,1)=Data!A580))=1,TRUE)</f>
        <v>1</v>
      </c>
      <c r="Z580" s="26" t="b">
        <f t="array" aca="1" ref="Z580" ca="1">IF(UPPER(Data!C580)="END",SUM((OFFSET(Data!C580,MAX(ROW(Data!$C$5)-ROW(Data!C580),-200),0,400,1)="END")*(OFFSET(Data!A580,MAX(ROW(Data!$B$5)-ROW(Data!B580),-200),0,400,1)=Data!A580))=1,TRUE)</f>
        <v>1</v>
      </c>
      <c r="AA580" s="26" t="b">
        <f>IF(Checks!C580,ISERROR(FIND("&amp;",Data!D580)),TRUE)</f>
        <v>1</v>
      </c>
      <c r="AB580" s="26" t="b">
        <f>IF(Checks!$C580,IF(AND(UPPER(Data!$C580)&lt;&gt;"START",UPPER(Data!$C580)&lt;&gt;"DATA OBJECT",Data!E580&lt;&gt;""),NOT(ISERROR(MATCH(Data!$A580&amp;"||"&amp;Data!E580,Key,0))),TRUE),TRUE)</f>
        <v>1</v>
      </c>
      <c r="AC580" s="27" t="b">
        <f>IF(Checks!C580,IF(UPPER(Data!C580)="END",Data!E580&lt;&gt;"",TRUE),TRUE)</f>
        <v>1</v>
      </c>
    </row>
    <row r="581" spans="1:29" x14ac:dyDescent="0.25">
      <c r="A581" s="1" t="str">
        <f>Data!A581&amp;"||"&amp;Data!B581</f>
        <v>Analytics/irmifrs9_afs_calculations.bpmn||040_00_00</v>
      </c>
      <c r="B581" s="19"/>
      <c r="C581" s="24" t="b">
        <f>AND(UPPER(Data!A581)&lt;&gt;"EMPTY",Data!B581&lt;&gt;"")</f>
        <v>1</v>
      </c>
      <c r="D581" s="1"/>
      <c r="E581" s="25" t="b">
        <f t="shared" ca="1" si="16"/>
        <v>1</v>
      </c>
      <c r="F581" s="26" t="b">
        <f ca="1">IF(UPPER(Data!C581)="SUB PROCESS",NOT(ISERROR(MATCH(RIGHT(Data!BY581,LEN(Data!BY581)-5),OFFSET(Data,0,0,ItemsCount,1),0))),TRUE)</f>
        <v>1</v>
      </c>
      <c r="G581" s="26" t="b">
        <f ca="1">IF(MID(UPPER(Data!A581),1,13)="MISCELLANEOUS",NOT(ISERROR(MATCH("path="&amp;Data!A581,OFFSET(Data,0,76,ItemsCount,1),0))),TRUE)</f>
        <v>1</v>
      </c>
      <c r="L581" s="25" t="b">
        <f t="shared" ca="1" si="17"/>
        <v>1</v>
      </c>
      <c r="M581" s="24" t="b">
        <f>IF(Checks!$C581,Data!A581&lt;&gt;"",TRUE)</f>
        <v>1</v>
      </c>
      <c r="N581" s="26" t="b">
        <f>IF(Checks!C581,Data!B581&lt;&gt;"",TRUE)</f>
        <v>1</v>
      </c>
      <c r="O581" s="26" t="b">
        <f>IF(Checks!C581,IF(AND(UPPER(Data!C581)="SERVICE TASK",UPPER(Data!BZ581)="TYPE=SAS"),NodeExists(TRIM(RIGHT(Data!CA581,LEN(Data!CA581)-FIND("=",Data!CA581)))),TRUE),TRUE)</f>
        <v>1</v>
      </c>
      <c r="P581" s="26" t="b">
        <f>IF(Checks!C581,IF(Data!C581="DATA OBJECT",OR(AND(Data!BW581&lt;&gt;"",Data!BX581=""),AND(Data!BW581="",Data!BX581&lt;&gt;"")),TRUE),TRUE)</f>
        <v>1</v>
      </c>
      <c r="Q581" s="26" t="b">
        <f>IF(Checks!C581,UPPER(RIGHT(Data!A581,5))=".BPMN",TRUE)</f>
        <v>1</v>
      </c>
      <c r="R581" s="26" t="b">
        <f>IF(Checks!C581,IF(UPPER(Data!C581)="SUB PROCESS",UPPER(RIGHT(Data!BY581,5))=".BPMN",TRUE),TRUE)</f>
        <v>1</v>
      </c>
      <c r="S581" s="26" t="b">
        <f>IF(Checks!C581,IF(UPPER(Data!C581)="SERVICE TASK",IF(UPPER(Data!BZ581)="TYPE=SAS",UPPER(RIGHT(Data!CA581,4))=".SAS",TRUE),TRUE),TRUE)</f>
        <v>1</v>
      </c>
      <c r="T581" s="26" t="b">
        <f>IF(Checks!C581,IF(Data!B581&lt;&gt;"",Data!D581&lt;&gt;"",TRUE),TRUE)</f>
        <v>1</v>
      </c>
      <c r="U581" s="26" t="b">
        <f>IF(Checks!C581,IF(UPPER(Data!C581)="DATA OBJECT",NOT(ISERROR(MATCH(Data!A581&amp;"||"&amp;Data!BW581&amp;Data!BX581,Key,0))),TRUE),TRUE)</f>
        <v>1</v>
      </c>
      <c r="V581" s="26" t="b">
        <f>IF(Checks!C581,IF(UPPER(Data!C581)="SUB PROCESS",Data!BY581&lt;&gt;"",TRUE),TRUE)</f>
        <v>1</v>
      </c>
      <c r="W581" s="26" t="b">
        <f>IF(Checks!C581,IF(UPPER(Data!C581)="SERVICE TASK",AND(Data!BZ581&lt;&gt;"",Data!CA581&lt;&gt;""),TRUE),TRUE)</f>
        <v>1</v>
      </c>
      <c r="X581" s="26" t="b">
        <f t="array" aca="1" ref="X581" ca="1">SUM((OFFSET(Data!B581,MAX(ROW(Data!$B$5)-ROW(Data!B581),-200),0,400,1)=Data!B581)*(OFFSET(Data!A581,MAX(ROW(Data!$B$5)-ROW(Data!B581),-200),0,400,1)=Data!A581))=1</f>
        <v>1</v>
      </c>
      <c r="Y581" s="26" t="b">
        <f t="array" aca="1" ref="Y581" ca="1">IF(UPPER(Data!C581)="START",SUM((OFFSET(Data!C581,MAX(ROW(Data!$C$5)-ROW(Data!C581),-200),0,400,1)="START")*(OFFSET(Data!A581,MAX(ROW(Data!$B$5)-ROW(Data!B581),-200),0,400,1)=Data!A581))=1,TRUE)</f>
        <v>1</v>
      </c>
      <c r="Z581" s="26" t="b">
        <f t="array" aca="1" ref="Z581" ca="1">IF(UPPER(Data!C581)="END",SUM((OFFSET(Data!C581,MAX(ROW(Data!$C$5)-ROW(Data!C581),-200),0,400,1)="END")*(OFFSET(Data!A581,MAX(ROW(Data!$B$5)-ROW(Data!B581),-200),0,400,1)=Data!A581))=1,TRUE)</f>
        <v>1</v>
      </c>
      <c r="AA581" s="26" t="b">
        <f>IF(Checks!C581,ISERROR(FIND("&amp;",Data!D581)),TRUE)</f>
        <v>1</v>
      </c>
      <c r="AB581" s="26" t="b">
        <f ca="1">IF(Checks!$C581,IF(AND(UPPER(Data!$C581)&lt;&gt;"START",UPPER(Data!$C581)&lt;&gt;"DATA OBJECT",Data!E581&lt;&gt;""),NOT(ISERROR(MATCH(Data!$A581&amp;"||"&amp;Data!E581,Key,0))),TRUE),TRUE)</f>
        <v>1</v>
      </c>
      <c r="AC581" s="27" t="b">
        <f>IF(Checks!C581,IF(UPPER(Data!C581)="END",Data!E581&lt;&gt;"",TRUE),TRUE)</f>
        <v>1</v>
      </c>
    </row>
    <row r="582" spans="1:29" x14ac:dyDescent="0.25">
      <c r="A582" s="1" t="str">
        <f>Data!A582&amp;"||"&amp;Data!B582</f>
        <v>Analytics/irmifrs9_afs_calculations.bpmn||040_00_01</v>
      </c>
      <c r="B582" s="19"/>
      <c r="C582" s="24" t="b">
        <f>AND(UPPER(Data!A582)&lt;&gt;"EMPTY",Data!B582&lt;&gt;"")</f>
        <v>1</v>
      </c>
      <c r="D582" s="1"/>
      <c r="E582" s="25" t="b">
        <f t="shared" ref="E582:E645" ca="1" si="18">IF(C582,AND(F582:G582),TRUE)</f>
        <v>1</v>
      </c>
      <c r="F582" s="26" t="b">
        <f ca="1">IF(UPPER(Data!C582)="SUB PROCESS",NOT(ISERROR(MATCH(RIGHT(Data!BY582,LEN(Data!BY582)-5),OFFSET(Data,0,0,ItemsCount,1),0))),TRUE)</f>
        <v>1</v>
      </c>
      <c r="G582" s="26" t="b">
        <f ca="1">IF(MID(UPPER(Data!A582),1,13)="MISCELLANEOUS",NOT(ISERROR(MATCH("path="&amp;Data!A582,OFFSET(Data,0,76,ItemsCount,1),0))),TRUE)</f>
        <v>1</v>
      </c>
      <c r="L582" s="25" t="b">
        <f t="shared" ref="L582:L645" ca="1" si="19">IF(C582,AND(M582:AC582),TRUE)</f>
        <v>1</v>
      </c>
      <c r="M582" s="24" t="b">
        <f>IF(Checks!$C582,Data!A582&lt;&gt;"",TRUE)</f>
        <v>1</v>
      </c>
      <c r="N582" s="26" t="b">
        <f>IF(Checks!C582,Data!B582&lt;&gt;"",TRUE)</f>
        <v>1</v>
      </c>
      <c r="O582" s="26" t="b">
        <f>IF(Checks!C582,IF(AND(UPPER(Data!C582)="SERVICE TASK",UPPER(Data!BZ582)="TYPE=SAS"),NodeExists(TRIM(RIGHT(Data!CA582,LEN(Data!CA582)-FIND("=",Data!CA582)))),TRUE),TRUE)</f>
        <v>1</v>
      </c>
      <c r="P582" s="26" t="b">
        <f>IF(Checks!C582,IF(Data!C582="DATA OBJECT",OR(AND(Data!BW582&lt;&gt;"",Data!BX582=""),AND(Data!BW582="",Data!BX582&lt;&gt;"")),TRUE),TRUE)</f>
        <v>1</v>
      </c>
      <c r="Q582" s="26" t="b">
        <f>IF(Checks!C582,UPPER(RIGHT(Data!A582,5))=".BPMN",TRUE)</f>
        <v>1</v>
      </c>
      <c r="R582" s="26" t="b">
        <f>IF(Checks!C582,IF(UPPER(Data!C582)="SUB PROCESS",UPPER(RIGHT(Data!BY582,5))=".BPMN",TRUE),TRUE)</f>
        <v>1</v>
      </c>
      <c r="S582" s="26" t="b">
        <f>IF(Checks!C582,IF(UPPER(Data!C582)="SERVICE TASK",IF(UPPER(Data!BZ582)="TYPE=SAS",UPPER(RIGHT(Data!CA582,4))=".SAS",TRUE),TRUE),TRUE)</f>
        <v>1</v>
      </c>
      <c r="T582" s="26" t="b">
        <f>IF(Checks!C582,IF(Data!B582&lt;&gt;"",Data!D582&lt;&gt;"",TRUE),TRUE)</f>
        <v>1</v>
      </c>
      <c r="U582" s="26" t="b">
        <f ca="1">IF(Checks!C582,IF(UPPER(Data!C582)="DATA OBJECT",NOT(ISERROR(MATCH(Data!A582&amp;"||"&amp;Data!BW582&amp;Data!BX582,Key,0))),TRUE),TRUE)</f>
        <v>1</v>
      </c>
      <c r="V582" s="26" t="b">
        <f>IF(Checks!C582,IF(UPPER(Data!C582)="SUB PROCESS",Data!BY582&lt;&gt;"",TRUE),TRUE)</f>
        <v>1</v>
      </c>
      <c r="W582" s="26" t="b">
        <f>IF(Checks!C582,IF(UPPER(Data!C582)="SERVICE TASK",AND(Data!BZ582&lt;&gt;"",Data!CA582&lt;&gt;""),TRUE),TRUE)</f>
        <v>1</v>
      </c>
      <c r="X582" s="26" t="b">
        <f t="array" aca="1" ref="X582" ca="1">SUM((OFFSET(Data!B582,MAX(ROW(Data!$B$5)-ROW(Data!B582),-200),0,400,1)=Data!B582)*(OFFSET(Data!A582,MAX(ROW(Data!$B$5)-ROW(Data!B582),-200),0,400,1)=Data!A582))=1</f>
        <v>1</v>
      </c>
      <c r="Y582" s="26" t="b">
        <f t="array" aca="1" ref="Y582" ca="1">IF(UPPER(Data!C582)="START",SUM((OFFSET(Data!C582,MAX(ROW(Data!$C$5)-ROW(Data!C582),-200),0,400,1)="START")*(OFFSET(Data!A582,MAX(ROW(Data!$B$5)-ROW(Data!B582),-200),0,400,1)=Data!A582))=1,TRUE)</f>
        <v>1</v>
      </c>
      <c r="Z582" s="26" t="b">
        <f t="array" aca="1" ref="Z582" ca="1">IF(UPPER(Data!C582)="END",SUM((OFFSET(Data!C582,MAX(ROW(Data!$C$5)-ROW(Data!C582),-200),0,400,1)="END")*(OFFSET(Data!A582,MAX(ROW(Data!$B$5)-ROW(Data!B582),-200),0,400,1)=Data!A582))=1,TRUE)</f>
        <v>1</v>
      </c>
      <c r="AA582" s="26" t="b">
        <f>IF(Checks!C582,ISERROR(FIND("&amp;",Data!D582)),TRUE)</f>
        <v>1</v>
      </c>
      <c r="AB582" s="26" t="b">
        <f>IF(Checks!$C582,IF(AND(UPPER(Data!$C582)&lt;&gt;"START",UPPER(Data!$C582)&lt;&gt;"DATA OBJECT",Data!E582&lt;&gt;""),NOT(ISERROR(MATCH(Data!$A582&amp;"||"&amp;Data!E582,Key,0))),TRUE),TRUE)</f>
        <v>1</v>
      </c>
      <c r="AC582" s="27" t="b">
        <f>IF(Checks!C582,IF(UPPER(Data!C582)="END",Data!E582&lt;&gt;"",TRUE),TRUE)</f>
        <v>1</v>
      </c>
    </row>
    <row r="583" spans="1:29" x14ac:dyDescent="0.25">
      <c r="A583" s="1" t="str">
        <f>Data!A583&amp;"||"&amp;Data!B583</f>
        <v>Analytics/irmifrs9_afs_calculations.bpmn||040_01_00</v>
      </c>
      <c r="B583" s="19"/>
      <c r="C583" s="24" t="b">
        <f>AND(UPPER(Data!A583)&lt;&gt;"EMPTY",Data!B583&lt;&gt;"")</f>
        <v>1</v>
      </c>
      <c r="D583" s="1"/>
      <c r="E583" s="25" t="b">
        <f t="shared" ca="1" si="18"/>
        <v>1</v>
      </c>
      <c r="F583" s="26" t="b">
        <f ca="1">IF(UPPER(Data!C583)="SUB PROCESS",NOT(ISERROR(MATCH(RIGHT(Data!BY583,LEN(Data!BY583)-5),OFFSET(Data,0,0,ItemsCount,1),0))),TRUE)</f>
        <v>1</v>
      </c>
      <c r="G583" s="26" t="b">
        <f ca="1">IF(MID(UPPER(Data!A583),1,13)="MISCELLANEOUS",NOT(ISERROR(MATCH("path="&amp;Data!A583,OFFSET(Data,0,76,ItemsCount,1),0))),TRUE)</f>
        <v>1</v>
      </c>
      <c r="L583" s="25" t="b">
        <f t="shared" ca="1" si="19"/>
        <v>1</v>
      </c>
      <c r="M583" s="24" t="b">
        <f>IF(Checks!$C583,Data!A583&lt;&gt;"",TRUE)</f>
        <v>1</v>
      </c>
      <c r="N583" s="26" t="b">
        <f>IF(Checks!C583,Data!B583&lt;&gt;"",TRUE)</f>
        <v>1</v>
      </c>
      <c r="O583" s="26" t="b">
        <f>IF(Checks!C583,IF(AND(UPPER(Data!C583)="SERVICE TASK",UPPER(Data!BZ583)="TYPE=SAS"),NodeExists(TRIM(RIGHT(Data!CA583,LEN(Data!CA583)-FIND("=",Data!CA583)))),TRUE),TRUE)</f>
        <v>1</v>
      </c>
      <c r="P583" s="26" t="b">
        <f>IF(Checks!C583,IF(Data!C583="DATA OBJECT",OR(AND(Data!BW583&lt;&gt;"",Data!BX583=""),AND(Data!BW583="",Data!BX583&lt;&gt;"")),TRUE),TRUE)</f>
        <v>1</v>
      </c>
      <c r="Q583" s="26" t="b">
        <f>IF(Checks!C583,UPPER(RIGHT(Data!A583,5))=".BPMN",TRUE)</f>
        <v>1</v>
      </c>
      <c r="R583" s="26" t="b">
        <f>IF(Checks!C583,IF(UPPER(Data!C583)="SUB PROCESS",UPPER(RIGHT(Data!BY583,5))=".BPMN",TRUE),TRUE)</f>
        <v>1</v>
      </c>
      <c r="S583" s="26" t="b">
        <f>IF(Checks!C583,IF(UPPER(Data!C583)="SERVICE TASK",IF(UPPER(Data!BZ583)="TYPE=SAS",UPPER(RIGHT(Data!CA583,4))=".SAS",TRUE),TRUE),TRUE)</f>
        <v>1</v>
      </c>
      <c r="T583" s="26" t="b">
        <f>IF(Checks!C583,IF(Data!B583&lt;&gt;"",Data!D583&lt;&gt;"",TRUE),TRUE)</f>
        <v>1</v>
      </c>
      <c r="U583" s="26" t="b">
        <f ca="1">IF(Checks!C583,IF(UPPER(Data!C583)="DATA OBJECT",NOT(ISERROR(MATCH(Data!A583&amp;"||"&amp;Data!BW583&amp;Data!BX583,Key,0))),TRUE),TRUE)</f>
        <v>1</v>
      </c>
      <c r="V583" s="26" t="b">
        <f>IF(Checks!C583,IF(UPPER(Data!C583)="SUB PROCESS",Data!BY583&lt;&gt;"",TRUE),TRUE)</f>
        <v>1</v>
      </c>
      <c r="W583" s="26" t="b">
        <f>IF(Checks!C583,IF(UPPER(Data!C583)="SERVICE TASK",AND(Data!BZ583&lt;&gt;"",Data!CA583&lt;&gt;""),TRUE),TRUE)</f>
        <v>1</v>
      </c>
      <c r="X583" s="26" t="b">
        <f t="array" aca="1" ref="X583" ca="1">SUM((OFFSET(Data!B583,MAX(ROW(Data!$B$5)-ROW(Data!B583),-200),0,400,1)=Data!B583)*(OFFSET(Data!A583,MAX(ROW(Data!$B$5)-ROW(Data!B583),-200),0,400,1)=Data!A583))=1</f>
        <v>1</v>
      </c>
      <c r="Y583" s="26" t="b">
        <f t="array" aca="1" ref="Y583" ca="1">IF(UPPER(Data!C583)="START",SUM((OFFSET(Data!C583,MAX(ROW(Data!$C$5)-ROW(Data!C583),-200),0,400,1)="START")*(OFFSET(Data!A583,MAX(ROW(Data!$B$5)-ROW(Data!B583),-200),0,400,1)=Data!A583))=1,TRUE)</f>
        <v>1</v>
      </c>
      <c r="Z583" s="26" t="b">
        <f t="array" aca="1" ref="Z583" ca="1">IF(UPPER(Data!C583)="END",SUM((OFFSET(Data!C583,MAX(ROW(Data!$C$5)-ROW(Data!C583),-200),0,400,1)="END")*(OFFSET(Data!A583,MAX(ROW(Data!$B$5)-ROW(Data!B583),-200),0,400,1)=Data!A583))=1,TRUE)</f>
        <v>1</v>
      </c>
      <c r="AA583" s="26" t="b">
        <f>IF(Checks!C583,ISERROR(FIND("&amp;",Data!D583)),TRUE)</f>
        <v>1</v>
      </c>
      <c r="AB583" s="26" t="b">
        <f>IF(Checks!$C583,IF(AND(UPPER(Data!$C583)&lt;&gt;"START",UPPER(Data!$C583)&lt;&gt;"DATA OBJECT",Data!E583&lt;&gt;""),NOT(ISERROR(MATCH(Data!$A583&amp;"||"&amp;Data!E583,Key,0))),TRUE),TRUE)</f>
        <v>1</v>
      </c>
      <c r="AC583" s="27" t="b">
        <f>IF(Checks!C583,IF(UPPER(Data!C583)="END",Data!E583&lt;&gt;"",TRUE),TRUE)</f>
        <v>1</v>
      </c>
    </row>
    <row r="584" spans="1:29" x14ac:dyDescent="0.25">
      <c r="A584" s="1" t="str">
        <f>Data!A584&amp;"||"&amp;Data!B584</f>
        <v>Analytics/irmifrs9_afs_calculations.bpmn||040_02_00</v>
      </c>
      <c r="B584" s="19"/>
      <c r="C584" s="24" t="b">
        <f>AND(UPPER(Data!A584)&lt;&gt;"EMPTY",Data!B584&lt;&gt;"")</f>
        <v>1</v>
      </c>
      <c r="D584" s="1"/>
      <c r="E584" s="25" t="b">
        <f t="shared" ca="1" si="18"/>
        <v>1</v>
      </c>
      <c r="F584" s="26" t="b">
        <f ca="1">IF(UPPER(Data!C584)="SUB PROCESS",NOT(ISERROR(MATCH(RIGHT(Data!BY584,LEN(Data!BY584)-5),OFFSET(Data,0,0,ItemsCount,1),0))),TRUE)</f>
        <v>1</v>
      </c>
      <c r="G584" s="26" t="b">
        <f ca="1">IF(MID(UPPER(Data!A584),1,13)="MISCELLANEOUS",NOT(ISERROR(MATCH("path="&amp;Data!A584,OFFSET(Data,0,76,ItemsCount,1),0))),TRUE)</f>
        <v>1</v>
      </c>
      <c r="L584" s="25" t="b">
        <f t="shared" ca="1" si="19"/>
        <v>1</v>
      </c>
      <c r="M584" s="24" t="b">
        <f>IF(Checks!$C584,Data!A584&lt;&gt;"",TRUE)</f>
        <v>1</v>
      </c>
      <c r="N584" s="26" t="b">
        <f>IF(Checks!C584,Data!B584&lt;&gt;"",TRUE)</f>
        <v>1</v>
      </c>
      <c r="O584" s="26" t="b">
        <f>IF(Checks!C584,IF(AND(UPPER(Data!C584)="SERVICE TASK",UPPER(Data!BZ584)="TYPE=SAS"),NodeExists(TRIM(RIGHT(Data!CA584,LEN(Data!CA584)-FIND("=",Data!CA584)))),TRUE),TRUE)</f>
        <v>1</v>
      </c>
      <c r="P584" s="26" t="b">
        <f>IF(Checks!C584,IF(Data!C584="DATA OBJECT",OR(AND(Data!BW584&lt;&gt;"",Data!BX584=""),AND(Data!BW584="",Data!BX584&lt;&gt;"")),TRUE),TRUE)</f>
        <v>1</v>
      </c>
      <c r="Q584" s="26" t="b">
        <f>IF(Checks!C584,UPPER(RIGHT(Data!A584,5))=".BPMN",TRUE)</f>
        <v>1</v>
      </c>
      <c r="R584" s="26" t="b">
        <f>IF(Checks!C584,IF(UPPER(Data!C584)="SUB PROCESS",UPPER(RIGHT(Data!BY584,5))=".BPMN",TRUE),TRUE)</f>
        <v>1</v>
      </c>
      <c r="S584" s="26" t="b">
        <f>IF(Checks!C584,IF(UPPER(Data!C584)="SERVICE TASK",IF(UPPER(Data!BZ584)="TYPE=SAS",UPPER(RIGHT(Data!CA584,4))=".SAS",TRUE),TRUE),TRUE)</f>
        <v>1</v>
      </c>
      <c r="T584" s="26" t="b">
        <f>IF(Checks!C584,IF(Data!B584&lt;&gt;"",Data!D584&lt;&gt;"",TRUE),TRUE)</f>
        <v>1</v>
      </c>
      <c r="U584" s="26" t="b">
        <f ca="1">IF(Checks!C584,IF(UPPER(Data!C584)="DATA OBJECT",NOT(ISERROR(MATCH(Data!A584&amp;"||"&amp;Data!BW584&amp;Data!BX584,Key,0))),TRUE),TRUE)</f>
        <v>1</v>
      </c>
      <c r="V584" s="26" t="b">
        <f>IF(Checks!C584,IF(UPPER(Data!C584)="SUB PROCESS",Data!BY584&lt;&gt;"",TRUE),TRUE)</f>
        <v>1</v>
      </c>
      <c r="W584" s="26" t="b">
        <f>IF(Checks!C584,IF(UPPER(Data!C584)="SERVICE TASK",AND(Data!BZ584&lt;&gt;"",Data!CA584&lt;&gt;""),TRUE),TRUE)</f>
        <v>1</v>
      </c>
      <c r="X584" s="26" t="b">
        <f t="array" aca="1" ref="X584" ca="1">SUM((OFFSET(Data!B584,MAX(ROW(Data!$B$5)-ROW(Data!B584),-200),0,400,1)=Data!B584)*(OFFSET(Data!A584,MAX(ROW(Data!$B$5)-ROW(Data!B584),-200),0,400,1)=Data!A584))=1</f>
        <v>1</v>
      </c>
      <c r="Y584" s="26" t="b">
        <f t="array" aca="1" ref="Y584" ca="1">IF(UPPER(Data!C584)="START",SUM((OFFSET(Data!C584,MAX(ROW(Data!$C$5)-ROW(Data!C584),-200),0,400,1)="START")*(OFFSET(Data!A584,MAX(ROW(Data!$B$5)-ROW(Data!B584),-200),0,400,1)=Data!A584))=1,TRUE)</f>
        <v>1</v>
      </c>
      <c r="Z584" s="26" t="b">
        <f t="array" aca="1" ref="Z584" ca="1">IF(UPPER(Data!C584)="END",SUM((OFFSET(Data!C584,MAX(ROW(Data!$C$5)-ROW(Data!C584),-200),0,400,1)="END")*(OFFSET(Data!A584,MAX(ROW(Data!$B$5)-ROW(Data!B584),-200),0,400,1)=Data!A584))=1,TRUE)</f>
        <v>1</v>
      </c>
      <c r="AA584" s="26" t="b">
        <f>IF(Checks!C584,ISERROR(FIND("&amp;",Data!D584)),TRUE)</f>
        <v>1</v>
      </c>
      <c r="AB584" s="26" t="b">
        <f>IF(Checks!$C584,IF(AND(UPPER(Data!$C584)&lt;&gt;"START",UPPER(Data!$C584)&lt;&gt;"DATA OBJECT",Data!E584&lt;&gt;""),NOT(ISERROR(MATCH(Data!$A584&amp;"||"&amp;Data!E584,Key,0))),TRUE),TRUE)</f>
        <v>1</v>
      </c>
      <c r="AC584" s="27" t="b">
        <f>IF(Checks!C584,IF(UPPER(Data!C584)="END",Data!E584&lt;&gt;"",TRUE),TRUE)</f>
        <v>1</v>
      </c>
    </row>
    <row r="585" spans="1:29" x14ac:dyDescent="0.25">
      <c r="A585" s="1" t="str">
        <f>Data!A585&amp;"||"&amp;Data!B585</f>
        <v>Analytics/irmifrs9_afs_calculations.bpmn||050_00_00</v>
      </c>
      <c r="B585" s="19"/>
      <c r="C585" s="24" t="b">
        <f>AND(UPPER(Data!A585)&lt;&gt;"EMPTY",Data!B585&lt;&gt;"")</f>
        <v>1</v>
      </c>
      <c r="D585" s="1"/>
      <c r="E585" s="25" t="b">
        <f t="shared" ca="1" si="18"/>
        <v>1</v>
      </c>
      <c r="F585" s="26" t="b">
        <f ca="1">IF(UPPER(Data!C585)="SUB PROCESS",NOT(ISERROR(MATCH(RIGHT(Data!BY585,LEN(Data!BY585)-5),OFFSET(Data,0,0,ItemsCount,1),0))),TRUE)</f>
        <v>1</v>
      </c>
      <c r="G585" s="26" t="b">
        <f ca="1">IF(MID(UPPER(Data!A585),1,13)="MISCELLANEOUS",NOT(ISERROR(MATCH("path="&amp;Data!A585,OFFSET(Data,0,76,ItemsCount,1),0))),TRUE)</f>
        <v>1</v>
      </c>
      <c r="L585" s="25" t="b">
        <f t="shared" ca="1" si="19"/>
        <v>1</v>
      </c>
      <c r="M585" s="24" t="b">
        <f>IF(Checks!$C585,Data!A585&lt;&gt;"",TRUE)</f>
        <v>1</v>
      </c>
      <c r="N585" s="26" t="b">
        <f>IF(Checks!C585,Data!B585&lt;&gt;"",TRUE)</f>
        <v>1</v>
      </c>
      <c r="O585" s="26" t="b">
        <f>IF(Checks!C585,IF(AND(UPPER(Data!C585)="SERVICE TASK",UPPER(Data!BZ585)="TYPE=SAS"),NodeExists(TRIM(RIGHT(Data!CA585,LEN(Data!CA585)-FIND("=",Data!CA585)))),TRUE),TRUE)</f>
        <v>1</v>
      </c>
      <c r="P585" s="26" t="b">
        <f>IF(Checks!C585,IF(Data!C585="DATA OBJECT",OR(AND(Data!BW585&lt;&gt;"",Data!BX585=""),AND(Data!BW585="",Data!BX585&lt;&gt;"")),TRUE),TRUE)</f>
        <v>1</v>
      </c>
      <c r="Q585" s="26" t="b">
        <f>IF(Checks!C585,UPPER(RIGHT(Data!A585,5))=".BPMN",TRUE)</f>
        <v>1</v>
      </c>
      <c r="R585" s="26" t="b">
        <f>IF(Checks!C585,IF(UPPER(Data!C585)="SUB PROCESS",UPPER(RIGHT(Data!BY585,5))=".BPMN",TRUE),TRUE)</f>
        <v>1</v>
      </c>
      <c r="S585" s="26" t="b">
        <f>IF(Checks!C585,IF(UPPER(Data!C585)="SERVICE TASK",IF(UPPER(Data!BZ585)="TYPE=SAS",UPPER(RIGHT(Data!CA585,4))=".SAS",TRUE),TRUE),TRUE)</f>
        <v>1</v>
      </c>
      <c r="T585" s="26" t="b">
        <f>IF(Checks!C585,IF(Data!B585&lt;&gt;"",Data!D585&lt;&gt;"",TRUE),TRUE)</f>
        <v>1</v>
      </c>
      <c r="U585" s="26" t="b">
        <f>IF(Checks!C585,IF(UPPER(Data!C585)="DATA OBJECT",NOT(ISERROR(MATCH(Data!A585&amp;"||"&amp;Data!BW585&amp;Data!BX585,Key,0))),TRUE),TRUE)</f>
        <v>1</v>
      </c>
      <c r="V585" s="26" t="b">
        <f>IF(Checks!C585,IF(UPPER(Data!C585)="SUB PROCESS",Data!BY585&lt;&gt;"",TRUE),TRUE)</f>
        <v>1</v>
      </c>
      <c r="W585" s="26" t="b">
        <f>IF(Checks!C585,IF(UPPER(Data!C585)="SERVICE TASK",AND(Data!BZ585&lt;&gt;"",Data!CA585&lt;&gt;""),TRUE),TRUE)</f>
        <v>1</v>
      </c>
      <c r="X585" s="26" t="b">
        <f t="array" aca="1" ref="X585" ca="1">SUM((OFFSET(Data!B585,MAX(ROW(Data!$B$5)-ROW(Data!B585),-200),0,400,1)=Data!B585)*(OFFSET(Data!A585,MAX(ROW(Data!$B$5)-ROW(Data!B585),-200),0,400,1)=Data!A585))=1</f>
        <v>1</v>
      </c>
      <c r="Y585" s="26" t="b">
        <f t="array" aca="1" ref="Y585" ca="1">IF(UPPER(Data!C585)="START",SUM((OFFSET(Data!C585,MAX(ROW(Data!$C$5)-ROW(Data!C585),-200),0,400,1)="START")*(OFFSET(Data!A585,MAX(ROW(Data!$B$5)-ROW(Data!B585),-200),0,400,1)=Data!A585))=1,TRUE)</f>
        <v>1</v>
      </c>
      <c r="Z585" s="26" t="b">
        <f t="array" aca="1" ref="Z585" ca="1">IF(UPPER(Data!C585)="END",SUM((OFFSET(Data!C585,MAX(ROW(Data!$C$5)-ROW(Data!C585),-200),0,400,1)="END")*(OFFSET(Data!A585,MAX(ROW(Data!$B$5)-ROW(Data!B585),-200),0,400,1)=Data!A585))=1,TRUE)</f>
        <v>1</v>
      </c>
      <c r="AA585" s="26" t="b">
        <f>IF(Checks!C585,ISERROR(FIND("&amp;",Data!D585)),TRUE)</f>
        <v>1</v>
      </c>
      <c r="AB585" s="26" t="b">
        <f ca="1">IF(Checks!$C585,IF(AND(UPPER(Data!$C585)&lt;&gt;"START",UPPER(Data!$C585)&lt;&gt;"DATA OBJECT",Data!E585&lt;&gt;""),NOT(ISERROR(MATCH(Data!$A585&amp;"||"&amp;Data!E585,Key,0))),TRUE),TRUE)</f>
        <v>1</v>
      </c>
      <c r="AC585" s="27" t="b">
        <f>IF(Checks!C585,IF(UPPER(Data!C585)="END",Data!E585&lt;&gt;"",TRUE),TRUE)</f>
        <v>1</v>
      </c>
    </row>
    <row r="586" spans="1:29" x14ac:dyDescent="0.25">
      <c r="A586" s="1" t="str">
        <f>Data!A586&amp;"||"&amp;Data!B586</f>
        <v>Analytics/irmifrs9_afs_calculations.bpmn||050_00_01</v>
      </c>
      <c r="B586" s="19"/>
      <c r="C586" s="24" t="b">
        <f>AND(UPPER(Data!A586)&lt;&gt;"EMPTY",Data!B586&lt;&gt;"")</f>
        <v>1</v>
      </c>
      <c r="D586" s="1"/>
      <c r="E586" s="25" t="b">
        <f t="shared" ca="1" si="18"/>
        <v>1</v>
      </c>
      <c r="F586" s="26" t="b">
        <f ca="1">IF(UPPER(Data!C586)="SUB PROCESS",NOT(ISERROR(MATCH(RIGHT(Data!BY586,LEN(Data!BY586)-5),OFFSET(Data,0,0,ItemsCount,1),0))),TRUE)</f>
        <v>1</v>
      </c>
      <c r="G586" s="26" t="b">
        <f ca="1">IF(MID(UPPER(Data!A586),1,13)="MISCELLANEOUS",NOT(ISERROR(MATCH("path="&amp;Data!A586,OFFSET(Data,0,76,ItemsCount,1),0))),TRUE)</f>
        <v>1</v>
      </c>
      <c r="L586" s="25" t="b">
        <f t="shared" ca="1" si="19"/>
        <v>1</v>
      </c>
      <c r="M586" s="24" t="b">
        <f>IF(Checks!$C586,Data!A586&lt;&gt;"",TRUE)</f>
        <v>1</v>
      </c>
      <c r="N586" s="26" t="b">
        <f>IF(Checks!C586,Data!B586&lt;&gt;"",TRUE)</f>
        <v>1</v>
      </c>
      <c r="O586" s="26" t="b">
        <f>IF(Checks!C586,IF(AND(UPPER(Data!C586)="SERVICE TASK",UPPER(Data!BZ586)="TYPE=SAS"),NodeExists(TRIM(RIGHT(Data!CA586,LEN(Data!CA586)-FIND("=",Data!CA586)))),TRUE),TRUE)</f>
        <v>1</v>
      </c>
      <c r="P586" s="26" t="b">
        <f>IF(Checks!C586,IF(Data!C586="DATA OBJECT",OR(AND(Data!BW586&lt;&gt;"",Data!BX586=""),AND(Data!BW586="",Data!BX586&lt;&gt;"")),TRUE),TRUE)</f>
        <v>1</v>
      </c>
      <c r="Q586" s="26" t="b">
        <f>IF(Checks!C586,UPPER(RIGHT(Data!A586,5))=".BPMN",TRUE)</f>
        <v>1</v>
      </c>
      <c r="R586" s="26" t="b">
        <f>IF(Checks!C586,IF(UPPER(Data!C586)="SUB PROCESS",UPPER(RIGHT(Data!BY586,5))=".BPMN",TRUE),TRUE)</f>
        <v>1</v>
      </c>
      <c r="S586" s="26" t="b">
        <f>IF(Checks!C586,IF(UPPER(Data!C586)="SERVICE TASK",IF(UPPER(Data!BZ586)="TYPE=SAS",UPPER(RIGHT(Data!CA586,4))=".SAS",TRUE),TRUE),TRUE)</f>
        <v>1</v>
      </c>
      <c r="T586" s="26" t="b">
        <f>IF(Checks!C586,IF(Data!B586&lt;&gt;"",Data!D586&lt;&gt;"",TRUE),TRUE)</f>
        <v>1</v>
      </c>
      <c r="U586" s="26" t="b">
        <f ca="1">IF(Checks!C586,IF(UPPER(Data!C586)="DATA OBJECT",NOT(ISERROR(MATCH(Data!A586&amp;"||"&amp;Data!BW586&amp;Data!BX586,Key,0))),TRUE),TRUE)</f>
        <v>1</v>
      </c>
      <c r="V586" s="26" t="b">
        <f>IF(Checks!C586,IF(UPPER(Data!C586)="SUB PROCESS",Data!BY586&lt;&gt;"",TRUE),TRUE)</f>
        <v>1</v>
      </c>
      <c r="W586" s="26" t="b">
        <f>IF(Checks!C586,IF(UPPER(Data!C586)="SERVICE TASK",AND(Data!BZ586&lt;&gt;"",Data!CA586&lt;&gt;""),TRUE),TRUE)</f>
        <v>1</v>
      </c>
      <c r="X586" s="26" t="b">
        <f t="array" aca="1" ref="X586" ca="1">SUM((OFFSET(Data!B586,MAX(ROW(Data!$B$5)-ROW(Data!B586),-200),0,400,1)=Data!B586)*(OFFSET(Data!A586,MAX(ROW(Data!$B$5)-ROW(Data!B586),-200),0,400,1)=Data!A586))=1</f>
        <v>1</v>
      </c>
      <c r="Y586" s="26" t="b">
        <f t="array" aca="1" ref="Y586" ca="1">IF(UPPER(Data!C586)="START",SUM((OFFSET(Data!C586,MAX(ROW(Data!$C$5)-ROW(Data!C586),-200),0,400,1)="START")*(OFFSET(Data!A586,MAX(ROW(Data!$B$5)-ROW(Data!B586),-200),0,400,1)=Data!A586))=1,TRUE)</f>
        <v>1</v>
      </c>
      <c r="Z586" s="26" t="b">
        <f t="array" aca="1" ref="Z586" ca="1">IF(UPPER(Data!C586)="END",SUM((OFFSET(Data!C586,MAX(ROW(Data!$C$5)-ROW(Data!C586),-200),0,400,1)="END")*(OFFSET(Data!A586,MAX(ROW(Data!$B$5)-ROW(Data!B586),-200),0,400,1)=Data!A586))=1,TRUE)</f>
        <v>1</v>
      </c>
      <c r="AA586" s="26" t="b">
        <f>IF(Checks!C586,ISERROR(FIND("&amp;",Data!D586)),TRUE)</f>
        <v>1</v>
      </c>
      <c r="AB586" s="26" t="b">
        <f>IF(Checks!$C586,IF(AND(UPPER(Data!$C586)&lt;&gt;"START",UPPER(Data!$C586)&lt;&gt;"DATA OBJECT",Data!E586&lt;&gt;""),NOT(ISERROR(MATCH(Data!$A586&amp;"||"&amp;Data!E586,Key,0))),TRUE),TRUE)</f>
        <v>1</v>
      </c>
      <c r="AC586" s="27" t="b">
        <f>IF(Checks!C586,IF(UPPER(Data!C586)="END",Data!E586&lt;&gt;"",TRUE),TRUE)</f>
        <v>1</v>
      </c>
    </row>
    <row r="587" spans="1:29" x14ac:dyDescent="0.25">
      <c r="A587" s="1" t="str">
        <f>Data!A587&amp;"||"&amp;Data!B587</f>
        <v>Analytics/irmifrs9_afs_calculations.bpmn||060_00_00</v>
      </c>
      <c r="B587" s="19"/>
      <c r="C587" s="24" t="b">
        <f>AND(UPPER(Data!A587)&lt;&gt;"EMPTY",Data!B587&lt;&gt;"")</f>
        <v>1</v>
      </c>
      <c r="D587" s="1"/>
      <c r="E587" s="25" t="b">
        <f t="shared" ca="1" si="18"/>
        <v>1</v>
      </c>
      <c r="F587" s="26" t="b">
        <f ca="1">IF(UPPER(Data!C587)="SUB PROCESS",NOT(ISERROR(MATCH(RIGHT(Data!BY587,LEN(Data!BY587)-5),OFFSET(Data,0,0,ItemsCount,1),0))),TRUE)</f>
        <v>1</v>
      </c>
      <c r="G587" s="26" t="b">
        <f ca="1">IF(MID(UPPER(Data!A587),1,13)="MISCELLANEOUS",NOT(ISERROR(MATCH("path="&amp;Data!A587,OFFSET(Data,0,76,ItemsCount,1),0))),TRUE)</f>
        <v>1</v>
      </c>
      <c r="L587" s="25" t="b">
        <f t="shared" ca="1" si="19"/>
        <v>1</v>
      </c>
      <c r="M587" s="24" t="b">
        <f>IF(Checks!$C587,Data!A587&lt;&gt;"",TRUE)</f>
        <v>1</v>
      </c>
      <c r="N587" s="26" t="b">
        <f>IF(Checks!C587,Data!B587&lt;&gt;"",TRUE)</f>
        <v>1</v>
      </c>
      <c r="O587" s="26" t="b">
        <f>IF(Checks!C587,IF(AND(UPPER(Data!C587)="SERVICE TASK",UPPER(Data!BZ587)="TYPE=SAS"),NodeExists(TRIM(RIGHT(Data!CA587,LEN(Data!CA587)-FIND("=",Data!CA587)))),TRUE),TRUE)</f>
        <v>1</v>
      </c>
      <c r="P587" s="26" t="b">
        <f>IF(Checks!C587,IF(Data!C587="DATA OBJECT",OR(AND(Data!BW587&lt;&gt;"",Data!BX587=""),AND(Data!BW587="",Data!BX587&lt;&gt;"")),TRUE),TRUE)</f>
        <v>1</v>
      </c>
      <c r="Q587" s="26" t="b">
        <f>IF(Checks!C587,UPPER(RIGHT(Data!A587,5))=".BPMN",TRUE)</f>
        <v>1</v>
      </c>
      <c r="R587" s="26" t="b">
        <f>IF(Checks!C587,IF(UPPER(Data!C587)="SUB PROCESS",UPPER(RIGHT(Data!BY587,5))=".BPMN",TRUE),TRUE)</f>
        <v>1</v>
      </c>
      <c r="S587" s="26" t="b">
        <f>IF(Checks!C587,IF(UPPER(Data!C587)="SERVICE TASK",IF(UPPER(Data!BZ587)="TYPE=SAS",UPPER(RIGHT(Data!CA587,4))=".SAS",TRUE),TRUE),TRUE)</f>
        <v>1</v>
      </c>
      <c r="T587" s="26" t="b">
        <f>IF(Checks!C587,IF(Data!B587&lt;&gt;"",Data!D587&lt;&gt;"",TRUE),TRUE)</f>
        <v>1</v>
      </c>
      <c r="U587" s="26" t="b">
        <f>IF(Checks!C587,IF(UPPER(Data!C587)="DATA OBJECT",NOT(ISERROR(MATCH(Data!A587&amp;"||"&amp;Data!BW587&amp;Data!BX587,Key,0))),TRUE),TRUE)</f>
        <v>1</v>
      </c>
      <c r="V587" s="26" t="b">
        <f>IF(Checks!C587,IF(UPPER(Data!C587)="SUB PROCESS",Data!BY587&lt;&gt;"",TRUE),TRUE)</f>
        <v>1</v>
      </c>
      <c r="W587" s="26" t="b">
        <f>IF(Checks!C587,IF(UPPER(Data!C587)="SERVICE TASK",AND(Data!BZ587&lt;&gt;"",Data!CA587&lt;&gt;""),TRUE),TRUE)</f>
        <v>1</v>
      </c>
      <c r="X587" s="26" t="b">
        <f t="array" aca="1" ref="X587" ca="1">SUM((OFFSET(Data!B587,MAX(ROW(Data!$B$5)-ROW(Data!B587),-200),0,400,1)=Data!B587)*(OFFSET(Data!A587,MAX(ROW(Data!$B$5)-ROW(Data!B587),-200),0,400,1)=Data!A587))=1</f>
        <v>1</v>
      </c>
      <c r="Y587" s="26" t="b">
        <f t="array" aca="1" ref="Y587" ca="1">IF(UPPER(Data!C587)="START",SUM((OFFSET(Data!C587,MAX(ROW(Data!$C$5)-ROW(Data!C587),-200),0,400,1)="START")*(OFFSET(Data!A587,MAX(ROW(Data!$B$5)-ROW(Data!B587),-200),0,400,1)=Data!A587))=1,TRUE)</f>
        <v>1</v>
      </c>
      <c r="Z587" s="26" t="b">
        <f t="array" aca="1" ref="Z587" ca="1">IF(UPPER(Data!C587)="END",SUM((OFFSET(Data!C587,MAX(ROW(Data!$C$5)-ROW(Data!C587),-200),0,400,1)="END")*(OFFSET(Data!A587,MAX(ROW(Data!$B$5)-ROW(Data!B587),-200),0,400,1)=Data!A587))=1,TRUE)</f>
        <v>1</v>
      </c>
      <c r="AA587" s="26" t="b">
        <f>IF(Checks!C587,ISERROR(FIND("&amp;",Data!D587)),TRUE)</f>
        <v>1</v>
      </c>
      <c r="AB587" s="26" t="b">
        <f ca="1">IF(Checks!$C587,IF(AND(UPPER(Data!$C587)&lt;&gt;"START",UPPER(Data!$C587)&lt;&gt;"DATA OBJECT",Data!E587&lt;&gt;""),NOT(ISERROR(MATCH(Data!$A587&amp;"||"&amp;Data!E587,Key,0))),TRUE),TRUE)</f>
        <v>1</v>
      </c>
      <c r="AC587" s="27" t="b">
        <f>IF(Checks!C587,IF(UPPER(Data!C587)="END",Data!E587&lt;&gt;"",TRUE),TRUE)</f>
        <v>1</v>
      </c>
    </row>
    <row r="588" spans="1:29" x14ac:dyDescent="0.25">
      <c r="A588" s="1" t="str">
        <f>Data!A588&amp;"||"&amp;Data!B588</f>
        <v>Analytics/irmifrs9_afs_calculations.bpmn||060_00_01</v>
      </c>
      <c r="B588" s="19"/>
      <c r="C588" s="24" t="b">
        <f>AND(UPPER(Data!A588)&lt;&gt;"EMPTY",Data!B588&lt;&gt;"")</f>
        <v>1</v>
      </c>
      <c r="D588" s="1"/>
      <c r="E588" s="25" t="b">
        <f t="shared" ca="1" si="18"/>
        <v>1</v>
      </c>
      <c r="F588" s="26" t="b">
        <f ca="1">IF(UPPER(Data!C588)="SUB PROCESS",NOT(ISERROR(MATCH(RIGHT(Data!BY588,LEN(Data!BY588)-5),OFFSET(Data,0,0,ItemsCount,1),0))),TRUE)</f>
        <v>1</v>
      </c>
      <c r="G588" s="26" t="b">
        <f ca="1">IF(MID(UPPER(Data!A588),1,13)="MISCELLANEOUS",NOT(ISERROR(MATCH("path="&amp;Data!A588,OFFSET(Data,0,76,ItemsCount,1),0))),TRUE)</f>
        <v>1</v>
      </c>
      <c r="L588" s="25" t="b">
        <f t="shared" ca="1" si="19"/>
        <v>1</v>
      </c>
      <c r="M588" s="24" t="b">
        <f>IF(Checks!$C588,Data!A588&lt;&gt;"",TRUE)</f>
        <v>1</v>
      </c>
      <c r="N588" s="26" t="b">
        <f>IF(Checks!C588,Data!B588&lt;&gt;"",TRUE)</f>
        <v>1</v>
      </c>
      <c r="O588" s="26" t="b">
        <f>IF(Checks!C588,IF(AND(UPPER(Data!C588)="SERVICE TASK",UPPER(Data!BZ588)="TYPE=SAS"),NodeExists(TRIM(RIGHT(Data!CA588,LEN(Data!CA588)-FIND("=",Data!CA588)))),TRUE),TRUE)</f>
        <v>1</v>
      </c>
      <c r="P588" s="26" t="b">
        <f>IF(Checks!C588,IF(Data!C588="DATA OBJECT",OR(AND(Data!BW588&lt;&gt;"",Data!BX588=""),AND(Data!BW588="",Data!BX588&lt;&gt;"")),TRUE),TRUE)</f>
        <v>1</v>
      </c>
      <c r="Q588" s="26" t="b">
        <f>IF(Checks!C588,UPPER(RIGHT(Data!A588,5))=".BPMN",TRUE)</f>
        <v>1</v>
      </c>
      <c r="R588" s="26" t="b">
        <f>IF(Checks!C588,IF(UPPER(Data!C588)="SUB PROCESS",UPPER(RIGHT(Data!BY588,5))=".BPMN",TRUE),TRUE)</f>
        <v>1</v>
      </c>
      <c r="S588" s="26" t="b">
        <f>IF(Checks!C588,IF(UPPER(Data!C588)="SERVICE TASK",IF(UPPER(Data!BZ588)="TYPE=SAS",UPPER(RIGHT(Data!CA588,4))=".SAS",TRUE),TRUE),TRUE)</f>
        <v>1</v>
      </c>
      <c r="T588" s="26" t="b">
        <f>IF(Checks!C588,IF(Data!B588&lt;&gt;"",Data!D588&lt;&gt;"",TRUE),TRUE)</f>
        <v>1</v>
      </c>
      <c r="U588" s="26" t="b">
        <f ca="1">IF(Checks!C588,IF(UPPER(Data!C588)="DATA OBJECT",NOT(ISERROR(MATCH(Data!A588&amp;"||"&amp;Data!BW588&amp;Data!BX588,Key,0))),TRUE),TRUE)</f>
        <v>1</v>
      </c>
      <c r="V588" s="26" t="b">
        <f>IF(Checks!C588,IF(UPPER(Data!C588)="SUB PROCESS",Data!BY588&lt;&gt;"",TRUE),TRUE)</f>
        <v>1</v>
      </c>
      <c r="W588" s="26" t="b">
        <f>IF(Checks!C588,IF(UPPER(Data!C588)="SERVICE TASK",AND(Data!BZ588&lt;&gt;"",Data!CA588&lt;&gt;""),TRUE),TRUE)</f>
        <v>1</v>
      </c>
      <c r="X588" s="26" t="b">
        <f t="array" aca="1" ref="X588" ca="1">SUM((OFFSET(Data!B588,MAX(ROW(Data!$B$5)-ROW(Data!B588),-200),0,400,1)=Data!B588)*(OFFSET(Data!A588,MAX(ROW(Data!$B$5)-ROW(Data!B588),-200),0,400,1)=Data!A588))=1</f>
        <v>1</v>
      </c>
      <c r="Y588" s="26" t="b">
        <f t="array" aca="1" ref="Y588" ca="1">IF(UPPER(Data!C588)="START",SUM((OFFSET(Data!C588,MAX(ROW(Data!$C$5)-ROW(Data!C588),-200),0,400,1)="START")*(OFFSET(Data!A588,MAX(ROW(Data!$B$5)-ROW(Data!B588),-200),0,400,1)=Data!A588))=1,TRUE)</f>
        <v>1</v>
      </c>
      <c r="Z588" s="26" t="b">
        <f t="array" aca="1" ref="Z588" ca="1">IF(UPPER(Data!C588)="END",SUM((OFFSET(Data!C588,MAX(ROW(Data!$C$5)-ROW(Data!C588),-200),0,400,1)="END")*(OFFSET(Data!A588,MAX(ROW(Data!$B$5)-ROW(Data!B588),-200),0,400,1)=Data!A588))=1,TRUE)</f>
        <v>1</v>
      </c>
      <c r="AA588" s="26" t="b">
        <f>IF(Checks!C588,ISERROR(FIND("&amp;",Data!D588)),TRUE)</f>
        <v>1</v>
      </c>
      <c r="AB588" s="26" t="b">
        <f>IF(Checks!$C588,IF(AND(UPPER(Data!$C588)&lt;&gt;"START",UPPER(Data!$C588)&lt;&gt;"DATA OBJECT",Data!E588&lt;&gt;""),NOT(ISERROR(MATCH(Data!$A588&amp;"||"&amp;Data!E588,Key,0))),TRUE),TRUE)</f>
        <v>1</v>
      </c>
      <c r="AC588" s="27" t="b">
        <f>IF(Checks!C588,IF(UPPER(Data!C588)="END",Data!E588&lt;&gt;"",TRUE),TRUE)</f>
        <v>1</v>
      </c>
    </row>
    <row r="589" spans="1:29" x14ac:dyDescent="0.25">
      <c r="A589" s="1" t="str">
        <f>Data!A589&amp;"||"&amp;Data!B589</f>
        <v>Analytics/irmifrs9_afs_calculations.bpmn||060_00_02</v>
      </c>
      <c r="B589" s="19"/>
      <c r="C589" s="24" t="b">
        <f>AND(UPPER(Data!A589)&lt;&gt;"EMPTY",Data!B589&lt;&gt;"")</f>
        <v>1</v>
      </c>
      <c r="D589" s="1"/>
      <c r="E589" s="25" t="b">
        <f t="shared" ca="1" si="18"/>
        <v>1</v>
      </c>
      <c r="F589" s="26" t="b">
        <f ca="1">IF(UPPER(Data!C589)="SUB PROCESS",NOT(ISERROR(MATCH(RIGHT(Data!BY589,LEN(Data!BY589)-5),OFFSET(Data,0,0,ItemsCount,1),0))),TRUE)</f>
        <v>1</v>
      </c>
      <c r="G589" s="26" t="b">
        <f ca="1">IF(MID(UPPER(Data!A589),1,13)="MISCELLANEOUS",NOT(ISERROR(MATCH("path="&amp;Data!A589,OFFSET(Data,0,76,ItemsCount,1),0))),TRUE)</f>
        <v>1</v>
      </c>
      <c r="L589" s="25" t="b">
        <f t="shared" ca="1" si="19"/>
        <v>1</v>
      </c>
      <c r="M589" s="24" t="b">
        <f>IF(Checks!$C589,Data!A589&lt;&gt;"",TRUE)</f>
        <v>1</v>
      </c>
      <c r="N589" s="26" t="b">
        <f>IF(Checks!C589,Data!B589&lt;&gt;"",TRUE)</f>
        <v>1</v>
      </c>
      <c r="O589" s="26" t="b">
        <f>IF(Checks!C589,IF(AND(UPPER(Data!C589)="SERVICE TASK",UPPER(Data!BZ589)="TYPE=SAS"),NodeExists(TRIM(RIGHT(Data!CA589,LEN(Data!CA589)-FIND("=",Data!CA589)))),TRUE),TRUE)</f>
        <v>1</v>
      </c>
      <c r="P589" s="26" t="b">
        <f>IF(Checks!C589,IF(Data!C589="DATA OBJECT",OR(AND(Data!BW589&lt;&gt;"",Data!BX589=""),AND(Data!BW589="",Data!BX589&lt;&gt;"")),TRUE),TRUE)</f>
        <v>1</v>
      </c>
      <c r="Q589" s="26" t="b">
        <f>IF(Checks!C589,UPPER(RIGHT(Data!A589,5))=".BPMN",TRUE)</f>
        <v>1</v>
      </c>
      <c r="R589" s="26" t="b">
        <f>IF(Checks!C589,IF(UPPER(Data!C589)="SUB PROCESS",UPPER(RIGHT(Data!BY589,5))=".BPMN",TRUE),TRUE)</f>
        <v>1</v>
      </c>
      <c r="S589" s="26" t="b">
        <f>IF(Checks!C589,IF(UPPER(Data!C589)="SERVICE TASK",IF(UPPER(Data!BZ589)="TYPE=SAS",UPPER(RIGHT(Data!CA589,4))=".SAS",TRUE),TRUE),TRUE)</f>
        <v>1</v>
      </c>
      <c r="T589" s="26" t="b">
        <f>IF(Checks!C589,IF(Data!B589&lt;&gt;"",Data!D589&lt;&gt;"",TRUE),TRUE)</f>
        <v>1</v>
      </c>
      <c r="U589" s="26" t="b">
        <f ca="1">IF(Checks!C589,IF(UPPER(Data!C589)="DATA OBJECT",NOT(ISERROR(MATCH(Data!A589&amp;"||"&amp;Data!BW589&amp;Data!BX589,Key,0))),TRUE),TRUE)</f>
        <v>1</v>
      </c>
      <c r="V589" s="26" t="b">
        <f>IF(Checks!C589,IF(UPPER(Data!C589)="SUB PROCESS",Data!BY589&lt;&gt;"",TRUE),TRUE)</f>
        <v>1</v>
      </c>
      <c r="W589" s="26" t="b">
        <f>IF(Checks!C589,IF(UPPER(Data!C589)="SERVICE TASK",AND(Data!BZ589&lt;&gt;"",Data!CA589&lt;&gt;""),TRUE),TRUE)</f>
        <v>1</v>
      </c>
      <c r="X589" s="26" t="b">
        <f t="array" aca="1" ref="X589" ca="1">SUM((OFFSET(Data!B589,MAX(ROW(Data!$B$5)-ROW(Data!B589),-200),0,400,1)=Data!B589)*(OFFSET(Data!A589,MAX(ROW(Data!$B$5)-ROW(Data!B589),-200),0,400,1)=Data!A589))=1</f>
        <v>1</v>
      </c>
      <c r="Y589" s="26" t="b">
        <f t="array" aca="1" ref="Y589" ca="1">IF(UPPER(Data!C589)="START",SUM((OFFSET(Data!C589,MAX(ROW(Data!$C$5)-ROW(Data!C589),-200),0,400,1)="START")*(OFFSET(Data!A589,MAX(ROW(Data!$B$5)-ROW(Data!B589),-200),0,400,1)=Data!A589))=1,TRUE)</f>
        <v>1</v>
      </c>
      <c r="Z589" s="26" t="b">
        <f t="array" aca="1" ref="Z589" ca="1">IF(UPPER(Data!C589)="END",SUM((OFFSET(Data!C589,MAX(ROW(Data!$C$5)-ROW(Data!C589),-200),0,400,1)="END")*(OFFSET(Data!A589,MAX(ROW(Data!$B$5)-ROW(Data!B589),-200),0,400,1)=Data!A589))=1,TRUE)</f>
        <v>1</v>
      </c>
      <c r="AA589" s="26" t="b">
        <f>IF(Checks!C589,ISERROR(FIND("&amp;",Data!D589)),TRUE)</f>
        <v>1</v>
      </c>
      <c r="AB589" s="26" t="b">
        <f>IF(Checks!$C589,IF(AND(UPPER(Data!$C589)&lt;&gt;"START",UPPER(Data!$C589)&lt;&gt;"DATA OBJECT",Data!E589&lt;&gt;""),NOT(ISERROR(MATCH(Data!$A589&amp;"||"&amp;Data!E589,Key,0))),TRUE),TRUE)</f>
        <v>1</v>
      </c>
      <c r="AC589" s="27" t="b">
        <f>IF(Checks!C589,IF(UPPER(Data!C589)="END",Data!E589&lt;&gt;"",TRUE),TRUE)</f>
        <v>1</v>
      </c>
    </row>
    <row r="590" spans="1:29" x14ac:dyDescent="0.25">
      <c r="A590" s="1" t="str">
        <f>Data!A590&amp;"||"&amp;Data!B590</f>
        <v>Analytics/irmifrs9_afs_calculations.bpmn||060_00_03</v>
      </c>
      <c r="B590" s="19"/>
      <c r="C590" s="24" t="b">
        <f>AND(UPPER(Data!A590)&lt;&gt;"EMPTY",Data!B590&lt;&gt;"")</f>
        <v>1</v>
      </c>
      <c r="D590" s="1"/>
      <c r="E590" s="25" t="b">
        <f t="shared" ca="1" si="18"/>
        <v>1</v>
      </c>
      <c r="F590" s="26" t="b">
        <f ca="1">IF(UPPER(Data!C590)="SUB PROCESS",NOT(ISERROR(MATCH(RIGHT(Data!BY590,LEN(Data!BY590)-5),OFFSET(Data,0,0,ItemsCount,1),0))),TRUE)</f>
        <v>1</v>
      </c>
      <c r="G590" s="26" t="b">
        <f ca="1">IF(MID(UPPER(Data!A590),1,13)="MISCELLANEOUS",NOT(ISERROR(MATCH("path="&amp;Data!A590,OFFSET(Data,0,76,ItemsCount,1),0))),TRUE)</f>
        <v>1</v>
      </c>
      <c r="L590" s="25" t="b">
        <f t="shared" ca="1" si="19"/>
        <v>1</v>
      </c>
      <c r="M590" s="24" t="b">
        <f>IF(Checks!$C590,Data!A590&lt;&gt;"",TRUE)</f>
        <v>1</v>
      </c>
      <c r="N590" s="26" t="b">
        <f>IF(Checks!C590,Data!B590&lt;&gt;"",TRUE)</f>
        <v>1</v>
      </c>
      <c r="O590" s="26" t="b">
        <f>IF(Checks!C590,IF(AND(UPPER(Data!C590)="SERVICE TASK",UPPER(Data!BZ590)="TYPE=SAS"),NodeExists(TRIM(RIGHT(Data!CA590,LEN(Data!CA590)-FIND("=",Data!CA590)))),TRUE),TRUE)</f>
        <v>1</v>
      </c>
      <c r="P590" s="26" t="b">
        <f>IF(Checks!C590,IF(Data!C590="DATA OBJECT",OR(AND(Data!BW590&lt;&gt;"",Data!BX590=""),AND(Data!BW590="",Data!BX590&lt;&gt;"")),TRUE),TRUE)</f>
        <v>1</v>
      </c>
      <c r="Q590" s="26" t="b">
        <f>IF(Checks!C590,UPPER(RIGHT(Data!A590,5))=".BPMN",TRUE)</f>
        <v>1</v>
      </c>
      <c r="R590" s="26" t="b">
        <f>IF(Checks!C590,IF(UPPER(Data!C590)="SUB PROCESS",UPPER(RIGHT(Data!BY590,5))=".BPMN",TRUE),TRUE)</f>
        <v>1</v>
      </c>
      <c r="S590" s="26" t="b">
        <f>IF(Checks!C590,IF(UPPER(Data!C590)="SERVICE TASK",IF(UPPER(Data!BZ590)="TYPE=SAS",UPPER(RIGHT(Data!CA590,4))=".SAS",TRUE),TRUE),TRUE)</f>
        <v>1</v>
      </c>
      <c r="T590" s="26" t="b">
        <f>IF(Checks!C590,IF(Data!B590&lt;&gt;"",Data!D590&lt;&gt;"",TRUE),TRUE)</f>
        <v>1</v>
      </c>
      <c r="U590" s="26" t="b">
        <f ca="1">IF(Checks!C590,IF(UPPER(Data!C590)="DATA OBJECT",NOT(ISERROR(MATCH(Data!A590&amp;"||"&amp;Data!BW590&amp;Data!BX590,Key,0))),TRUE),TRUE)</f>
        <v>1</v>
      </c>
      <c r="V590" s="26" t="b">
        <f>IF(Checks!C590,IF(UPPER(Data!C590)="SUB PROCESS",Data!BY590&lt;&gt;"",TRUE),TRUE)</f>
        <v>1</v>
      </c>
      <c r="W590" s="26" t="b">
        <f>IF(Checks!C590,IF(UPPER(Data!C590)="SERVICE TASK",AND(Data!BZ590&lt;&gt;"",Data!CA590&lt;&gt;""),TRUE),TRUE)</f>
        <v>1</v>
      </c>
      <c r="X590" s="26" t="b">
        <f t="array" aca="1" ref="X590" ca="1">SUM((OFFSET(Data!B590,MAX(ROW(Data!$B$5)-ROW(Data!B590),-200),0,400,1)=Data!B590)*(OFFSET(Data!A590,MAX(ROW(Data!$B$5)-ROW(Data!B590),-200),0,400,1)=Data!A590))=1</f>
        <v>1</v>
      </c>
      <c r="Y590" s="26" t="b">
        <f t="array" aca="1" ref="Y590" ca="1">IF(UPPER(Data!C590)="START",SUM((OFFSET(Data!C590,MAX(ROW(Data!$C$5)-ROW(Data!C590),-200),0,400,1)="START")*(OFFSET(Data!A590,MAX(ROW(Data!$B$5)-ROW(Data!B590),-200),0,400,1)=Data!A590))=1,TRUE)</f>
        <v>1</v>
      </c>
      <c r="Z590" s="26" t="b">
        <f t="array" aca="1" ref="Z590" ca="1">IF(UPPER(Data!C590)="END",SUM((OFFSET(Data!C590,MAX(ROW(Data!$C$5)-ROW(Data!C590),-200),0,400,1)="END")*(OFFSET(Data!A590,MAX(ROW(Data!$B$5)-ROW(Data!B590),-200),0,400,1)=Data!A590))=1,TRUE)</f>
        <v>1</v>
      </c>
      <c r="AA590" s="26" t="b">
        <f>IF(Checks!C590,ISERROR(FIND("&amp;",Data!D590)),TRUE)</f>
        <v>1</v>
      </c>
      <c r="AB590" s="26" t="b">
        <f>IF(Checks!$C590,IF(AND(UPPER(Data!$C590)&lt;&gt;"START",UPPER(Data!$C590)&lt;&gt;"DATA OBJECT",Data!E590&lt;&gt;""),NOT(ISERROR(MATCH(Data!$A590&amp;"||"&amp;Data!E590,Key,0))),TRUE),TRUE)</f>
        <v>1</v>
      </c>
      <c r="AC590" s="27" t="b">
        <f>IF(Checks!C590,IF(UPPER(Data!C590)="END",Data!E590&lt;&gt;"",TRUE),TRUE)</f>
        <v>1</v>
      </c>
    </row>
    <row r="591" spans="1:29" x14ac:dyDescent="0.25">
      <c r="A591" s="1" t="str">
        <f>Data!A591&amp;"||"&amp;Data!B591</f>
        <v>Analytics/irmifrs9_afs_calculations.bpmn||060_00_04</v>
      </c>
      <c r="B591" s="19"/>
      <c r="C591" s="24" t="b">
        <f>AND(UPPER(Data!A591)&lt;&gt;"EMPTY",Data!B591&lt;&gt;"")</f>
        <v>1</v>
      </c>
      <c r="D591" s="1"/>
      <c r="E591" s="25" t="b">
        <f t="shared" ca="1" si="18"/>
        <v>1</v>
      </c>
      <c r="F591" s="26" t="b">
        <f ca="1">IF(UPPER(Data!C591)="SUB PROCESS",NOT(ISERROR(MATCH(RIGHT(Data!BY591,LEN(Data!BY591)-5),OFFSET(Data,0,0,ItemsCount,1),0))),TRUE)</f>
        <v>1</v>
      </c>
      <c r="G591" s="26" t="b">
        <f ca="1">IF(MID(UPPER(Data!A591),1,13)="MISCELLANEOUS",NOT(ISERROR(MATCH("path="&amp;Data!A591,OFFSET(Data,0,76,ItemsCount,1),0))),TRUE)</f>
        <v>1</v>
      </c>
      <c r="L591" s="25" t="b">
        <f t="shared" ca="1" si="19"/>
        <v>1</v>
      </c>
      <c r="M591" s="24" t="b">
        <f>IF(Checks!$C591,Data!A591&lt;&gt;"",TRUE)</f>
        <v>1</v>
      </c>
      <c r="N591" s="26" t="b">
        <f>IF(Checks!C591,Data!B591&lt;&gt;"",TRUE)</f>
        <v>1</v>
      </c>
      <c r="O591" s="26" t="b">
        <f>IF(Checks!C591,IF(AND(UPPER(Data!C591)="SERVICE TASK",UPPER(Data!BZ591)="TYPE=SAS"),NodeExists(TRIM(RIGHT(Data!CA591,LEN(Data!CA591)-FIND("=",Data!CA591)))),TRUE),TRUE)</f>
        <v>1</v>
      </c>
      <c r="P591" s="26" t="b">
        <f>IF(Checks!C591,IF(Data!C591="DATA OBJECT",OR(AND(Data!BW591&lt;&gt;"",Data!BX591=""),AND(Data!BW591="",Data!BX591&lt;&gt;"")),TRUE),TRUE)</f>
        <v>1</v>
      </c>
      <c r="Q591" s="26" t="b">
        <f>IF(Checks!C591,UPPER(RIGHT(Data!A591,5))=".BPMN",TRUE)</f>
        <v>1</v>
      </c>
      <c r="R591" s="26" t="b">
        <f>IF(Checks!C591,IF(UPPER(Data!C591)="SUB PROCESS",UPPER(RIGHT(Data!BY591,5))=".BPMN",TRUE),TRUE)</f>
        <v>1</v>
      </c>
      <c r="S591" s="26" t="b">
        <f>IF(Checks!C591,IF(UPPER(Data!C591)="SERVICE TASK",IF(UPPER(Data!BZ591)="TYPE=SAS",UPPER(RIGHT(Data!CA591,4))=".SAS",TRUE),TRUE),TRUE)</f>
        <v>1</v>
      </c>
      <c r="T591" s="26" t="b">
        <f>IF(Checks!C591,IF(Data!B591&lt;&gt;"",Data!D591&lt;&gt;"",TRUE),TRUE)</f>
        <v>1</v>
      </c>
      <c r="U591" s="26" t="b">
        <f ca="1">IF(Checks!C591,IF(UPPER(Data!C591)="DATA OBJECT",NOT(ISERROR(MATCH(Data!A591&amp;"||"&amp;Data!BW591&amp;Data!BX591,Key,0))),TRUE),TRUE)</f>
        <v>1</v>
      </c>
      <c r="V591" s="26" t="b">
        <f>IF(Checks!C591,IF(UPPER(Data!C591)="SUB PROCESS",Data!BY591&lt;&gt;"",TRUE),TRUE)</f>
        <v>1</v>
      </c>
      <c r="W591" s="26" t="b">
        <f>IF(Checks!C591,IF(UPPER(Data!C591)="SERVICE TASK",AND(Data!BZ591&lt;&gt;"",Data!CA591&lt;&gt;""),TRUE),TRUE)</f>
        <v>1</v>
      </c>
      <c r="X591" s="26" t="b">
        <f t="array" aca="1" ref="X591" ca="1">SUM((OFFSET(Data!B591,MAX(ROW(Data!$B$5)-ROW(Data!B591),-200),0,400,1)=Data!B591)*(OFFSET(Data!A591,MAX(ROW(Data!$B$5)-ROW(Data!B591),-200),0,400,1)=Data!A591))=1</f>
        <v>1</v>
      </c>
      <c r="Y591" s="26" t="b">
        <f t="array" aca="1" ref="Y591" ca="1">IF(UPPER(Data!C591)="START",SUM((OFFSET(Data!C591,MAX(ROW(Data!$C$5)-ROW(Data!C591),-200),0,400,1)="START")*(OFFSET(Data!A591,MAX(ROW(Data!$B$5)-ROW(Data!B591),-200),0,400,1)=Data!A591))=1,TRUE)</f>
        <v>1</v>
      </c>
      <c r="Z591" s="26" t="b">
        <f t="array" aca="1" ref="Z591" ca="1">IF(UPPER(Data!C591)="END",SUM((OFFSET(Data!C591,MAX(ROW(Data!$C$5)-ROW(Data!C591),-200),0,400,1)="END")*(OFFSET(Data!A591,MAX(ROW(Data!$B$5)-ROW(Data!B591),-200),0,400,1)=Data!A591))=1,TRUE)</f>
        <v>1</v>
      </c>
      <c r="AA591" s="26" t="b">
        <f>IF(Checks!C591,ISERROR(FIND("&amp;",Data!D591)),TRUE)</f>
        <v>1</v>
      </c>
      <c r="AB591" s="26" t="b">
        <f>IF(Checks!$C591,IF(AND(UPPER(Data!$C591)&lt;&gt;"START",UPPER(Data!$C591)&lt;&gt;"DATA OBJECT",Data!E591&lt;&gt;""),NOT(ISERROR(MATCH(Data!$A591&amp;"||"&amp;Data!E591,Key,0))),TRUE),TRUE)</f>
        <v>1</v>
      </c>
      <c r="AC591" s="27" t="b">
        <f>IF(Checks!C591,IF(UPPER(Data!C591)="END",Data!E591&lt;&gt;"",TRUE),TRUE)</f>
        <v>1</v>
      </c>
    </row>
    <row r="592" spans="1:29" x14ac:dyDescent="0.25">
      <c r="A592" s="1" t="str">
        <f>Data!A592&amp;"||"&amp;Data!B592</f>
        <v>Analytics/irmifrs9_afs_calculations.bpmn||060_01_00</v>
      </c>
      <c r="B592" s="19"/>
      <c r="C592" s="24" t="b">
        <f>AND(UPPER(Data!A592)&lt;&gt;"EMPTY",Data!B592&lt;&gt;"")</f>
        <v>1</v>
      </c>
      <c r="D592" s="1"/>
      <c r="E592" s="25" t="b">
        <f t="shared" ca="1" si="18"/>
        <v>1</v>
      </c>
      <c r="F592" s="26" t="b">
        <f ca="1">IF(UPPER(Data!C592)="SUB PROCESS",NOT(ISERROR(MATCH(RIGHT(Data!BY592,LEN(Data!BY592)-5),OFFSET(Data,0,0,ItemsCount,1),0))),TRUE)</f>
        <v>1</v>
      </c>
      <c r="G592" s="26" t="b">
        <f ca="1">IF(MID(UPPER(Data!A592),1,13)="MISCELLANEOUS",NOT(ISERROR(MATCH("path="&amp;Data!A592,OFFSET(Data,0,76,ItemsCount,1),0))),TRUE)</f>
        <v>1</v>
      </c>
      <c r="L592" s="25" t="b">
        <f t="shared" ca="1" si="19"/>
        <v>1</v>
      </c>
      <c r="M592" s="24" t="b">
        <f>IF(Checks!$C592,Data!A592&lt;&gt;"",TRUE)</f>
        <v>1</v>
      </c>
      <c r="N592" s="26" t="b">
        <f>IF(Checks!C592,Data!B592&lt;&gt;"",TRUE)</f>
        <v>1</v>
      </c>
      <c r="O592" s="26" t="b">
        <f>IF(Checks!C592,IF(AND(UPPER(Data!C592)="SERVICE TASK",UPPER(Data!BZ592)="TYPE=SAS"),NodeExists(TRIM(RIGHT(Data!CA592,LEN(Data!CA592)-FIND("=",Data!CA592)))),TRUE),TRUE)</f>
        <v>1</v>
      </c>
      <c r="P592" s="26" t="b">
        <f>IF(Checks!C592,IF(Data!C592="DATA OBJECT",OR(AND(Data!BW592&lt;&gt;"",Data!BX592=""),AND(Data!BW592="",Data!BX592&lt;&gt;"")),TRUE),TRUE)</f>
        <v>1</v>
      </c>
      <c r="Q592" s="26" t="b">
        <f>IF(Checks!C592,UPPER(RIGHT(Data!A592,5))=".BPMN",TRUE)</f>
        <v>1</v>
      </c>
      <c r="R592" s="26" t="b">
        <f>IF(Checks!C592,IF(UPPER(Data!C592)="SUB PROCESS",UPPER(RIGHT(Data!BY592,5))=".BPMN",TRUE),TRUE)</f>
        <v>1</v>
      </c>
      <c r="S592" s="26" t="b">
        <f>IF(Checks!C592,IF(UPPER(Data!C592)="SERVICE TASK",IF(UPPER(Data!BZ592)="TYPE=SAS",UPPER(RIGHT(Data!CA592,4))=".SAS",TRUE),TRUE),TRUE)</f>
        <v>1</v>
      </c>
      <c r="T592" s="26" t="b">
        <f>IF(Checks!C592,IF(Data!B592&lt;&gt;"",Data!D592&lt;&gt;"",TRUE),TRUE)</f>
        <v>1</v>
      </c>
      <c r="U592" s="26" t="b">
        <f ca="1">IF(Checks!C592,IF(UPPER(Data!C592)="DATA OBJECT",NOT(ISERROR(MATCH(Data!A592&amp;"||"&amp;Data!BW592&amp;Data!BX592,Key,0))),TRUE),TRUE)</f>
        <v>1</v>
      </c>
      <c r="V592" s="26" t="b">
        <f>IF(Checks!C592,IF(UPPER(Data!C592)="SUB PROCESS",Data!BY592&lt;&gt;"",TRUE),TRUE)</f>
        <v>1</v>
      </c>
      <c r="W592" s="26" t="b">
        <f>IF(Checks!C592,IF(UPPER(Data!C592)="SERVICE TASK",AND(Data!BZ592&lt;&gt;"",Data!CA592&lt;&gt;""),TRUE),TRUE)</f>
        <v>1</v>
      </c>
      <c r="X592" s="26" t="b">
        <f t="array" aca="1" ref="X592" ca="1">SUM((OFFSET(Data!B592,MAX(ROW(Data!$B$5)-ROW(Data!B592),-200),0,400,1)=Data!B592)*(OFFSET(Data!A592,MAX(ROW(Data!$B$5)-ROW(Data!B592),-200),0,400,1)=Data!A592))=1</f>
        <v>1</v>
      </c>
      <c r="Y592" s="26" t="b">
        <f t="array" aca="1" ref="Y592" ca="1">IF(UPPER(Data!C592)="START",SUM((OFFSET(Data!C592,MAX(ROW(Data!$C$5)-ROW(Data!C592),-200),0,400,1)="START")*(OFFSET(Data!A592,MAX(ROW(Data!$B$5)-ROW(Data!B592),-200),0,400,1)=Data!A592))=1,TRUE)</f>
        <v>1</v>
      </c>
      <c r="Z592" s="26" t="b">
        <f t="array" aca="1" ref="Z592" ca="1">IF(UPPER(Data!C592)="END",SUM((OFFSET(Data!C592,MAX(ROW(Data!$C$5)-ROW(Data!C592),-200),0,400,1)="END")*(OFFSET(Data!A592,MAX(ROW(Data!$B$5)-ROW(Data!B592),-200),0,400,1)=Data!A592))=1,TRUE)</f>
        <v>1</v>
      </c>
      <c r="AA592" s="26" t="b">
        <f>IF(Checks!C592,ISERROR(FIND("&amp;",Data!D592)),TRUE)</f>
        <v>1</v>
      </c>
      <c r="AB592" s="26" t="b">
        <f>IF(Checks!$C592,IF(AND(UPPER(Data!$C592)&lt;&gt;"START",UPPER(Data!$C592)&lt;&gt;"DATA OBJECT",Data!E592&lt;&gt;""),NOT(ISERROR(MATCH(Data!$A592&amp;"||"&amp;Data!E592,Key,0))),TRUE),TRUE)</f>
        <v>1</v>
      </c>
      <c r="AC592" s="27" t="b">
        <f>IF(Checks!C592,IF(UPPER(Data!C592)="END",Data!E592&lt;&gt;"",TRUE),TRUE)</f>
        <v>1</v>
      </c>
    </row>
    <row r="593" spans="1:29" x14ac:dyDescent="0.25">
      <c r="A593" s="1" t="str">
        <f>Data!A593&amp;"||"&amp;Data!B593</f>
        <v>Analytics/irmifrs9_afs_calculations.bpmn||070_00_00</v>
      </c>
      <c r="B593" s="19"/>
      <c r="C593" s="24" t="b">
        <f>AND(UPPER(Data!A593)&lt;&gt;"EMPTY",Data!B593&lt;&gt;"")</f>
        <v>1</v>
      </c>
      <c r="D593" s="1"/>
      <c r="E593" s="25" t="b">
        <f t="shared" ca="1" si="18"/>
        <v>1</v>
      </c>
      <c r="F593" s="26" t="b">
        <f ca="1">IF(UPPER(Data!C593)="SUB PROCESS",NOT(ISERROR(MATCH(RIGHT(Data!BY593,LEN(Data!BY593)-5),OFFSET(Data,0,0,ItemsCount,1),0))),TRUE)</f>
        <v>1</v>
      </c>
      <c r="G593" s="26" t="b">
        <f ca="1">IF(MID(UPPER(Data!A593),1,13)="MISCELLANEOUS",NOT(ISERROR(MATCH("path="&amp;Data!A593,OFFSET(Data,0,76,ItemsCount,1),0))),TRUE)</f>
        <v>1</v>
      </c>
      <c r="L593" s="25" t="b">
        <f t="shared" ca="1" si="19"/>
        <v>1</v>
      </c>
      <c r="M593" s="24" t="b">
        <f>IF(Checks!$C593,Data!A593&lt;&gt;"",TRUE)</f>
        <v>1</v>
      </c>
      <c r="N593" s="26" t="b">
        <f>IF(Checks!C593,Data!B593&lt;&gt;"",TRUE)</f>
        <v>1</v>
      </c>
      <c r="O593" s="26" t="b">
        <f>IF(Checks!C593,IF(AND(UPPER(Data!C593)="SERVICE TASK",UPPER(Data!BZ593)="TYPE=SAS"),NodeExists(TRIM(RIGHT(Data!CA593,LEN(Data!CA593)-FIND("=",Data!CA593)))),TRUE),TRUE)</f>
        <v>1</v>
      </c>
      <c r="P593" s="26" t="b">
        <f>IF(Checks!C593,IF(Data!C593="DATA OBJECT",OR(AND(Data!BW593&lt;&gt;"",Data!BX593=""),AND(Data!BW593="",Data!BX593&lt;&gt;"")),TRUE),TRUE)</f>
        <v>1</v>
      </c>
      <c r="Q593" s="26" t="b">
        <f>IF(Checks!C593,UPPER(RIGHT(Data!A593,5))=".BPMN",TRUE)</f>
        <v>1</v>
      </c>
      <c r="R593" s="26" t="b">
        <f>IF(Checks!C593,IF(UPPER(Data!C593)="SUB PROCESS",UPPER(RIGHT(Data!BY593,5))=".BPMN",TRUE),TRUE)</f>
        <v>1</v>
      </c>
      <c r="S593" s="26" t="b">
        <f>IF(Checks!C593,IF(UPPER(Data!C593)="SERVICE TASK",IF(UPPER(Data!BZ593)="TYPE=SAS",UPPER(RIGHT(Data!CA593,4))=".SAS",TRUE),TRUE),TRUE)</f>
        <v>1</v>
      </c>
      <c r="T593" s="26" t="b">
        <f>IF(Checks!C593,IF(Data!B593&lt;&gt;"",Data!D593&lt;&gt;"",TRUE),TRUE)</f>
        <v>1</v>
      </c>
      <c r="U593" s="26" t="b">
        <f>IF(Checks!C593,IF(UPPER(Data!C593)="DATA OBJECT",NOT(ISERROR(MATCH(Data!A593&amp;"||"&amp;Data!BW593&amp;Data!BX593,Key,0))),TRUE),TRUE)</f>
        <v>1</v>
      </c>
      <c r="V593" s="26" t="b">
        <f>IF(Checks!C593,IF(UPPER(Data!C593)="SUB PROCESS",Data!BY593&lt;&gt;"",TRUE),TRUE)</f>
        <v>1</v>
      </c>
      <c r="W593" s="26" t="b">
        <f>IF(Checks!C593,IF(UPPER(Data!C593)="SERVICE TASK",AND(Data!BZ593&lt;&gt;"",Data!CA593&lt;&gt;""),TRUE),TRUE)</f>
        <v>1</v>
      </c>
      <c r="X593" s="26" t="b">
        <f t="array" aca="1" ref="X593" ca="1">SUM((OFFSET(Data!B593,MAX(ROW(Data!$B$5)-ROW(Data!B593),-200),0,400,1)=Data!B593)*(OFFSET(Data!A593,MAX(ROW(Data!$B$5)-ROW(Data!B593),-200),0,400,1)=Data!A593))=1</f>
        <v>1</v>
      </c>
      <c r="Y593" s="26" t="b">
        <f t="array" aca="1" ref="Y593" ca="1">IF(UPPER(Data!C593)="START",SUM((OFFSET(Data!C593,MAX(ROW(Data!$C$5)-ROW(Data!C593),-200),0,400,1)="START")*(OFFSET(Data!A593,MAX(ROW(Data!$B$5)-ROW(Data!B593),-200),0,400,1)=Data!A593))=1,TRUE)</f>
        <v>1</v>
      </c>
      <c r="Z593" s="26" t="b">
        <f t="array" aca="1" ref="Z593" ca="1">IF(UPPER(Data!C593)="END",SUM((OFFSET(Data!C593,MAX(ROW(Data!$C$5)-ROW(Data!C593),-200),0,400,1)="END")*(OFFSET(Data!A593,MAX(ROW(Data!$B$5)-ROW(Data!B593),-200),0,400,1)=Data!A593))=1,TRUE)</f>
        <v>1</v>
      </c>
      <c r="AA593" s="26" t="b">
        <f>IF(Checks!C593,ISERROR(FIND("&amp;",Data!D593)),TRUE)</f>
        <v>1</v>
      </c>
      <c r="AB593" s="26" t="b">
        <f ca="1">IF(Checks!$C593,IF(AND(UPPER(Data!$C593)&lt;&gt;"START",UPPER(Data!$C593)&lt;&gt;"DATA OBJECT",Data!E593&lt;&gt;""),NOT(ISERROR(MATCH(Data!$A593&amp;"||"&amp;Data!E593,Key,0))),TRUE),TRUE)</f>
        <v>1</v>
      </c>
      <c r="AC593" s="27" t="b">
        <f>IF(Checks!C593,IF(UPPER(Data!C593)="END",Data!E593&lt;&gt;"",TRUE),TRUE)</f>
        <v>1</v>
      </c>
    </row>
    <row r="594" spans="1:29" x14ac:dyDescent="0.25">
      <c r="A594" s="1" t="str">
        <f>Data!A594&amp;"||"&amp;Data!B594</f>
        <v>Analytics/irmifrs9_afs_calculations.bpmn||070_01_00</v>
      </c>
      <c r="B594" s="19"/>
      <c r="C594" s="24" t="b">
        <f>AND(UPPER(Data!A594)&lt;&gt;"EMPTY",Data!B594&lt;&gt;"")</f>
        <v>1</v>
      </c>
      <c r="D594" s="1"/>
      <c r="E594" s="25" t="b">
        <f t="shared" ca="1" si="18"/>
        <v>1</v>
      </c>
      <c r="F594" s="26" t="b">
        <f ca="1">IF(UPPER(Data!C594)="SUB PROCESS",NOT(ISERROR(MATCH(RIGHT(Data!BY594,LEN(Data!BY594)-5),OFFSET(Data,0,0,ItemsCount,1),0))),TRUE)</f>
        <v>1</v>
      </c>
      <c r="G594" s="26" t="b">
        <f ca="1">IF(MID(UPPER(Data!A594),1,13)="MISCELLANEOUS",NOT(ISERROR(MATCH("path="&amp;Data!A594,OFFSET(Data,0,76,ItemsCount,1),0))),TRUE)</f>
        <v>1</v>
      </c>
      <c r="L594" s="25" t="b">
        <f t="shared" ca="1" si="19"/>
        <v>1</v>
      </c>
      <c r="M594" s="24" t="b">
        <f>IF(Checks!$C594,Data!A594&lt;&gt;"",TRUE)</f>
        <v>1</v>
      </c>
      <c r="N594" s="26" t="b">
        <f>IF(Checks!C594,Data!B594&lt;&gt;"",TRUE)</f>
        <v>1</v>
      </c>
      <c r="O594" s="26" t="b">
        <f>IF(Checks!C594,IF(AND(UPPER(Data!C594)="SERVICE TASK",UPPER(Data!BZ594)="TYPE=SAS"),NodeExists(TRIM(RIGHT(Data!CA594,LEN(Data!CA594)-FIND("=",Data!CA594)))),TRUE),TRUE)</f>
        <v>1</v>
      </c>
      <c r="P594" s="26" t="b">
        <f>IF(Checks!C594,IF(Data!C594="DATA OBJECT",OR(AND(Data!BW594&lt;&gt;"",Data!BX594=""),AND(Data!BW594="",Data!BX594&lt;&gt;"")),TRUE),TRUE)</f>
        <v>1</v>
      </c>
      <c r="Q594" s="26" t="b">
        <f>IF(Checks!C594,UPPER(RIGHT(Data!A594,5))=".BPMN",TRUE)</f>
        <v>1</v>
      </c>
      <c r="R594" s="26" t="b">
        <f>IF(Checks!C594,IF(UPPER(Data!C594)="SUB PROCESS",UPPER(RIGHT(Data!BY594,5))=".BPMN",TRUE),TRUE)</f>
        <v>1</v>
      </c>
      <c r="S594" s="26" t="b">
        <f>IF(Checks!C594,IF(UPPER(Data!C594)="SERVICE TASK",IF(UPPER(Data!BZ594)="TYPE=SAS",UPPER(RIGHT(Data!CA594,4))=".SAS",TRUE),TRUE),TRUE)</f>
        <v>1</v>
      </c>
      <c r="T594" s="26" t="b">
        <f>IF(Checks!C594,IF(Data!B594&lt;&gt;"",Data!D594&lt;&gt;"",TRUE),TRUE)</f>
        <v>1</v>
      </c>
      <c r="U594" s="26" t="b">
        <f ca="1">IF(Checks!C594,IF(UPPER(Data!C594)="DATA OBJECT",NOT(ISERROR(MATCH(Data!A594&amp;"||"&amp;Data!BW594&amp;Data!BX594,Key,0))),TRUE),TRUE)</f>
        <v>1</v>
      </c>
      <c r="V594" s="26" t="b">
        <f>IF(Checks!C594,IF(UPPER(Data!C594)="SUB PROCESS",Data!BY594&lt;&gt;"",TRUE),TRUE)</f>
        <v>1</v>
      </c>
      <c r="W594" s="26" t="b">
        <f>IF(Checks!C594,IF(UPPER(Data!C594)="SERVICE TASK",AND(Data!BZ594&lt;&gt;"",Data!CA594&lt;&gt;""),TRUE),TRUE)</f>
        <v>1</v>
      </c>
      <c r="X594" s="26" t="b">
        <f t="array" aca="1" ref="X594" ca="1">SUM((OFFSET(Data!B594,MAX(ROW(Data!$B$5)-ROW(Data!B594),-200),0,400,1)=Data!B594)*(OFFSET(Data!A594,MAX(ROW(Data!$B$5)-ROW(Data!B594),-200),0,400,1)=Data!A594))=1</f>
        <v>1</v>
      </c>
      <c r="Y594" s="26" t="b">
        <f t="array" aca="1" ref="Y594" ca="1">IF(UPPER(Data!C594)="START",SUM((OFFSET(Data!C594,MAX(ROW(Data!$C$5)-ROW(Data!C594),-200),0,400,1)="START")*(OFFSET(Data!A594,MAX(ROW(Data!$B$5)-ROW(Data!B594),-200),0,400,1)=Data!A594))=1,TRUE)</f>
        <v>1</v>
      </c>
      <c r="Z594" s="26" t="b">
        <f t="array" aca="1" ref="Z594" ca="1">IF(UPPER(Data!C594)="END",SUM((OFFSET(Data!C594,MAX(ROW(Data!$C$5)-ROW(Data!C594),-200),0,400,1)="END")*(OFFSET(Data!A594,MAX(ROW(Data!$B$5)-ROW(Data!B594),-200),0,400,1)=Data!A594))=1,TRUE)</f>
        <v>1</v>
      </c>
      <c r="AA594" s="26" t="b">
        <f>IF(Checks!C594,ISERROR(FIND("&amp;",Data!D594)),TRUE)</f>
        <v>1</v>
      </c>
      <c r="AB594" s="26" t="b">
        <f>IF(Checks!$C594,IF(AND(UPPER(Data!$C594)&lt;&gt;"START",UPPER(Data!$C594)&lt;&gt;"DATA OBJECT",Data!E594&lt;&gt;""),NOT(ISERROR(MATCH(Data!$A594&amp;"||"&amp;Data!E594,Key,0))),TRUE),TRUE)</f>
        <v>1</v>
      </c>
      <c r="AC594" s="27" t="b">
        <f>IF(Checks!C594,IF(UPPER(Data!C594)="END",Data!E594&lt;&gt;"",TRUE),TRUE)</f>
        <v>1</v>
      </c>
    </row>
    <row r="595" spans="1:29" x14ac:dyDescent="0.25">
      <c r="A595" s="1" t="str">
        <f>Data!A595&amp;"||"&amp;Data!B595</f>
        <v>Analytics/irmifrs9_afs_calculations.bpmn||080_00_00</v>
      </c>
      <c r="B595" s="19"/>
      <c r="C595" s="24" t="b">
        <f>AND(UPPER(Data!A595)&lt;&gt;"EMPTY",Data!B595&lt;&gt;"")</f>
        <v>1</v>
      </c>
      <c r="D595" s="1"/>
      <c r="E595" s="25" t="b">
        <f t="shared" ca="1" si="18"/>
        <v>1</v>
      </c>
      <c r="F595" s="26" t="b">
        <f ca="1">IF(UPPER(Data!C595)="SUB PROCESS",NOT(ISERROR(MATCH(RIGHT(Data!BY595,LEN(Data!BY595)-5),OFFSET(Data,0,0,ItemsCount,1),0))),TRUE)</f>
        <v>1</v>
      </c>
      <c r="G595" s="26" t="b">
        <f ca="1">IF(MID(UPPER(Data!A595),1,13)="MISCELLANEOUS",NOT(ISERROR(MATCH("path="&amp;Data!A595,OFFSET(Data,0,76,ItemsCount,1),0))),TRUE)</f>
        <v>1</v>
      </c>
      <c r="L595" s="25" t="b">
        <f t="shared" ca="1" si="19"/>
        <v>1</v>
      </c>
      <c r="M595" s="24" t="b">
        <f>IF(Checks!$C595,Data!A595&lt;&gt;"",TRUE)</f>
        <v>1</v>
      </c>
      <c r="N595" s="26" t="b">
        <f>IF(Checks!C595,Data!B595&lt;&gt;"",TRUE)</f>
        <v>1</v>
      </c>
      <c r="O595" s="26" t="b">
        <f>IF(Checks!C595,IF(AND(UPPER(Data!C595)="SERVICE TASK",UPPER(Data!BZ595)="TYPE=SAS"),NodeExists(TRIM(RIGHT(Data!CA595,LEN(Data!CA595)-FIND("=",Data!CA595)))),TRUE),TRUE)</f>
        <v>1</v>
      </c>
      <c r="P595" s="26" t="b">
        <f>IF(Checks!C595,IF(Data!C595="DATA OBJECT",OR(AND(Data!BW595&lt;&gt;"",Data!BX595=""),AND(Data!BW595="",Data!BX595&lt;&gt;"")),TRUE),TRUE)</f>
        <v>1</v>
      </c>
      <c r="Q595" s="26" t="b">
        <f>IF(Checks!C595,UPPER(RIGHT(Data!A595,5))=".BPMN",TRUE)</f>
        <v>1</v>
      </c>
      <c r="R595" s="26" t="b">
        <f>IF(Checks!C595,IF(UPPER(Data!C595)="SUB PROCESS",UPPER(RIGHT(Data!BY595,5))=".BPMN",TRUE),TRUE)</f>
        <v>1</v>
      </c>
      <c r="S595" s="26" t="b">
        <f>IF(Checks!C595,IF(UPPER(Data!C595)="SERVICE TASK",IF(UPPER(Data!BZ595)="TYPE=SAS",UPPER(RIGHT(Data!CA595,4))=".SAS",TRUE),TRUE),TRUE)</f>
        <v>1</v>
      </c>
      <c r="T595" s="26" t="b">
        <f>IF(Checks!C595,IF(Data!B595&lt;&gt;"",Data!D595&lt;&gt;"",TRUE),TRUE)</f>
        <v>1</v>
      </c>
      <c r="U595" s="26" t="b">
        <f>IF(Checks!C595,IF(UPPER(Data!C595)="DATA OBJECT",NOT(ISERROR(MATCH(Data!A595&amp;"||"&amp;Data!BW595&amp;Data!BX595,Key,0))),TRUE),TRUE)</f>
        <v>1</v>
      </c>
      <c r="V595" s="26" t="b">
        <f>IF(Checks!C595,IF(UPPER(Data!C595)="SUB PROCESS",Data!BY595&lt;&gt;"",TRUE),TRUE)</f>
        <v>1</v>
      </c>
      <c r="W595" s="26" t="b">
        <f>IF(Checks!C595,IF(UPPER(Data!C595)="SERVICE TASK",AND(Data!BZ595&lt;&gt;"",Data!CA595&lt;&gt;""),TRUE),TRUE)</f>
        <v>1</v>
      </c>
      <c r="X595" s="26" t="b">
        <f t="array" aca="1" ref="X595" ca="1">SUM((OFFSET(Data!B595,MAX(ROW(Data!$B$5)-ROW(Data!B595),-200),0,400,1)=Data!B595)*(OFFSET(Data!A595,MAX(ROW(Data!$B$5)-ROW(Data!B595),-200),0,400,1)=Data!A595))=1</f>
        <v>1</v>
      </c>
      <c r="Y595" s="26" t="b">
        <f t="array" aca="1" ref="Y595" ca="1">IF(UPPER(Data!C595)="START",SUM((OFFSET(Data!C595,MAX(ROW(Data!$C$5)-ROW(Data!C595),-200),0,400,1)="START")*(OFFSET(Data!A595,MAX(ROW(Data!$B$5)-ROW(Data!B595),-200),0,400,1)=Data!A595))=1,TRUE)</f>
        <v>1</v>
      </c>
      <c r="Z595" s="26" t="b">
        <f t="array" aca="1" ref="Z595" ca="1">IF(UPPER(Data!C595)="END",SUM((OFFSET(Data!C595,MAX(ROW(Data!$C$5)-ROW(Data!C595),-200),0,400,1)="END")*(OFFSET(Data!A595,MAX(ROW(Data!$B$5)-ROW(Data!B595),-200),0,400,1)=Data!A595))=1,TRUE)</f>
        <v>1</v>
      </c>
      <c r="AA595" s="26" t="b">
        <f>IF(Checks!C595,ISERROR(FIND("&amp;",Data!D595)),TRUE)</f>
        <v>1</v>
      </c>
      <c r="AB595" s="26" t="b">
        <f ca="1">IF(Checks!$C595,IF(AND(UPPER(Data!$C595)&lt;&gt;"START",UPPER(Data!$C595)&lt;&gt;"DATA OBJECT",Data!E595&lt;&gt;""),NOT(ISERROR(MATCH(Data!$A595&amp;"||"&amp;Data!E595,Key,0))),TRUE),TRUE)</f>
        <v>1</v>
      </c>
      <c r="AC595" s="27" t="b">
        <f>IF(Checks!C595,IF(UPPER(Data!C595)="END",Data!E595&lt;&gt;"",TRUE),TRUE)</f>
        <v>1</v>
      </c>
    </row>
    <row r="596" spans="1:29" x14ac:dyDescent="0.25">
      <c r="A596" s="1" t="str">
        <f>Data!A596&amp;"||"&amp;Data!B596</f>
        <v>Analytics/irmifrs9_afs_calculations.bpmn||080_00_01</v>
      </c>
      <c r="B596" s="19"/>
      <c r="C596" s="24" t="b">
        <f>AND(UPPER(Data!A596)&lt;&gt;"EMPTY",Data!B596&lt;&gt;"")</f>
        <v>1</v>
      </c>
      <c r="D596" s="1"/>
      <c r="E596" s="25" t="b">
        <f t="shared" ca="1" si="18"/>
        <v>1</v>
      </c>
      <c r="F596" s="26" t="b">
        <f ca="1">IF(UPPER(Data!C596)="SUB PROCESS",NOT(ISERROR(MATCH(RIGHT(Data!BY596,LEN(Data!BY596)-5),OFFSET(Data,0,0,ItemsCount,1),0))),TRUE)</f>
        <v>1</v>
      </c>
      <c r="G596" s="26" t="b">
        <f ca="1">IF(MID(UPPER(Data!A596),1,13)="MISCELLANEOUS",NOT(ISERROR(MATCH("path="&amp;Data!A596,OFFSET(Data,0,76,ItemsCount,1),0))),TRUE)</f>
        <v>1</v>
      </c>
      <c r="L596" s="25" t="b">
        <f t="shared" ca="1" si="19"/>
        <v>1</v>
      </c>
      <c r="M596" s="24" t="b">
        <f>IF(Checks!$C596,Data!A596&lt;&gt;"",TRUE)</f>
        <v>1</v>
      </c>
      <c r="N596" s="26" t="b">
        <f>IF(Checks!C596,Data!B596&lt;&gt;"",TRUE)</f>
        <v>1</v>
      </c>
      <c r="O596" s="26" t="b">
        <f>IF(Checks!C596,IF(AND(UPPER(Data!C596)="SERVICE TASK",UPPER(Data!BZ596)="TYPE=SAS"),NodeExists(TRIM(RIGHT(Data!CA596,LEN(Data!CA596)-FIND("=",Data!CA596)))),TRUE),TRUE)</f>
        <v>1</v>
      </c>
      <c r="P596" s="26" t="b">
        <f>IF(Checks!C596,IF(Data!C596="DATA OBJECT",OR(AND(Data!BW596&lt;&gt;"",Data!BX596=""),AND(Data!BW596="",Data!BX596&lt;&gt;"")),TRUE),TRUE)</f>
        <v>1</v>
      </c>
      <c r="Q596" s="26" t="b">
        <f>IF(Checks!C596,UPPER(RIGHT(Data!A596,5))=".BPMN",TRUE)</f>
        <v>1</v>
      </c>
      <c r="R596" s="26" t="b">
        <f>IF(Checks!C596,IF(UPPER(Data!C596)="SUB PROCESS",UPPER(RIGHT(Data!BY596,5))=".BPMN",TRUE),TRUE)</f>
        <v>1</v>
      </c>
      <c r="S596" s="26" t="b">
        <f>IF(Checks!C596,IF(UPPER(Data!C596)="SERVICE TASK",IF(UPPER(Data!BZ596)="TYPE=SAS",UPPER(RIGHT(Data!CA596,4))=".SAS",TRUE),TRUE),TRUE)</f>
        <v>1</v>
      </c>
      <c r="T596" s="26" t="b">
        <f>IF(Checks!C596,IF(Data!B596&lt;&gt;"",Data!D596&lt;&gt;"",TRUE),TRUE)</f>
        <v>1</v>
      </c>
      <c r="U596" s="26" t="b">
        <f ca="1">IF(Checks!C596,IF(UPPER(Data!C596)="DATA OBJECT",NOT(ISERROR(MATCH(Data!A596&amp;"||"&amp;Data!BW596&amp;Data!BX596,Key,0))),TRUE),TRUE)</f>
        <v>1</v>
      </c>
      <c r="V596" s="26" t="b">
        <f>IF(Checks!C596,IF(UPPER(Data!C596)="SUB PROCESS",Data!BY596&lt;&gt;"",TRUE),TRUE)</f>
        <v>1</v>
      </c>
      <c r="W596" s="26" t="b">
        <f>IF(Checks!C596,IF(UPPER(Data!C596)="SERVICE TASK",AND(Data!BZ596&lt;&gt;"",Data!CA596&lt;&gt;""),TRUE),TRUE)</f>
        <v>1</v>
      </c>
      <c r="X596" s="26" t="b">
        <f t="array" aca="1" ref="X596" ca="1">SUM((OFFSET(Data!B596,MAX(ROW(Data!$B$5)-ROW(Data!B596),-200),0,400,1)=Data!B596)*(OFFSET(Data!A596,MAX(ROW(Data!$B$5)-ROW(Data!B596),-200),0,400,1)=Data!A596))=1</f>
        <v>1</v>
      </c>
      <c r="Y596" s="26" t="b">
        <f t="array" aca="1" ref="Y596" ca="1">IF(UPPER(Data!C596)="START",SUM((OFFSET(Data!C596,MAX(ROW(Data!$C$5)-ROW(Data!C596),-200),0,400,1)="START")*(OFFSET(Data!A596,MAX(ROW(Data!$B$5)-ROW(Data!B596),-200),0,400,1)=Data!A596))=1,TRUE)</f>
        <v>1</v>
      </c>
      <c r="Z596" s="26" t="b">
        <f t="array" aca="1" ref="Z596" ca="1">IF(UPPER(Data!C596)="END",SUM((OFFSET(Data!C596,MAX(ROW(Data!$C$5)-ROW(Data!C596),-200),0,400,1)="END")*(OFFSET(Data!A596,MAX(ROW(Data!$B$5)-ROW(Data!B596),-200),0,400,1)=Data!A596))=1,TRUE)</f>
        <v>1</v>
      </c>
      <c r="AA596" s="26" t="b">
        <f>IF(Checks!C596,ISERROR(FIND("&amp;",Data!D596)),TRUE)</f>
        <v>1</v>
      </c>
      <c r="AB596" s="26" t="b">
        <f>IF(Checks!$C596,IF(AND(UPPER(Data!$C596)&lt;&gt;"START",UPPER(Data!$C596)&lt;&gt;"DATA OBJECT",Data!E596&lt;&gt;""),NOT(ISERROR(MATCH(Data!$A596&amp;"||"&amp;Data!E596,Key,0))),TRUE),TRUE)</f>
        <v>1</v>
      </c>
      <c r="AC596" s="27" t="b">
        <f>IF(Checks!C596,IF(UPPER(Data!C596)="END",Data!E596&lt;&gt;"",TRUE),TRUE)</f>
        <v>1</v>
      </c>
    </row>
    <row r="597" spans="1:29" x14ac:dyDescent="0.25">
      <c r="A597" s="1" t="str">
        <f>Data!A597&amp;"||"&amp;Data!B597</f>
        <v>Analytics/irmifrs9_afs_calculations.bpmn||080_00_02</v>
      </c>
      <c r="B597" s="19"/>
      <c r="C597" s="24" t="b">
        <f>AND(UPPER(Data!A597)&lt;&gt;"EMPTY",Data!B597&lt;&gt;"")</f>
        <v>1</v>
      </c>
      <c r="D597" s="1"/>
      <c r="E597" s="25" t="b">
        <f t="shared" ca="1" si="18"/>
        <v>1</v>
      </c>
      <c r="F597" s="26" t="b">
        <f ca="1">IF(UPPER(Data!C597)="SUB PROCESS",NOT(ISERROR(MATCH(RIGHT(Data!BY597,LEN(Data!BY597)-5),OFFSET(Data,0,0,ItemsCount,1),0))),TRUE)</f>
        <v>1</v>
      </c>
      <c r="G597" s="26" t="b">
        <f ca="1">IF(MID(UPPER(Data!A597),1,13)="MISCELLANEOUS",NOT(ISERROR(MATCH("path="&amp;Data!A597,OFFSET(Data,0,76,ItemsCount,1),0))),TRUE)</f>
        <v>1</v>
      </c>
      <c r="L597" s="25" t="b">
        <f t="shared" ca="1" si="19"/>
        <v>1</v>
      </c>
      <c r="M597" s="24" t="b">
        <f>IF(Checks!$C597,Data!A597&lt;&gt;"",TRUE)</f>
        <v>1</v>
      </c>
      <c r="N597" s="26" t="b">
        <f>IF(Checks!C597,Data!B597&lt;&gt;"",TRUE)</f>
        <v>1</v>
      </c>
      <c r="O597" s="26" t="b">
        <f>IF(Checks!C597,IF(AND(UPPER(Data!C597)="SERVICE TASK",UPPER(Data!BZ597)="TYPE=SAS"),NodeExists(TRIM(RIGHT(Data!CA597,LEN(Data!CA597)-FIND("=",Data!CA597)))),TRUE),TRUE)</f>
        <v>1</v>
      </c>
      <c r="P597" s="26" t="b">
        <f>IF(Checks!C597,IF(Data!C597="DATA OBJECT",OR(AND(Data!BW597&lt;&gt;"",Data!BX597=""),AND(Data!BW597="",Data!BX597&lt;&gt;"")),TRUE),TRUE)</f>
        <v>1</v>
      </c>
      <c r="Q597" s="26" t="b">
        <f>IF(Checks!C597,UPPER(RIGHT(Data!A597,5))=".BPMN",TRUE)</f>
        <v>1</v>
      </c>
      <c r="R597" s="26" t="b">
        <f>IF(Checks!C597,IF(UPPER(Data!C597)="SUB PROCESS",UPPER(RIGHT(Data!BY597,5))=".BPMN",TRUE),TRUE)</f>
        <v>1</v>
      </c>
      <c r="S597" s="26" t="b">
        <f>IF(Checks!C597,IF(UPPER(Data!C597)="SERVICE TASK",IF(UPPER(Data!BZ597)="TYPE=SAS",UPPER(RIGHT(Data!CA597,4))=".SAS",TRUE),TRUE),TRUE)</f>
        <v>1</v>
      </c>
      <c r="T597" s="26" t="b">
        <f>IF(Checks!C597,IF(Data!B597&lt;&gt;"",Data!D597&lt;&gt;"",TRUE),TRUE)</f>
        <v>1</v>
      </c>
      <c r="U597" s="26" t="b">
        <f ca="1">IF(Checks!C597,IF(UPPER(Data!C597)="DATA OBJECT",NOT(ISERROR(MATCH(Data!A597&amp;"||"&amp;Data!BW597&amp;Data!BX597,Key,0))),TRUE),TRUE)</f>
        <v>1</v>
      </c>
      <c r="V597" s="26" t="b">
        <f>IF(Checks!C597,IF(UPPER(Data!C597)="SUB PROCESS",Data!BY597&lt;&gt;"",TRUE),TRUE)</f>
        <v>1</v>
      </c>
      <c r="W597" s="26" t="b">
        <f>IF(Checks!C597,IF(UPPER(Data!C597)="SERVICE TASK",AND(Data!BZ597&lt;&gt;"",Data!CA597&lt;&gt;""),TRUE),TRUE)</f>
        <v>1</v>
      </c>
      <c r="X597" s="26" t="b">
        <f t="array" aca="1" ref="X597" ca="1">SUM((OFFSET(Data!B597,MAX(ROW(Data!$B$5)-ROW(Data!B597),-200),0,400,1)=Data!B597)*(OFFSET(Data!A597,MAX(ROW(Data!$B$5)-ROW(Data!B597),-200),0,400,1)=Data!A597))=1</f>
        <v>1</v>
      </c>
      <c r="Y597" s="26" t="b">
        <f t="array" aca="1" ref="Y597" ca="1">IF(UPPER(Data!C597)="START",SUM((OFFSET(Data!C597,MAX(ROW(Data!$C$5)-ROW(Data!C597),-200),0,400,1)="START")*(OFFSET(Data!A597,MAX(ROW(Data!$B$5)-ROW(Data!B597),-200),0,400,1)=Data!A597))=1,TRUE)</f>
        <v>1</v>
      </c>
      <c r="Z597" s="26" t="b">
        <f t="array" aca="1" ref="Z597" ca="1">IF(UPPER(Data!C597)="END",SUM((OFFSET(Data!C597,MAX(ROW(Data!$C$5)-ROW(Data!C597),-200),0,400,1)="END")*(OFFSET(Data!A597,MAX(ROW(Data!$B$5)-ROW(Data!B597),-200),0,400,1)=Data!A597))=1,TRUE)</f>
        <v>1</v>
      </c>
      <c r="AA597" s="26" t="b">
        <f>IF(Checks!C597,ISERROR(FIND("&amp;",Data!D597)),TRUE)</f>
        <v>1</v>
      </c>
      <c r="AB597" s="26" t="b">
        <f>IF(Checks!$C597,IF(AND(UPPER(Data!$C597)&lt;&gt;"START",UPPER(Data!$C597)&lt;&gt;"DATA OBJECT",Data!E597&lt;&gt;""),NOT(ISERROR(MATCH(Data!$A597&amp;"||"&amp;Data!E597,Key,0))),TRUE),TRUE)</f>
        <v>1</v>
      </c>
      <c r="AC597" s="27" t="b">
        <f>IF(Checks!C597,IF(UPPER(Data!C597)="END",Data!E597&lt;&gt;"",TRUE),TRUE)</f>
        <v>1</v>
      </c>
    </row>
    <row r="598" spans="1:29" x14ac:dyDescent="0.25">
      <c r="A598" s="1" t="str">
        <f>Data!A598&amp;"||"&amp;Data!B598</f>
        <v>Analytics/irmifrs9_afs_calculations.bpmn||080_00_03</v>
      </c>
      <c r="B598" s="19"/>
      <c r="C598" s="24" t="b">
        <f>AND(UPPER(Data!A598)&lt;&gt;"EMPTY",Data!B598&lt;&gt;"")</f>
        <v>1</v>
      </c>
      <c r="D598" s="1"/>
      <c r="E598" s="25" t="b">
        <f t="shared" ca="1" si="18"/>
        <v>1</v>
      </c>
      <c r="F598" s="26" t="b">
        <f ca="1">IF(UPPER(Data!C598)="SUB PROCESS",NOT(ISERROR(MATCH(RIGHT(Data!BY598,LEN(Data!BY598)-5),OFFSET(Data,0,0,ItemsCount,1),0))),TRUE)</f>
        <v>1</v>
      </c>
      <c r="G598" s="26" t="b">
        <f ca="1">IF(MID(UPPER(Data!A598),1,13)="MISCELLANEOUS",NOT(ISERROR(MATCH("path="&amp;Data!A598,OFFSET(Data,0,76,ItemsCount,1),0))),TRUE)</f>
        <v>1</v>
      </c>
      <c r="L598" s="25" t="b">
        <f t="shared" ca="1" si="19"/>
        <v>1</v>
      </c>
      <c r="M598" s="24" t="b">
        <f>IF(Checks!$C598,Data!A598&lt;&gt;"",TRUE)</f>
        <v>1</v>
      </c>
      <c r="N598" s="26" t="b">
        <f>IF(Checks!C598,Data!B598&lt;&gt;"",TRUE)</f>
        <v>1</v>
      </c>
      <c r="O598" s="26" t="b">
        <f>IF(Checks!C598,IF(AND(UPPER(Data!C598)="SERVICE TASK",UPPER(Data!BZ598)="TYPE=SAS"),NodeExists(TRIM(RIGHT(Data!CA598,LEN(Data!CA598)-FIND("=",Data!CA598)))),TRUE),TRUE)</f>
        <v>1</v>
      </c>
      <c r="P598" s="26" t="b">
        <f>IF(Checks!C598,IF(Data!C598="DATA OBJECT",OR(AND(Data!BW598&lt;&gt;"",Data!BX598=""),AND(Data!BW598="",Data!BX598&lt;&gt;"")),TRUE),TRUE)</f>
        <v>1</v>
      </c>
      <c r="Q598" s="26" t="b">
        <f>IF(Checks!C598,UPPER(RIGHT(Data!A598,5))=".BPMN",TRUE)</f>
        <v>1</v>
      </c>
      <c r="R598" s="26" t="b">
        <f>IF(Checks!C598,IF(UPPER(Data!C598)="SUB PROCESS",UPPER(RIGHT(Data!BY598,5))=".BPMN",TRUE),TRUE)</f>
        <v>1</v>
      </c>
      <c r="S598" s="26" t="b">
        <f>IF(Checks!C598,IF(UPPER(Data!C598)="SERVICE TASK",IF(UPPER(Data!BZ598)="TYPE=SAS",UPPER(RIGHT(Data!CA598,4))=".SAS",TRUE),TRUE),TRUE)</f>
        <v>1</v>
      </c>
      <c r="T598" s="26" t="b">
        <f>IF(Checks!C598,IF(Data!B598&lt;&gt;"",Data!D598&lt;&gt;"",TRUE),TRUE)</f>
        <v>1</v>
      </c>
      <c r="U598" s="26" t="b">
        <f ca="1">IF(Checks!C598,IF(UPPER(Data!C598)="DATA OBJECT",NOT(ISERROR(MATCH(Data!A598&amp;"||"&amp;Data!BW598&amp;Data!BX598,Key,0))),TRUE),TRUE)</f>
        <v>1</v>
      </c>
      <c r="V598" s="26" t="b">
        <f>IF(Checks!C598,IF(UPPER(Data!C598)="SUB PROCESS",Data!BY598&lt;&gt;"",TRUE),TRUE)</f>
        <v>1</v>
      </c>
      <c r="W598" s="26" t="b">
        <f>IF(Checks!C598,IF(UPPER(Data!C598)="SERVICE TASK",AND(Data!BZ598&lt;&gt;"",Data!CA598&lt;&gt;""),TRUE),TRUE)</f>
        <v>1</v>
      </c>
      <c r="X598" s="26" t="b">
        <f t="array" aca="1" ref="X598" ca="1">SUM((OFFSET(Data!B598,MAX(ROW(Data!$B$5)-ROW(Data!B598),-200),0,400,1)=Data!B598)*(OFFSET(Data!A598,MAX(ROW(Data!$B$5)-ROW(Data!B598),-200),0,400,1)=Data!A598))=1</f>
        <v>1</v>
      </c>
      <c r="Y598" s="26" t="b">
        <f t="array" aca="1" ref="Y598" ca="1">IF(UPPER(Data!C598)="START",SUM((OFFSET(Data!C598,MAX(ROW(Data!$C$5)-ROW(Data!C598),-200),0,400,1)="START")*(OFFSET(Data!A598,MAX(ROW(Data!$B$5)-ROW(Data!B598),-200),0,400,1)=Data!A598))=1,TRUE)</f>
        <v>1</v>
      </c>
      <c r="Z598" s="26" t="b">
        <f t="array" aca="1" ref="Z598" ca="1">IF(UPPER(Data!C598)="END",SUM((OFFSET(Data!C598,MAX(ROW(Data!$C$5)-ROW(Data!C598),-200),0,400,1)="END")*(OFFSET(Data!A598,MAX(ROW(Data!$B$5)-ROW(Data!B598),-200),0,400,1)=Data!A598))=1,TRUE)</f>
        <v>1</v>
      </c>
      <c r="AA598" s="26" t="b">
        <f>IF(Checks!C598,ISERROR(FIND("&amp;",Data!D598)),TRUE)</f>
        <v>1</v>
      </c>
      <c r="AB598" s="26" t="b">
        <f>IF(Checks!$C598,IF(AND(UPPER(Data!$C598)&lt;&gt;"START",UPPER(Data!$C598)&lt;&gt;"DATA OBJECT",Data!E598&lt;&gt;""),NOT(ISERROR(MATCH(Data!$A598&amp;"||"&amp;Data!E598,Key,0))),TRUE),TRUE)</f>
        <v>1</v>
      </c>
      <c r="AC598" s="27" t="b">
        <f>IF(Checks!C598,IF(UPPER(Data!C598)="END",Data!E598&lt;&gt;"",TRUE),TRUE)</f>
        <v>1</v>
      </c>
    </row>
    <row r="599" spans="1:29" x14ac:dyDescent="0.25">
      <c r="A599" s="1" t="str">
        <f>Data!A599&amp;"||"&amp;Data!B599</f>
        <v>Analytics/irmifrs9_afs_calculations.bpmn||080_01_00</v>
      </c>
      <c r="B599" s="19"/>
      <c r="C599" s="24" t="b">
        <f>AND(UPPER(Data!A599)&lt;&gt;"EMPTY",Data!B599&lt;&gt;"")</f>
        <v>1</v>
      </c>
      <c r="D599" s="1"/>
      <c r="E599" s="25" t="b">
        <f t="shared" ca="1" si="18"/>
        <v>1</v>
      </c>
      <c r="F599" s="26" t="b">
        <f ca="1">IF(UPPER(Data!C599)="SUB PROCESS",NOT(ISERROR(MATCH(RIGHT(Data!BY599,LEN(Data!BY599)-5),OFFSET(Data,0,0,ItemsCount,1),0))),TRUE)</f>
        <v>1</v>
      </c>
      <c r="G599" s="26" t="b">
        <f ca="1">IF(MID(UPPER(Data!A599),1,13)="MISCELLANEOUS",NOT(ISERROR(MATCH("path="&amp;Data!A599,OFFSET(Data,0,76,ItemsCount,1),0))),TRUE)</f>
        <v>1</v>
      </c>
      <c r="L599" s="25" t="b">
        <f t="shared" ca="1" si="19"/>
        <v>1</v>
      </c>
      <c r="M599" s="24" t="b">
        <f>IF(Checks!$C599,Data!A599&lt;&gt;"",TRUE)</f>
        <v>1</v>
      </c>
      <c r="N599" s="26" t="b">
        <f>IF(Checks!C599,Data!B599&lt;&gt;"",TRUE)</f>
        <v>1</v>
      </c>
      <c r="O599" s="26" t="b">
        <f>IF(Checks!C599,IF(AND(UPPER(Data!C599)="SERVICE TASK",UPPER(Data!BZ599)="TYPE=SAS"),NodeExists(TRIM(RIGHT(Data!CA599,LEN(Data!CA599)-FIND("=",Data!CA599)))),TRUE),TRUE)</f>
        <v>1</v>
      </c>
      <c r="P599" s="26" t="b">
        <f>IF(Checks!C599,IF(Data!C599="DATA OBJECT",OR(AND(Data!BW599&lt;&gt;"",Data!BX599=""),AND(Data!BW599="",Data!BX599&lt;&gt;"")),TRUE),TRUE)</f>
        <v>1</v>
      </c>
      <c r="Q599" s="26" t="b">
        <f>IF(Checks!C599,UPPER(RIGHT(Data!A599,5))=".BPMN",TRUE)</f>
        <v>1</v>
      </c>
      <c r="R599" s="26" t="b">
        <f>IF(Checks!C599,IF(UPPER(Data!C599)="SUB PROCESS",UPPER(RIGHT(Data!BY599,5))=".BPMN",TRUE),TRUE)</f>
        <v>1</v>
      </c>
      <c r="S599" s="26" t="b">
        <f>IF(Checks!C599,IF(UPPER(Data!C599)="SERVICE TASK",IF(UPPER(Data!BZ599)="TYPE=SAS",UPPER(RIGHT(Data!CA599,4))=".SAS",TRUE),TRUE),TRUE)</f>
        <v>1</v>
      </c>
      <c r="T599" s="26" t="b">
        <f>IF(Checks!C599,IF(Data!B599&lt;&gt;"",Data!D599&lt;&gt;"",TRUE),TRUE)</f>
        <v>1</v>
      </c>
      <c r="U599" s="26" t="b">
        <f ca="1">IF(Checks!C599,IF(UPPER(Data!C599)="DATA OBJECT",NOT(ISERROR(MATCH(Data!A599&amp;"||"&amp;Data!BW599&amp;Data!BX599,Key,0))),TRUE),TRUE)</f>
        <v>1</v>
      </c>
      <c r="V599" s="26" t="b">
        <f>IF(Checks!C599,IF(UPPER(Data!C599)="SUB PROCESS",Data!BY599&lt;&gt;"",TRUE),TRUE)</f>
        <v>1</v>
      </c>
      <c r="W599" s="26" t="b">
        <f>IF(Checks!C599,IF(UPPER(Data!C599)="SERVICE TASK",AND(Data!BZ599&lt;&gt;"",Data!CA599&lt;&gt;""),TRUE),TRUE)</f>
        <v>1</v>
      </c>
      <c r="X599" s="26" t="b">
        <f t="array" aca="1" ref="X599" ca="1">SUM((OFFSET(Data!B599,MAX(ROW(Data!$B$5)-ROW(Data!B599),-200),0,400,1)=Data!B599)*(OFFSET(Data!A599,MAX(ROW(Data!$B$5)-ROW(Data!B599),-200),0,400,1)=Data!A599))=1</f>
        <v>1</v>
      </c>
      <c r="Y599" s="26" t="b">
        <f t="array" aca="1" ref="Y599" ca="1">IF(UPPER(Data!C599)="START",SUM((OFFSET(Data!C599,MAX(ROW(Data!$C$5)-ROW(Data!C599),-200),0,400,1)="START")*(OFFSET(Data!A599,MAX(ROW(Data!$B$5)-ROW(Data!B599),-200),0,400,1)=Data!A599))=1,TRUE)</f>
        <v>1</v>
      </c>
      <c r="Z599" s="26" t="b">
        <f t="array" aca="1" ref="Z599" ca="1">IF(UPPER(Data!C599)="END",SUM((OFFSET(Data!C599,MAX(ROW(Data!$C$5)-ROW(Data!C599),-200),0,400,1)="END")*(OFFSET(Data!A599,MAX(ROW(Data!$B$5)-ROW(Data!B599),-200),0,400,1)=Data!A599))=1,TRUE)</f>
        <v>1</v>
      </c>
      <c r="AA599" s="26" t="b">
        <f>IF(Checks!C599,ISERROR(FIND("&amp;",Data!D599)),TRUE)</f>
        <v>1</v>
      </c>
      <c r="AB599" s="26" t="b">
        <f>IF(Checks!$C599,IF(AND(UPPER(Data!$C599)&lt;&gt;"START",UPPER(Data!$C599)&lt;&gt;"DATA OBJECT",Data!E599&lt;&gt;""),NOT(ISERROR(MATCH(Data!$A599&amp;"||"&amp;Data!E599,Key,0))),TRUE),TRUE)</f>
        <v>1</v>
      </c>
      <c r="AC599" s="27" t="b">
        <f>IF(Checks!C599,IF(UPPER(Data!C599)="END",Data!E599&lt;&gt;"",TRUE),TRUE)</f>
        <v>1</v>
      </c>
    </row>
    <row r="600" spans="1:29" x14ac:dyDescent="0.25">
      <c r="A600" s="1" t="str">
        <f>Data!A600&amp;"||"&amp;Data!B600</f>
        <v>Analytics/irmifrs9_afs_calculations.bpmn||090_00_00</v>
      </c>
      <c r="B600" s="19"/>
      <c r="C600" s="24" t="b">
        <f>AND(UPPER(Data!A600)&lt;&gt;"EMPTY",Data!B600&lt;&gt;"")</f>
        <v>1</v>
      </c>
      <c r="D600" s="1"/>
      <c r="E600" s="25" t="b">
        <f t="shared" ca="1" si="18"/>
        <v>1</v>
      </c>
      <c r="F600" s="26" t="b">
        <f ca="1">IF(UPPER(Data!C600)="SUB PROCESS",NOT(ISERROR(MATCH(RIGHT(Data!BY600,LEN(Data!BY600)-5),OFFSET(Data,0,0,ItemsCount,1),0))),TRUE)</f>
        <v>1</v>
      </c>
      <c r="G600" s="26" t="b">
        <f ca="1">IF(MID(UPPER(Data!A600),1,13)="MISCELLANEOUS",NOT(ISERROR(MATCH("path="&amp;Data!A600,OFFSET(Data,0,76,ItemsCount,1),0))),TRUE)</f>
        <v>1</v>
      </c>
      <c r="L600" s="25" t="b">
        <f t="shared" ca="1" si="19"/>
        <v>1</v>
      </c>
      <c r="M600" s="24" t="b">
        <f>IF(Checks!$C600,Data!A600&lt;&gt;"",TRUE)</f>
        <v>1</v>
      </c>
      <c r="N600" s="26" t="b">
        <f>IF(Checks!C600,Data!B600&lt;&gt;"",TRUE)</f>
        <v>1</v>
      </c>
      <c r="O600" s="26" t="b">
        <f>IF(Checks!C600,IF(AND(UPPER(Data!C600)="SERVICE TASK",UPPER(Data!BZ600)="TYPE=SAS"),NodeExists(TRIM(RIGHT(Data!CA600,LEN(Data!CA600)-FIND("=",Data!CA600)))),TRUE),TRUE)</f>
        <v>1</v>
      </c>
      <c r="P600" s="26" t="b">
        <f>IF(Checks!C600,IF(Data!C600="DATA OBJECT",OR(AND(Data!BW600&lt;&gt;"",Data!BX600=""),AND(Data!BW600="",Data!BX600&lt;&gt;"")),TRUE),TRUE)</f>
        <v>1</v>
      </c>
      <c r="Q600" s="26" t="b">
        <f>IF(Checks!C600,UPPER(RIGHT(Data!A600,5))=".BPMN",TRUE)</f>
        <v>1</v>
      </c>
      <c r="R600" s="26" t="b">
        <f>IF(Checks!C600,IF(UPPER(Data!C600)="SUB PROCESS",UPPER(RIGHT(Data!BY600,5))=".BPMN",TRUE),TRUE)</f>
        <v>1</v>
      </c>
      <c r="S600" s="26" t="b">
        <f>IF(Checks!C600,IF(UPPER(Data!C600)="SERVICE TASK",IF(UPPER(Data!BZ600)="TYPE=SAS",UPPER(RIGHT(Data!CA600,4))=".SAS",TRUE),TRUE),TRUE)</f>
        <v>1</v>
      </c>
      <c r="T600" s="26" t="b">
        <f>IF(Checks!C600,IF(Data!B600&lt;&gt;"",Data!D600&lt;&gt;"",TRUE),TRUE)</f>
        <v>1</v>
      </c>
      <c r="U600" s="26" t="b">
        <f>IF(Checks!C600,IF(UPPER(Data!C600)="DATA OBJECT",NOT(ISERROR(MATCH(Data!A600&amp;"||"&amp;Data!BW600&amp;Data!BX600,Key,0))),TRUE),TRUE)</f>
        <v>1</v>
      </c>
      <c r="V600" s="26" t="b">
        <f>IF(Checks!C600,IF(UPPER(Data!C600)="SUB PROCESS",Data!BY600&lt;&gt;"",TRUE),TRUE)</f>
        <v>1</v>
      </c>
      <c r="W600" s="26" t="b">
        <f>IF(Checks!C600,IF(UPPER(Data!C600)="SERVICE TASK",AND(Data!BZ600&lt;&gt;"",Data!CA600&lt;&gt;""),TRUE),TRUE)</f>
        <v>1</v>
      </c>
      <c r="X600" s="26" t="b">
        <f t="array" aca="1" ref="X600" ca="1">SUM((OFFSET(Data!B600,MAX(ROW(Data!$B$5)-ROW(Data!B600),-200),0,400,1)=Data!B600)*(OFFSET(Data!A600,MAX(ROW(Data!$B$5)-ROW(Data!B600),-200),0,400,1)=Data!A600))=1</f>
        <v>1</v>
      </c>
      <c r="Y600" s="26" t="b">
        <f t="array" aca="1" ref="Y600" ca="1">IF(UPPER(Data!C600)="START",SUM((OFFSET(Data!C600,MAX(ROW(Data!$C$5)-ROW(Data!C600),-200),0,400,1)="START")*(OFFSET(Data!A600,MAX(ROW(Data!$B$5)-ROW(Data!B600),-200),0,400,1)=Data!A600))=1,TRUE)</f>
        <v>1</v>
      </c>
      <c r="Z600" s="26" t="b">
        <f t="array" aca="1" ref="Z600" ca="1">IF(UPPER(Data!C600)="END",SUM((OFFSET(Data!C600,MAX(ROW(Data!$C$5)-ROW(Data!C600),-200),0,400,1)="END")*(OFFSET(Data!A600,MAX(ROW(Data!$B$5)-ROW(Data!B600),-200),0,400,1)=Data!A600))=1,TRUE)</f>
        <v>1</v>
      </c>
      <c r="AA600" s="26" t="b">
        <f>IF(Checks!C600,ISERROR(FIND("&amp;",Data!D600)),TRUE)</f>
        <v>1</v>
      </c>
      <c r="AB600" s="26" t="b">
        <f ca="1">IF(Checks!$C600,IF(AND(UPPER(Data!$C600)&lt;&gt;"START",UPPER(Data!$C600)&lt;&gt;"DATA OBJECT",Data!E600&lt;&gt;""),NOT(ISERROR(MATCH(Data!$A600&amp;"||"&amp;Data!E600,Key,0))),TRUE),TRUE)</f>
        <v>1</v>
      </c>
      <c r="AC600" s="27" t="b">
        <f>IF(Checks!C600,IF(UPPER(Data!C600)="END",Data!E600&lt;&gt;"",TRUE),TRUE)</f>
        <v>1</v>
      </c>
    </row>
    <row r="601" spans="1:29" x14ac:dyDescent="0.25">
      <c r="A601" s="1" t="str">
        <f>Data!A601&amp;"||"&amp;Data!B601</f>
        <v>Analytics/irmifrs9_afs_calculations.bpmn||999_00_00</v>
      </c>
      <c r="B601" s="19"/>
      <c r="C601" s="24" t="b">
        <f>AND(UPPER(Data!A601)&lt;&gt;"EMPTY",Data!B601&lt;&gt;"")</f>
        <v>1</v>
      </c>
      <c r="D601" s="1"/>
      <c r="E601" s="25" t="b">
        <f t="shared" ca="1" si="18"/>
        <v>1</v>
      </c>
      <c r="F601" s="26" t="b">
        <f ca="1">IF(UPPER(Data!C601)="SUB PROCESS",NOT(ISERROR(MATCH(RIGHT(Data!BY601,LEN(Data!BY601)-5),OFFSET(Data,0,0,ItemsCount,1),0))),TRUE)</f>
        <v>1</v>
      </c>
      <c r="G601" s="26" t="b">
        <f ca="1">IF(MID(UPPER(Data!A601),1,13)="MISCELLANEOUS",NOT(ISERROR(MATCH("path="&amp;Data!A601,OFFSET(Data,0,76,ItemsCount,1),0))),TRUE)</f>
        <v>1</v>
      </c>
      <c r="L601" s="25" t="b">
        <f t="shared" ca="1" si="19"/>
        <v>1</v>
      </c>
      <c r="M601" s="24" t="b">
        <f>IF(Checks!$C601,Data!A601&lt;&gt;"",TRUE)</f>
        <v>1</v>
      </c>
      <c r="N601" s="26" t="b">
        <f>IF(Checks!C601,Data!B601&lt;&gt;"",TRUE)</f>
        <v>1</v>
      </c>
      <c r="O601" s="26" t="b">
        <f>IF(Checks!C601,IF(AND(UPPER(Data!C601)="SERVICE TASK",UPPER(Data!BZ601)="TYPE=SAS"),NodeExists(TRIM(RIGHT(Data!CA601,LEN(Data!CA601)-FIND("=",Data!CA601)))),TRUE),TRUE)</f>
        <v>1</v>
      </c>
      <c r="P601" s="26" t="b">
        <f>IF(Checks!C601,IF(Data!C601="DATA OBJECT",OR(AND(Data!BW601&lt;&gt;"",Data!BX601=""),AND(Data!BW601="",Data!BX601&lt;&gt;"")),TRUE),TRUE)</f>
        <v>1</v>
      </c>
      <c r="Q601" s="26" t="b">
        <f>IF(Checks!C601,UPPER(RIGHT(Data!A601,5))=".BPMN",TRUE)</f>
        <v>1</v>
      </c>
      <c r="R601" s="26" t="b">
        <f>IF(Checks!C601,IF(UPPER(Data!C601)="SUB PROCESS",UPPER(RIGHT(Data!BY601,5))=".BPMN",TRUE),TRUE)</f>
        <v>1</v>
      </c>
      <c r="S601" s="26" t="b">
        <f>IF(Checks!C601,IF(UPPER(Data!C601)="SERVICE TASK",IF(UPPER(Data!BZ601)="TYPE=SAS",UPPER(RIGHT(Data!CA601,4))=".SAS",TRUE),TRUE),TRUE)</f>
        <v>1</v>
      </c>
      <c r="T601" s="26" t="b">
        <f>IF(Checks!C601,IF(Data!B601&lt;&gt;"",Data!D601&lt;&gt;"",TRUE),TRUE)</f>
        <v>1</v>
      </c>
      <c r="U601" s="26" t="b">
        <f>IF(Checks!C601,IF(UPPER(Data!C601)="DATA OBJECT",NOT(ISERROR(MATCH(Data!A601&amp;"||"&amp;Data!BW601&amp;Data!BX601,Key,0))),TRUE),TRUE)</f>
        <v>1</v>
      </c>
      <c r="V601" s="26" t="b">
        <f>IF(Checks!C601,IF(UPPER(Data!C601)="SUB PROCESS",Data!BY601&lt;&gt;"",TRUE),TRUE)</f>
        <v>1</v>
      </c>
      <c r="W601" s="26" t="b">
        <f>IF(Checks!C601,IF(UPPER(Data!C601)="SERVICE TASK",AND(Data!BZ601&lt;&gt;"",Data!CA601&lt;&gt;""),TRUE),TRUE)</f>
        <v>1</v>
      </c>
      <c r="X601" s="26" t="b">
        <f t="array" aca="1" ref="X601" ca="1">SUM((OFFSET(Data!B601,MAX(ROW(Data!$B$5)-ROW(Data!B601),-200),0,400,1)=Data!B601)*(OFFSET(Data!A601,MAX(ROW(Data!$B$5)-ROW(Data!B601),-200),0,400,1)=Data!A601))=1</f>
        <v>1</v>
      </c>
      <c r="Y601" s="26" t="b">
        <f t="array" aca="1" ref="Y601" ca="1">IF(UPPER(Data!C601)="START",SUM((OFFSET(Data!C601,MAX(ROW(Data!$C$5)-ROW(Data!C601),-200),0,400,1)="START")*(OFFSET(Data!A601,MAX(ROW(Data!$B$5)-ROW(Data!B601),-200),0,400,1)=Data!A601))=1,TRUE)</f>
        <v>1</v>
      </c>
      <c r="Z601" s="26" t="b">
        <f t="array" aca="1" ref="Z601" ca="1">IF(UPPER(Data!C601)="END",SUM((OFFSET(Data!C601,MAX(ROW(Data!$C$5)-ROW(Data!C601),-200),0,400,1)="END")*(OFFSET(Data!A601,MAX(ROW(Data!$B$5)-ROW(Data!B601),-200),0,400,1)=Data!A601))=1,TRUE)</f>
        <v>1</v>
      </c>
      <c r="AA601" s="26" t="b">
        <f>IF(Checks!C601,ISERROR(FIND("&amp;",Data!D601)),TRUE)</f>
        <v>1</v>
      </c>
      <c r="AB601" s="26" t="b">
        <f ca="1">IF(Checks!$C601,IF(AND(UPPER(Data!$C601)&lt;&gt;"START",UPPER(Data!$C601)&lt;&gt;"DATA OBJECT",Data!E601&lt;&gt;""),NOT(ISERROR(MATCH(Data!$A601&amp;"||"&amp;Data!E601,Key,0))),TRUE),TRUE)</f>
        <v>1</v>
      </c>
      <c r="AC601" s="27" t="b">
        <f>IF(Checks!C601,IF(UPPER(Data!C601)="END",Data!E601&lt;&gt;"",TRUE),TRUE)</f>
        <v>1</v>
      </c>
    </row>
    <row r="602" spans="1:29" x14ac:dyDescent="0.25">
      <c r="A602" s="1" t="str">
        <f>Data!A602&amp;"||"&amp;Data!B602</f>
        <v>Analytics/irmifrs9_attribution_analysis.bpmn||000_00_00</v>
      </c>
      <c r="B602" s="19"/>
      <c r="C602" s="24" t="b">
        <f>AND(UPPER(Data!A602)&lt;&gt;"EMPTY",Data!B602&lt;&gt;"")</f>
        <v>1</v>
      </c>
      <c r="D602" s="1"/>
      <c r="E602" s="25" t="b">
        <f t="shared" ca="1" si="18"/>
        <v>1</v>
      </c>
      <c r="F602" s="26" t="b">
        <f ca="1">IF(UPPER(Data!C602)="SUB PROCESS",NOT(ISERROR(MATCH(RIGHT(Data!BY602,LEN(Data!BY602)-5),OFFSET(Data,0,0,ItemsCount,1),0))),TRUE)</f>
        <v>1</v>
      </c>
      <c r="G602" s="26" t="b">
        <f ca="1">IF(MID(UPPER(Data!A602),1,13)="MISCELLANEOUS",NOT(ISERROR(MATCH("path="&amp;Data!A602,OFFSET(Data,0,76,ItemsCount,1),0))),TRUE)</f>
        <v>1</v>
      </c>
      <c r="L602" s="25" t="b">
        <f t="shared" ca="1" si="19"/>
        <v>1</v>
      </c>
      <c r="M602" s="24" t="b">
        <f>IF(Checks!$C602,Data!A602&lt;&gt;"",TRUE)</f>
        <v>1</v>
      </c>
      <c r="N602" s="26" t="b">
        <f>IF(Checks!C602,Data!B602&lt;&gt;"",TRUE)</f>
        <v>1</v>
      </c>
      <c r="O602" s="26" t="b">
        <f>IF(Checks!C602,IF(AND(UPPER(Data!C602)="SERVICE TASK",UPPER(Data!BZ602)="TYPE=SAS"),NodeExists(TRIM(RIGHT(Data!CA602,LEN(Data!CA602)-FIND("=",Data!CA602)))),TRUE),TRUE)</f>
        <v>1</v>
      </c>
      <c r="P602" s="26" t="b">
        <f>IF(Checks!C602,IF(Data!C602="DATA OBJECT",OR(AND(Data!BW602&lt;&gt;"",Data!BX602=""),AND(Data!BW602="",Data!BX602&lt;&gt;"")),TRUE),TRUE)</f>
        <v>1</v>
      </c>
      <c r="Q602" s="26" t="b">
        <f>IF(Checks!C602,UPPER(RIGHT(Data!A602,5))=".BPMN",TRUE)</f>
        <v>1</v>
      </c>
      <c r="R602" s="26" t="b">
        <f>IF(Checks!C602,IF(UPPER(Data!C602)="SUB PROCESS",UPPER(RIGHT(Data!BY602,5))=".BPMN",TRUE),TRUE)</f>
        <v>1</v>
      </c>
      <c r="S602" s="26" t="b">
        <f>IF(Checks!C602,IF(UPPER(Data!C602)="SERVICE TASK",IF(UPPER(Data!BZ602)="TYPE=SAS",UPPER(RIGHT(Data!CA602,4))=".SAS",TRUE),TRUE),TRUE)</f>
        <v>1</v>
      </c>
      <c r="T602" s="26" t="b">
        <f>IF(Checks!C602,IF(Data!B602&lt;&gt;"",Data!D602&lt;&gt;"",TRUE),TRUE)</f>
        <v>1</v>
      </c>
      <c r="U602" s="26" t="b">
        <f>IF(Checks!C602,IF(UPPER(Data!C602)="DATA OBJECT",NOT(ISERROR(MATCH(Data!A602&amp;"||"&amp;Data!BW602&amp;Data!BX602,Key,0))),TRUE),TRUE)</f>
        <v>1</v>
      </c>
      <c r="V602" s="26" t="b">
        <f>IF(Checks!C602,IF(UPPER(Data!C602)="SUB PROCESS",Data!BY602&lt;&gt;"",TRUE),TRUE)</f>
        <v>1</v>
      </c>
      <c r="W602" s="26" t="b">
        <f>IF(Checks!C602,IF(UPPER(Data!C602)="SERVICE TASK",AND(Data!BZ602&lt;&gt;"",Data!CA602&lt;&gt;""),TRUE),TRUE)</f>
        <v>1</v>
      </c>
      <c r="X602" s="26" t="b">
        <f t="array" aca="1" ref="X602" ca="1">SUM((OFFSET(Data!B602,MAX(ROW(Data!$B$5)-ROW(Data!B602),-200),0,400,1)=Data!B602)*(OFFSET(Data!A602,MAX(ROW(Data!$B$5)-ROW(Data!B602),-200),0,400,1)=Data!A602))=1</f>
        <v>1</v>
      </c>
      <c r="Y602" s="26" t="b">
        <f t="array" aca="1" ref="Y602" ca="1">IF(UPPER(Data!C602)="START",SUM((OFFSET(Data!C602,MAX(ROW(Data!$C$5)-ROW(Data!C602),-200),0,400,1)="START")*(OFFSET(Data!A602,MAX(ROW(Data!$B$5)-ROW(Data!B602),-200),0,400,1)=Data!A602))=1,TRUE)</f>
        <v>1</v>
      </c>
      <c r="Z602" s="26" t="b">
        <f t="array" aca="1" ref="Z602" ca="1">IF(UPPER(Data!C602)="END",SUM((OFFSET(Data!C602,MAX(ROW(Data!$C$5)-ROW(Data!C602),-200),0,400,1)="END")*(OFFSET(Data!A602,MAX(ROW(Data!$B$5)-ROW(Data!B602),-200),0,400,1)=Data!A602))=1,TRUE)</f>
        <v>1</v>
      </c>
      <c r="AA602" s="26" t="b">
        <f>IF(Checks!C602,ISERROR(FIND("&amp;",Data!D602)),TRUE)</f>
        <v>1</v>
      </c>
      <c r="AB602" s="26" t="b">
        <f>IF(Checks!$C602,IF(AND(UPPER(Data!$C602)&lt;&gt;"START",UPPER(Data!$C602)&lt;&gt;"DATA OBJECT",Data!E602&lt;&gt;""),NOT(ISERROR(MATCH(Data!$A602&amp;"||"&amp;Data!E602,Key,0))),TRUE),TRUE)</f>
        <v>1</v>
      </c>
      <c r="AC602" s="27" t="b">
        <f>IF(Checks!C602,IF(UPPER(Data!C602)="END",Data!E602&lt;&gt;"",TRUE),TRUE)</f>
        <v>1</v>
      </c>
    </row>
    <row r="603" spans="1:29" x14ac:dyDescent="0.25">
      <c r="A603" s="1" t="str">
        <f>Data!A603&amp;"||"&amp;Data!B603</f>
        <v>Analytics/irmifrs9_attribution_analysis.bpmn||010_00_00</v>
      </c>
      <c r="B603" s="19"/>
      <c r="C603" s="24" t="b">
        <f>AND(UPPER(Data!A603)&lt;&gt;"EMPTY",Data!B603&lt;&gt;"")</f>
        <v>1</v>
      </c>
      <c r="D603" s="1"/>
      <c r="E603" s="25" t="b">
        <f t="shared" ca="1" si="18"/>
        <v>1</v>
      </c>
      <c r="F603" s="26" t="b">
        <f ca="1">IF(UPPER(Data!C603)="SUB PROCESS",NOT(ISERROR(MATCH(RIGHT(Data!BY603,LEN(Data!BY603)-5),OFFSET(Data,0,0,ItemsCount,1),0))),TRUE)</f>
        <v>1</v>
      </c>
      <c r="G603" s="26" t="b">
        <f ca="1">IF(MID(UPPER(Data!A603),1,13)="MISCELLANEOUS",NOT(ISERROR(MATCH("path="&amp;Data!A603,OFFSET(Data,0,76,ItemsCount,1),0))),TRUE)</f>
        <v>1</v>
      </c>
      <c r="L603" s="25" t="b">
        <f t="shared" ca="1" si="19"/>
        <v>1</v>
      </c>
      <c r="M603" s="24" t="b">
        <f>IF(Checks!$C603,Data!A603&lt;&gt;"",TRUE)</f>
        <v>1</v>
      </c>
      <c r="N603" s="26" t="b">
        <f>IF(Checks!C603,Data!B603&lt;&gt;"",TRUE)</f>
        <v>1</v>
      </c>
      <c r="O603" s="26" t="b">
        <f>IF(Checks!C603,IF(AND(UPPER(Data!C603)="SERVICE TASK",UPPER(Data!BZ603)="TYPE=SAS"),NodeExists(TRIM(RIGHT(Data!CA603,LEN(Data!CA603)-FIND("=",Data!CA603)))),TRUE),TRUE)</f>
        <v>1</v>
      </c>
      <c r="P603" s="26" t="b">
        <f>IF(Checks!C603,IF(Data!C603="DATA OBJECT",OR(AND(Data!BW603&lt;&gt;"",Data!BX603=""),AND(Data!BW603="",Data!BX603&lt;&gt;"")),TRUE),TRUE)</f>
        <v>1</v>
      </c>
      <c r="Q603" s="26" t="b">
        <f>IF(Checks!C603,UPPER(RIGHT(Data!A603,5))=".BPMN",TRUE)</f>
        <v>1</v>
      </c>
      <c r="R603" s="26" t="b">
        <f>IF(Checks!C603,IF(UPPER(Data!C603)="SUB PROCESS",UPPER(RIGHT(Data!BY603,5))=".BPMN",TRUE),TRUE)</f>
        <v>1</v>
      </c>
      <c r="S603" s="26" t="b">
        <f>IF(Checks!C603,IF(UPPER(Data!C603)="SERVICE TASK",IF(UPPER(Data!BZ603)="TYPE=SAS",UPPER(RIGHT(Data!CA603,4))=".SAS",TRUE),TRUE),TRUE)</f>
        <v>1</v>
      </c>
      <c r="T603" s="26" t="b">
        <f>IF(Checks!C603,IF(Data!B603&lt;&gt;"",Data!D603&lt;&gt;"",TRUE),TRUE)</f>
        <v>1</v>
      </c>
      <c r="U603" s="26" t="b">
        <f>IF(Checks!C603,IF(UPPER(Data!C603)="DATA OBJECT",NOT(ISERROR(MATCH(Data!A603&amp;"||"&amp;Data!BW603&amp;Data!BX603,Key,0))),TRUE),TRUE)</f>
        <v>1</v>
      </c>
      <c r="V603" s="26" t="b">
        <f>IF(Checks!C603,IF(UPPER(Data!C603)="SUB PROCESS",Data!BY603&lt;&gt;"",TRUE),TRUE)</f>
        <v>1</v>
      </c>
      <c r="W603" s="26" t="b">
        <f>IF(Checks!C603,IF(UPPER(Data!C603)="SERVICE TASK",AND(Data!BZ603&lt;&gt;"",Data!CA603&lt;&gt;""),TRUE),TRUE)</f>
        <v>1</v>
      </c>
      <c r="X603" s="26" t="b">
        <f t="array" aca="1" ref="X603" ca="1">SUM((OFFSET(Data!B603,MAX(ROW(Data!$B$5)-ROW(Data!B603),-200),0,400,1)=Data!B603)*(OFFSET(Data!A603,MAX(ROW(Data!$B$5)-ROW(Data!B603),-200),0,400,1)=Data!A603))=1</f>
        <v>1</v>
      </c>
      <c r="Y603" s="26" t="b">
        <f t="array" aca="1" ref="Y603" ca="1">IF(UPPER(Data!C603)="START",SUM((OFFSET(Data!C603,MAX(ROW(Data!$C$5)-ROW(Data!C603),-200),0,400,1)="START")*(OFFSET(Data!A603,MAX(ROW(Data!$B$5)-ROW(Data!B603),-200),0,400,1)=Data!A603))=1,TRUE)</f>
        <v>1</v>
      </c>
      <c r="Z603" s="26" t="b">
        <f t="array" aca="1" ref="Z603" ca="1">IF(UPPER(Data!C603)="END",SUM((OFFSET(Data!C603,MAX(ROW(Data!$C$5)-ROW(Data!C603),-200),0,400,1)="END")*(OFFSET(Data!A603,MAX(ROW(Data!$B$5)-ROW(Data!B603),-200),0,400,1)=Data!A603))=1,TRUE)</f>
        <v>1</v>
      </c>
      <c r="AA603" s="26" t="b">
        <f>IF(Checks!C603,ISERROR(FIND("&amp;",Data!D603)),TRUE)</f>
        <v>1</v>
      </c>
      <c r="AB603" s="26" t="b">
        <f ca="1">IF(Checks!$C603,IF(AND(UPPER(Data!$C603)&lt;&gt;"START",UPPER(Data!$C603)&lt;&gt;"DATA OBJECT",Data!E603&lt;&gt;""),NOT(ISERROR(MATCH(Data!$A603&amp;"||"&amp;Data!E603,Key,0))),TRUE),TRUE)</f>
        <v>1</v>
      </c>
      <c r="AC603" s="27" t="b">
        <f>IF(Checks!C603,IF(UPPER(Data!C603)="END",Data!E603&lt;&gt;"",TRUE),TRUE)</f>
        <v>1</v>
      </c>
    </row>
    <row r="604" spans="1:29" x14ac:dyDescent="0.25">
      <c r="A604" s="1" t="str">
        <f>Data!A604&amp;"||"&amp;Data!B604</f>
        <v>Analytics/irmifrs9_attribution_analysis.bpmn||030_00_00</v>
      </c>
      <c r="B604" s="19"/>
      <c r="C604" s="24" t="b">
        <f>AND(UPPER(Data!A604)&lt;&gt;"EMPTY",Data!B604&lt;&gt;"")</f>
        <v>1</v>
      </c>
      <c r="D604" s="1"/>
      <c r="E604" s="25" t="b">
        <f t="shared" ca="1" si="18"/>
        <v>1</v>
      </c>
      <c r="F604" s="26" t="b">
        <f ca="1">IF(UPPER(Data!C604)="SUB PROCESS",NOT(ISERROR(MATCH(RIGHT(Data!BY604,LEN(Data!BY604)-5),OFFSET(Data,0,0,ItemsCount,1),0))),TRUE)</f>
        <v>1</v>
      </c>
      <c r="G604" s="26" t="b">
        <f ca="1">IF(MID(UPPER(Data!A604),1,13)="MISCELLANEOUS",NOT(ISERROR(MATCH("path="&amp;Data!A604,OFFSET(Data,0,76,ItemsCount,1),0))),TRUE)</f>
        <v>1</v>
      </c>
      <c r="L604" s="25" t="b">
        <f t="shared" ca="1" si="19"/>
        <v>1</v>
      </c>
      <c r="M604" s="24" t="b">
        <f>IF(Checks!$C604,Data!A604&lt;&gt;"",TRUE)</f>
        <v>1</v>
      </c>
      <c r="N604" s="26" t="b">
        <f>IF(Checks!C604,Data!B604&lt;&gt;"",TRUE)</f>
        <v>1</v>
      </c>
      <c r="O604" s="26" t="b">
        <f>IF(Checks!C604,IF(AND(UPPER(Data!C604)="SERVICE TASK",UPPER(Data!BZ604)="TYPE=SAS"),NodeExists(TRIM(RIGHT(Data!CA604,LEN(Data!CA604)-FIND("=",Data!CA604)))),TRUE),TRUE)</f>
        <v>1</v>
      </c>
      <c r="P604" s="26" t="b">
        <f>IF(Checks!C604,IF(Data!C604="DATA OBJECT",OR(AND(Data!BW604&lt;&gt;"",Data!BX604=""),AND(Data!BW604="",Data!BX604&lt;&gt;"")),TRUE),TRUE)</f>
        <v>1</v>
      </c>
      <c r="Q604" s="26" t="b">
        <f>IF(Checks!C604,UPPER(RIGHT(Data!A604,5))=".BPMN",TRUE)</f>
        <v>1</v>
      </c>
      <c r="R604" s="26" t="b">
        <f>IF(Checks!C604,IF(UPPER(Data!C604)="SUB PROCESS",UPPER(RIGHT(Data!BY604,5))=".BPMN",TRUE),TRUE)</f>
        <v>1</v>
      </c>
      <c r="S604" s="26" t="b">
        <f>IF(Checks!C604,IF(UPPER(Data!C604)="SERVICE TASK",IF(UPPER(Data!BZ604)="TYPE=SAS",UPPER(RIGHT(Data!CA604,4))=".SAS",TRUE),TRUE),TRUE)</f>
        <v>1</v>
      </c>
      <c r="T604" s="26" t="b">
        <f>IF(Checks!C604,IF(Data!B604&lt;&gt;"",Data!D604&lt;&gt;"",TRUE),TRUE)</f>
        <v>1</v>
      </c>
      <c r="U604" s="26" t="b">
        <f>IF(Checks!C604,IF(UPPER(Data!C604)="DATA OBJECT",NOT(ISERROR(MATCH(Data!A604&amp;"||"&amp;Data!BW604&amp;Data!BX604,Key,0))),TRUE),TRUE)</f>
        <v>1</v>
      </c>
      <c r="V604" s="26" t="b">
        <f>IF(Checks!C604,IF(UPPER(Data!C604)="SUB PROCESS",Data!BY604&lt;&gt;"",TRUE),TRUE)</f>
        <v>1</v>
      </c>
      <c r="W604" s="26" t="b">
        <f>IF(Checks!C604,IF(UPPER(Data!C604)="SERVICE TASK",AND(Data!BZ604&lt;&gt;"",Data!CA604&lt;&gt;""),TRUE),TRUE)</f>
        <v>1</v>
      </c>
      <c r="X604" s="26" t="b">
        <f t="array" aca="1" ref="X604" ca="1">SUM((OFFSET(Data!B604,MAX(ROW(Data!$B$5)-ROW(Data!B604),-200),0,400,1)=Data!B604)*(OFFSET(Data!A604,MAX(ROW(Data!$B$5)-ROW(Data!B604),-200),0,400,1)=Data!A604))=1</f>
        <v>1</v>
      </c>
      <c r="Y604" s="26" t="b">
        <f t="array" aca="1" ref="Y604" ca="1">IF(UPPER(Data!C604)="START",SUM((OFFSET(Data!C604,MAX(ROW(Data!$C$5)-ROW(Data!C604),-200),0,400,1)="START")*(OFFSET(Data!A604,MAX(ROW(Data!$B$5)-ROW(Data!B604),-200),0,400,1)=Data!A604))=1,TRUE)</f>
        <v>1</v>
      </c>
      <c r="Z604" s="26" t="b">
        <f t="array" aca="1" ref="Z604" ca="1">IF(UPPER(Data!C604)="END",SUM((OFFSET(Data!C604,MAX(ROW(Data!$C$5)-ROW(Data!C604),-200),0,400,1)="END")*(OFFSET(Data!A604,MAX(ROW(Data!$B$5)-ROW(Data!B604),-200),0,400,1)=Data!A604))=1,TRUE)</f>
        <v>1</v>
      </c>
      <c r="AA604" s="26" t="b">
        <f>IF(Checks!C604,ISERROR(FIND("&amp;",Data!D604)),TRUE)</f>
        <v>1</v>
      </c>
      <c r="AB604" s="26" t="b">
        <f ca="1">IF(Checks!$C604,IF(AND(UPPER(Data!$C604)&lt;&gt;"START",UPPER(Data!$C604)&lt;&gt;"DATA OBJECT",Data!E604&lt;&gt;""),NOT(ISERROR(MATCH(Data!$A604&amp;"||"&amp;Data!E604,Key,0))),TRUE),TRUE)</f>
        <v>1</v>
      </c>
      <c r="AC604" s="27" t="b">
        <f>IF(Checks!C604,IF(UPPER(Data!C604)="END",Data!E604&lt;&gt;"",TRUE),TRUE)</f>
        <v>1</v>
      </c>
    </row>
    <row r="605" spans="1:29" x14ac:dyDescent="0.25">
      <c r="A605" s="1" t="str">
        <f>Data!A605&amp;"||"&amp;Data!B605</f>
        <v>Analytics/irmifrs9_attribution_analysis.bpmn||050_00_00</v>
      </c>
      <c r="B605" s="19"/>
      <c r="C605" s="24" t="b">
        <f>AND(UPPER(Data!A605)&lt;&gt;"EMPTY",Data!B605&lt;&gt;"")</f>
        <v>1</v>
      </c>
      <c r="D605" s="1"/>
      <c r="E605" s="25" t="b">
        <f t="shared" ca="1" si="18"/>
        <v>1</v>
      </c>
      <c r="F605" s="26" t="b">
        <f ca="1">IF(UPPER(Data!C605)="SUB PROCESS",NOT(ISERROR(MATCH(RIGHT(Data!BY605,LEN(Data!BY605)-5),OFFSET(Data,0,0,ItemsCount,1),0))),TRUE)</f>
        <v>1</v>
      </c>
      <c r="G605" s="26" t="b">
        <f ca="1">IF(MID(UPPER(Data!A605),1,13)="MISCELLANEOUS",NOT(ISERROR(MATCH("path="&amp;Data!A605,OFFSET(Data,0,76,ItemsCount,1),0))),TRUE)</f>
        <v>1</v>
      </c>
      <c r="L605" s="25" t="b">
        <f t="shared" ca="1" si="19"/>
        <v>1</v>
      </c>
      <c r="M605" s="24" t="b">
        <f>IF(Checks!$C605,Data!A605&lt;&gt;"",TRUE)</f>
        <v>1</v>
      </c>
      <c r="N605" s="26" t="b">
        <f>IF(Checks!C605,Data!B605&lt;&gt;"",TRUE)</f>
        <v>1</v>
      </c>
      <c r="O605" s="26" t="b">
        <f>IF(Checks!C605,IF(AND(UPPER(Data!C605)="SERVICE TASK",UPPER(Data!BZ605)="TYPE=SAS"),NodeExists(TRIM(RIGHT(Data!CA605,LEN(Data!CA605)-FIND("=",Data!CA605)))),TRUE),TRUE)</f>
        <v>1</v>
      </c>
      <c r="P605" s="26" t="b">
        <f>IF(Checks!C605,IF(Data!C605="DATA OBJECT",OR(AND(Data!BW605&lt;&gt;"",Data!BX605=""),AND(Data!BW605="",Data!BX605&lt;&gt;"")),TRUE),TRUE)</f>
        <v>1</v>
      </c>
      <c r="Q605" s="26" t="b">
        <f>IF(Checks!C605,UPPER(RIGHT(Data!A605,5))=".BPMN",TRUE)</f>
        <v>1</v>
      </c>
      <c r="R605" s="26" t="b">
        <f>IF(Checks!C605,IF(UPPER(Data!C605)="SUB PROCESS",UPPER(RIGHT(Data!BY605,5))=".BPMN",TRUE),TRUE)</f>
        <v>1</v>
      </c>
      <c r="S605" s="26" t="b">
        <f>IF(Checks!C605,IF(UPPER(Data!C605)="SERVICE TASK",IF(UPPER(Data!BZ605)="TYPE=SAS",UPPER(RIGHT(Data!CA605,4))=".SAS",TRUE),TRUE),TRUE)</f>
        <v>1</v>
      </c>
      <c r="T605" s="26" t="b">
        <f>IF(Checks!C605,IF(Data!B605&lt;&gt;"",Data!D605&lt;&gt;"",TRUE),TRUE)</f>
        <v>1</v>
      </c>
      <c r="U605" s="26" t="b">
        <f>IF(Checks!C605,IF(UPPER(Data!C605)="DATA OBJECT",NOT(ISERROR(MATCH(Data!A605&amp;"||"&amp;Data!BW605&amp;Data!BX605,Key,0))),TRUE),TRUE)</f>
        <v>1</v>
      </c>
      <c r="V605" s="26" t="b">
        <f>IF(Checks!C605,IF(UPPER(Data!C605)="SUB PROCESS",Data!BY605&lt;&gt;"",TRUE),TRUE)</f>
        <v>1</v>
      </c>
      <c r="W605" s="26" t="b">
        <f>IF(Checks!C605,IF(UPPER(Data!C605)="SERVICE TASK",AND(Data!BZ605&lt;&gt;"",Data!CA605&lt;&gt;""),TRUE),TRUE)</f>
        <v>1</v>
      </c>
      <c r="X605" s="26" t="b">
        <f t="array" aca="1" ref="X605" ca="1">SUM((OFFSET(Data!B605,MAX(ROW(Data!$B$5)-ROW(Data!B605),-200),0,400,1)=Data!B605)*(OFFSET(Data!A605,MAX(ROW(Data!$B$5)-ROW(Data!B605),-200),0,400,1)=Data!A605))=1</f>
        <v>1</v>
      </c>
      <c r="Y605" s="26" t="b">
        <f t="array" aca="1" ref="Y605" ca="1">IF(UPPER(Data!C605)="START",SUM((OFFSET(Data!C605,MAX(ROW(Data!$C$5)-ROW(Data!C605),-200),0,400,1)="START")*(OFFSET(Data!A605,MAX(ROW(Data!$B$5)-ROW(Data!B605),-200),0,400,1)=Data!A605))=1,TRUE)</f>
        <v>1</v>
      </c>
      <c r="Z605" s="26" t="b">
        <f t="array" aca="1" ref="Z605" ca="1">IF(UPPER(Data!C605)="END",SUM((OFFSET(Data!C605,MAX(ROW(Data!$C$5)-ROW(Data!C605),-200),0,400,1)="END")*(OFFSET(Data!A605,MAX(ROW(Data!$B$5)-ROW(Data!B605),-200),0,400,1)=Data!A605))=1,TRUE)</f>
        <v>1</v>
      </c>
      <c r="AA605" s="26" t="b">
        <f>IF(Checks!C605,ISERROR(FIND("&amp;",Data!D605)),TRUE)</f>
        <v>1</v>
      </c>
      <c r="AB605" s="26" t="b">
        <f ca="1">IF(Checks!$C605,IF(AND(UPPER(Data!$C605)&lt;&gt;"START",UPPER(Data!$C605)&lt;&gt;"DATA OBJECT",Data!E605&lt;&gt;""),NOT(ISERROR(MATCH(Data!$A605&amp;"||"&amp;Data!E605,Key,0))),TRUE),TRUE)</f>
        <v>1</v>
      </c>
      <c r="AC605" s="27" t="b">
        <f>IF(Checks!C605,IF(UPPER(Data!C605)="END",Data!E605&lt;&gt;"",TRUE),TRUE)</f>
        <v>1</v>
      </c>
    </row>
    <row r="606" spans="1:29" x14ac:dyDescent="0.25">
      <c r="A606" s="1" t="str">
        <f>Data!A606&amp;"||"&amp;Data!B606</f>
        <v>Analytics/irmifrs9_attribution_analysis.bpmn||050_00_01</v>
      </c>
      <c r="B606" s="19"/>
      <c r="C606" s="24" t="b">
        <f>AND(UPPER(Data!A606)&lt;&gt;"EMPTY",Data!B606&lt;&gt;"")</f>
        <v>1</v>
      </c>
      <c r="D606" s="1"/>
      <c r="E606" s="25" t="b">
        <f t="shared" ca="1" si="18"/>
        <v>1</v>
      </c>
      <c r="F606" s="26" t="b">
        <f ca="1">IF(UPPER(Data!C606)="SUB PROCESS",NOT(ISERROR(MATCH(RIGHT(Data!BY606,LEN(Data!BY606)-5),OFFSET(Data,0,0,ItemsCount,1),0))),TRUE)</f>
        <v>1</v>
      </c>
      <c r="G606" s="26" t="b">
        <f ca="1">IF(MID(UPPER(Data!A606),1,13)="MISCELLANEOUS",NOT(ISERROR(MATCH("path="&amp;Data!A606,OFFSET(Data,0,76,ItemsCount,1),0))),TRUE)</f>
        <v>1</v>
      </c>
      <c r="L606" s="25" t="b">
        <f t="shared" ca="1" si="19"/>
        <v>1</v>
      </c>
      <c r="M606" s="24" t="b">
        <f>IF(Checks!$C606,Data!A606&lt;&gt;"",TRUE)</f>
        <v>1</v>
      </c>
      <c r="N606" s="26" t="b">
        <f>IF(Checks!C606,Data!B606&lt;&gt;"",TRUE)</f>
        <v>1</v>
      </c>
      <c r="O606" s="26" t="b">
        <f>IF(Checks!C606,IF(AND(UPPER(Data!C606)="SERVICE TASK",UPPER(Data!BZ606)="TYPE=SAS"),NodeExists(TRIM(RIGHT(Data!CA606,LEN(Data!CA606)-FIND("=",Data!CA606)))),TRUE),TRUE)</f>
        <v>1</v>
      </c>
      <c r="P606" s="26" t="b">
        <f>IF(Checks!C606,IF(Data!C606="DATA OBJECT",OR(AND(Data!BW606&lt;&gt;"",Data!BX606=""),AND(Data!BW606="",Data!BX606&lt;&gt;"")),TRUE),TRUE)</f>
        <v>1</v>
      </c>
      <c r="Q606" s="26" t="b">
        <f>IF(Checks!C606,UPPER(RIGHT(Data!A606,5))=".BPMN",TRUE)</f>
        <v>1</v>
      </c>
      <c r="R606" s="26" t="b">
        <f>IF(Checks!C606,IF(UPPER(Data!C606)="SUB PROCESS",UPPER(RIGHT(Data!BY606,5))=".BPMN",TRUE),TRUE)</f>
        <v>1</v>
      </c>
      <c r="S606" s="26" t="b">
        <f>IF(Checks!C606,IF(UPPER(Data!C606)="SERVICE TASK",IF(UPPER(Data!BZ606)="TYPE=SAS",UPPER(RIGHT(Data!CA606,4))=".SAS",TRUE),TRUE),TRUE)</f>
        <v>1</v>
      </c>
      <c r="T606" s="26" t="b">
        <f>IF(Checks!C606,IF(Data!B606&lt;&gt;"",Data!D606&lt;&gt;"",TRUE),TRUE)</f>
        <v>1</v>
      </c>
      <c r="U606" s="26" t="b">
        <f ca="1">IF(Checks!C606,IF(UPPER(Data!C606)="DATA OBJECT",NOT(ISERROR(MATCH(Data!A606&amp;"||"&amp;Data!BW606&amp;Data!BX606,Key,0))),TRUE),TRUE)</f>
        <v>1</v>
      </c>
      <c r="V606" s="26" t="b">
        <f>IF(Checks!C606,IF(UPPER(Data!C606)="SUB PROCESS",Data!BY606&lt;&gt;"",TRUE),TRUE)</f>
        <v>1</v>
      </c>
      <c r="W606" s="26" t="b">
        <f>IF(Checks!C606,IF(UPPER(Data!C606)="SERVICE TASK",AND(Data!BZ606&lt;&gt;"",Data!CA606&lt;&gt;""),TRUE),TRUE)</f>
        <v>1</v>
      </c>
      <c r="X606" s="26" t="b">
        <f t="array" aca="1" ref="X606" ca="1">SUM((OFFSET(Data!B606,MAX(ROW(Data!$B$5)-ROW(Data!B606),-200),0,400,1)=Data!B606)*(OFFSET(Data!A606,MAX(ROW(Data!$B$5)-ROW(Data!B606),-200),0,400,1)=Data!A606))=1</f>
        <v>1</v>
      </c>
      <c r="Y606" s="26" t="b">
        <f t="array" aca="1" ref="Y606" ca="1">IF(UPPER(Data!C606)="START",SUM((OFFSET(Data!C606,MAX(ROW(Data!$C$5)-ROW(Data!C606),-200),0,400,1)="START")*(OFFSET(Data!A606,MAX(ROW(Data!$B$5)-ROW(Data!B606),-200),0,400,1)=Data!A606))=1,TRUE)</f>
        <v>1</v>
      </c>
      <c r="Z606" s="26" t="b">
        <f t="array" aca="1" ref="Z606" ca="1">IF(UPPER(Data!C606)="END",SUM((OFFSET(Data!C606,MAX(ROW(Data!$C$5)-ROW(Data!C606),-200),0,400,1)="END")*(OFFSET(Data!A606,MAX(ROW(Data!$B$5)-ROW(Data!B606),-200),0,400,1)=Data!A606))=1,TRUE)</f>
        <v>1</v>
      </c>
      <c r="AA606" s="26" t="b">
        <f>IF(Checks!C606,ISERROR(FIND("&amp;",Data!D606)),TRUE)</f>
        <v>1</v>
      </c>
      <c r="AB606" s="26" t="b">
        <f>IF(Checks!$C606,IF(AND(UPPER(Data!$C606)&lt;&gt;"START",UPPER(Data!$C606)&lt;&gt;"DATA OBJECT",Data!E606&lt;&gt;""),NOT(ISERROR(MATCH(Data!$A606&amp;"||"&amp;Data!E606,Key,0))),TRUE),TRUE)</f>
        <v>1</v>
      </c>
      <c r="AC606" s="27" t="b">
        <f>IF(Checks!C606,IF(UPPER(Data!C606)="END",Data!E606&lt;&gt;"",TRUE),TRUE)</f>
        <v>1</v>
      </c>
    </row>
    <row r="607" spans="1:29" x14ac:dyDescent="0.25">
      <c r="A607" s="1" t="str">
        <f>Data!A607&amp;"||"&amp;Data!B607</f>
        <v>Analytics/irmifrs9_attribution_analysis.bpmn||070_00_00</v>
      </c>
      <c r="B607" s="19"/>
      <c r="C607" s="24" t="b">
        <f>AND(UPPER(Data!A607)&lt;&gt;"EMPTY",Data!B607&lt;&gt;"")</f>
        <v>1</v>
      </c>
      <c r="D607" s="1"/>
      <c r="E607" s="25" t="b">
        <f t="shared" ca="1" si="18"/>
        <v>1</v>
      </c>
      <c r="F607" s="26" t="b">
        <f ca="1">IF(UPPER(Data!C607)="SUB PROCESS",NOT(ISERROR(MATCH(RIGHT(Data!BY607,LEN(Data!BY607)-5),OFFSET(Data,0,0,ItemsCount,1),0))),TRUE)</f>
        <v>1</v>
      </c>
      <c r="G607" s="26" t="b">
        <f ca="1">IF(MID(UPPER(Data!A607),1,13)="MISCELLANEOUS",NOT(ISERROR(MATCH("path="&amp;Data!A607,OFFSET(Data,0,76,ItemsCount,1),0))),TRUE)</f>
        <v>1</v>
      </c>
      <c r="L607" s="25" t="b">
        <f t="shared" ca="1" si="19"/>
        <v>1</v>
      </c>
      <c r="M607" s="24" t="b">
        <f>IF(Checks!$C607,Data!A607&lt;&gt;"",TRUE)</f>
        <v>1</v>
      </c>
      <c r="N607" s="26" t="b">
        <f>IF(Checks!C607,Data!B607&lt;&gt;"",TRUE)</f>
        <v>1</v>
      </c>
      <c r="O607" s="26" t="b">
        <f>IF(Checks!C607,IF(AND(UPPER(Data!C607)="SERVICE TASK",UPPER(Data!BZ607)="TYPE=SAS"),NodeExists(TRIM(RIGHT(Data!CA607,LEN(Data!CA607)-FIND("=",Data!CA607)))),TRUE),TRUE)</f>
        <v>1</v>
      </c>
      <c r="P607" s="26" t="b">
        <f>IF(Checks!C607,IF(Data!C607="DATA OBJECT",OR(AND(Data!BW607&lt;&gt;"",Data!BX607=""),AND(Data!BW607="",Data!BX607&lt;&gt;"")),TRUE),TRUE)</f>
        <v>1</v>
      </c>
      <c r="Q607" s="26" t="b">
        <f>IF(Checks!C607,UPPER(RIGHT(Data!A607,5))=".BPMN",TRUE)</f>
        <v>1</v>
      </c>
      <c r="R607" s="26" t="b">
        <f>IF(Checks!C607,IF(UPPER(Data!C607)="SUB PROCESS",UPPER(RIGHT(Data!BY607,5))=".BPMN",TRUE),TRUE)</f>
        <v>1</v>
      </c>
      <c r="S607" s="26" t="b">
        <f>IF(Checks!C607,IF(UPPER(Data!C607)="SERVICE TASK",IF(UPPER(Data!BZ607)="TYPE=SAS",UPPER(RIGHT(Data!CA607,4))=".SAS",TRUE),TRUE),TRUE)</f>
        <v>1</v>
      </c>
      <c r="T607" s="26" t="b">
        <f>IF(Checks!C607,IF(Data!B607&lt;&gt;"",Data!D607&lt;&gt;"",TRUE),TRUE)</f>
        <v>1</v>
      </c>
      <c r="U607" s="26" t="b">
        <f>IF(Checks!C607,IF(UPPER(Data!C607)="DATA OBJECT",NOT(ISERROR(MATCH(Data!A607&amp;"||"&amp;Data!BW607&amp;Data!BX607,Key,0))),TRUE),TRUE)</f>
        <v>1</v>
      </c>
      <c r="V607" s="26" t="b">
        <f>IF(Checks!C607,IF(UPPER(Data!C607)="SUB PROCESS",Data!BY607&lt;&gt;"",TRUE),TRUE)</f>
        <v>1</v>
      </c>
      <c r="W607" s="26" t="b">
        <f>IF(Checks!C607,IF(UPPER(Data!C607)="SERVICE TASK",AND(Data!BZ607&lt;&gt;"",Data!CA607&lt;&gt;""),TRUE),TRUE)</f>
        <v>1</v>
      </c>
      <c r="X607" s="26" t="b">
        <f t="array" aca="1" ref="X607" ca="1">SUM((OFFSET(Data!B607,MAX(ROW(Data!$B$5)-ROW(Data!B607),-200),0,400,1)=Data!B607)*(OFFSET(Data!A607,MAX(ROW(Data!$B$5)-ROW(Data!B607),-200),0,400,1)=Data!A607))=1</f>
        <v>1</v>
      </c>
      <c r="Y607" s="26" t="b">
        <f t="array" aca="1" ref="Y607" ca="1">IF(UPPER(Data!C607)="START",SUM((OFFSET(Data!C607,MAX(ROW(Data!$C$5)-ROW(Data!C607),-200),0,400,1)="START")*(OFFSET(Data!A607,MAX(ROW(Data!$B$5)-ROW(Data!B607),-200),0,400,1)=Data!A607))=1,TRUE)</f>
        <v>1</v>
      </c>
      <c r="Z607" s="26" t="b">
        <f t="array" aca="1" ref="Z607" ca="1">IF(UPPER(Data!C607)="END",SUM((OFFSET(Data!C607,MAX(ROW(Data!$C$5)-ROW(Data!C607),-200),0,400,1)="END")*(OFFSET(Data!A607,MAX(ROW(Data!$B$5)-ROW(Data!B607),-200),0,400,1)=Data!A607))=1,TRUE)</f>
        <v>1</v>
      </c>
      <c r="AA607" s="26" t="b">
        <f>IF(Checks!C607,ISERROR(FIND("&amp;",Data!D607)),TRUE)</f>
        <v>1</v>
      </c>
      <c r="AB607" s="26" t="b">
        <f ca="1">IF(Checks!$C607,IF(AND(UPPER(Data!$C607)&lt;&gt;"START",UPPER(Data!$C607)&lt;&gt;"DATA OBJECT",Data!E607&lt;&gt;""),NOT(ISERROR(MATCH(Data!$A607&amp;"||"&amp;Data!E607,Key,0))),TRUE),TRUE)</f>
        <v>1</v>
      </c>
      <c r="AC607" s="27" t="b">
        <f>IF(Checks!C607,IF(UPPER(Data!C607)="END",Data!E607&lt;&gt;"",TRUE),TRUE)</f>
        <v>1</v>
      </c>
    </row>
    <row r="608" spans="1:29" x14ac:dyDescent="0.25">
      <c r="A608" s="1" t="str">
        <f>Data!A608&amp;"||"&amp;Data!B608</f>
        <v>Analytics/irmifrs9_attribution_analysis.bpmn||070_01_00</v>
      </c>
      <c r="B608" s="19"/>
      <c r="C608" s="24" t="b">
        <f>AND(UPPER(Data!A608)&lt;&gt;"EMPTY",Data!B608&lt;&gt;"")</f>
        <v>1</v>
      </c>
      <c r="D608" s="1"/>
      <c r="E608" s="25" t="b">
        <f t="shared" ca="1" si="18"/>
        <v>1</v>
      </c>
      <c r="F608" s="26" t="b">
        <f ca="1">IF(UPPER(Data!C608)="SUB PROCESS",NOT(ISERROR(MATCH(RIGHT(Data!BY608,LEN(Data!BY608)-5),OFFSET(Data,0,0,ItemsCount,1),0))),TRUE)</f>
        <v>1</v>
      </c>
      <c r="G608" s="26" t="b">
        <f ca="1">IF(MID(UPPER(Data!A608),1,13)="MISCELLANEOUS",NOT(ISERROR(MATCH("path="&amp;Data!A608,OFFSET(Data,0,76,ItemsCount,1),0))),TRUE)</f>
        <v>1</v>
      </c>
      <c r="L608" s="25" t="b">
        <f t="shared" ca="1" si="19"/>
        <v>1</v>
      </c>
      <c r="M608" s="24" t="b">
        <f>IF(Checks!$C608,Data!A608&lt;&gt;"",TRUE)</f>
        <v>1</v>
      </c>
      <c r="N608" s="26" t="b">
        <f>IF(Checks!C608,Data!B608&lt;&gt;"",TRUE)</f>
        <v>1</v>
      </c>
      <c r="O608" s="26" t="b">
        <f>IF(Checks!C608,IF(AND(UPPER(Data!C608)="SERVICE TASK",UPPER(Data!BZ608)="TYPE=SAS"),NodeExists(TRIM(RIGHT(Data!CA608,LEN(Data!CA608)-FIND("=",Data!CA608)))),TRUE),TRUE)</f>
        <v>1</v>
      </c>
      <c r="P608" s="26" t="b">
        <f>IF(Checks!C608,IF(Data!C608="DATA OBJECT",OR(AND(Data!BW608&lt;&gt;"",Data!BX608=""),AND(Data!BW608="",Data!BX608&lt;&gt;"")),TRUE),TRUE)</f>
        <v>1</v>
      </c>
      <c r="Q608" s="26" t="b">
        <f>IF(Checks!C608,UPPER(RIGHT(Data!A608,5))=".BPMN",TRUE)</f>
        <v>1</v>
      </c>
      <c r="R608" s="26" t="b">
        <f>IF(Checks!C608,IF(UPPER(Data!C608)="SUB PROCESS",UPPER(RIGHT(Data!BY608,5))=".BPMN",TRUE),TRUE)</f>
        <v>1</v>
      </c>
      <c r="S608" s="26" t="b">
        <f>IF(Checks!C608,IF(UPPER(Data!C608)="SERVICE TASK",IF(UPPER(Data!BZ608)="TYPE=SAS",UPPER(RIGHT(Data!CA608,4))=".SAS",TRUE),TRUE),TRUE)</f>
        <v>1</v>
      </c>
      <c r="T608" s="26" t="b">
        <f>IF(Checks!C608,IF(Data!B608&lt;&gt;"",Data!D608&lt;&gt;"",TRUE),TRUE)</f>
        <v>1</v>
      </c>
      <c r="U608" s="26" t="b">
        <f ca="1">IF(Checks!C608,IF(UPPER(Data!C608)="DATA OBJECT",NOT(ISERROR(MATCH(Data!A608&amp;"||"&amp;Data!BW608&amp;Data!BX608,Key,0))),TRUE),TRUE)</f>
        <v>1</v>
      </c>
      <c r="V608" s="26" t="b">
        <f>IF(Checks!C608,IF(UPPER(Data!C608)="SUB PROCESS",Data!BY608&lt;&gt;"",TRUE),TRUE)</f>
        <v>1</v>
      </c>
      <c r="W608" s="26" t="b">
        <f>IF(Checks!C608,IF(UPPER(Data!C608)="SERVICE TASK",AND(Data!BZ608&lt;&gt;"",Data!CA608&lt;&gt;""),TRUE),TRUE)</f>
        <v>1</v>
      </c>
      <c r="X608" s="26" t="b">
        <f t="array" aca="1" ref="X608" ca="1">SUM((OFFSET(Data!B608,MAX(ROW(Data!$B$5)-ROW(Data!B608),-200),0,400,1)=Data!B608)*(OFFSET(Data!A608,MAX(ROW(Data!$B$5)-ROW(Data!B608),-200),0,400,1)=Data!A608))=1</f>
        <v>1</v>
      </c>
      <c r="Y608" s="26" t="b">
        <f t="array" aca="1" ref="Y608" ca="1">IF(UPPER(Data!C608)="START",SUM((OFFSET(Data!C608,MAX(ROW(Data!$C$5)-ROW(Data!C608),-200),0,400,1)="START")*(OFFSET(Data!A608,MAX(ROW(Data!$B$5)-ROW(Data!B608),-200),0,400,1)=Data!A608))=1,TRUE)</f>
        <v>1</v>
      </c>
      <c r="Z608" s="26" t="b">
        <f t="array" aca="1" ref="Z608" ca="1">IF(UPPER(Data!C608)="END",SUM((OFFSET(Data!C608,MAX(ROW(Data!$C$5)-ROW(Data!C608),-200),0,400,1)="END")*(OFFSET(Data!A608,MAX(ROW(Data!$B$5)-ROW(Data!B608),-200),0,400,1)=Data!A608))=1,TRUE)</f>
        <v>1</v>
      </c>
      <c r="AA608" s="26" t="b">
        <f>IF(Checks!C608,ISERROR(FIND("&amp;",Data!D608)),TRUE)</f>
        <v>1</v>
      </c>
      <c r="AB608" s="26" t="b">
        <f>IF(Checks!$C608,IF(AND(UPPER(Data!$C608)&lt;&gt;"START",UPPER(Data!$C608)&lt;&gt;"DATA OBJECT",Data!E608&lt;&gt;""),NOT(ISERROR(MATCH(Data!$A608&amp;"||"&amp;Data!E608,Key,0))),TRUE),TRUE)</f>
        <v>1</v>
      </c>
      <c r="AC608" s="27" t="b">
        <f>IF(Checks!C608,IF(UPPER(Data!C608)="END",Data!E608&lt;&gt;"",TRUE),TRUE)</f>
        <v>1</v>
      </c>
    </row>
    <row r="609" spans="1:29" x14ac:dyDescent="0.25">
      <c r="A609" s="1" t="str">
        <f>Data!A609&amp;"||"&amp;Data!B609</f>
        <v>Analytics/irmifrs9_attribution_analysis.bpmn||080_00_00</v>
      </c>
      <c r="B609" s="19"/>
      <c r="C609" s="24" t="b">
        <f>AND(UPPER(Data!A609)&lt;&gt;"EMPTY",Data!B609&lt;&gt;"")</f>
        <v>1</v>
      </c>
      <c r="D609" s="1"/>
      <c r="E609" s="25" t="b">
        <f t="shared" ca="1" si="18"/>
        <v>1</v>
      </c>
      <c r="F609" s="26" t="b">
        <f ca="1">IF(UPPER(Data!C609)="SUB PROCESS",NOT(ISERROR(MATCH(RIGHT(Data!BY609,LEN(Data!BY609)-5),OFFSET(Data,0,0,ItemsCount,1),0))),TRUE)</f>
        <v>1</v>
      </c>
      <c r="G609" s="26" t="b">
        <f ca="1">IF(MID(UPPER(Data!A609),1,13)="MISCELLANEOUS",NOT(ISERROR(MATCH("path="&amp;Data!A609,OFFSET(Data,0,76,ItemsCount,1),0))),TRUE)</f>
        <v>1</v>
      </c>
      <c r="L609" s="25" t="b">
        <f t="shared" ca="1" si="19"/>
        <v>1</v>
      </c>
      <c r="M609" s="24" t="b">
        <f>IF(Checks!$C609,Data!A609&lt;&gt;"",TRUE)</f>
        <v>1</v>
      </c>
      <c r="N609" s="26" t="b">
        <f>IF(Checks!C609,Data!B609&lt;&gt;"",TRUE)</f>
        <v>1</v>
      </c>
      <c r="O609" s="26" t="b">
        <f>IF(Checks!C609,IF(AND(UPPER(Data!C609)="SERVICE TASK",UPPER(Data!BZ609)="TYPE=SAS"),NodeExists(TRIM(RIGHT(Data!CA609,LEN(Data!CA609)-FIND("=",Data!CA609)))),TRUE),TRUE)</f>
        <v>1</v>
      </c>
      <c r="P609" s="26" t="b">
        <f>IF(Checks!C609,IF(Data!C609="DATA OBJECT",OR(AND(Data!BW609&lt;&gt;"",Data!BX609=""),AND(Data!BW609="",Data!BX609&lt;&gt;"")),TRUE),TRUE)</f>
        <v>1</v>
      </c>
      <c r="Q609" s="26" t="b">
        <f>IF(Checks!C609,UPPER(RIGHT(Data!A609,5))=".BPMN",TRUE)</f>
        <v>1</v>
      </c>
      <c r="R609" s="26" t="b">
        <f>IF(Checks!C609,IF(UPPER(Data!C609)="SUB PROCESS",UPPER(RIGHT(Data!BY609,5))=".BPMN",TRUE),TRUE)</f>
        <v>1</v>
      </c>
      <c r="S609" s="26" t="b">
        <f>IF(Checks!C609,IF(UPPER(Data!C609)="SERVICE TASK",IF(UPPER(Data!BZ609)="TYPE=SAS",UPPER(RIGHT(Data!CA609,4))=".SAS",TRUE),TRUE),TRUE)</f>
        <v>1</v>
      </c>
      <c r="T609" s="26" t="b">
        <f>IF(Checks!C609,IF(Data!B609&lt;&gt;"",Data!D609&lt;&gt;"",TRUE),TRUE)</f>
        <v>1</v>
      </c>
      <c r="U609" s="26" t="b">
        <f>IF(Checks!C609,IF(UPPER(Data!C609)="DATA OBJECT",NOT(ISERROR(MATCH(Data!A609&amp;"||"&amp;Data!BW609&amp;Data!BX609,Key,0))),TRUE),TRUE)</f>
        <v>1</v>
      </c>
      <c r="V609" s="26" t="b">
        <f>IF(Checks!C609,IF(UPPER(Data!C609)="SUB PROCESS",Data!BY609&lt;&gt;"",TRUE),TRUE)</f>
        <v>1</v>
      </c>
      <c r="W609" s="26" t="b">
        <f>IF(Checks!C609,IF(UPPER(Data!C609)="SERVICE TASK",AND(Data!BZ609&lt;&gt;"",Data!CA609&lt;&gt;""),TRUE),TRUE)</f>
        <v>1</v>
      </c>
      <c r="X609" s="26" t="b">
        <f t="array" aca="1" ref="X609" ca="1">SUM((OFFSET(Data!B609,MAX(ROW(Data!$B$5)-ROW(Data!B609),-200),0,400,1)=Data!B609)*(OFFSET(Data!A609,MAX(ROW(Data!$B$5)-ROW(Data!B609),-200),0,400,1)=Data!A609))=1</f>
        <v>1</v>
      </c>
      <c r="Y609" s="26" t="b">
        <f t="array" aca="1" ref="Y609" ca="1">IF(UPPER(Data!C609)="START",SUM((OFFSET(Data!C609,MAX(ROW(Data!$C$5)-ROW(Data!C609),-200),0,400,1)="START")*(OFFSET(Data!A609,MAX(ROW(Data!$B$5)-ROW(Data!B609),-200),0,400,1)=Data!A609))=1,TRUE)</f>
        <v>1</v>
      </c>
      <c r="Z609" s="26" t="b">
        <f t="array" aca="1" ref="Z609" ca="1">IF(UPPER(Data!C609)="END",SUM((OFFSET(Data!C609,MAX(ROW(Data!$C$5)-ROW(Data!C609),-200),0,400,1)="END")*(OFFSET(Data!A609,MAX(ROW(Data!$B$5)-ROW(Data!B609),-200),0,400,1)=Data!A609))=1,TRUE)</f>
        <v>1</v>
      </c>
      <c r="AA609" s="26" t="b">
        <f>IF(Checks!C609,ISERROR(FIND("&amp;",Data!D609)),TRUE)</f>
        <v>1</v>
      </c>
      <c r="AB609" s="26" t="b">
        <f ca="1">IF(Checks!$C609,IF(AND(UPPER(Data!$C609)&lt;&gt;"START",UPPER(Data!$C609)&lt;&gt;"DATA OBJECT",Data!E609&lt;&gt;""),NOT(ISERROR(MATCH(Data!$A609&amp;"||"&amp;Data!E609,Key,0))),TRUE),TRUE)</f>
        <v>1</v>
      </c>
      <c r="AC609" s="27" t="b">
        <f>IF(Checks!C609,IF(UPPER(Data!C609)="END",Data!E609&lt;&gt;"",TRUE),TRUE)</f>
        <v>1</v>
      </c>
    </row>
    <row r="610" spans="1:29" x14ac:dyDescent="0.25">
      <c r="A610" s="1" t="str">
        <f>Data!A610&amp;"||"&amp;Data!B610</f>
        <v>Analytics/irmifrs9_attribution_analysis.bpmn||080_00_01</v>
      </c>
      <c r="B610" s="19"/>
      <c r="C610" s="24" t="b">
        <f>AND(UPPER(Data!A610)&lt;&gt;"EMPTY",Data!B610&lt;&gt;"")</f>
        <v>1</v>
      </c>
      <c r="D610" s="1"/>
      <c r="E610" s="25" t="b">
        <f t="shared" ca="1" si="18"/>
        <v>1</v>
      </c>
      <c r="F610" s="26" t="b">
        <f ca="1">IF(UPPER(Data!C610)="SUB PROCESS",NOT(ISERROR(MATCH(RIGHT(Data!BY610,LEN(Data!BY610)-5),OFFSET(Data,0,0,ItemsCount,1),0))),TRUE)</f>
        <v>1</v>
      </c>
      <c r="G610" s="26" t="b">
        <f ca="1">IF(MID(UPPER(Data!A610),1,13)="MISCELLANEOUS",NOT(ISERROR(MATCH("path="&amp;Data!A610,OFFSET(Data,0,76,ItemsCount,1),0))),TRUE)</f>
        <v>1</v>
      </c>
      <c r="L610" s="25" t="b">
        <f t="shared" ca="1" si="19"/>
        <v>1</v>
      </c>
      <c r="M610" s="24" t="b">
        <f>IF(Checks!$C610,Data!A610&lt;&gt;"",TRUE)</f>
        <v>1</v>
      </c>
      <c r="N610" s="26" t="b">
        <f>IF(Checks!C610,Data!B610&lt;&gt;"",TRUE)</f>
        <v>1</v>
      </c>
      <c r="O610" s="26" t="b">
        <f>IF(Checks!C610,IF(AND(UPPER(Data!C610)="SERVICE TASK",UPPER(Data!BZ610)="TYPE=SAS"),NodeExists(TRIM(RIGHT(Data!CA610,LEN(Data!CA610)-FIND("=",Data!CA610)))),TRUE),TRUE)</f>
        <v>1</v>
      </c>
      <c r="P610" s="26" t="b">
        <f>IF(Checks!C610,IF(Data!C610="DATA OBJECT",OR(AND(Data!BW610&lt;&gt;"",Data!BX610=""),AND(Data!BW610="",Data!BX610&lt;&gt;"")),TRUE),TRUE)</f>
        <v>1</v>
      </c>
      <c r="Q610" s="26" t="b">
        <f>IF(Checks!C610,UPPER(RIGHT(Data!A610,5))=".BPMN",TRUE)</f>
        <v>1</v>
      </c>
      <c r="R610" s="26" t="b">
        <f>IF(Checks!C610,IF(UPPER(Data!C610)="SUB PROCESS",UPPER(RIGHT(Data!BY610,5))=".BPMN",TRUE),TRUE)</f>
        <v>1</v>
      </c>
      <c r="S610" s="26" t="b">
        <f>IF(Checks!C610,IF(UPPER(Data!C610)="SERVICE TASK",IF(UPPER(Data!BZ610)="TYPE=SAS",UPPER(RIGHT(Data!CA610,4))=".SAS",TRUE),TRUE),TRUE)</f>
        <v>1</v>
      </c>
      <c r="T610" s="26" t="b">
        <f>IF(Checks!C610,IF(Data!B610&lt;&gt;"",Data!D610&lt;&gt;"",TRUE),TRUE)</f>
        <v>1</v>
      </c>
      <c r="U610" s="26" t="b">
        <f ca="1">IF(Checks!C610,IF(UPPER(Data!C610)="DATA OBJECT",NOT(ISERROR(MATCH(Data!A610&amp;"||"&amp;Data!BW610&amp;Data!BX610,Key,0))),TRUE),TRUE)</f>
        <v>1</v>
      </c>
      <c r="V610" s="26" t="b">
        <f>IF(Checks!C610,IF(UPPER(Data!C610)="SUB PROCESS",Data!BY610&lt;&gt;"",TRUE),TRUE)</f>
        <v>1</v>
      </c>
      <c r="W610" s="26" t="b">
        <f>IF(Checks!C610,IF(UPPER(Data!C610)="SERVICE TASK",AND(Data!BZ610&lt;&gt;"",Data!CA610&lt;&gt;""),TRUE),TRUE)</f>
        <v>1</v>
      </c>
      <c r="X610" s="26" t="b">
        <f t="array" aca="1" ref="X610" ca="1">SUM((OFFSET(Data!B610,MAX(ROW(Data!$B$5)-ROW(Data!B610),-200),0,400,1)=Data!B610)*(OFFSET(Data!A610,MAX(ROW(Data!$B$5)-ROW(Data!B610),-200),0,400,1)=Data!A610))=1</f>
        <v>1</v>
      </c>
      <c r="Y610" s="26" t="b">
        <f t="array" aca="1" ref="Y610" ca="1">IF(UPPER(Data!C610)="START",SUM((OFFSET(Data!C610,MAX(ROW(Data!$C$5)-ROW(Data!C610),-200),0,400,1)="START")*(OFFSET(Data!A610,MAX(ROW(Data!$B$5)-ROW(Data!B610),-200),0,400,1)=Data!A610))=1,TRUE)</f>
        <v>1</v>
      </c>
      <c r="Z610" s="26" t="b">
        <f t="array" aca="1" ref="Z610" ca="1">IF(UPPER(Data!C610)="END",SUM((OFFSET(Data!C610,MAX(ROW(Data!$C$5)-ROW(Data!C610),-200),0,400,1)="END")*(OFFSET(Data!A610,MAX(ROW(Data!$B$5)-ROW(Data!B610),-200),0,400,1)=Data!A610))=1,TRUE)</f>
        <v>1</v>
      </c>
      <c r="AA610" s="26" t="b">
        <f>IF(Checks!C610,ISERROR(FIND("&amp;",Data!D610)),TRUE)</f>
        <v>1</v>
      </c>
      <c r="AB610" s="26" t="b">
        <f>IF(Checks!$C610,IF(AND(UPPER(Data!$C610)&lt;&gt;"START",UPPER(Data!$C610)&lt;&gt;"DATA OBJECT",Data!E610&lt;&gt;""),NOT(ISERROR(MATCH(Data!$A610&amp;"||"&amp;Data!E610,Key,0))),TRUE),TRUE)</f>
        <v>1</v>
      </c>
      <c r="AC610" s="27" t="b">
        <f>IF(Checks!C610,IF(UPPER(Data!C610)="END",Data!E610&lt;&gt;"",TRUE),TRUE)</f>
        <v>1</v>
      </c>
    </row>
    <row r="611" spans="1:29" x14ac:dyDescent="0.25">
      <c r="A611" s="1" t="str">
        <f>Data!A611&amp;"||"&amp;Data!B611</f>
        <v>Analytics/irmifrs9_attribution_analysis.bpmn||080_00_02</v>
      </c>
      <c r="B611" s="19"/>
      <c r="C611" s="24" t="b">
        <f>AND(UPPER(Data!A611)&lt;&gt;"EMPTY",Data!B611&lt;&gt;"")</f>
        <v>1</v>
      </c>
      <c r="D611" s="1"/>
      <c r="E611" s="25" t="b">
        <f t="shared" ca="1" si="18"/>
        <v>1</v>
      </c>
      <c r="F611" s="26" t="b">
        <f ca="1">IF(UPPER(Data!C611)="SUB PROCESS",NOT(ISERROR(MATCH(RIGHT(Data!BY611,LEN(Data!BY611)-5),OFFSET(Data,0,0,ItemsCount,1),0))),TRUE)</f>
        <v>1</v>
      </c>
      <c r="G611" s="26" t="b">
        <f ca="1">IF(MID(UPPER(Data!A611),1,13)="MISCELLANEOUS",NOT(ISERROR(MATCH("path="&amp;Data!A611,OFFSET(Data,0,76,ItemsCount,1),0))),TRUE)</f>
        <v>1</v>
      </c>
      <c r="L611" s="25" t="b">
        <f t="shared" ca="1" si="19"/>
        <v>1</v>
      </c>
      <c r="M611" s="24" t="b">
        <f>IF(Checks!$C611,Data!A611&lt;&gt;"",TRUE)</f>
        <v>1</v>
      </c>
      <c r="N611" s="26" t="b">
        <f>IF(Checks!C611,Data!B611&lt;&gt;"",TRUE)</f>
        <v>1</v>
      </c>
      <c r="O611" s="26" t="b">
        <f>IF(Checks!C611,IF(AND(UPPER(Data!C611)="SERVICE TASK",UPPER(Data!BZ611)="TYPE=SAS"),NodeExists(TRIM(RIGHT(Data!CA611,LEN(Data!CA611)-FIND("=",Data!CA611)))),TRUE),TRUE)</f>
        <v>1</v>
      </c>
      <c r="P611" s="26" t="b">
        <f>IF(Checks!C611,IF(Data!C611="DATA OBJECT",OR(AND(Data!BW611&lt;&gt;"",Data!BX611=""),AND(Data!BW611="",Data!BX611&lt;&gt;"")),TRUE),TRUE)</f>
        <v>1</v>
      </c>
      <c r="Q611" s="26" t="b">
        <f>IF(Checks!C611,UPPER(RIGHT(Data!A611,5))=".BPMN",TRUE)</f>
        <v>1</v>
      </c>
      <c r="R611" s="26" t="b">
        <f>IF(Checks!C611,IF(UPPER(Data!C611)="SUB PROCESS",UPPER(RIGHT(Data!BY611,5))=".BPMN",TRUE),TRUE)</f>
        <v>1</v>
      </c>
      <c r="S611" s="26" t="b">
        <f>IF(Checks!C611,IF(UPPER(Data!C611)="SERVICE TASK",IF(UPPER(Data!BZ611)="TYPE=SAS",UPPER(RIGHT(Data!CA611,4))=".SAS",TRUE),TRUE),TRUE)</f>
        <v>1</v>
      </c>
      <c r="T611" s="26" t="b">
        <f>IF(Checks!C611,IF(Data!B611&lt;&gt;"",Data!D611&lt;&gt;"",TRUE),TRUE)</f>
        <v>1</v>
      </c>
      <c r="U611" s="26" t="b">
        <f ca="1">IF(Checks!C611,IF(UPPER(Data!C611)="DATA OBJECT",NOT(ISERROR(MATCH(Data!A611&amp;"||"&amp;Data!BW611&amp;Data!BX611,Key,0))),TRUE),TRUE)</f>
        <v>1</v>
      </c>
      <c r="V611" s="26" t="b">
        <f>IF(Checks!C611,IF(UPPER(Data!C611)="SUB PROCESS",Data!BY611&lt;&gt;"",TRUE),TRUE)</f>
        <v>1</v>
      </c>
      <c r="W611" s="26" t="b">
        <f>IF(Checks!C611,IF(UPPER(Data!C611)="SERVICE TASK",AND(Data!BZ611&lt;&gt;"",Data!CA611&lt;&gt;""),TRUE),TRUE)</f>
        <v>1</v>
      </c>
      <c r="X611" s="26" t="b">
        <f t="array" aca="1" ref="X611" ca="1">SUM((OFFSET(Data!B611,MAX(ROW(Data!$B$5)-ROW(Data!B611),-200),0,400,1)=Data!B611)*(OFFSET(Data!A611,MAX(ROW(Data!$B$5)-ROW(Data!B611),-200),0,400,1)=Data!A611))=1</f>
        <v>1</v>
      </c>
      <c r="Y611" s="26" t="b">
        <f t="array" aca="1" ref="Y611" ca="1">IF(UPPER(Data!C611)="START",SUM((OFFSET(Data!C611,MAX(ROW(Data!$C$5)-ROW(Data!C611),-200),0,400,1)="START")*(OFFSET(Data!A611,MAX(ROW(Data!$B$5)-ROW(Data!B611),-200),0,400,1)=Data!A611))=1,TRUE)</f>
        <v>1</v>
      </c>
      <c r="Z611" s="26" t="b">
        <f t="array" aca="1" ref="Z611" ca="1">IF(UPPER(Data!C611)="END",SUM((OFFSET(Data!C611,MAX(ROW(Data!$C$5)-ROW(Data!C611),-200),0,400,1)="END")*(OFFSET(Data!A611,MAX(ROW(Data!$B$5)-ROW(Data!B611),-200),0,400,1)=Data!A611))=1,TRUE)</f>
        <v>1</v>
      </c>
      <c r="AA611" s="26" t="b">
        <f>IF(Checks!C611,ISERROR(FIND("&amp;",Data!D611)),TRUE)</f>
        <v>1</v>
      </c>
      <c r="AB611" s="26" t="b">
        <f>IF(Checks!$C611,IF(AND(UPPER(Data!$C611)&lt;&gt;"START",UPPER(Data!$C611)&lt;&gt;"DATA OBJECT",Data!E611&lt;&gt;""),NOT(ISERROR(MATCH(Data!$A611&amp;"||"&amp;Data!E611,Key,0))),TRUE),TRUE)</f>
        <v>1</v>
      </c>
      <c r="AC611" s="27" t="b">
        <f>IF(Checks!C611,IF(UPPER(Data!C611)="END",Data!E611&lt;&gt;"",TRUE),TRUE)</f>
        <v>1</v>
      </c>
    </row>
    <row r="612" spans="1:29" x14ac:dyDescent="0.25">
      <c r="A612" s="1" t="str">
        <f>Data!A612&amp;"||"&amp;Data!B612</f>
        <v>Analytics/irmifrs9_attribution_analysis.bpmn||080_00_03</v>
      </c>
      <c r="B612" s="19"/>
      <c r="C612" s="24" t="b">
        <f>AND(UPPER(Data!A612)&lt;&gt;"EMPTY",Data!B612&lt;&gt;"")</f>
        <v>1</v>
      </c>
      <c r="D612" s="1"/>
      <c r="E612" s="25" t="b">
        <f t="shared" ca="1" si="18"/>
        <v>1</v>
      </c>
      <c r="F612" s="26" t="b">
        <f ca="1">IF(UPPER(Data!C612)="SUB PROCESS",NOT(ISERROR(MATCH(RIGHT(Data!BY612,LEN(Data!BY612)-5),OFFSET(Data,0,0,ItemsCount,1),0))),TRUE)</f>
        <v>1</v>
      </c>
      <c r="G612" s="26" t="b">
        <f ca="1">IF(MID(UPPER(Data!A612),1,13)="MISCELLANEOUS",NOT(ISERROR(MATCH("path="&amp;Data!A612,OFFSET(Data,0,76,ItemsCount,1),0))),TRUE)</f>
        <v>1</v>
      </c>
      <c r="L612" s="25" t="b">
        <f t="shared" ca="1" si="19"/>
        <v>1</v>
      </c>
      <c r="M612" s="24" t="b">
        <f>IF(Checks!$C612,Data!A612&lt;&gt;"",TRUE)</f>
        <v>1</v>
      </c>
      <c r="N612" s="26" t="b">
        <f>IF(Checks!C612,Data!B612&lt;&gt;"",TRUE)</f>
        <v>1</v>
      </c>
      <c r="O612" s="26" t="b">
        <f>IF(Checks!C612,IF(AND(UPPER(Data!C612)="SERVICE TASK",UPPER(Data!BZ612)="TYPE=SAS"),NodeExists(TRIM(RIGHT(Data!CA612,LEN(Data!CA612)-FIND("=",Data!CA612)))),TRUE),TRUE)</f>
        <v>1</v>
      </c>
      <c r="P612" s="26" t="b">
        <f>IF(Checks!C612,IF(Data!C612="DATA OBJECT",OR(AND(Data!BW612&lt;&gt;"",Data!BX612=""),AND(Data!BW612="",Data!BX612&lt;&gt;"")),TRUE),TRUE)</f>
        <v>1</v>
      </c>
      <c r="Q612" s="26" t="b">
        <f>IF(Checks!C612,UPPER(RIGHT(Data!A612,5))=".BPMN",TRUE)</f>
        <v>1</v>
      </c>
      <c r="R612" s="26" t="b">
        <f>IF(Checks!C612,IF(UPPER(Data!C612)="SUB PROCESS",UPPER(RIGHT(Data!BY612,5))=".BPMN",TRUE),TRUE)</f>
        <v>1</v>
      </c>
      <c r="S612" s="26" t="b">
        <f>IF(Checks!C612,IF(UPPER(Data!C612)="SERVICE TASK",IF(UPPER(Data!BZ612)="TYPE=SAS",UPPER(RIGHT(Data!CA612,4))=".SAS",TRUE),TRUE),TRUE)</f>
        <v>1</v>
      </c>
      <c r="T612" s="26" t="b">
        <f>IF(Checks!C612,IF(Data!B612&lt;&gt;"",Data!D612&lt;&gt;"",TRUE),TRUE)</f>
        <v>1</v>
      </c>
      <c r="U612" s="26" t="b">
        <f ca="1">IF(Checks!C612,IF(UPPER(Data!C612)="DATA OBJECT",NOT(ISERROR(MATCH(Data!A612&amp;"||"&amp;Data!BW612&amp;Data!BX612,Key,0))),TRUE),TRUE)</f>
        <v>1</v>
      </c>
      <c r="V612" s="26" t="b">
        <f>IF(Checks!C612,IF(UPPER(Data!C612)="SUB PROCESS",Data!BY612&lt;&gt;"",TRUE),TRUE)</f>
        <v>1</v>
      </c>
      <c r="W612" s="26" t="b">
        <f>IF(Checks!C612,IF(UPPER(Data!C612)="SERVICE TASK",AND(Data!BZ612&lt;&gt;"",Data!CA612&lt;&gt;""),TRUE),TRUE)</f>
        <v>1</v>
      </c>
      <c r="X612" s="26" t="b">
        <f t="array" aca="1" ref="X612" ca="1">SUM((OFFSET(Data!B612,MAX(ROW(Data!$B$5)-ROW(Data!B612),-200),0,400,1)=Data!B612)*(OFFSET(Data!A612,MAX(ROW(Data!$B$5)-ROW(Data!B612),-200),0,400,1)=Data!A612))=1</f>
        <v>1</v>
      </c>
      <c r="Y612" s="26" t="b">
        <f t="array" aca="1" ref="Y612" ca="1">IF(UPPER(Data!C612)="START",SUM((OFFSET(Data!C612,MAX(ROW(Data!$C$5)-ROW(Data!C612),-200),0,400,1)="START")*(OFFSET(Data!A612,MAX(ROW(Data!$B$5)-ROW(Data!B612),-200),0,400,1)=Data!A612))=1,TRUE)</f>
        <v>1</v>
      </c>
      <c r="Z612" s="26" t="b">
        <f t="array" aca="1" ref="Z612" ca="1">IF(UPPER(Data!C612)="END",SUM((OFFSET(Data!C612,MAX(ROW(Data!$C$5)-ROW(Data!C612),-200),0,400,1)="END")*(OFFSET(Data!A612,MAX(ROW(Data!$B$5)-ROW(Data!B612),-200),0,400,1)=Data!A612))=1,TRUE)</f>
        <v>1</v>
      </c>
      <c r="AA612" s="26" t="b">
        <f>IF(Checks!C612,ISERROR(FIND("&amp;",Data!D612)),TRUE)</f>
        <v>1</v>
      </c>
      <c r="AB612" s="26" t="b">
        <f>IF(Checks!$C612,IF(AND(UPPER(Data!$C612)&lt;&gt;"START",UPPER(Data!$C612)&lt;&gt;"DATA OBJECT",Data!E612&lt;&gt;""),NOT(ISERROR(MATCH(Data!$A612&amp;"||"&amp;Data!E612,Key,0))),TRUE),TRUE)</f>
        <v>1</v>
      </c>
      <c r="AC612" s="27" t="b">
        <f>IF(Checks!C612,IF(UPPER(Data!C612)="END",Data!E612&lt;&gt;"",TRUE),TRUE)</f>
        <v>1</v>
      </c>
    </row>
    <row r="613" spans="1:29" x14ac:dyDescent="0.25">
      <c r="A613" s="1" t="str">
        <f>Data!A613&amp;"||"&amp;Data!B613</f>
        <v>Analytics/irmifrs9_attribution_analysis.bpmn||080_01_00</v>
      </c>
      <c r="B613" s="19"/>
      <c r="C613" s="24" t="b">
        <f>AND(UPPER(Data!A613)&lt;&gt;"EMPTY",Data!B613&lt;&gt;"")</f>
        <v>1</v>
      </c>
      <c r="D613" s="1"/>
      <c r="E613" s="25" t="b">
        <f t="shared" ca="1" si="18"/>
        <v>1</v>
      </c>
      <c r="F613" s="26" t="b">
        <f ca="1">IF(UPPER(Data!C613)="SUB PROCESS",NOT(ISERROR(MATCH(RIGHT(Data!BY613,LEN(Data!BY613)-5),OFFSET(Data,0,0,ItemsCount,1),0))),TRUE)</f>
        <v>1</v>
      </c>
      <c r="G613" s="26" t="b">
        <f ca="1">IF(MID(UPPER(Data!A613),1,13)="MISCELLANEOUS",NOT(ISERROR(MATCH("path="&amp;Data!A613,OFFSET(Data,0,76,ItemsCount,1),0))),TRUE)</f>
        <v>1</v>
      </c>
      <c r="L613" s="25" t="b">
        <f t="shared" ca="1" si="19"/>
        <v>1</v>
      </c>
      <c r="M613" s="24" t="b">
        <f>IF(Checks!$C613,Data!A613&lt;&gt;"",TRUE)</f>
        <v>1</v>
      </c>
      <c r="N613" s="26" t="b">
        <f>IF(Checks!C613,Data!B613&lt;&gt;"",TRUE)</f>
        <v>1</v>
      </c>
      <c r="O613" s="26" t="b">
        <f>IF(Checks!C613,IF(AND(UPPER(Data!C613)="SERVICE TASK",UPPER(Data!BZ613)="TYPE=SAS"),NodeExists(TRIM(RIGHT(Data!CA613,LEN(Data!CA613)-FIND("=",Data!CA613)))),TRUE),TRUE)</f>
        <v>1</v>
      </c>
      <c r="P613" s="26" t="b">
        <f>IF(Checks!C613,IF(Data!C613="DATA OBJECT",OR(AND(Data!BW613&lt;&gt;"",Data!BX613=""),AND(Data!BW613="",Data!BX613&lt;&gt;"")),TRUE),TRUE)</f>
        <v>1</v>
      </c>
      <c r="Q613" s="26" t="b">
        <f>IF(Checks!C613,UPPER(RIGHT(Data!A613,5))=".BPMN",TRUE)</f>
        <v>1</v>
      </c>
      <c r="R613" s="26" t="b">
        <f>IF(Checks!C613,IF(UPPER(Data!C613)="SUB PROCESS",UPPER(RIGHT(Data!BY613,5))=".BPMN",TRUE),TRUE)</f>
        <v>1</v>
      </c>
      <c r="S613" s="26" t="b">
        <f>IF(Checks!C613,IF(UPPER(Data!C613)="SERVICE TASK",IF(UPPER(Data!BZ613)="TYPE=SAS",UPPER(RIGHT(Data!CA613,4))=".SAS",TRUE),TRUE),TRUE)</f>
        <v>1</v>
      </c>
      <c r="T613" s="26" t="b">
        <f>IF(Checks!C613,IF(Data!B613&lt;&gt;"",Data!D613&lt;&gt;"",TRUE),TRUE)</f>
        <v>1</v>
      </c>
      <c r="U613" s="26" t="b">
        <f ca="1">IF(Checks!C613,IF(UPPER(Data!C613)="DATA OBJECT",NOT(ISERROR(MATCH(Data!A613&amp;"||"&amp;Data!BW613&amp;Data!BX613,Key,0))),TRUE),TRUE)</f>
        <v>1</v>
      </c>
      <c r="V613" s="26" t="b">
        <f>IF(Checks!C613,IF(UPPER(Data!C613)="SUB PROCESS",Data!BY613&lt;&gt;"",TRUE),TRUE)</f>
        <v>1</v>
      </c>
      <c r="W613" s="26" t="b">
        <f>IF(Checks!C613,IF(UPPER(Data!C613)="SERVICE TASK",AND(Data!BZ613&lt;&gt;"",Data!CA613&lt;&gt;""),TRUE),TRUE)</f>
        <v>1</v>
      </c>
      <c r="X613" s="26" t="b">
        <f t="array" aca="1" ref="X613" ca="1">SUM((OFFSET(Data!B613,MAX(ROW(Data!$B$5)-ROW(Data!B613),-200),0,400,1)=Data!B613)*(OFFSET(Data!A613,MAX(ROW(Data!$B$5)-ROW(Data!B613),-200),0,400,1)=Data!A613))=1</f>
        <v>1</v>
      </c>
      <c r="Y613" s="26" t="b">
        <f t="array" aca="1" ref="Y613" ca="1">IF(UPPER(Data!C613)="START",SUM((OFFSET(Data!C613,MAX(ROW(Data!$C$5)-ROW(Data!C613),-200),0,400,1)="START")*(OFFSET(Data!A613,MAX(ROW(Data!$B$5)-ROW(Data!B613),-200),0,400,1)=Data!A613))=1,TRUE)</f>
        <v>1</v>
      </c>
      <c r="Z613" s="26" t="b">
        <f t="array" aca="1" ref="Z613" ca="1">IF(UPPER(Data!C613)="END",SUM((OFFSET(Data!C613,MAX(ROW(Data!$C$5)-ROW(Data!C613),-200),0,400,1)="END")*(OFFSET(Data!A613,MAX(ROW(Data!$B$5)-ROW(Data!B613),-200),0,400,1)=Data!A613))=1,TRUE)</f>
        <v>1</v>
      </c>
      <c r="AA613" s="26" t="b">
        <f>IF(Checks!C613,ISERROR(FIND("&amp;",Data!D613)),TRUE)</f>
        <v>1</v>
      </c>
      <c r="AB613" s="26" t="b">
        <f>IF(Checks!$C613,IF(AND(UPPER(Data!$C613)&lt;&gt;"START",UPPER(Data!$C613)&lt;&gt;"DATA OBJECT",Data!E613&lt;&gt;""),NOT(ISERROR(MATCH(Data!$A613&amp;"||"&amp;Data!E613,Key,0))),TRUE),TRUE)</f>
        <v>1</v>
      </c>
      <c r="AC613" s="27" t="b">
        <f>IF(Checks!C613,IF(UPPER(Data!C613)="END",Data!E613&lt;&gt;"",TRUE),TRUE)</f>
        <v>1</v>
      </c>
    </row>
    <row r="614" spans="1:29" x14ac:dyDescent="0.25">
      <c r="A614" s="1" t="str">
        <f>Data!A614&amp;"||"&amp;Data!B614</f>
        <v>Analytics/irmifrs9_attribution_analysis.bpmn||090_00_00</v>
      </c>
      <c r="B614" s="19"/>
      <c r="C614" s="24" t="b">
        <f>AND(UPPER(Data!A614)&lt;&gt;"EMPTY",Data!B614&lt;&gt;"")</f>
        <v>1</v>
      </c>
      <c r="D614" s="1"/>
      <c r="E614" s="25" t="b">
        <f t="shared" ca="1" si="18"/>
        <v>1</v>
      </c>
      <c r="F614" s="26" t="b">
        <f ca="1">IF(UPPER(Data!C614)="SUB PROCESS",NOT(ISERROR(MATCH(RIGHT(Data!BY614,LEN(Data!BY614)-5),OFFSET(Data,0,0,ItemsCount,1),0))),TRUE)</f>
        <v>1</v>
      </c>
      <c r="G614" s="26" t="b">
        <f ca="1">IF(MID(UPPER(Data!A614),1,13)="MISCELLANEOUS",NOT(ISERROR(MATCH("path="&amp;Data!A614,OFFSET(Data,0,76,ItemsCount,1),0))),TRUE)</f>
        <v>1</v>
      </c>
      <c r="L614" s="25" t="b">
        <f t="shared" ca="1" si="19"/>
        <v>1</v>
      </c>
      <c r="M614" s="24" t="b">
        <f>IF(Checks!$C614,Data!A614&lt;&gt;"",TRUE)</f>
        <v>1</v>
      </c>
      <c r="N614" s="26" t="b">
        <f>IF(Checks!C614,Data!B614&lt;&gt;"",TRUE)</f>
        <v>1</v>
      </c>
      <c r="O614" s="26" t="b">
        <f>IF(Checks!C614,IF(AND(UPPER(Data!C614)="SERVICE TASK",UPPER(Data!BZ614)="TYPE=SAS"),NodeExists(TRIM(RIGHT(Data!CA614,LEN(Data!CA614)-FIND("=",Data!CA614)))),TRUE),TRUE)</f>
        <v>1</v>
      </c>
      <c r="P614" s="26" t="b">
        <f>IF(Checks!C614,IF(Data!C614="DATA OBJECT",OR(AND(Data!BW614&lt;&gt;"",Data!BX614=""),AND(Data!BW614="",Data!BX614&lt;&gt;"")),TRUE),TRUE)</f>
        <v>1</v>
      </c>
      <c r="Q614" s="26" t="b">
        <f>IF(Checks!C614,UPPER(RIGHT(Data!A614,5))=".BPMN",TRUE)</f>
        <v>1</v>
      </c>
      <c r="R614" s="26" t="b">
        <f>IF(Checks!C614,IF(UPPER(Data!C614)="SUB PROCESS",UPPER(RIGHT(Data!BY614,5))=".BPMN",TRUE),TRUE)</f>
        <v>1</v>
      </c>
      <c r="S614" s="26" t="b">
        <f>IF(Checks!C614,IF(UPPER(Data!C614)="SERVICE TASK",IF(UPPER(Data!BZ614)="TYPE=SAS",UPPER(RIGHT(Data!CA614,4))=".SAS",TRUE),TRUE),TRUE)</f>
        <v>1</v>
      </c>
      <c r="T614" s="26" t="b">
        <f>IF(Checks!C614,IF(Data!B614&lt;&gt;"",Data!D614&lt;&gt;"",TRUE),TRUE)</f>
        <v>1</v>
      </c>
      <c r="U614" s="26" t="b">
        <f>IF(Checks!C614,IF(UPPER(Data!C614)="DATA OBJECT",NOT(ISERROR(MATCH(Data!A614&amp;"||"&amp;Data!BW614&amp;Data!BX614,Key,0))),TRUE),TRUE)</f>
        <v>1</v>
      </c>
      <c r="V614" s="26" t="b">
        <f>IF(Checks!C614,IF(UPPER(Data!C614)="SUB PROCESS",Data!BY614&lt;&gt;"",TRUE),TRUE)</f>
        <v>1</v>
      </c>
      <c r="W614" s="26" t="b">
        <f>IF(Checks!C614,IF(UPPER(Data!C614)="SERVICE TASK",AND(Data!BZ614&lt;&gt;"",Data!CA614&lt;&gt;""),TRUE),TRUE)</f>
        <v>1</v>
      </c>
      <c r="X614" s="26" t="b">
        <f t="array" aca="1" ref="X614" ca="1">SUM((OFFSET(Data!B614,MAX(ROW(Data!$B$5)-ROW(Data!B614),-200),0,400,1)=Data!B614)*(OFFSET(Data!A614,MAX(ROW(Data!$B$5)-ROW(Data!B614),-200),0,400,1)=Data!A614))=1</f>
        <v>1</v>
      </c>
      <c r="Y614" s="26" t="b">
        <f t="array" aca="1" ref="Y614" ca="1">IF(UPPER(Data!C614)="START",SUM((OFFSET(Data!C614,MAX(ROW(Data!$C$5)-ROW(Data!C614),-200),0,400,1)="START")*(OFFSET(Data!A614,MAX(ROW(Data!$B$5)-ROW(Data!B614),-200),0,400,1)=Data!A614))=1,TRUE)</f>
        <v>1</v>
      </c>
      <c r="Z614" s="26" t="b">
        <f t="array" aca="1" ref="Z614" ca="1">IF(UPPER(Data!C614)="END",SUM((OFFSET(Data!C614,MAX(ROW(Data!$C$5)-ROW(Data!C614),-200),0,400,1)="END")*(OFFSET(Data!A614,MAX(ROW(Data!$B$5)-ROW(Data!B614),-200),0,400,1)=Data!A614))=1,TRUE)</f>
        <v>1</v>
      </c>
      <c r="AA614" s="26" t="b">
        <f>IF(Checks!C614,ISERROR(FIND("&amp;",Data!D614)),TRUE)</f>
        <v>1</v>
      </c>
      <c r="AB614" s="26" t="b">
        <f ca="1">IF(Checks!$C614,IF(AND(UPPER(Data!$C614)&lt;&gt;"START",UPPER(Data!$C614)&lt;&gt;"DATA OBJECT",Data!E614&lt;&gt;""),NOT(ISERROR(MATCH(Data!$A614&amp;"||"&amp;Data!E614,Key,0))),TRUE),TRUE)</f>
        <v>1</v>
      </c>
      <c r="AC614" s="27" t="b">
        <f>IF(Checks!C614,IF(UPPER(Data!C614)="END",Data!E614&lt;&gt;"",TRUE),TRUE)</f>
        <v>1</v>
      </c>
    </row>
    <row r="615" spans="1:29" x14ac:dyDescent="0.25">
      <c r="A615" s="1" t="str">
        <f>Data!A615&amp;"||"&amp;Data!B615</f>
        <v>Analytics/irmifrs9_attribution_analysis.bpmn||999_00_00</v>
      </c>
      <c r="B615" s="19"/>
      <c r="C615" s="24" t="b">
        <f>AND(UPPER(Data!A615)&lt;&gt;"EMPTY",Data!B615&lt;&gt;"")</f>
        <v>1</v>
      </c>
      <c r="D615" s="1"/>
      <c r="E615" s="25" t="b">
        <f t="shared" ca="1" si="18"/>
        <v>1</v>
      </c>
      <c r="F615" s="26" t="b">
        <f ca="1">IF(UPPER(Data!C615)="SUB PROCESS",NOT(ISERROR(MATCH(RIGHT(Data!BY615,LEN(Data!BY615)-5),OFFSET(Data,0,0,ItemsCount,1),0))),TRUE)</f>
        <v>1</v>
      </c>
      <c r="G615" s="26" t="b">
        <f ca="1">IF(MID(UPPER(Data!A615),1,13)="MISCELLANEOUS",NOT(ISERROR(MATCH("path="&amp;Data!A615,OFFSET(Data,0,76,ItemsCount,1),0))),TRUE)</f>
        <v>1</v>
      </c>
      <c r="L615" s="25" t="b">
        <f t="shared" ca="1" si="19"/>
        <v>1</v>
      </c>
      <c r="M615" s="24" t="b">
        <f>IF(Checks!$C615,Data!A615&lt;&gt;"",TRUE)</f>
        <v>1</v>
      </c>
      <c r="N615" s="26" t="b">
        <f>IF(Checks!C615,Data!B615&lt;&gt;"",TRUE)</f>
        <v>1</v>
      </c>
      <c r="O615" s="26" t="b">
        <f>IF(Checks!C615,IF(AND(UPPER(Data!C615)="SERVICE TASK",UPPER(Data!BZ615)="TYPE=SAS"),NodeExists(TRIM(RIGHT(Data!CA615,LEN(Data!CA615)-FIND("=",Data!CA615)))),TRUE),TRUE)</f>
        <v>1</v>
      </c>
      <c r="P615" s="26" t="b">
        <f>IF(Checks!C615,IF(Data!C615="DATA OBJECT",OR(AND(Data!BW615&lt;&gt;"",Data!BX615=""),AND(Data!BW615="",Data!BX615&lt;&gt;"")),TRUE),TRUE)</f>
        <v>1</v>
      </c>
      <c r="Q615" s="26" t="b">
        <f>IF(Checks!C615,UPPER(RIGHT(Data!A615,5))=".BPMN",TRUE)</f>
        <v>1</v>
      </c>
      <c r="R615" s="26" t="b">
        <f>IF(Checks!C615,IF(UPPER(Data!C615)="SUB PROCESS",UPPER(RIGHT(Data!BY615,5))=".BPMN",TRUE),TRUE)</f>
        <v>1</v>
      </c>
      <c r="S615" s="26" t="b">
        <f>IF(Checks!C615,IF(UPPER(Data!C615)="SERVICE TASK",IF(UPPER(Data!BZ615)="TYPE=SAS",UPPER(RIGHT(Data!CA615,4))=".SAS",TRUE),TRUE),TRUE)</f>
        <v>1</v>
      </c>
      <c r="T615" s="26" t="b">
        <f>IF(Checks!C615,IF(Data!B615&lt;&gt;"",Data!D615&lt;&gt;"",TRUE),TRUE)</f>
        <v>1</v>
      </c>
      <c r="U615" s="26" t="b">
        <f>IF(Checks!C615,IF(UPPER(Data!C615)="DATA OBJECT",NOT(ISERROR(MATCH(Data!A615&amp;"||"&amp;Data!BW615&amp;Data!BX615,Key,0))),TRUE),TRUE)</f>
        <v>1</v>
      </c>
      <c r="V615" s="26" t="b">
        <f>IF(Checks!C615,IF(UPPER(Data!C615)="SUB PROCESS",Data!BY615&lt;&gt;"",TRUE),TRUE)</f>
        <v>1</v>
      </c>
      <c r="W615" s="26" t="b">
        <f>IF(Checks!C615,IF(UPPER(Data!C615)="SERVICE TASK",AND(Data!BZ615&lt;&gt;"",Data!CA615&lt;&gt;""),TRUE),TRUE)</f>
        <v>1</v>
      </c>
      <c r="X615" s="26" t="b">
        <f t="array" aca="1" ref="X615" ca="1">SUM((OFFSET(Data!B615,MAX(ROW(Data!$B$5)-ROW(Data!B615),-200),0,400,1)=Data!B615)*(OFFSET(Data!A615,MAX(ROW(Data!$B$5)-ROW(Data!B615),-200),0,400,1)=Data!A615))=1</f>
        <v>1</v>
      </c>
      <c r="Y615" s="26" t="b">
        <f t="array" aca="1" ref="Y615" ca="1">IF(UPPER(Data!C615)="START",SUM((OFFSET(Data!C615,MAX(ROW(Data!$C$5)-ROW(Data!C615),-200),0,400,1)="START")*(OFFSET(Data!A615,MAX(ROW(Data!$B$5)-ROW(Data!B615),-200),0,400,1)=Data!A615))=1,TRUE)</f>
        <v>1</v>
      </c>
      <c r="Z615" s="26" t="b">
        <f t="array" aca="1" ref="Z615" ca="1">IF(UPPER(Data!C615)="END",SUM((OFFSET(Data!C615,MAX(ROW(Data!$C$5)-ROW(Data!C615),-200),0,400,1)="END")*(OFFSET(Data!A615,MAX(ROW(Data!$B$5)-ROW(Data!B615),-200),0,400,1)=Data!A615))=1,TRUE)</f>
        <v>1</v>
      </c>
      <c r="AA615" s="26" t="b">
        <f>IF(Checks!C615,ISERROR(FIND("&amp;",Data!D615)),TRUE)</f>
        <v>1</v>
      </c>
      <c r="AB615" s="26" t="b">
        <f ca="1">IF(Checks!$C615,IF(AND(UPPER(Data!$C615)&lt;&gt;"START",UPPER(Data!$C615)&lt;&gt;"DATA OBJECT",Data!E615&lt;&gt;""),NOT(ISERROR(MATCH(Data!$A615&amp;"||"&amp;Data!E615,Key,0))),TRUE),TRUE)</f>
        <v>1</v>
      </c>
      <c r="AC615" s="27" t="b">
        <f>IF(Checks!C615,IF(UPPER(Data!C615)="END",Data!E615&lt;&gt;"",TRUE),TRUE)</f>
        <v>1</v>
      </c>
    </row>
    <row r="616" spans="1:29" x14ac:dyDescent="0.25">
      <c r="A616" s="1" t="str">
        <f>Data!A616&amp;"||"&amp;Data!B616</f>
        <v>Miscellaneous/subflow/irmifrs9_attribution_analysis.bpmn||000_00_00</v>
      </c>
      <c r="B616" s="19"/>
      <c r="C616" s="24" t="b">
        <f>AND(UPPER(Data!A616)&lt;&gt;"EMPTY",Data!B616&lt;&gt;"")</f>
        <v>1</v>
      </c>
      <c r="D616" s="1"/>
      <c r="E616" s="25" t="b">
        <f t="shared" ca="1" si="18"/>
        <v>1</v>
      </c>
      <c r="F616" s="26" t="b">
        <f ca="1">IF(UPPER(Data!C616)="SUB PROCESS",NOT(ISERROR(MATCH(RIGHT(Data!BY616,LEN(Data!BY616)-5),OFFSET(Data,0,0,ItemsCount,1),0))),TRUE)</f>
        <v>1</v>
      </c>
      <c r="G616" s="26" t="b">
        <f ca="1">IF(MID(UPPER(Data!A616),1,13)="MISCELLANEOUS",NOT(ISERROR(MATCH("path="&amp;Data!A616,OFFSET(Data,0,76,ItemsCount,1),0))),TRUE)</f>
        <v>1</v>
      </c>
      <c r="L616" s="25" t="b">
        <f t="shared" ca="1" si="19"/>
        <v>1</v>
      </c>
      <c r="M616" s="24" t="b">
        <f>IF(Checks!$C616,Data!A616&lt;&gt;"",TRUE)</f>
        <v>1</v>
      </c>
      <c r="N616" s="26" t="b">
        <f>IF(Checks!C616,Data!B616&lt;&gt;"",TRUE)</f>
        <v>1</v>
      </c>
      <c r="O616" s="26" t="b">
        <f>IF(Checks!C616,IF(AND(UPPER(Data!C616)="SERVICE TASK",UPPER(Data!BZ616)="TYPE=SAS"),NodeExists(TRIM(RIGHT(Data!CA616,LEN(Data!CA616)-FIND("=",Data!CA616)))),TRUE),TRUE)</f>
        <v>1</v>
      </c>
      <c r="P616" s="26" t="b">
        <f>IF(Checks!C616,IF(Data!C616="DATA OBJECT",OR(AND(Data!BW616&lt;&gt;"",Data!BX616=""),AND(Data!BW616="",Data!BX616&lt;&gt;"")),TRUE),TRUE)</f>
        <v>1</v>
      </c>
      <c r="Q616" s="26" t="b">
        <f>IF(Checks!C616,UPPER(RIGHT(Data!A616,5))=".BPMN",TRUE)</f>
        <v>1</v>
      </c>
      <c r="R616" s="26" t="b">
        <f>IF(Checks!C616,IF(UPPER(Data!C616)="SUB PROCESS",UPPER(RIGHT(Data!BY616,5))=".BPMN",TRUE),TRUE)</f>
        <v>1</v>
      </c>
      <c r="S616" s="26" t="b">
        <f>IF(Checks!C616,IF(UPPER(Data!C616)="SERVICE TASK",IF(UPPER(Data!BZ616)="TYPE=SAS",UPPER(RIGHT(Data!CA616,4))=".SAS",TRUE),TRUE),TRUE)</f>
        <v>1</v>
      </c>
      <c r="T616" s="26" t="b">
        <f>IF(Checks!C616,IF(Data!B616&lt;&gt;"",Data!D616&lt;&gt;"",TRUE),TRUE)</f>
        <v>1</v>
      </c>
      <c r="U616" s="26" t="b">
        <f>IF(Checks!C616,IF(UPPER(Data!C616)="DATA OBJECT",NOT(ISERROR(MATCH(Data!A616&amp;"||"&amp;Data!BW616&amp;Data!BX616,Key,0))),TRUE),TRUE)</f>
        <v>1</v>
      </c>
      <c r="V616" s="26" t="b">
        <f>IF(Checks!C616,IF(UPPER(Data!C616)="SUB PROCESS",Data!BY616&lt;&gt;"",TRUE),TRUE)</f>
        <v>1</v>
      </c>
      <c r="W616" s="26" t="b">
        <f>IF(Checks!C616,IF(UPPER(Data!C616)="SERVICE TASK",AND(Data!BZ616&lt;&gt;"",Data!CA616&lt;&gt;""),TRUE),TRUE)</f>
        <v>1</v>
      </c>
      <c r="X616" s="26" t="b">
        <f t="array" aca="1" ref="X616" ca="1">SUM((OFFSET(Data!B616,MAX(ROW(Data!$B$5)-ROW(Data!B616),-200),0,400,1)=Data!B616)*(OFFSET(Data!A616,MAX(ROW(Data!$B$5)-ROW(Data!B616),-200),0,400,1)=Data!A616))=1</f>
        <v>1</v>
      </c>
      <c r="Y616" s="26" t="b">
        <f t="array" aca="1" ref="Y616" ca="1">IF(UPPER(Data!C616)="START",SUM((OFFSET(Data!C616,MAX(ROW(Data!$C$5)-ROW(Data!C616),-200),0,400,1)="START")*(OFFSET(Data!A616,MAX(ROW(Data!$B$5)-ROW(Data!B616),-200),0,400,1)=Data!A616))=1,TRUE)</f>
        <v>1</v>
      </c>
      <c r="Z616" s="26" t="b">
        <f t="array" aca="1" ref="Z616" ca="1">IF(UPPER(Data!C616)="END",SUM((OFFSET(Data!C616,MAX(ROW(Data!$C$5)-ROW(Data!C616),-200),0,400,1)="END")*(OFFSET(Data!A616,MAX(ROW(Data!$B$5)-ROW(Data!B616),-200),0,400,1)=Data!A616))=1,TRUE)</f>
        <v>1</v>
      </c>
      <c r="AA616" s="26" t="b">
        <f>IF(Checks!C616,ISERROR(FIND("&amp;",Data!D616)),TRUE)</f>
        <v>1</v>
      </c>
      <c r="AB616" s="26" t="b">
        <f>IF(Checks!$C616,IF(AND(UPPER(Data!$C616)&lt;&gt;"START",UPPER(Data!$C616)&lt;&gt;"DATA OBJECT",Data!E616&lt;&gt;""),NOT(ISERROR(MATCH(Data!$A616&amp;"||"&amp;Data!E616,Key,0))),TRUE),TRUE)</f>
        <v>1</v>
      </c>
      <c r="AC616" s="27" t="b">
        <f>IF(Checks!C616,IF(UPPER(Data!C616)="END",Data!E616&lt;&gt;"",TRUE),TRUE)</f>
        <v>1</v>
      </c>
    </row>
    <row r="617" spans="1:29" x14ac:dyDescent="0.25">
      <c r="A617" s="1" t="str">
        <f>Data!A617&amp;"||"&amp;Data!B617</f>
        <v>Miscellaneous/subflow/irmifrs9_attribution_analysis.bpmn||001_00_00</v>
      </c>
      <c r="B617" s="19"/>
      <c r="C617" s="24" t="b">
        <f>AND(UPPER(Data!A617)&lt;&gt;"EMPTY",Data!B617&lt;&gt;"")</f>
        <v>1</v>
      </c>
      <c r="D617" s="1"/>
      <c r="E617" s="25" t="b">
        <f t="shared" ca="1" si="18"/>
        <v>1</v>
      </c>
      <c r="F617" s="26" t="b">
        <f ca="1">IF(UPPER(Data!C617)="SUB PROCESS",NOT(ISERROR(MATCH(RIGHT(Data!BY617,LEN(Data!BY617)-5),OFFSET(Data,0,0,ItemsCount,1),0))),TRUE)</f>
        <v>1</v>
      </c>
      <c r="G617" s="26" t="b">
        <f ca="1">IF(MID(UPPER(Data!A617),1,13)="MISCELLANEOUS",NOT(ISERROR(MATCH("path="&amp;Data!A617,OFFSET(Data,0,76,ItemsCount,1),0))),TRUE)</f>
        <v>1</v>
      </c>
      <c r="L617" s="25" t="b">
        <f t="shared" ca="1" si="19"/>
        <v>1</v>
      </c>
      <c r="M617" s="24" t="b">
        <f>IF(Checks!$C617,Data!A617&lt;&gt;"",TRUE)</f>
        <v>1</v>
      </c>
      <c r="N617" s="26" t="b">
        <f>IF(Checks!C617,Data!B617&lt;&gt;"",TRUE)</f>
        <v>1</v>
      </c>
      <c r="O617" s="26" t="b">
        <f>IF(Checks!C617,IF(AND(UPPER(Data!C617)="SERVICE TASK",UPPER(Data!BZ617)="TYPE=SAS"),NodeExists(TRIM(RIGHT(Data!CA617,LEN(Data!CA617)-FIND("=",Data!CA617)))),TRUE),TRUE)</f>
        <v>1</v>
      </c>
      <c r="P617" s="26" t="b">
        <f>IF(Checks!C617,IF(Data!C617="DATA OBJECT",OR(AND(Data!BW617&lt;&gt;"",Data!BX617=""),AND(Data!BW617="",Data!BX617&lt;&gt;"")),TRUE),TRUE)</f>
        <v>1</v>
      </c>
      <c r="Q617" s="26" t="b">
        <f>IF(Checks!C617,UPPER(RIGHT(Data!A617,5))=".BPMN",TRUE)</f>
        <v>1</v>
      </c>
      <c r="R617" s="26" t="b">
        <f>IF(Checks!C617,IF(UPPER(Data!C617)="SUB PROCESS",UPPER(RIGHT(Data!BY617,5))=".BPMN",TRUE),TRUE)</f>
        <v>1</v>
      </c>
      <c r="S617" s="26" t="b">
        <f>IF(Checks!C617,IF(UPPER(Data!C617)="SERVICE TASK",IF(UPPER(Data!BZ617)="TYPE=SAS",UPPER(RIGHT(Data!CA617,4))=".SAS",TRUE),TRUE),TRUE)</f>
        <v>1</v>
      </c>
      <c r="T617" s="26" t="b">
        <f>IF(Checks!C617,IF(Data!B617&lt;&gt;"",Data!D617&lt;&gt;"",TRUE),TRUE)</f>
        <v>1</v>
      </c>
      <c r="U617" s="26" t="b">
        <f>IF(Checks!C617,IF(UPPER(Data!C617)="DATA OBJECT",NOT(ISERROR(MATCH(Data!A617&amp;"||"&amp;Data!BW617&amp;Data!BX617,Key,0))),TRUE),TRUE)</f>
        <v>1</v>
      </c>
      <c r="V617" s="26" t="b">
        <f>IF(Checks!C617,IF(UPPER(Data!C617)="SUB PROCESS",Data!BY617&lt;&gt;"",TRUE),TRUE)</f>
        <v>1</v>
      </c>
      <c r="W617" s="26" t="b">
        <f>IF(Checks!C617,IF(UPPER(Data!C617)="SERVICE TASK",AND(Data!BZ617&lt;&gt;"",Data!CA617&lt;&gt;""),TRUE),TRUE)</f>
        <v>1</v>
      </c>
      <c r="X617" s="26" t="b">
        <f t="array" aca="1" ref="X617" ca="1">SUM((OFFSET(Data!B617,MAX(ROW(Data!$B$5)-ROW(Data!B617),-200),0,400,1)=Data!B617)*(OFFSET(Data!A617,MAX(ROW(Data!$B$5)-ROW(Data!B617),-200),0,400,1)=Data!A617))=1</f>
        <v>1</v>
      </c>
      <c r="Y617" s="26" t="b">
        <f t="array" aca="1" ref="Y617" ca="1">IF(UPPER(Data!C617)="START",SUM((OFFSET(Data!C617,MAX(ROW(Data!$C$5)-ROW(Data!C617),-200),0,400,1)="START")*(OFFSET(Data!A617,MAX(ROW(Data!$B$5)-ROW(Data!B617),-200),0,400,1)=Data!A617))=1,TRUE)</f>
        <v>1</v>
      </c>
      <c r="Z617" s="26" t="b">
        <f t="array" aca="1" ref="Z617" ca="1">IF(UPPER(Data!C617)="END",SUM((OFFSET(Data!C617,MAX(ROW(Data!$C$5)-ROW(Data!C617),-200),0,400,1)="END")*(OFFSET(Data!A617,MAX(ROW(Data!$B$5)-ROW(Data!B617),-200),0,400,1)=Data!A617))=1,TRUE)</f>
        <v>1</v>
      </c>
      <c r="AA617" s="26" t="b">
        <f>IF(Checks!C617,ISERROR(FIND("&amp;",Data!D617)),TRUE)</f>
        <v>1</v>
      </c>
      <c r="AB617" s="26" t="b">
        <f ca="1">IF(Checks!$C617,IF(AND(UPPER(Data!$C617)&lt;&gt;"START",UPPER(Data!$C617)&lt;&gt;"DATA OBJECT",Data!E617&lt;&gt;""),NOT(ISERROR(MATCH(Data!$A617&amp;"||"&amp;Data!E617,Key,0))),TRUE),TRUE)</f>
        <v>1</v>
      </c>
      <c r="AC617" s="27" t="b">
        <f>IF(Checks!C617,IF(UPPER(Data!C617)="END",Data!E617&lt;&gt;"",TRUE),TRUE)</f>
        <v>1</v>
      </c>
    </row>
    <row r="618" spans="1:29" x14ac:dyDescent="0.25">
      <c r="A618" s="1" t="str">
        <f>Data!A618&amp;"||"&amp;Data!B618</f>
        <v>Miscellaneous/subflow/irmifrs9_attribution_analysis.bpmn||001_00_01</v>
      </c>
      <c r="B618" s="19"/>
      <c r="C618" s="24" t="b">
        <f>AND(UPPER(Data!A618)&lt;&gt;"EMPTY",Data!B618&lt;&gt;"")</f>
        <v>1</v>
      </c>
      <c r="D618" s="1"/>
      <c r="E618" s="25" t="b">
        <f t="shared" ca="1" si="18"/>
        <v>1</v>
      </c>
      <c r="F618" s="26" t="b">
        <f ca="1">IF(UPPER(Data!C618)="SUB PROCESS",NOT(ISERROR(MATCH(RIGHT(Data!BY618,LEN(Data!BY618)-5),OFFSET(Data,0,0,ItemsCount,1),0))),TRUE)</f>
        <v>1</v>
      </c>
      <c r="G618" s="26" t="b">
        <f ca="1">IF(MID(UPPER(Data!A618),1,13)="MISCELLANEOUS",NOT(ISERROR(MATCH("path="&amp;Data!A618,OFFSET(Data,0,76,ItemsCount,1),0))),TRUE)</f>
        <v>1</v>
      </c>
      <c r="L618" s="25" t="b">
        <f t="shared" ca="1" si="19"/>
        <v>1</v>
      </c>
      <c r="M618" s="24" t="b">
        <f>IF(Checks!$C618,Data!A618&lt;&gt;"",TRUE)</f>
        <v>1</v>
      </c>
      <c r="N618" s="26" t="b">
        <f>IF(Checks!C618,Data!B618&lt;&gt;"",TRUE)</f>
        <v>1</v>
      </c>
      <c r="O618" s="26" t="b">
        <f>IF(Checks!C618,IF(AND(UPPER(Data!C618)="SERVICE TASK",UPPER(Data!BZ618)="TYPE=SAS"),NodeExists(TRIM(RIGHT(Data!CA618,LEN(Data!CA618)-FIND("=",Data!CA618)))),TRUE),TRUE)</f>
        <v>1</v>
      </c>
      <c r="P618" s="26" t="b">
        <f>IF(Checks!C618,IF(Data!C618="DATA OBJECT",OR(AND(Data!BW618&lt;&gt;"",Data!BX618=""),AND(Data!BW618="",Data!BX618&lt;&gt;"")),TRUE),TRUE)</f>
        <v>1</v>
      </c>
      <c r="Q618" s="26" t="b">
        <f>IF(Checks!C618,UPPER(RIGHT(Data!A618,5))=".BPMN",TRUE)</f>
        <v>1</v>
      </c>
      <c r="R618" s="26" t="b">
        <f>IF(Checks!C618,IF(UPPER(Data!C618)="SUB PROCESS",UPPER(RIGHT(Data!BY618,5))=".BPMN",TRUE),TRUE)</f>
        <v>1</v>
      </c>
      <c r="S618" s="26" t="b">
        <f>IF(Checks!C618,IF(UPPER(Data!C618)="SERVICE TASK",IF(UPPER(Data!BZ618)="TYPE=SAS",UPPER(RIGHT(Data!CA618,4))=".SAS",TRUE),TRUE),TRUE)</f>
        <v>1</v>
      </c>
      <c r="T618" s="26" t="b">
        <f>IF(Checks!C618,IF(Data!B618&lt;&gt;"",Data!D618&lt;&gt;"",TRUE),TRUE)</f>
        <v>1</v>
      </c>
      <c r="U618" s="26" t="b">
        <f ca="1">IF(Checks!C618,IF(UPPER(Data!C618)="DATA OBJECT",NOT(ISERROR(MATCH(Data!A618&amp;"||"&amp;Data!BW618&amp;Data!BX618,Key,0))),TRUE),TRUE)</f>
        <v>1</v>
      </c>
      <c r="V618" s="26" t="b">
        <f>IF(Checks!C618,IF(UPPER(Data!C618)="SUB PROCESS",Data!BY618&lt;&gt;"",TRUE),TRUE)</f>
        <v>1</v>
      </c>
      <c r="W618" s="26" t="b">
        <f>IF(Checks!C618,IF(UPPER(Data!C618)="SERVICE TASK",AND(Data!BZ618&lt;&gt;"",Data!CA618&lt;&gt;""),TRUE),TRUE)</f>
        <v>1</v>
      </c>
      <c r="X618" s="26" t="b">
        <f t="array" aca="1" ref="X618" ca="1">SUM((OFFSET(Data!B618,MAX(ROW(Data!$B$5)-ROW(Data!B618),-200),0,400,1)=Data!B618)*(OFFSET(Data!A618,MAX(ROW(Data!$B$5)-ROW(Data!B618),-200),0,400,1)=Data!A618))=1</f>
        <v>1</v>
      </c>
      <c r="Y618" s="26" t="b">
        <f t="array" aca="1" ref="Y618" ca="1">IF(UPPER(Data!C618)="START",SUM((OFFSET(Data!C618,MAX(ROW(Data!$C$5)-ROW(Data!C618),-200),0,400,1)="START")*(OFFSET(Data!A618,MAX(ROW(Data!$B$5)-ROW(Data!B618),-200),0,400,1)=Data!A618))=1,TRUE)</f>
        <v>1</v>
      </c>
      <c r="Z618" s="26" t="b">
        <f t="array" aca="1" ref="Z618" ca="1">IF(UPPER(Data!C618)="END",SUM((OFFSET(Data!C618,MAX(ROW(Data!$C$5)-ROW(Data!C618),-200),0,400,1)="END")*(OFFSET(Data!A618,MAX(ROW(Data!$B$5)-ROW(Data!B618),-200),0,400,1)=Data!A618))=1,TRUE)</f>
        <v>1</v>
      </c>
      <c r="AA618" s="26" t="b">
        <f>IF(Checks!C618,ISERROR(FIND("&amp;",Data!D618)),TRUE)</f>
        <v>1</v>
      </c>
      <c r="AB618" s="26" t="b">
        <f>IF(Checks!$C618,IF(AND(UPPER(Data!$C618)&lt;&gt;"START",UPPER(Data!$C618)&lt;&gt;"DATA OBJECT",Data!E618&lt;&gt;""),NOT(ISERROR(MATCH(Data!$A618&amp;"||"&amp;Data!E618,Key,0))),TRUE),TRUE)</f>
        <v>1</v>
      </c>
      <c r="AC618" s="27" t="b">
        <f>IF(Checks!C618,IF(UPPER(Data!C618)="END",Data!E618&lt;&gt;"",TRUE),TRUE)</f>
        <v>1</v>
      </c>
    </row>
    <row r="619" spans="1:29" x14ac:dyDescent="0.25">
      <c r="A619" s="1" t="str">
        <f>Data!A619&amp;"||"&amp;Data!B619</f>
        <v>Miscellaneous/subflow/irmifrs9_attribution_analysis.bpmn||001_00_02</v>
      </c>
      <c r="B619" s="19"/>
      <c r="C619" s="24" t="b">
        <f>AND(UPPER(Data!A619)&lt;&gt;"EMPTY",Data!B619&lt;&gt;"")</f>
        <v>1</v>
      </c>
      <c r="D619" s="1"/>
      <c r="E619" s="25" t="b">
        <f t="shared" ca="1" si="18"/>
        <v>1</v>
      </c>
      <c r="F619" s="26" t="b">
        <f ca="1">IF(UPPER(Data!C619)="SUB PROCESS",NOT(ISERROR(MATCH(RIGHT(Data!BY619,LEN(Data!BY619)-5),OFFSET(Data,0,0,ItemsCount,1),0))),TRUE)</f>
        <v>1</v>
      </c>
      <c r="G619" s="26" t="b">
        <f ca="1">IF(MID(UPPER(Data!A619),1,13)="MISCELLANEOUS",NOT(ISERROR(MATCH("path="&amp;Data!A619,OFFSET(Data,0,76,ItemsCount,1),0))),TRUE)</f>
        <v>1</v>
      </c>
      <c r="L619" s="25" t="b">
        <f t="shared" ca="1" si="19"/>
        <v>1</v>
      </c>
      <c r="M619" s="24" t="b">
        <f>IF(Checks!$C619,Data!A619&lt;&gt;"",TRUE)</f>
        <v>1</v>
      </c>
      <c r="N619" s="26" t="b">
        <f>IF(Checks!C619,Data!B619&lt;&gt;"",TRUE)</f>
        <v>1</v>
      </c>
      <c r="O619" s="26" t="b">
        <f>IF(Checks!C619,IF(AND(UPPER(Data!C619)="SERVICE TASK",UPPER(Data!BZ619)="TYPE=SAS"),NodeExists(TRIM(RIGHT(Data!CA619,LEN(Data!CA619)-FIND("=",Data!CA619)))),TRUE),TRUE)</f>
        <v>1</v>
      </c>
      <c r="P619" s="26" t="b">
        <f>IF(Checks!C619,IF(Data!C619="DATA OBJECT",OR(AND(Data!BW619&lt;&gt;"",Data!BX619=""),AND(Data!BW619="",Data!BX619&lt;&gt;"")),TRUE),TRUE)</f>
        <v>1</v>
      </c>
      <c r="Q619" s="26" t="b">
        <f>IF(Checks!C619,UPPER(RIGHT(Data!A619,5))=".BPMN",TRUE)</f>
        <v>1</v>
      </c>
      <c r="R619" s="26" t="b">
        <f>IF(Checks!C619,IF(UPPER(Data!C619)="SUB PROCESS",UPPER(RIGHT(Data!BY619,5))=".BPMN",TRUE),TRUE)</f>
        <v>1</v>
      </c>
      <c r="S619" s="26" t="b">
        <f>IF(Checks!C619,IF(UPPER(Data!C619)="SERVICE TASK",IF(UPPER(Data!BZ619)="TYPE=SAS",UPPER(RIGHT(Data!CA619,4))=".SAS",TRUE),TRUE),TRUE)</f>
        <v>1</v>
      </c>
      <c r="T619" s="26" t="b">
        <f>IF(Checks!C619,IF(Data!B619&lt;&gt;"",Data!D619&lt;&gt;"",TRUE),TRUE)</f>
        <v>1</v>
      </c>
      <c r="U619" s="26" t="b">
        <f ca="1">IF(Checks!C619,IF(UPPER(Data!C619)="DATA OBJECT",NOT(ISERROR(MATCH(Data!A619&amp;"||"&amp;Data!BW619&amp;Data!BX619,Key,0))),TRUE),TRUE)</f>
        <v>1</v>
      </c>
      <c r="V619" s="26" t="b">
        <f>IF(Checks!C619,IF(UPPER(Data!C619)="SUB PROCESS",Data!BY619&lt;&gt;"",TRUE),TRUE)</f>
        <v>1</v>
      </c>
      <c r="W619" s="26" t="b">
        <f>IF(Checks!C619,IF(UPPER(Data!C619)="SERVICE TASK",AND(Data!BZ619&lt;&gt;"",Data!CA619&lt;&gt;""),TRUE),TRUE)</f>
        <v>1</v>
      </c>
      <c r="X619" s="26" t="b">
        <f t="array" aca="1" ref="X619" ca="1">SUM((OFFSET(Data!B619,MAX(ROW(Data!$B$5)-ROW(Data!B619),-200),0,400,1)=Data!B619)*(OFFSET(Data!A619,MAX(ROW(Data!$B$5)-ROW(Data!B619),-200),0,400,1)=Data!A619))=1</f>
        <v>1</v>
      </c>
      <c r="Y619" s="26" t="b">
        <f t="array" aca="1" ref="Y619" ca="1">IF(UPPER(Data!C619)="START",SUM((OFFSET(Data!C619,MAX(ROW(Data!$C$5)-ROW(Data!C619),-200),0,400,1)="START")*(OFFSET(Data!A619,MAX(ROW(Data!$B$5)-ROW(Data!B619),-200),0,400,1)=Data!A619))=1,TRUE)</f>
        <v>1</v>
      </c>
      <c r="Z619" s="26" t="b">
        <f t="array" aca="1" ref="Z619" ca="1">IF(UPPER(Data!C619)="END",SUM((OFFSET(Data!C619,MAX(ROW(Data!$C$5)-ROW(Data!C619),-200),0,400,1)="END")*(OFFSET(Data!A619,MAX(ROW(Data!$B$5)-ROW(Data!B619),-200),0,400,1)=Data!A619))=1,TRUE)</f>
        <v>1</v>
      </c>
      <c r="AA619" s="26" t="b">
        <f>IF(Checks!C619,ISERROR(FIND("&amp;",Data!D619)),TRUE)</f>
        <v>1</v>
      </c>
      <c r="AB619" s="26" t="b">
        <f>IF(Checks!$C619,IF(AND(UPPER(Data!$C619)&lt;&gt;"START",UPPER(Data!$C619)&lt;&gt;"DATA OBJECT",Data!E619&lt;&gt;""),NOT(ISERROR(MATCH(Data!$A619&amp;"||"&amp;Data!E619,Key,0))),TRUE),TRUE)</f>
        <v>1</v>
      </c>
      <c r="AC619" s="27" t="b">
        <f>IF(Checks!C619,IF(UPPER(Data!C619)="END",Data!E619&lt;&gt;"",TRUE),TRUE)</f>
        <v>1</v>
      </c>
    </row>
    <row r="620" spans="1:29" x14ac:dyDescent="0.25">
      <c r="A620" s="1" t="str">
        <f>Data!A620&amp;"||"&amp;Data!B620</f>
        <v>Miscellaneous/subflow/irmifrs9_attribution_analysis.bpmn||001_01_00</v>
      </c>
      <c r="B620" s="19"/>
      <c r="C620" s="24" t="b">
        <f>AND(UPPER(Data!A620)&lt;&gt;"EMPTY",Data!B620&lt;&gt;"")</f>
        <v>1</v>
      </c>
      <c r="D620" s="1"/>
      <c r="E620" s="25" t="b">
        <f t="shared" ca="1" si="18"/>
        <v>1</v>
      </c>
      <c r="F620" s="26" t="b">
        <f ca="1">IF(UPPER(Data!C620)="SUB PROCESS",NOT(ISERROR(MATCH(RIGHT(Data!BY620,LEN(Data!BY620)-5),OFFSET(Data,0,0,ItemsCount,1),0))),TRUE)</f>
        <v>1</v>
      </c>
      <c r="G620" s="26" t="b">
        <f ca="1">IF(MID(UPPER(Data!A620),1,13)="MISCELLANEOUS",NOT(ISERROR(MATCH("path="&amp;Data!A620,OFFSET(Data,0,76,ItemsCount,1),0))),TRUE)</f>
        <v>1</v>
      </c>
      <c r="L620" s="25" t="b">
        <f t="shared" ca="1" si="19"/>
        <v>1</v>
      </c>
      <c r="M620" s="24" t="b">
        <f>IF(Checks!$C620,Data!A620&lt;&gt;"",TRUE)</f>
        <v>1</v>
      </c>
      <c r="N620" s="26" t="b">
        <f>IF(Checks!C620,Data!B620&lt;&gt;"",TRUE)</f>
        <v>1</v>
      </c>
      <c r="O620" s="26" t="b">
        <f>IF(Checks!C620,IF(AND(UPPER(Data!C620)="SERVICE TASK",UPPER(Data!BZ620)="TYPE=SAS"),NodeExists(TRIM(RIGHT(Data!CA620,LEN(Data!CA620)-FIND("=",Data!CA620)))),TRUE),TRUE)</f>
        <v>1</v>
      </c>
      <c r="P620" s="26" t="b">
        <f>IF(Checks!C620,IF(Data!C620="DATA OBJECT",OR(AND(Data!BW620&lt;&gt;"",Data!BX620=""),AND(Data!BW620="",Data!BX620&lt;&gt;"")),TRUE),TRUE)</f>
        <v>1</v>
      </c>
      <c r="Q620" s="26" t="b">
        <f>IF(Checks!C620,UPPER(RIGHT(Data!A620,5))=".BPMN",TRUE)</f>
        <v>1</v>
      </c>
      <c r="R620" s="26" t="b">
        <f>IF(Checks!C620,IF(UPPER(Data!C620)="SUB PROCESS",UPPER(RIGHT(Data!BY620,5))=".BPMN",TRUE),TRUE)</f>
        <v>1</v>
      </c>
      <c r="S620" s="26" t="b">
        <f>IF(Checks!C620,IF(UPPER(Data!C620)="SERVICE TASK",IF(UPPER(Data!BZ620)="TYPE=SAS",UPPER(RIGHT(Data!CA620,4))=".SAS",TRUE),TRUE),TRUE)</f>
        <v>1</v>
      </c>
      <c r="T620" s="26" t="b">
        <f>IF(Checks!C620,IF(Data!B620&lt;&gt;"",Data!D620&lt;&gt;"",TRUE),TRUE)</f>
        <v>1</v>
      </c>
      <c r="U620" s="26" t="b">
        <f ca="1">IF(Checks!C620,IF(UPPER(Data!C620)="DATA OBJECT",NOT(ISERROR(MATCH(Data!A620&amp;"||"&amp;Data!BW620&amp;Data!BX620,Key,0))),TRUE),TRUE)</f>
        <v>1</v>
      </c>
      <c r="V620" s="26" t="b">
        <f>IF(Checks!C620,IF(UPPER(Data!C620)="SUB PROCESS",Data!BY620&lt;&gt;"",TRUE),TRUE)</f>
        <v>1</v>
      </c>
      <c r="W620" s="26" t="b">
        <f>IF(Checks!C620,IF(UPPER(Data!C620)="SERVICE TASK",AND(Data!BZ620&lt;&gt;"",Data!CA620&lt;&gt;""),TRUE),TRUE)</f>
        <v>1</v>
      </c>
      <c r="X620" s="26" t="b">
        <f t="array" aca="1" ref="X620" ca="1">SUM((OFFSET(Data!B620,MAX(ROW(Data!$B$5)-ROW(Data!B620),-200),0,400,1)=Data!B620)*(OFFSET(Data!A620,MAX(ROW(Data!$B$5)-ROW(Data!B620),-200),0,400,1)=Data!A620))=1</f>
        <v>1</v>
      </c>
      <c r="Y620" s="26" t="b">
        <f t="array" aca="1" ref="Y620" ca="1">IF(UPPER(Data!C620)="START",SUM((OFFSET(Data!C620,MAX(ROW(Data!$C$5)-ROW(Data!C620),-200),0,400,1)="START")*(OFFSET(Data!A620,MAX(ROW(Data!$B$5)-ROW(Data!B620),-200),0,400,1)=Data!A620))=1,TRUE)</f>
        <v>1</v>
      </c>
      <c r="Z620" s="26" t="b">
        <f t="array" aca="1" ref="Z620" ca="1">IF(UPPER(Data!C620)="END",SUM((OFFSET(Data!C620,MAX(ROW(Data!$C$5)-ROW(Data!C620),-200),0,400,1)="END")*(OFFSET(Data!A620,MAX(ROW(Data!$B$5)-ROW(Data!B620),-200),0,400,1)=Data!A620))=1,TRUE)</f>
        <v>1</v>
      </c>
      <c r="AA620" s="26" t="b">
        <f>IF(Checks!C620,ISERROR(FIND("&amp;",Data!D620)),TRUE)</f>
        <v>1</v>
      </c>
      <c r="AB620" s="26" t="b">
        <f>IF(Checks!$C620,IF(AND(UPPER(Data!$C620)&lt;&gt;"START",UPPER(Data!$C620)&lt;&gt;"DATA OBJECT",Data!E620&lt;&gt;""),NOT(ISERROR(MATCH(Data!$A620&amp;"||"&amp;Data!E620,Key,0))),TRUE),TRUE)</f>
        <v>1</v>
      </c>
      <c r="AC620" s="27" t="b">
        <f>IF(Checks!C620,IF(UPPER(Data!C620)="END",Data!E620&lt;&gt;"",TRUE),TRUE)</f>
        <v>1</v>
      </c>
    </row>
    <row r="621" spans="1:29" x14ac:dyDescent="0.25">
      <c r="A621" s="1" t="str">
        <f>Data!A621&amp;"||"&amp;Data!B621</f>
        <v>Miscellaneous/subflow/irmifrs9_attribution_analysis.bpmn||001_02_00</v>
      </c>
      <c r="B621" s="19"/>
      <c r="C621" s="24" t="b">
        <f>AND(UPPER(Data!A621)&lt;&gt;"EMPTY",Data!B621&lt;&gt;"")</f>
        <v>1</v>
      </c>
      <c r="D621" s="1"/>
      <c r="E621" s="25" t="b">
        <f t="shared" ca="1" si="18"/>
        <v>1</v>
      </c>
      <c r="F621" s="26" t="b">
        <f ca="1">IF(UPPER(Data!C621)="SUB PROCESS",NOT(ISERROR(MATCH(RIGHT(Data!BY621,LEN(Data!BY621)-5),OFFSET(Data,0,0,ItemsCount,1),0))),TRUE)</f>
        <v>1</v>
      </c>
      <c r="G621" s="26" t="b">
        <f ca="1">IF(MID(UPPER(Data!A621),1,13)="MISCELLANEOUS",NOT(ISERROR(MATCH("path="&amp;Data!A621,OFFSET(Data,0,76,ItemsCount,1),0))),TRUE)</f>
        <v>1</v>
      </c>
      <c r="L621" s="25" t="b">
        <f t="shared" ca="1" si="19"/>
        <v>1</v>
      </c>
      <c r="M621" s="24" t="b">
        <f>IF(Checks!$C621,Data!A621&lt;&gt;"",TRUE)</f>
        <v>1</v>
      </c>
      <c r="N621" s="26" t="b">
        <f>IF(Checks!C621,Data!B621&lt;&gt;"",TRUE)</f>
        <v>1</v>
      </c>
      <c r="O621" s="26" t="b">
        <f>IF(Checks!C621,IF(AND(UPPER(Data!C621)="SERVICE TASK",UPPER(Data!BZ621)="TYPE=SAS"),NodeExists(TRIM(RIGHT(Data!CA621,LEN(Data!CA621)-FIND("=",Data!CA621)))),TRUE),TRUE)</f>
        <v>1</v>
      </c>
      <c r="P621" s="26" t="b">
        <f>IF(Checks!C621,IF(Data!C621="DATA OBJECT",OR(AND(Data!BW621&lt;&gt;"",Data!BX621=""),AND(Data!BW621="",Data!BX621&lt;&gt;"")),TRUE),TRUE)</f>
        <v>1</v>
      </c>
      <c r="Q621" s="26" t="b">
        <f>IF(Checks!C621,UPPER(RIGHT(Data!A621,5))=".BPMN",TRUE)</f>
        <v>1</v>
      </c>
      <c r="R621" s="26" t="b">
        <f>IF(Checks!C621,IF(UPPER(Data!C621)="SUB PROCESS",UPPER(RIGHT(Data!BY621,5))=".BPMN",TRUE),TRUE)</f>
        <v>1</v>
      </c>
      <c r="S621" s="26" t="b">
        <f>IF(Checks!C621,IF(UPPER(Data!C621)="SERVICE TASK",IF(UPPER(Data!BZ621)="TYPE=SAS",UPPER(RIGHT(Data!CA621,4))=".SAS",TRUE),TRUE),TRUE)</f>
        <v>1</v>
      </c>
      <c r="T621" s="26" t="b">
        <f>IF(Checks!C621,IF(Data!B621&lt;&gt;"",Data!D621&lt;&gt;"",TRUE),TRUE)</f>
        <v>1</v>
      </c>
      <c r="U621" s="26" t="b">
        <f ca="1">IF(Checks!C621,IF(UPPER(Data!C621)="DATA OBJECT",NOT(ISERROR(MATCH(Data!A621&amp;"||"&amp;Data!BW621&amp;Data!BX621,Key,0))),TRUE),TRUE)</f>
        <v>1</v>
      </c>
      <c r="V621" s="26" t="b">
        <f>IF(Checks!C621,IF(UPPER(Data!C621)="SUB PROCESS",Data!BY621&lt;&gt;"",TRUE),TRUE)</f>
        <v>1</v>
      </c>
      <c r="W621" s="26" t="b">
        <f>IF(Checks!C621,IF(UPPER(Data!C621)="SERVICE TASK",AND(Data!BZ621&lt;&gt;"",Data!CA621&lt;&gt;""),TRUE),TRUE)</f>
        <v>1</v>
      </c>
      <c r="X621" s="26" t="b">
        <f t="array" aca="1" ref="X621" ca="1">SUM((OFFSET(Data!B621,MAX(ROW(Data!$B$5)-ROW(Data!B621),-200),0,400,1)=Data!B621)*(OFFSET(Data!A621,MAX(ROW(Data!$B$5)-ROW(Data!B621),-200),0,400,1)=Data!A621))=1</f>
        <v>1</v>
      </c>
      <c r="Y621" s="26" t="b">
        <f t="array" aca="1" ref="Y621" ca="1">IF(UPPER(Data!C621)="START",SUM((OFFSET(Data!C621,MAX(ROW(Data!$C$5)-ROW(Data!C621),-200),0,400,1)="START")*(OFFSET(Data!A621,MAX(ROW(Data!$B$5)-ROW(Data!B621),-200),0,400,1)=Data!A621))=1,TRUE)</f>
        <v>1</v>
      </c>
      <c r="Z621" s="26" t="b">
        <f t="array" aca="1" ref="Z621" ca="1">IF(UPPER(Data!C621)="END",SUM((OFFSET(Data!C621,MAX(ROW(Data!$C$5)-ROW(Data!C621),-200),0,400,1)="END")*(OFFSET(Data!A621,MAX(ROW(Data!$B$5)-ROW(Data!B621),-200),0,400,1)=Data!A621))=1,TRUE)</f>
        <v>1</v>
      </c>
      <c r="AA621" s="26" t="b">
        <f>IF(Checks!C621,ISERROR(FIND("&amp;",Data!D621)),TRUE)</f>
        <v>1</v>
      </c>
      <c r="AB621" s="26" t="b">
        <f>IF(Checks!$C621,IF(AND(UPPER(Data!$C621)&lt;&gt;"START",UPPER(Data!$C621)&lt;&gt;"DATA OBJECT",Data!E621&lt;&gt;""),NOT(ISERROR(MATCH(Data!$A621&amp;"||"&amp;Data!E621,Key,0))),TRUE),TRUE)</f>
        <v>1</v>
      </c>
      <c r="AC621" s="27" t="b">
        <f>IF(Checks!C621,IF(UPPER(Data!C621)="END",Data!E621&lt;&gt;"",TRUE),TRUE)</f>
        <v>1</v>
      </c>
    </row>
    <row r="622" spans="1:29" x14ac:dyDescent="0.25">
      <c r="A622" s="1" t="str">
        <f>Data!A622&amp;"||"&amp;Data!B622</f>
        <v>Miscellaneous/subflow/irmifrs9_attribution_analysis.bpmn||001_03_00</v>
      </c>
      <c r="B622" s="19"/>
      <c r="C622" s="24" t="b">
        <f>AND(UPPER(Data!A622)&lt;&gt;"EMPTY",Data!B622&lt;&gt;"")</f>
        <v>1</v>
      </c>
      <c r="D622" s="1"/>
      <c r="E622" s="25" t="b">
        <f t="shared" ca="1" si="18"/>
        <v>1</v>
      </c>
      <c r="F622" s="26" t="b">
        <f ca="1">IF(UPPER(Data!C622)="SUB PROCESS",NOT(ISERROR(MATCH(RIGHT(Data!BY622,LEN(Data!BY622)-5),OFFSET(Data,0,0,ItemsCount,1),0))),TRUE)</f>
        <v>1</v>
      </c>
      <c r="G622" s="26" t="b">
        <f ca="1">IF(MID(UPPER(Data!A622),1,13)="MISCELLANEOUS",NOT(ISERROR(MATCH("path="&amp;Data!A622,OFFSET(Data,0,76,ItemsCount,1),0))),TRUE)</f>
        <v>1</v>
      </c>
      <c r="L622" s="25" t="b">
        <f t="shared" ca="1" si="19"/>
        <v>1</v>
      </c>
      <c r="M622" s="24" t="b">
        <f>IF(Checks!$C622,Data!A622&lt;&gt;"",TRUE)</f>
        <v>1</v>
      </c>
      <c r="N622" s="26" t="b">
        <f>IF(Checks!C622,Data!B622&lt;&gt;"",TRUE)</f>
        <v>1</v>
      </c>
      <c r="O622" s="26" t="b">
        <f>IF(Checks!C622,IF(AND(UPPER(Data!C622)="SERVICE TASK",UPPER(Data!BZ622)="TYPE=SAS"),NodeExists(TRIM(RIGHT(Data!CA622,LEN(Data!CA622)-FIND("=",Data!CA622)))),TRUE),TRUE)</f>
        <v>1</v>
      </c>
      <c r="P622" s="26" t="b">
        <f>IF(Checks!C622,IF(Data!C622="DATA OBJECT",OR(AND(Data!BW622&lt;&gt;"",Data!BX622=""),AND(Data!BW622="",Data!BX622&lt;&gt;"")),TRUE),TRUE)</f>
        <v>1</v>
      </c>
      <c r="Q622" s="26" t="b">
        <f>IF(Checks!C622,UPPER(RIGHT(Data!A622,5))=".BPMN",TRUE)</f>
        <v>1</v>
      </c>
      <c r="R622" s="26" t="b">
        <f>IF(Checks!C622,IF(UPPER(Data!C622)="SUB PROCESS",UPPER(RIGHT(Data!BY622,5))=".BPMN",TRUE),TRUE)</f>
        <v>1</v>
      </c>
      <c r="S622" s="26" t="b">
        <f>IF(Checks!C622,IF(UPPER(Data!C622)="SERVICE TASK",IF(UPPER(Data!BZ622)="TYPE=SAS",UPPER(RIGHT(Data!CA622,4))=".SAS",TRUE),TRUE),TRUE)</f>
        <v>1</v>
      </c>
      <c r="T622" s="26" t="b">
        <f>IF(Checks!C622,IF(Data!B622&lt;&gt;"",Data!D622&lt;&gt;"",TRUE),TRUE)</f>
        <v>1</v>
      </c>
      <c r="U622" s="26" t="b">
        <f ca="1">IF(Checks!C622,IF(UPPER(Data!C622)="DATA OBJECT",NOT(ISERROR(MATCH(Data!A622&amp;"||"&amp;Data!BW622&amp;Data!BX622,Key,0))),TRUE),TRUE)</f>
        <v>1</v>
      </c>
      <c r="V622" s="26" t="b">
        <f>IF(Checks!C622,IF(UPPER(Data!C622)="SUB PROCESS",Data!BY622&lt;&gt;"",TRUE),TRUE)</f>
        <v>1</v>
      </c>
      <c r="W622" s="26" t="b">
        <f>IF(Checks!C622,IF(UPPER(Data!C622)="SERVICE TASK",AND(Data!BZ622&lt;&gt;"",Data!CA622&lt;&gt;""),TRUE),TRUE)</f>
        <v>1</v>
      </c>
      <c r="X622" s="26" t="b">
        <f t="array" aca="1" ref="X622" ca="1">SUM((OFFSET(Data!B622,MAX(ROW(Data!$B$5)-ROW(Data!B622),-200),0,400,1)=Data!B622)*(OFFSET(Data!A622,MAX(ROW(Data!$B$5)-ROW(Data!B622),-200),0,400,1)=Data!A622))=1</f>
        <v>1</v>
      </c>
      <c r="Y622" s="26" t="b">
        <f t="array" aca="1" ref="Y622" ca="1">IF(UPPER(Data!C622)="START",SUM((OFFSET(Data!C622,MAX(ROW(Data!$C$5)-ROW(Data!C622),-200),0,400,1)="START")*(OFFSET(Data!A622,MAX(ROW(Data!$B$5)-ROW(Data!B622),-200),0,400,1)=Data!A622))=1,TRUE)</f>
        <v>1</v>
      </c>
      <c r="Z622" s="26" t="b">
        <f t="array" aca="1" ref="Z622" ca="1">IF(UPPER(Data!C622)="END",SUM((OFFSET(Data!C622,MAX(ROW(Data!$C$5)-ROW(Data!C622),-200),0,400,1)="END")*(OFFSET(Data!A622,MAX(ROW(Data!$B$5)-ROW(Data!B622),-200),0,400,1)=Data!A622))=1,TRUE)</f>
        <v>1</v>
      </c>
      <c r="AA622" s="26" t="b">
        <f>IF(Checks!C622,ISERROR(FIND("&amp;",Data!D622)),TRUE)</f>
        <v>1</v>
      </c>
      <c r="AB622" s="26" t="b">
        <f>IF(Checks!$C622,IF(AND(UPPER(Data!$C622)&lt;&gt;"START",UPPER(Data!$C622)&lt;&gt;"DATA OBJECT",Data!E622&lt;&gt;""),NOT(ISERROR(MATCH(Data!$A622&amp;"||"&amp;Data!E622,Key,0))),TRUE),TRUE)</f>
        <v>1</v>
      </c>
      <c r="AC622" s="27" t="b">
        <f>IF(Checks!C622,IF(UPPER(Data!C622)="END",Data!E622&lt;&gt;"",TRUE),TRUE)</f>
        <v>1</v>
      </c>
    </row>
    <row r="623" spans="1:29" x14ac:dyDescent="0.25">
      <c r="A623" s="1" t="str">
        <f>Data!A623&amp;"||"&amp;Data!B623</f>
        <v>Miscellaneous/subflow/irmifrs9_attribution_analysis.bpmn||010_00_00</v>
      </c>
      <c r="B623" s="19"/>
      <c r="C623" s="24" t="b">
        <f>AND(UPPER(Data!A623)&lt;&gt;"EMPTY",Data!B623&lt;&gt;"")</f>
        <v>1</v>
      </c>
      <c r="D623" s="1"/>
      <c r="E623" s="25" t="b">
        <f t="shared" ca="1" si="18"/>
        <v>1</v>
      </c>
      <c r="F623" s="26" t="b">
        <f ca="1">IF(UPPER(Data!C623)="SUB PROCESS",NOT(ISERROR(MATCH(RIGHT(Data!BY623,LEN(Data!BY623)-5),OFFSET(Data,0,0,ItemsCount,1),0))),TRUE)</f>
        <v>1</v>
      </c>
      <c r="G623" s="26" t="b">
        <f ca="1">IF(MID(UPPER(Data!A623),1,13)="MISCELLANEOUS",NOT(ISERROR(MATCH("path="&amp;Data!A623,OFFSET(Data,0,76,ItemsCount,1),0))),TRUE)</f>
        <v>1</v>
      </c>
      <c r="L623" s="25" t="b">
        <f t="shared" ca="1" si="19"/>
        <v>1</v>
      </c>
      <c r="M623" s="24" t="b">
        <f>IF(Checks!$C623,Data!A623&lt;&gt;"",TRUE)</f>
        <v>1</v>
      </c>
      <c r="N623" s="26" t="b">
        <f>IF(Checks!C623,Data!B623&lt;&gt;"",TRUE)</f>
        <v>1</v>
      </c>
      <c r="O623" s="26" t="b">
        <f>IF(Checks!C623,IF(AND(UPPER(Data!C623)="SERVICE TASK",UPPER(Data!BZ623)="TYPE=SAS"),NodeExists(TRIM(RIGHT(Data!CA623,LEN(Data!CA623)-FIND("=",Data!CA623)))),TRUE),TRUE)</f>
        <v>1</v>
      </c>
      <c r="P623" s="26" t="b">
        <f>IF(Checks!C623,IF(Data!C623="DATA OBJECT",OR(AND(Data!BW623&lt;&gt;"",Data!BX623=""),AND(Data!BW623="",Data!BX623&lt;&gt;"")),TRUE),TRUE)</f>
        <v>1</v>
      </c>
      <c r="Q623" s="26" t="b">
        <f>IF(Checks!C623,UPPER(RIGHT(Data!A623,5))=".BPMN",TRUE)</f>
        <v>1</v>
      </c>
      <c r="R623" s="26" t="b">
        <f>IF(Checks!C623,IF(UPPER(Data!C623)="SUB PROCESS",UPPER(RIGHT(Data!BY623,5))=".BPMN",TRUE),TRUE)</f>
        <v>1</v>
      </c>
      <c r="S623" s="26" t="b">
        <f>IF(Checks!C623,IF(UPPER(Data!C623)="SERVICE TASK",IF(UPPER(Data!BZ623)="TYPE=SAS",UPPER(RIGHT(Data!CA623,4))=".SAS",TRUE),TRUE),TRUE)</f>
        <v>1</v>
      </c>
      <c r="T623" s="26" t="b">
        <f>IF(Checks!C623,IF(Data!B623&lt;&gt;"",Data!D623&lt;&gt;"",TRUE),TRUE)</f>
        <v>1</v>
      </c>
      <c r="U623" s="26" t="b">
        <f>IF(Checks!C623,IF(UPPER(Data!C623)="DATA OBJECT",NOT(ISERROR(MATCH(Data!A623&amp;"||"&amp;Data!BW623&amp;Data!BX623,Key,0))),TRUE),TRUE)</f>
        <v>1</v>
      </c>
      <c r="V623" s="26" t="b">
        <f>IF(Checks!C623,IF(UPPER(Data!C623)="SUB PROCESS",Data!BY623&lt;&gt;"",TRUE),TRUE)</f>
        <v>1</v>
      </c>
      <c r="W623" s="26" t="b">
        <f>IF(Checks!C623,IF(UPPER(Data!C623)="SERVICE TASK",AND(Data!BZ623&lt;&gt;"",Data!CA623&lt;&gt;""),TRUE),TRUE)</f>
        <v>1</v>
      </c>
      <c r="X623" s="26" t="b">
        <f t="array" aca="1" ref="X623" ca="1">SUM((OFFSET(Data!B623,MAX(ROW(Data!$B$5)-ROW(Data!B623),-200),0,400,1)=Data!B623)*(OFFSET(Data!A623,MAX(ROW(Data!$B$5)-ROW(Data!B623),-200),0,400,1)=Data!A623))=1</f>
        <v>1</v>
      </c>
      <c r="Y623" s="26" t="b">
        <f t="array" aca="1" ref="Y623" ca="1">IF(UPPER(Data!C623)="START",SUM((OFFSET(Data!C623,MAX(ROW(Data!$C$5)-ROW(Data!C623),-200),0,400,1)="START")*(OFFSET(Data!A623,MAX(ROW(Data!$B$5)-ROW(Data!B623),-200),0,400,1)=Data!A623))=1,TRUE)</f>
        <v>1</v>
      </c>
      <c r="Z623" s="26" t="b">
        <f t="array" aca="1" ref="Z623" ca="1">IF(UPPER(Data!C623)="END",SUM((OFFSET(Data!C623,MAX(ROW(Data!$C$5)-ROW(Data!C623),-200),0,400,1)="END")*(OFFSET(Data!A623,MAX(ROW(Data!$B$5)-ROW(Data!B623),-200),0,400,1)=Data!A623))=1,TRUE)</f>
        <v>1</v>
      </c>
      <c r="AA623" s="26" t="b">
        <f>IF(Checks!C623,ISERROR(FIND("&amp;",Data!D623)),TRUE)</f>
        <v>1</v>
      </c>
      <c r="AB623" s="26" t="b">
        <f ca="1">IF(Checks!$C623,IF(AND(UPPER(Data!$C623)&lt;&gt;"START",UPPER(Data!$C623)&lt;&gt;"DATA OBJECT",Data!E623&lt;&gt;""),NOT(ISERROR(MATCH(Data!$A623&amp;"||"&amp;Data!E623,Key,0))),TRUE),TRUE)</f>
        <v>1</v>
      </c>
      <c r="AC623" s="27" t="b">
        <f>IF(Checks!C623,IF(UPPER(Data!C623)="END",Data!E623&lt;&gt;"",TRUE),TRUE)</f>
        <v>1</v>
      </c>
    </row>
    <row r="624" spans="1:29" x14ac:dyDescent="0.25">
      <c r="A624" s="1" t="str">
        <f>Data!A624&amp;"||"&amp;Data!B624</f>
        <v>Miscellaneous/subflow/irmifrs9_attribution_analysis.bpmn||010_00_01</v>
      </c>
      <c r="B624" s="19"/>
      <c r="C624" s="24" t="b">
        <f>AND(UPPER(Data!A624)&lt;&gt;"EMPTY",Data!B624&lt;&gt;"")</f>
        <v>1</v>
      </c>
      <c r="D624" s="1"/>
      <c r="E624" s="25" t="b">
        <f t="shared" ca="1" si="18"/>
        <v>1</v>
      </c>
      <c r="F624" s="26" t="b">
        <f ca="1">IF(UPPER(Data!C624)="SUB PROCESS",NOT(ISERROR(MATCH(RIGHT(Data!BY624,LEN(Data!BY624)-5),OFFSET(Data,0,0,ItemsCount,1),0))),TRUE)</f>
        <v>1</v>
      </c>
      <c r="G624" s="26" t="b">
        <f ca="1">IF(MID(UPPER(Data!A624),1,13)="MISCELLANEOUS",NOT(ISERROR(MATCH("path="&amp;Data!A624,OFFSET(Data,0,76,ItemsCount,1),0))),TRUE)</f>
        <v>1</v>
      </c>
      <c r="L624" s="25" t="b">
        <f t="shared" ca="1" si="19"/>
        <v>1</v>
      </c>
      <c r="M624" s="24" t="b">
        <f>IF(Checks!$C624,Data!A624&lt;&gt;"",TRUE)</f>
        <v>1</v>
      </c>
      <c r="N624" s="26" t="b">
        <f>IF(Checks!C624,Data!B624&lt;&gt;"",TRUE)</f>
        <v>1</v>
      </c>
      <c r="O624" s="26" t="b">
        <f>IF(Checks!C624,IF(AND(UPPER(Data!C624)="SERVICE TASK",UPPER(Data!BZ624)="TYPE=SAS"),NodeExists(TRIM(RIGHT(Data!CA624,LEN(Data!CA624)-FIND("=",Data!CA624)))),TRUE),TRUE)</f>
        <v>1</v>
      </c>
      <c r="P624" s="26" t="b">
        <f>IF(Checks!C624,IF(Data!C624="DATA OBJECT",OR(AND(Data!BW624&lt;&gt;"",Data!BX624=""),AND(Data!BW624="",Data!BX624&lt;&gt;"")),TRUE),TRUE)</f>
        <v>1</v>
      </c>
      <c r="Q624" s="26" t="b">
        <f>IF(Checks!C624,UPPER(RIGHT(Data!A624,5))=".BPMN",TRUE)</f>
        <v>1</v>
      </c>
      <c r="R624" s="26" t="b">
        <f>IF(Checks!C624,IF(UPPER(Data!C624)="SUB PROCESS",UPPER(RIGHT(Data!BY624,5))=".BPMN",TRUE),TRUE)</f>
        <v>1</v>
      </c>
      <c r="S624" s="26" t="b">
        <f>IF(Checks!C624,IF(UPPER(Data!C624)="SERVICE TASK",IF(UPPER(Data!BZ624)="TYPE=SAS",UPPER(RIGHT(Data!CA624,4))=".SAS",TRUE),TRUE),TRUE)</f>
        <v>1</v>
      </c>
      <c r="T624" s="26" t="b">
        <f>IF(Checks!C624,IF(Data!B624&lt;&gt;"",Data!D624&lt;&gt;"",TRUE),TRUE)</f>
        <v>1</v>
      </c>
      <c r="U624" s="26" t="b">
        <f ca="1">IF(Checks!C624,IF(UPPER(Data!C624)="DATA OBJECT",NOT(ISERROR(MATCH(Data!A624&amp;"||"&amp;Data!BW624&amp;Data!BX624,Key,0))),TRUE),TRUE)</f>
        <v>1</v>
      </c>
      <c r="V624" s="26" t="b">
        <f>IF(Checks!C624,IF(UPPER(Data!C624)="SUB PROCESS",Data!BY624&lt;&gt;"",TRUE),TRUE)</f>
        <v>1</v>
      </c>
      <c r="W624" s="26" t="b">
        <f>IF(Checks!C624,IF(UPPER(Data!C624)="SERVICE TASK",AND(Data!BZ624&lt;&gt;"",Data!CA624&lt;&gt;""),TRUE),TRUE)</f>
        <v>1</v>
      </c>
      <c r="X624" s="26" t="b">
        <f t="array" aca="1" ref="X624" ca="1">SUM((OFFSET(Data!B624,MAX(ROW(Data!$B$5)-ROW(Data!B624),-200),0,400,1)=Data!B624)*(OFFSET(Data!A624,MAX(ROW(Data!$B$5)-ROW(Data!B624),-200),0,400,1)=Data!A624))=1</f>
        <v>1</v>
      </c>
      <c r="Y624" s="26" t="b">
        <f t="array" aca="1" ref="Y624" ca="1">IF(UPPER(Data!C624)="START",SUM((OFFSET(Data!C624,MAX(ROW(Data!$C$5)-ROW(Data!C624),-200),0,400,1)="START")*(OFFSET(Data!A624,MAX(ROW(Data!$B$5)-ROW(Data!B624),-200),0,400,1)=Data!A624))=1,TRUE)</f>
        <v>1</v>
      </c>
      <c r="Z624" s="26" t="b">
        <f t="array" aca="1" ref="Z624" ca="1">IF(UPPER(Data!C624)="END",SUM((OFFSET(Data!C624,MAX(ROW(Data!$C$5)-ROW(Data!C624),-200),0,400,1)="END")*(OFFSET(Data!A624,MAX(ROW(Data!$B$5)-ROW(Data!B624),-200),0,400,1)=Data!A624))=1,TRUE)</f>
        <v>1</v>
      </c>
      <c r="AA624" s="26" t="b">
        <f>IF(Checks!C624,ISERROR(FIND("&amp;",Data!D624)),TRUE)</f>
        <v>1</v>
      </c>
      <c r="AB624" s="26" t="b">
        <f>IF(Checks!$C624,IF(AND(UPPER(Data!$C624)&lt;&gt;"START",UPPER(Data!$C624)&lt;&gt;"DATA OBJECT",Data!E624&lt;&gt;""),NOT(ISERROR(MATCH(Data!$A624&amp;"||"&amp;Data!E624,Key,0))),TRUE),TRUE)</f>
        <v>1</v>
      </c>
      <c r="AC624" s="27" t="b">
        <f>IF(Checks!C624,IF(UPPER(Data!C624)="END",Data!E624&lt;&gt;"",TRUE),TRUE)</f>
        <v>1</v>
      </c>
    </row>
    <row r="625" spans="1:29" x14ac:dyDescent="0.25">
      <c r="A625" s="1" t="str">
        <f>Data!A625&amp;"||"&amp;Data!B625</f>
        <v>Miscellaneous/subflow/irmifrs9_attribution_analysis.bpmn||010_00_02</v>
      </c>
      <c r="B625" s="19"/>
      <c r="C625" s="24" t="b">
        <f>AND(UPPER(Data!A625)&lt;&gt;"EMPTY",Data!B625&lt;&gt;"")</f>
        <v>1</v>
      </c>
      <c r="D625" s="1"/>
      <c r="E625" s="25" t="b">
        <f t="shared" ca="1" si="18"/>
        <v>1</v>
      </c>
      <c r="F625" s="26" t="b">
        <f ca="1">IF(UPPER(Data!C625)="SUB PROCESS",NOT(ISERROR(MATCH(RIGHT(Data!BY625,LEN(Data!BY625)-5),OFFSET(Data,0,0,ItemsCount,1),0))),TRUE)</f>
        <v>1</v>
      </c>
      <c r="G625" s="26" t="b">
        <f ca="1">IF(MID(UPPER(Data!A625),1,13)="MISCELLANEOUS",NOT(ISERROR(MATCH("path="&amp;Data!A625,OFFSET(Data,0,76,ItemsCount,1),0))),TRUE)</f>
        <v>1</v>
      </c>
      <c r="L625" s="25" t="b">
        <f t="shared" ca="1" si="19"/>
        <v>1</v>
      </c>
      <c r="M625" s="24" t="b">
        <f>IF(Checks!$C625,Data!A625&lt;&gt;"",TRUE)</f>
        <v>1</v>
      </c>
      <c r="N625" s="26" t="b">
        <f>IF(Checks!C625,Data!B625&lt;&gt;"",TRUE)</f>
        <v>1</v>
      </c>
      <c r="O625" s="26" t="b">
        <f>IF(Checks!C625,IF(AND(UPPER(Data!C625)="SERVICE TASK",UPPER(Data!BZ625)="TYPE=SAS"),NodeExists(TRIM(RIGHT(Data!CA625,LEN(Data!CA625)-FIND("=",Data!CA625)))),TRUE),TRUE)</f>
        <v>1</v>
      </c>
      <c r="P625" s="26" t="b">
        <f>IF(Checks!C625,IF(Data!C625="DATA OBJECT",OR(AND(Data!BW625&lt;&gt;"",Data!BX625=""),AND(Data!BW625="",Data!BX625&lt;&gt;"")),TRUE),TRUE)</f>
        <v>1</v>
      </c>
      <c r="Q625" s="26" t="b">
        <f>IF(Checks!C625,UPPER(RIGHT(Data!A625,5))=".BPMN",TRUE)</f>
        <v>1</v>
      </c>
      <c r="R625" s="26" t="b">
        <f>IF(Checks!C625,IF(UPPER(Data!C625)="SUB PROCESS",UPPER(RIGHT(Data!BY625,5))=".BPMN",TRUE),TRUE)</f>
        <v>1</v>
      </c>
      <c r="S625" s="26" t="b">
        <f>IF(Checks!C625,IF(UPPER(Data!C625)="SERVICE TASK",IF(UPPER(Data!BZ625)="TYPE=SAS",UPPER(RIGHT(Data!CA625,4))=".SAS",TRUE),TRUE),TRUE)</f>
        <v>1</v>
      </c>
      <c r="T625" s="26" t="b">
        <f>IF(Checks!C625,IF(Data!B625&lt;&gt;"",Data!D625&lt;&gt;"",TRUE),TRUE)</f>
        <v>1</v>
      </c>
      <c r="U625" s="26" t="b">
        <f ca="1">IF(Checks!C625,IF(UPPER(Data!C625)="DATA OBJECT",NOT(ISERROR(MATCH(Data!A625&amp;"||"&amp;Data!BW625&amp;Data!BX625,Key,0))),TRUE),TRUE)</f>
        <v>1</v>
      </c>
      <c r="V625" s="26" t="b">
        <f>IF(Checks!C625,IF(UPPER(Data!C625)="SUB PROCESS",Data!BY625&lt;&gt;"",TRUE),TRUE)</f>
        <v>1</v>
      </c>
      <c r="W625" s="26" t="b">
        <f>IF(Checks!C625,IF(UPPER(Data!C625)="SERVICE TASK",AND(Data!BZ625&lt;&gt;"",Data!CA625&lt;&gt;""),TRUE),TRUE)</f>
        <v>1</v>
      </c>
      <c r="X625" s="26" t="b">
        <f t="array" aca="1" ref="X625" ca="1">SUM((OFFSET(Data!B625,MAX(ROW(Data!$B$5)-ROW(Data!B625),-200),0,400,1)=Data!B625)*(OFFSET(Data!A625,MAX(ROW(Data!$B$5)-ROW(Data!B625),-200),0,400,1)=Data!A625))=1</f>
        <v>1</v>
      </c>
      <c r="Y625" s="26" t="b">
        <f t="array" aca="1" ref="Y625" ca="1">IF(UPPER(Data!C625)="START",SUM((OFFSET(Data!C625,MAX(ROW(Data!$C$5)-ROW(Data!C625),-200),0,400,1)="START")*(OFFSET(Data!A625,MAX(ROW(Data!$B$5)-ROW(Data!B625),-200),0,400,1)=Data!A625))=1,TRUE)</f>
        <v>1</v>
      </c>
      <c r="Z625" s="26" t="b">
        <f t="array" aca="1" ref="Z625" ca="1">IF(UPPER(Data!C625)="END",SUM((OFFSET(Data!C625,MAX(ROW(Data!$C$5)-ROW(Data!C625),-200),0,400,1)="END")*(OFFSET(Data!A625,MAX(ROW(Data!$B$5)-ROW(Data!B625),-200),0,400,1)=Data!A625))=1,TRUE)</f>
        <v>1</v>
      </c>
      <c r="AA625" s="26" t="b">
        <f>IF(Checks!C625,ISERROR(FIND("&amp;",Data!D625)),TRUE)</f>
        <v>1</v>
      </c>
      <c r="AB625" s="26" t="b">
        <f>IF(Checks!$C625,IF(AND(UPPER(Data!$C625)&lt;&gt;"START",UPPER(Data!$C625)&lt;&gt;"DATA OBJECT",Data!E625&lt;&gt;""),NOT(ISERROR(MATCH(Data!$A625&amp;"||"&amp;Data!E625,Key,0))),TRUE),TRUE)</f>
        <v>1</v>
      </c>
      <c r="AC625" s="27" t="b">
        <f>IF(Checks!C625,IF(UPPER(Data!C625)="END",Data!E625&lt;&gt;"",TRUE),TRUE)</f>
        <v>1</v>
      </c>
    </row>
    <row r="626" spans="1:29" x14ac:dyDescent="0.25">
      <c r="A626" s="1" t="str">
        <f>Data!A626&amp;"||"&amp;Data!B626</f>
        <v>Miscellaneous/subflow/irmifrs9_attribution_analysis.bpmn||010_01_00</v>
      </c>
      <c r="B626" s="19"/>
      <c r="C626" s="24" t="b">
        <f>AND(UPPER(Data!A626)&lt;&gt;"EMPTY",Data!B626&lt;&gt;"")</f>
        <v>1</v>
      </c>
      <c r="D626" s="1"/>
      <c r="E626" s="25" t="b">
        <f t="shared" ca="1" si="18"/>
        <v>1</v>
      </c>
      <c r="F626" s="26" t="b">
        <f ca="1">IF(UPPER(Data!C626)="SUB PROCESS",NOT(ISERROR(MATCH(RIGHT(Data!BY626,LEN(Data!BY626)-5),OFFSET(Data,0,0,ItemsCount,1),0))),TRUE)</f>
        <v>1</v>
      </c>
      <c r="G626" s="26" t="b">
        <f ca="1">IF(MID(UPPER(Data!A626),1,13)="MISCELLANEOUS",NOT(ISERROR(MATCH("path="&amp;Data!A626,OFFSET(Data,0,76,ItemsCount,1),0))),TRUE)</f>
        <v>1</v>
      </c>
      <c r="L626" s="25" t="b">
        <f t="shared" ca="1" si="19"/>
        <v>1</v>
      </c>
      <c r="M626" s="24" t="b">
        <f>IF(Checks!$C626,Data!A626&lt;&gt;"",TRUE)</f>
        <v>1</v>
      </c>
      <c r="N626" s="26" t="b">
        <f>IF(Checks!C626,Data!B626&lt;&gt;"",TRUE)</f>
        <v>1</v>
      </c>
      <c r="O626" s="26" t="b">
        <f>IF(Checks!C626,IF(AND(UPPER(Data!C626)="SERVICE TASK",UPPER(Data!BZ626)="TYPE=SAS"),NodeExists(TRIM(RIGHT(Data!CA626,LEN(Data!CA626)-FIND("=",Data!CA626)))),TRUE),TRUE)</f>
        <v>1</v>
      </c>
      <c r="P626" s="26" t="b">
        <f>IF(Checks!C626,IF(Data!C626="DATA OBJECT",OR(AND(Data!BW626&lt;&gt;"",Data!BX626=""),AND(Data!BW626="",Data!BX626&lt;&gt;"")),TRUE),TRUE)</f>
        <v>1</v>
      </c>
      <c r="Q626" s="26" t="b">
        <f>IF(Checks!C626,UPPER(RIGHT(Data!A626,5))=".BPMN",TRUE)</f>
        <v>1</v>
      </c>
      <c r="R626" s="26" t="b">
        <f>IF(Checks!C626,IF(UPPER(Data!C626)="SUB PROCESS",UPPER(RIGHT(Data!BY626,5))=".BPMN",TRUE),TRUE)</f>
        <v>1</v>
      </c>
      <c r="S626" s="26" t="b">
        <f>IF(Checks!C626,IF(UPPER(Data!C626)="SERVICE TASK",IF(UPPER(Data!BZ626)="TYPE=SAS",UPPER(RIGHT(Data!CA626,4))=".SAS",TRUE),TRUE),TRUE)</f>
        <v>1</v>
      </c>
      <c r="T626" s="26" t="b">
        <f>IF(Checks!C626,IF(Data!B626&lt;&gt;"",Data!D626&lt;&gt;"",TRUE),TRUE)</f>
        <v>1</v>
      </c>
      <c r="U626" s="26" t="b">
        <f ca="1">IF(Checks!C626,IF(UPPER(Data!C626)="DATA OBJECT",NOT(ISERROR(MATCH(Data!A626&amp;"||"&amp;Data!BW626&amp;Data!BX626,Key,0))),TRUE),TRUE)</f>
        <v>1</v>
      </c>
      <c r="V626" s="26" t="b">
        <f>IF(Checks!C626,IF(UPPER(Data!C626)="SUB PROCESS",Data!BY626&lt;&gt;"",TRUE),TRUE)</f>
        <v>1</v>
      </c>
      <c r="W626" s="26" t="b">
        <f>IF(Checks!C626,IF(UPPER(Data!C626)="SERVICE TASK",AND(Data!BZ626&lt;&gt;"",Data!CA626&lt;&gt;""),TRUE),TRUE)</f>
        <v>1</v>
      </c>
      <c r="X626" s="26" t="b">
        <f t="array" aca="1" ref="X626" ca="1">SUM((OFFSET(Data!B626,MAX(ROW(Data!$B$5)-ROW(Data!B626),-200),0,400,1)=Data!B626)*(OFFSET(Data!A626,MAX(ROW(Data!$B$5)-ROW(Data!B626),-200),0,400,1)=Data!A626))=1</f>
        <v>1</v>
      </c>
      <c r="Y626" s="26" t="b">
        <f t="array" aca="1" ref="Y626" ca="1">IF(UPPER(Data!C626)="START",SUM((OFFSET(Data!C626,MAX(ROW(Data!$C$5)-ROW(Data!C626),-200),0,400,1)="START")*(OFFSET(Data!A626,MAX(ROW(Data!$B$5)-ROW(Data!B626),-200),0,400,1)=Data!A626))=1,TRUE)</f>
        <v>1</v>
      </c>
      <c r="Z626" s="26" t="b">
        <f t="array" aca="1" ref="Z626" ca="1">IF(UPPER(Data!C626)="END",SUM((OFFSET(Data!C626,MAX(ROW(Data!$C$5)-ROW(Data!C626),-200),0,400,1)="END")*(OFFSET(Data!A626,MAX(ROW(Data!$B$5)-ROW(Data!B626),-200),0,400,1)=Data!A626))=1,TRUE)</f>
        <v>1</v>
      </c>
      <c r="AA626" s="26" t="b">
        <f>IF(Checks!C626,ISERROR(FIND("&amp;",Data!D626)),TRUE)</f>
        <v>1</v>
      </c>
      <c r="AB626" s="26" t="b">
        <f>IF(Checks!$C626,IF(AND(UPPER(Data!$C626)&lt;&gt;"START",UPPER(Data!$C626)&lt;&gt;"DATA OBJECT",Data!E626&lt;&gt;""),NOT(ISERROR(MATCH(Data!$A626&amp;"||"&amp;Data!E626,Key,0))),TRUE),TRUE)</f>
        <v>1</v>
      </c>
      <c r="AC626" s="27" t="b">
        <f>IF(Checks!C626,IF(UPPER(Data!C626)="END",Data!E626&lt;&gt;"",TRUE),TRUE)</f>
        <v>1</v>
      </c>
    </row>
    <row r="627" spans="1:29" x14ac:dyDescent="0.25">
      <c r="A627" s="1" t="str">
        <f>Data!A627&amp;"||"&amp;Data!B627</f>
        <v>Miscellaneous/subflow/irmifrs9_attribution_analysis.bpmn||020_00_00</v>
      </c>
      <c r="B627" s="19"/>
      <c r="C627" s="24" t="b">
        <f>AND(UPPER(Data!A627)&lt;&gt;"EMPTY",Data!B627&lt;&gt;"")</f>
        <v>1</v>
      </c>
      <c r="D627" s="1"/>
      <c r="E627" s="25" t="b">
        <f t="shared" ca="1" si="18"/>
        <v>1</v>
      </c>
      <c r="F627" s="26" t="b">
        <f ca="1">IF(UPPER(Data!C627)="SUB PROCESS",NOT(ISERROR(MATCH(RIGHT(Data!BY627,LEN(Data!BY627)-5),OFFSET(Data,0,0,ItemsCount,1),0))),TRUE)</f>
        <v>1</v>
      </c>
      <c r="G627" s="26" t="b">
        <f ca="1">IF(MID(UPPER(Data!A627),1,13)="MISCELLANEOUS",NOT(ISERROR(MATCH("path="&amp;Data!A627,OFFSET(Data,0,76,ItemsCount,1),0))),TRUE)</f>
        <v>1</v>
      </c>
      <c r="L627" s="25" t="b">
        <f t="shared" ca="1" si="19"/>
        <v>1</v>
      </c>
      <c r="M627" s="24" t="b">
        <f>IF(Checks!$C627,Data!A627&lt;&gt;"",TRUE)</f>
        <v>1</v>
      </c>
      <c r="N627" s="26" t="b">
        <f>IF(Checks!C627,Data!B627&lt;&gt;"",TRUE)</f>
        <v>1</v>
      </c>
      <c r="O627" s="26" t="b">
        <f>IF(Checks!C627,IF(AND(UPPER(Data!C627)="SERVICE TASK",UPPER(Data!BZ627)="TYPE=SAS"),NodeExists(TRIM(RIGHT(Data!CA627,LEN(Data!CA627)-FIND("=",Data!CA627)))),TRUE),TRUE)</f>
        <v>1</v>
      </c>
      <c r="P627" s="26" t="b">
        <f>IF(Checks!C627,IF(Data!C627="DATA OBJECT",OR(AND(Data!BW627&lt;&gt;"",Data!BX627=""),AND(Data!BW627="",Data!BX627&lt;&gt;"")),TRUE),TRUE)</f>
        <v>1</v>
      </c>
      <c r="Q627" s="26" t="b">
        <f>IF(Checks!C627,UPPER(RIGHT(Data!A627,5))=".BPMN",TRUE)</f>
        <v>1</v>
      </c>
      <c r="R627" s="26" t="b">
        <f>IF(Checks!C627,IF(UPPER(Data!C627)="SUB PROCESS",UPPER(RIGHT(Data!BY627,5))=".BPMN",TRUE),TRUE)</f>
        <v>1</v>
      </c>
      <c r="S627" s="26" t="b">
        <f>IF(Checks!C627,IF(UPPER(Data!C627)="SERVICE TASK",IF(UPPER(Data!BZ627)="TYPE=SAS",UPPER(RIGHT(Data!CA627,4))=".SAS",TRUE),TRUE),TRUE)</f>
        <v>1</v>
      </c>
      <c r="T627" s="26" t="b">
        <f>IF(Checks!C627,IF(Data!B627&lt;&gt;"",Data!D627&lt;&gt;"",TRUE),TRUE)</f>
        <v>1</v>
      </c>
      <c r="U627" s="26" t="b">
        <f>IF(Checks!C627,IF(UPPER(Data!C627)="DATA OBJECT",NOT(ISERROR(MATCH(Data!A627&amp;"||"&amp;Data!BW627&amp;Data!BX627,Key,0))),TRUE),TRUE)</f>
        <v>1</v>
      </c>
      <c r="V627" s="26" t="b">
        <f>IF(Checks!C627,IF(UPPER(Data!C627)="SUB PROCESS",Data!BY627&lt;&gt;"",TRUE),TRUE)</f>
        <v>1</v>
      </c>
      <c r="W627" s="26" t="b">
        <f>IF(Checks!C627,IF(UPPER(Data!C627)="SERVICE TASK",AND(Data!BZ627&lt;&gt;"",Data!CA627&lt;&gt;""),TRUE),TRUE)</f>
        <v>1</v>
      </c>
      <c r="X627" s="26" t="b">
        <f t="array" aca="1" ref="X627" ca="1">SUM((OFFSET(Data!B627,MAX(ROW(Data!$B$5)-ROW(Data!B627),-200),0,400,1)=Data!B627)*(OFFSET(Data!A627,MAX(ROW(Data!$B$5)-ROW(Data!B627),-200),0,400,1)=Data!A627))=1</f>
        <v>1</v>
      </c>
      <c r="Y627" s="26" t="b">
        <f t="array" aca="1" ref="Y627" ca="1">IF(UPPER(Data!C627)="START",SUM((OFFSET(Data!C627,MAX(ROW(Data!$C$5)-ROW(Data!C627),-200),0,400,1)="START")*(OFFSET(Data!A627,MAX(ROW(Data!$B$5)-ROW(Data!B627),-200),0,400,1)=Data!A627))=1,TRUE)</f>
        <v>1</v>
      </c>
      <c r="Z627" s="26" t="b">
        <f t="array" aca="1" ref="Z627" ca="1">IF(UPPER(Data!C627)="END",SUM((OFFSET(Data!C627,MAX(ROW(Data!$C$5)-ROW(Data!C627),-200),0,400,1)="END")*(OFFSET(Data!A627,MAX(ROW(Data!$B$5)-ROW(Data!B627),-200),0,400,1)=Data!A627))=1,TRUE)</f>
        <v>1</v>
      </c>
      <c r="AA627" s="26" t="b">
        <f>IF(Checks!C627,ISERROR(FIND("&amp;",Data!D627)),TRUE)</f>
        <v>1</v>
      </c>
      <c r="AB627" s="26" t="b">
        <f ca="1">IF(Checks!$C627,IF(AND(UPPER(Data!$C627)&lt;&gt;"START",UPPER(Data!$C627)&lt;&gt;"DATA OBJECT",Data!E627&lt;&gt;""),NOT(ISERROR(MATCH(Data!$A627&amp;"||"&amp;Data!E627,Key,0))),TRUE),TRUE)</f>
        <v>1</v>
      </c>
      <c r="AC627" s="27" t="b">
        <f>IF(Checks!C627,IF(UPPER(Data!C627)="END",Data!E627&lt;&gt;"",TRUE),TRUE)</f>
        <v>1</v>
      </c>
    </row>
    <row r="628" spans="1:29" x14ac:dyDescent="0.25">
      <c r="A628" s="1" t="str">
        <f>Data!A628&amp;"||"&amp;Data!B628</f>
        <v>Miscellaneous/subflow/irmifrs9_attribution_analysis.bpmn||020_00_01</v>
      </c>
      <c r="B628" s="19"/>
      <c r="C628" s="24" t="b">
        <f>AND(UPPER(Data!A628)&lt;&gt;"EMPTY",Data!B628&lt;&gt;"")</f>
        <v>1</v>
      </c>
      <c r="D628" s="1"/>
      <c r="E628" s="25" t="b">
        <f t="shared" ca="1" si="18"/>
        <v>1</v>
      </c>
      <c r="F628" s="26" t="b">
        <f ca="1">IF(UPPER(Data!C628)="SUB PROCESS",NOT(ISERROR(MATCH(RIGHT(Data!BY628,LEN(Data!BY628)-5),OFFSET(Data,0,0,ItemsCount,1),0))),TRUE)</f>
        <v>1</v>
      </c>
      <c r="G628" s="26" t="b">
        <f ca="1">IF(MID(UPPER(Data!A628),1,13)="MISCELLANEOUS",NOT(ISERROR(MATCH("path="&amp;Data!A628,OFFSET(Data,0,76,ItemsCount,1),0))),TRUE)</f>
        <v>1</v>
      </c>
      <c r="L628" s="25" t="b">
        <f t="shared" ca="1" si="19"/>
        <v>1</v>
      </c>
      <c r="M628" s="24" t="b">
        <f>IF(Checks!$C628,Data!A628&lt;&gt;"",TRUE)</f>
        <v>1</v>
      </c>
      <c r="N628" s="26" t="b">
        <f>IF(Checks!C628,Data!B628&lt;&gt;"",TRUE)</f>
        <v>1</v>
      </c>
      <c r="O628" s="26" t="b">
        <f>IF(Checks!C628,IF(AND(UPPER(Data!C628)="SERVICE TASK",UPPER(Data!BZ628)="TYPE=SAS"),NodeExists(TRIM(RIGHT(Data!CA628,LEN(Data!CA628)-FIND("=",Data!CA628)))),TRUE),TRUE)</f>
        <v>1</v>
      </c>
      <c r="P628" s="26" t="b">
        <f>IF(Checks!C628,IF(Data!C628="DATA OBJECT",OR(AND(Data!BW628&lt;&gt;"",Data!BX628=""),AND(Data!BW628="",Data!BX628&lt;&gt;"")),TRUE),TRUE)</f>
        <v>1</v>
      </c>
      <c r="Q628" s="26" t="b">
        <f>IF(Checks!C628,UPPER(RIGHT(Data!A628,5))=".BPMN",TRUE)</f>
        <v>1</v>
      </c>
      <c r="R628" s="26" t="b">
        <f>IF(Checks!C628,IF(UPPER(Data!C628)="SUB PROCESS",UPPER(RIGHT(Data!BY628,5))=".BPMN",TRUE),TRUE)</f>
        <v>1</v>
      </c>
      <c r="S628" s="26" t="b">
        <f>IF(Checks!C628,IF(UPPER(Data!C628)="SERVICE TASK",IF(UPPER(Data!BZ628)="TYPE=SAS",UPPER(RIGHT(Data!CA628,4))=".SAS",TRUE),TRUE),TRUE)</f>
        <v>1</v>
      </c>
      <c r="T628" s="26" t="b">
        <f>IF(Checks!C628,IF(Data!B628&lt;&gt;"",Data!D628&lt;&gt;"",TRUE),TRUE)</f>
        <v>1</v>
      </c>
      <c r="U628" s="26" t="b">
        <f ca="1">IF(Checks!C628,IF(UPPER(Data!C628)="DATA OBJECT",NOT(ISERROR(MATCH(Data!A628&amp;"||"&amp;Data!BW628&amp;Data!BX628,Key,0))),TRUE),TRUE)</f>
        <v>1</v>
      </c>
      <c r="V628" s="26" t="b">
        <f>IF(Checks!C628,IF(UPPER(Data!C628)="SUB PROCESS",Data!BY628&lt;&gt;"",TRUE),TRUE)</f>
        <v>1</v>
      </c>
      <c r="W628" s="26" t="b">
        <f>IF(Checks!C628,IF(UPPER(Data!C628)="SERVICE TASK",AND(Data!BZ628&lt;&gt;"",Data!CA628&lt;&gt;""),TRUE),TRUE)</f>
        <v>1</v>
      </c>
      <c r="X628" s="26" t="b">
        <f t="array" aca="1" ref="X628" ca="1">SUM((OFFSET(Data!B628,MAX(ROW(Data!$B$5)-ROW(Data!B628),-200),0,400,1)=Data!B628)*(OFFSET(Data!A628,MAX(ROW(Data!$B$5)-ROW(Data!B628),-200),0,400,1)=Data!A628))=1</f>
        <v>1</v>
      </c>
      <c r="Y628" s="26" t="b">
        <f t="array" aca="1" ref="Y628" ca="1">IF(UPPER(Data!C628)="START",SUM((OFFSET(Data!C628,MAX(ROW(Data!$C$5)-ROW(Data!C628),-200),0,400,1)="START")*(OFFSET(Data!A628,MAX(ROW(Data!$B$5)-ROW(Data!B628),-200),0,400,1)=Data!A628))=1,TRUE)</f>
        <v>1</v>
      </c>
      <c r="Z628" s="26" t="b">
        <f t="array" aca="1" ref="Z628" ca="1">IF(UPPER(Data!C628)="END",SUM((OFFSET(Data!C628,MAX(ROW(Data!$C$5)-ROW(Data!C628),-200),0,400,1)="END")*(OFFSET(Data!A628,MAX(ROW(Data!$B$5)-ROW(Data!B628),-200),0,400,1)=Data!A628))=1,TRUE)</f>
        <v>1</v>
      </c>
      <c r="AA628" s="26" t="b">
        <f>IF(Checks!C628,ISERROR(FIND("&amp;",Data!D628)),TRUE)</f>
        <v>1</v>
      </c>
      <c r="AB628" s="26" t="b">
        <f>IF(Checks!$C628,IF(AND(UPPER(Data!$C628)&lt;&gt;"START",UPPER(Data!$C628)&lt;&gt;"DATA OBJECT",Data!E628&lt;&gt;""),NOT(ISERROR(MATCH(Data!$A628&amp;"||"&amp;Data!E628,Key,0))),TRUE),TRUE)</f>
        <v>1</v>
      </c>
      <c r="AC628" s="27" t="b">
        <f>IF(Checks!C628,IF(UPPER(Data!C628)="END",Data!E628&lt;&gt;"",TRUE),TRUE)</f>
        <v>1</v>
      </c>
    </row>
    <row r="629" spans="1:29" x14ac:dyDescent="0.25">
      <c r="A629" s="1" t="str">
        <f>Data!A629&amp;"||"&amp;Data!B629</f>
        <v>Miscellaneous/subflow/irmifrs9_attribution_analysis.bpmn||020_00_02</v>
      </c>
      <c r="B629" s="19"/>
      <c r="C629" s="24" t="b">
        <f>AND(UPPER(Data!A629)&lt;&gt;"EMPTY",Data!B629&lt;&gt;"")</f>
        <v>1</v>
      </c>
      <c r="D629" s="1"/>
      <c r="E629" s="25" t="b">
        <f t="shared" ca="1" si="18"/>
        <v>1</v>
      </c>
      <c r="F629" s="26" t="b">
        <f ca="1">IF(UPPER(Data!C629)="SUB PROCESS",NOT(ISERROR(MATCH(RIGHT(Data!BY629,LEN(Data!BY629)-5),OFFSET(Data,0,0,ItemsCount,1),0))),TRUE)</f>
        <v>1</v>
      </c>
      <c r="G629" s="26" t="b">
        <f ca="1">IF(MID(UPPER(Data!A629),1,13)="MISCELLANEOUS",NOT(ISERROR(MATCH("path="&amp;Data!A629,OFFSET(Data,0,76,ItemsCount,1),0))),TRUE)</f>
        <v>1</v>
      </c>
      <c r="L629" s="25" t="b">
        <f t="shared" ca="1" si="19"/>
        <v>1</v>
      </c>
      <c r="M629" s="24" t="b">
        <f>IF(Checks!$C629,Data!A629&lt;&gt;"",TRUE)</f>
        <v>1</v>
      </c>
      <c r="N629" s="26" t="b">
        <f>IF(Checks!C629,Data!B629&lt;&gt;"",TRUE)</f>
        <v>1</v>
      </c>
      <c r="O629" s="26" t="b">
        <f>IF(Checks!C629,IF(AND(UPPER(Data!C629)="SERVICE TASK",UPPER(Data!BZ629)="TYPE=SAS"),NodeExists(TRIM(RIGHT(Data!CA629,LEN(Data!CA629)-FIND("=",Data!CA629)))),TRUE),TRUE)</f>
        <v>1</v>
      </c>
      <c r="P629" s="26" t="b">
        <f>IF(Checks!C629,IF(Data!C629="DATA OBJECT",OR(AND(Data!BW629&lt;&gt;"",Data!BX629=""),AND(Data!BW629="",Data!BX629&lt;&gt;"")),TRUE),TRUE)</f>
        <v>1</v>
      </c>
      <c r="Q629" s="26" t="b">
        <f>IF(Checks!C629,UPPER(RIGHT(Data!A629,5))=".BPMN",TRUE)</f>
        <v>1</v>
      </c>
      <c r="R629" s="26" t="b">
        <f>IF(Checks!C629,IF(UPPER(Data!C629)="SUB PROCESS",UPPER(RIGHT(Data!BY629,5))=".BPMN",TRUE),TRUE)</f>
        <v>1</v>
      </c>
      <c r="S629" s="26" t="b">
        <f>IF(Checks!C629,IF(UPPER(Data!C629)="SERVICE TASK",IF(UPPER(Data!BZ629)="TYPE=SAS",UPPER(RIGHT(Data!CA629,4))=".SAS",TRUE),TRUE),TRUE)</f>
        <v>1</v>
      </c>
      <c r="T629" s="26" t="b">
        <f>IF(Checks!C629,IF(Data!B629&lt;&gt;"",Data!D629&lt;&gt;"",TRUE),TRUE)</f>
        <v>1</v>
      </c>
      <c r="U629" s="26" t="b">
        <f ca="1">IF(Checks!C629,IF(UPPER(Data!C629)="DATA OBJECT",NOT(ISERROR(MATCH(Data!A629&amp;"||"&amp;Data!BW629&amp;Data!BX629,Key,0))),TRUE),TRUE)</f>
        <v>1</v>
      </c>
      <c r="V629" s="26" t="b">
        <f>IF(Checks!C629,IF(UPPER(Data!C629)="SUB PROCESS",Data!BY629&lt;&gt;"",TRUE),TRUE)</f>
        <v>1</v>
      </c>
      <c r="W629" s="26" t="b">
        <f>IF(Checks!C629,IF(UPPER(Data!C629)="SERVICE TASK",AND(Data!BZ629&lt;&gt;"",Data!CA629&lt;&gt;""),TRUE),TRUE)</f>
        <v>1</v>
      </c>
      <c r="X629" s="26" t="b">
        <f t="array" aca="1" ref="X629" ca="1">SUM((OFFSET(Data!B629,MAX(ROW(Data!$B$5)-ROW(Data!B629),-200),0,400,1)=Data!B629)*(OFFSET(Data!A629,MAX(ROW(Data!$B$5)-ROW(Data!B629),-200),0,400,1)=Data!A629))=1</f>
        <v>1</v>
      </c>
      <c r="Y629" s="26" t="b">
        <f t="array" aca="1" ref="Y629" ca="1">IF(UPPER(Data!C629)="START",SUM((OFFSET(Data!C629,MAX(ROW(Data!$C$5)-ROW(Data!C629),-200),0,400,1)="START")*(OFFSET(Data!A629,MAX(ROW(Data!$B$5)-ROW(Data!B629),-200),0,400,1)=Data!A629))=1,TRUE)</f>
        <v>1</v>
      </c>
      <c r="Z629" s="26" t="b">
        <f t="array" aca="1" ref="Z629" ca="1">IF(UPPER(Data!C629)="END",SUM((OFFSET(Data!C629,MAX(ROW(Data!$C$5)-ROW(Data!C629),-200),0,400,1)="END")*(OFFSET(Data!A629,MAX(ROW(Data!$B$5)-ROW(Data!B629),-200),0,400,1)=Data!A629))=1,TRUE)</f>
        <v>1</v>
      </c>
      <c r="AA629" s="26" t="b">
        <f>IF(Checks!C629,ISERROR(FIND("&amp;",Data!D629)),TRUE)</f>
        <v>1</v>
      </c>
      <c r="AB629" s="26" t="b">
        <f>IF(Checks!$C629,IF(AND(UPPER(Data!$C629)&lt;&gt;"START",UPPER(Data!$C629)&lt;&gt;"DATA OBJECT",Data!E629&lt;&gt;""),NOT(ISERROR(MATCH(Data!$A629&amp;"||"&amp;Data!E629,Key,0))),TRUE),TRUE)</f>
        <v>1</v>
      </c>
      <c r="AC629" s="27" t="b">
        <f>IF(Checks!C629,IF(UPPER(Data!C629)="END",Data!E629&lt;&gt;"",TRUE),TRUE)</f>
        <v>1</v>
      </c>
    </row>
    <row r="630" spans="1:29" x14ac:dyDescent="0.25">
      <c r="A630" s="1" t="str">
        <f>Data!A630&amp;"||"&amp;Data!B630</f>
        <v>Miscellaneous/subflow/irmifrs9_attribution_analysis.bpmn||020_00_03</v>
      </c>
      <c r="B630" s="19"/>
      <c r="C630" s="24" t="b">
        <f>AND(UPPER(Data!A630)&lt;&gt;"EMPTY",Data!B630&lt;&gt;"")</f>
        <v>1</v>
      </c>
      <c r="D630" s="1"/>
      <c r="E630" s="25" t="b">
        <f t="shared" ca="1" si="18"/>
        <v>1</v>
      </c>
      <c r="F630" s="26" t="b">
        <f ca="1">IF(UPPER(Data!C630)="SUB PROCESS",NOT(ISERROR(MATCH(RIGHT(Data!BY630,LEN(Data!BY630)-5),OFFSET(Data,0,0,ItemsCount,1),0))),TRUE)</f>
        <v>1</v>
      </c>
      <c r="G630" s="26" t="b">
        <f ca="1">IF(MID(UPPER(Data!A630),1,13)="MISCELLANEOUS",NOT(ISERROR(MATCH("path="&amp;Data!A630,OFFSET(Data,0,76,ItemsCount,1),0))),TRUE)</f>
        <v>1</v>
      </c>
      <c r="L630" s="25" t="b">
        <f t="shared" ca="1" si="19"/>
        <v>1</v>
      </c>
      <c r="M630" s="24" t="b">
        <f>IF(Checks!$C630,Data!A630&lt;&gt;"",TRUE)</f>
        <v>1</v>
      </c>
      <c r="N630" s="26" t="b">
        <f>IF(Checks!C630,Data!B630&lt;&gt;"",TRUE)</f>
        <v>1</v>
      </c>
      <c r="O630" s="26" t="b">
        <f>IF(Checks!C630,IF(AND(UPPER(Data!C630)="SERVICE TASK",UPPER(Data!BZ630)="TYPE=SAS"),NodeExists(TRIM(RIGHT(Data!CA630,LEN(Data!CA630)-FIND("=",Data!CA630)))),TRUE),TRUE)</f>
        <v>1</v>
      </c>
      <c r="P630" s="26" t="b">
        <f>IF(Checks!C630,IF(Data!C630="DATA OBJECT",OR(AND(Data!BW630&lt;&gt;"",Data!BX630=""),AND(Data!BW630="",Data!BX630&lt;&gt;"")),TRUE),TRUE)</f>
        <v>1</v>
      </c>
      <c r="Q630" s="26" t="b">
        <f>IF(Checks!C630,UPPER(RIGHT(Data!A630,5))=".BPMN",TRUE)</f>
        <v>1</v>
      </c>
      <c r="R630" s="26" t="b">
        <f>IF(Checks!C630,IF(UPPER(Data!C630)="SUB PROCESS",UPPER(RIGHT(Data!BY630,5))=".BPMN",TRUE),TRUE)</f>
        <v>1</v>
      </c>
      <c r="S630" s="26" t="b">
        <f>IF(Checks!C630,IF(UPPER(Data!C630)="SERVICE TASK",IF(UPPER(Data!BZ630)="TYPE=SAS",UPPER(RIGHT(Data!CA630,4))=".SAS",TRUE),TRUE),TRUE)</f>
        <v>1</v>
      </c>
      <c r="T630" s="26" t="b">
        <f>IF(Checks!C630,IF(Data!B630&lt;&gt;"",Data!D630&lt;&gt;"",TRUE),TRUE)</f>
        <v>1</v>
      </c>
      <c r="U630" s="26" t="b">
        <f ca="1">IF(Checks!C630,IF(UPPER(Data!C630)="DATA OBJECT",NOT(ISERROR(MATCH(Data!A630&amp;"||"&amp;Data!BW630&amp;Data!BX630,Key,0))),TRUE),TRUE)</f>
        <v>1</v>
      </c>
      <c r="V630" s="26" t="b">
        <f>IF(Checks!C630,IF(UPPER(Data!C630)="SUB PROCESS",Data!BY630&lt;&gt;"",TRUE),TRUE)</f>
        <v>1</v>
      </c>
      <c r="W630" s="26" t="b">
        <f>IF(Checks!C630,IF(UPPER(Data!C630)="SERVICE TASK",AND(Data!BZ630&lt;&gt;"",Data!CA630&lt;&gt;""),TRUE),TRUE)</f>
        <v>1</v>
      </c>
      <c r="X630" s="26" t="b">
        <f t="array" aca="1" ref="X630" ca="1">SUM((OFFSET(Data!B630,MAX(ROW(Data!$B$5)-ROW(Data!B630),-200),0,400,1)=Data!B630)*(OFFSET(Data!A630,MAX(ROW(Data!$B$5)-ROW(Data!B630),-200),0,400,1)=Data!A630))=1</f>
        <v>1</v>
      </c>
      <c r="Y630" s="26" t="b">
        <f t="array" aca="1" ref="Y630" ca="1">IF(UPPER(Data!C630)="START",SUM((OFFSET(Data!C630,MAX(ROW(Data!$C$5)-ROW(Data!C630),-200),0,400,1)="START")*(OFFSET(Data!A630,MAX(ROW(Data!$B$5)-ROW(Data!B630),-200),0,400,1)=Data!A630))=1,TRUE)</f>
        <v>1</v>
      </c>
      <c r="Z630" s="26" t="b">
        <f t="array" aca="1" ref="Z630" ca="1">IF(UPPER(Data!C630)="END",SUM((OFFSET(Data!C630,MAX(ROW(Data!$C$5)-ROW(Data!C630),-200),0,400,1)="END")*(OFFSET(Data!A630,MAX(ROW(Data!$B$5)-ROW(Data!B630),-200),0,400,1)=Data!A630))=1,TRUE)</f>
        <v>1</v>
      </c>
      <c r="AA630" s="26" t="b">
        <f>IF(Checks!C630,ISERROR(FIND("&amp;",Data!D630)),TRUE)</f>
        <v>1</v>
      </c>
      <c r="AB630" s="26" t="b">
        <f>IF(Checks!$C630,IF(AND(UPPER(Data!$C630)&lt;&gt;"START",UPPER(Data!$C630)&lt;&gt;"DATA OBJECT",Data!E630&lt;&gt;""),NOT(ISERROR(MATCH(Data!$A630&amp;"||"&amp;Data!E630,Key,0))),TRUE),TRUE)</f>
        <v>1</v>
      </c>
      <c r="AC630" s="27" t="b">
        <f>IF(Checks!C630,IF(UPPER(Data!C630)="END",Data!E630&lt;&gt;"",TRUE),TRUE)</f>
        <v>1</v>
      </c>
    </row>
    <row r="631" spans="1:29" x14ac:dyDescent="0.25">
      <c r="A631" s="1" t="str">
        <f>Data!A631&amp;"||"&amp;Data!B631</f>
        <v>Miscellaneous/subflow/irmifrs9_attribution_analysis.bpmn||020_00_04</v>
      </c>
      <c r="B631" s="19"/>
      <c r="C631" s="24" t="b">
        <f>AND(UPPER(Data!A631)&lt;&gt;"EMPTY",Data!B631&lt;&gt;"")</f>
        <v>1</v>
      </c>
      <c r="D631" s="1"/>
      <c r="E631" s="25" t="b">
        <f t="shared" ca="1" si="18"/>
        <v>1</v>
      </c>
      <c r="F631" s="26" t="b">
        <f ca="1">IF(UPPER(Data!C631)="SUB PROCESS",NOT(ISERROR(MATCH(RIGHT(Data!BY631,LEN(Data!BY631)-5),OFFSET(Data,0,0,ItemsCount,1),0))),TRUE)</f>
        <v>1</v>
      </c>
      <c r="G631" s="26" t="b">
        <f ca="1">IF(MID(UPPER(Data!A631),1,13)="MISCELLANEOUS",NOT(ISERROR(MATCH("path="&amp;Data!A631,OFFSET(Data,0,76,ItemsCount,1),0))),TRUE)</f>
        <v>1</v>
      </c>
      <c r="L631" s="25" t="b">
        <f t="shared" ca="1" si="19"/>
        <v>1</v>
      </c>
      <c r="M631" s="24" t="b">
        <f>IF(Checks!$C631,Data!A631&lt;&gt;"",TRUE)</f>
        <v>1</v>
      </c>
      <c r="N631" s="26" t="b">
        <f>IF(Checks!C631,Data!B631&lt;&gt;"",TRUE)</f>
        <v>1</v>
      </c>
      <c r="O631" s="26" t="b">
        <f>IF(Checks!C631,IF(AND(UPPER(Data!C631)="SERVICE TASK",UPPER(Data!BZ631)="TYPE=SAS"),NodeExists(TRIM(RIGHT(Data!CA631,LEN(Data!CA631)-FIND("=",Data!CA631)))),TRUE),TRUE)</f>
        <v>1</v>
      </c>
      <c r="P631" s="26" t="b">
        <f>IF(Checks!C631,IF(Data!C631="DATA OBJECT",OR(AND(Data!BW631&lt;&gt;"",Data!BX631=""),AND(Data!BW631="",Data!BX631&lt;&gt;"")),TRUE),TRUE)</f>
        <v>1</v>
      </c>
      <c r="Q631" s="26" t="b">
        <f>IF(Checks!C631,UPPER(RIGHT(Data!A631,5))=".BPMN",TRUE)</f>
        <v>1</v>
      </c>
      <c r="R631" s="26" t="b">
        <f>IF(Checks!C631,IF(UPPER(Data!C631)="SUB PROCESS",UPPER(RIGHT(Data!BY631,5))=".BPMN",TRUE),TRUE)</f>
        <v>1</v>
      </c>
      <c r="S631" s="26" t="b">
        <f>IF(Checks!C631,IF(UPPER(Data!C631)="SERVICE TASK",IF(UPPER(Data!BZ631)="TYPE=SAS",UPPER(RIGHT(Data!CA631,4))=".SAS",TRUE),TRUE),TRUE)</f>
        <v>1</v>
      </c>
      <c r="T631" s="26" t="b">
        <f>IF(Checks!C631,IF(Data!B631&lt;&gt;"",Data!D631&lt;&gt;"",TRUE),TRUE)</f>
        <v>1</v>
      </c>
      <c r="U631" s="26" t="b">
        <f ca="1">IF(Checks!C631,IF(UPPER(Data!C631)="DATA OBJECT",NOT(ISERROR(MATCH(Data!A631&amp;"||"&amp;Data!BW631&amp;Data!BX631,Key,0))),TRUE),TRUE)</f>
        <v>1</v>
      </c>
      <c r="V631" s="26" t="b">
        <f>IF(Checks!C631,IF(UPPER(Data!C631)="SUB PROCESS",Data!BY631&lt;&gt;"",TRUE),TRUE)</f>
        <v>1</v>
      </c>
      <c r="W631" s="26" t="b">
        <f>IF(Checks!C631,IF(UPPER(Data!C631)="SERVICE TASK",AND(Data!BZ631&lt;&gt;"",Data!CA631&lt;&gt;""),TRUE),TRUE)</f>
        <v>1</v>
      </c>
      <c r="X631" s="26" t="b">
        <f t="array" aca="1" ref="X631" ca="1">SUM((OFFSET(Data!B631,MAX(ROW(Data!$B$5)-ROW(Data!B631),-200),0,400,1)=Data!B631)*(OFFSET(Data!A631,MAX(ROW(Data!$B$5)-ROW(Data!B631),-200),0,400,1)=Data!A631))=1</f>
        <v>1</v>
      </c>
      <c r="Y631" s="26" t="b">
        <f t="array" aca="1" ref="Y631" ca="1">IF(UPPER(Data!C631)="START",SUM((OFFSET(Data!C631,MAX(ROW(Data!$C$5)-ROW(Data!C631),-200),0,400,1)="START")*(OFFSET(Data!A631,MAX(ROW(Data!$B$5)-ROW(Data!B631),-200),0,400,1)=Data!A631))=1,TRUE)</f>
        <v>1</v>
      </c>
      <c r="Z631" s="26" t="b">
        <f t="array" aca="1" ref="Z631" ca="1">IF(UPPER(Data!C631)="END",SUM((OFFSET(Data!C631,MAX(ROW(Data!$C$5)-ROW(Data!C631),-200),0,400,1)="END")*(OFFSET(Data!A631,MAX(ROW(Data!$B$5)-ROW(Data!B631),-200),0,400,1)=Data!A631))=1,TRUE)</f>
        <v>1</v>
      </c>
      <c r="AA631" s="26" t="b">
        <f>IF(Checks!C631,ISERROR(FIND("&amp;",Data!D631)),TRUE)</f>
        <v>1</v>
      </c>
      <c r="AB631" s="26" t="b">
        <f>IF(Checks!$C631,IF(AND(UPPER(Data!$C631)&lt;&gt;"START",UPPER(Data!$C631)&lt;&gt;"DATA OBJECT",Data!E631&lt;&gt;""),NOT(ISERROR(MATCH(Data!$A631&amp;"||"&amp;Data!E631,Key,0))),TRUE),TRUE)</f>
        <v>1</v>
      </c>
      <c r="AC631" s="27" t="b">
        <f>IF(Checks!C631,IF(UPPER(Data!C631)="END",Data!E631&lt;&gt;"",TRUE),TRUE)</f>
        <v>1</v>
      </c>
    </row>
    <row r="632" spans="1:29" x14ac:dyDescent="0.25">
      <c r="A632" s="1" t="str">
        <f>Data!A632&amp;"||"&amp;Data!B632</f>
        <v>Miscellaneous/subflow/irmifrs9_attribution_analysis.bpmn||020_00_05</v>
      </c>
      <c r="B632" s="19"/>
      <c r="C632" s="24" t="b">
        <f>AND(UPPER(Data!A632)&lt;&gt;"EMPTY",Data!B632&lt;&gt;"")</f>
        <v>1</v>
      </c>
      <c r="D632" s="1"/>
      <c r="E632" s="25" t="b">
        <f t="shared" ca="1" si="18"/>
        <v>1</v>
      </c>
      <c r="F632" s="26" t="b">
        <f ca="1">IF(UPPER(Data!C632)="SUB PROCESS",NOT(ISERROR(MATCH(RIGHT(Data!BY632,LEN(Data!BY632)-5),OFFSET(Data,0,0,ItemsCount,1),0))),TRUE)</f>
        <v>1</v>
      </c>
      <c r="G632" s="26" t="b">
        <f ca="1">IF(MID(UPPER(Data!A632),1,13)="MISCELLANEOUS",NOT(ISERROR(MATCH("path="&amp;Data!A632,OFFSET(Data,0,76,ItemsCount,1),0))),TRUE)</f>
        <v>1</v>
      </c>
      <c r="L632" s="25" t="b">
        <f t="shared" ca="1" si="19"/>
        <v>1</v>
      </c>
      <c r="M632" s="24" t="b">
        <f>IF(Checks!$C632,Data!A632&lt;&gt;"",TRUE)</f>
        <v>1</v>
      </c>
      <c r="N632" s="26" t="b">
        <f>IF(Checks!C632,Data!B632&lt;&gt;"",TRUE)</f>
        <v>1</v>
      </c>
      <c r="O632" s="26" t="b">
        <f>IF(Checks!C632,IF(AND(UPPER(Data!C632)="SERVICE TASK",UPPER(Data!BZ632)="TYPE=SAS"),NodeExists(TRIM(RIGHT(Data!CA632,LEN(Data!CA632)-FIND("=",Data!CA632)))),TRUE),TRUE)</f>
        <v>1</v>
      </c>
      <c r="P632" s="26" t="b">
        <f>IF(Checks!C632,IF(Data!C632="DATA OBJECT",OR(AND(Data!BW632&lt;&gt;"",Data!BX632=""),AND(Data!BW632="",Data!BX632&lt;&gt;"")),TRUE),TRUE)</f>
        <v>1</v>
      </c>
      <c r="Q632" s="26" t="b">
        <f>IF(Checks!C632,UPPER(RIGHT(Data!A632,5))=".BPMN",TRUE)</f>
        <v>1</v>
      </c>
      <c r="R632" s="26" t="b">
        <f>IF(Checks!C632,IF(UPPER(Data!C632)="SUB PROCESS",UPPER(RIGHT(Data!BY632,5))=".BPMN",TRUE),TRUE)</f>
        <v>1</v>
      </c>
      <c r="S632" s="26" t="b">
        <f>IF(Checks!C632,IF(UPPER(Data!C632)="SERVICE TASK",IF(UPPER(Data!BZ632)="TYPE=SAS",UPPER(RIGHT(Data!CA632,4))=".SAS",TRUE),TRUE),TRUE)</f>
        <v>1</v>
      </c>
      <c r="T632" s="26" t="b">
        <f>IF(Checks!C632,IF(Data!B632&lt;&gt;"",Data!D632&lt;&gt;"",TRUE),TRUE)</f>
        <v>1</v>
      </c>
      <c r="U632" s="26" t="b">
        <f ca="1">IF(Checks!C632,IF(UPPER(Data!C632)="DATA OBJECT",NOT(ISERROR(MATCH(Data!A632&amp;"||"&amp;Data!BW632&amp;Data!BX632,Key,0))),TRUE),TRUE)</f>
        <v>1</v>
      </c>
      <c r="V632" s="26" t="b">
        <f>IF(Checks!C632,IF(UPPER(Data!C632)="SUB PROCESS",Data!BY632&lt;&gt;"",TRUE),TRUE)</f>
        <v>1</v>
      </c>
      <c r="W632" s="26" t="b">
        <f>IF(Checks!C632,IF(UPPER(Data!C632)="SERVICE TASK",AND(Data!BZ632&lt;&gt;"",Data!CA632&lt;&gt;""),TRUE),TRUE)</f>
        <v>1</v>
      </c>
      <c r="X632" s="26" t="b">
        <f t="array" aca="1" ref="X632" ca="1">SUM((OFFSET(Data!B632,MAX(ROW(Data!$B$5)-ROW(Data!B632),-200),0,400,1)=Data!B632)*(OFFSET(Data!A632,MAX(ROW(Data!$B$5)-ROW(Data!B632),-200),0,400,1)=Data!A632))=1</f>
        <v>1</v>
      </c>
      <c r="Y632" s="26" t="b">
        <f t="array" aca="1" ref="Y632" ca="1">IF(UPPER(Data!C632)="START",SUM((OFFSET(Data!C632,MAX(ROW(Data!$C$5)-ROW(Data!C632),-200),0,400,1)="START")*(OFFSET(Data!A632,MAX(ROW(Data!$B$5)-ROW(Data!B632),-200),0,400,1)=Data!A632))=1,TRUE)</f>
        <v>1</v>
      </c>
      <c r="Z632" s="26" t="b">
        <f t="array" aca="1" ref="Z632" ca="1">IF(UPPER(Data!C632)="END",SUM((OFFSET(Data!C632,MAX(ROW(Data!$C$5)-ROW(Data!C632),-200),0,400,1)="END")*(OFFSET(Data!A632,MAX(ROW(Data!$B$5)-ROW(Data!B632),-200),0,400,1)=Data!A632))=1,TRUE)</f>
        <v>1</v>
      </c>
      <c r="AA632" s="26" t="b">
        <f>IF(Checks!C632,ISERROR(FIND("&amp;",Data!D632)),TRUE)</f>
        <v>1</v>
      </c>
      <c r="AB632" s="26" t="b">
        <f>IF(Checks!$C632,IF(AND(UPPER(Data!$C632)&lt;&gt;"START",UPPER(Data!$C632)&lt;&gt;"DATA OBJECT",Data!E632&lt;&gt;""),NOT(ISERROR(MATCH(Data!$A632&amp;"||"&amp;Data!E632,Key,0))),TRUE),TRUE)</f>
        <v>1</v>
      </c>
      <c r="AC632" s="27" t="b">
        <f>IF(Checks!C632,IF(UPPER(Data!C632)="END",Data!E632&lt;&gt;"",TRUE),TRUE)</f>
        <v>1</v>
      </c>
    </row>
    <row r="633" spans="1:29" x14ac:dyDescent="0.25">
      <c r="A633" s="1" t="str">
        <f>Data!A633&amp;"||"&amp;Data!B633</f>
        <v>Miscellaneous/subflow/irmifrs9_attribution_analysis.bpmn||020_00_06</v>
      </c>
      <c r="B633" s="19"/>
      <c r="C633" s="24" t="b">
        <f>AND(UPPER(Data!A633)&lt;&gt;"EMPTY",Data!B633&lt;&gt;"")</f>
        <v>1</v>
      </c>
      <c r="D633" s="1"/>
      <c r="E633" s="25" t="b">
        <f t="shared" ca="1" si="18"/>
        <v>1</v>
      </c>
      <c r="F633" s="26" t="b">
        <f ca="1">IF(UPPER(Data!C633)="SUB PROCESS",NOT(ISERROR(MATCH(RIGHT(Data!BY633,LEN(Data!BY633)-5),OFFSET(Data,0,0,ItemsCount,1),0))),TRUE)</f>
        <v>1</v>
      </c>
      <c r="G633" s="26" t="b">
        <f ca="1">IF(MID(UPPER(Data!A633),1,13)="MISCELLANEOUS",NOT(ISERROR(MATCH("path="&amp;Data!A633,OFFSET(Data,0,76,ItemsCount,1),0))),TRUE)</f>
        <v>1</v>
      </c>
      <c r="L633" s="25" t="b">
        <f t="shared" ca="1" si="19"/>
        <v>1</v>
      </c>
      <c r="M633" s="24" t="b">
        <f>IF(Checks!$C633,Data!A633&lt;&gt;"",TRUE)</f>
        <v>1</v>
      </c>
      <c r="N633" s="26" t="b">
        <f>IF(Checks!C633,Data!B633&lt;&gt;"",TRUE)</f>
        <v>1</v>
      </c>
      <c r="O633" s="26" t="b">
        <f>IF(Checks!C633,IF(AND(UPPER(Data!C633)="SERVICE TASK",UPPER(Data!BZ633)="TYPE=SAS"),NodeExists(TRIM(RIGHT(Data!CA633,LEN(Data!CA633)-FIND("=",Data!CA633)))),TRUE),TRUE)</f>
        <v>1</v>
      </c>
      <c r="P633" s="26" t="b">
        <f>IF(Checks!C633,IF(Data!C633="DATA OBJECT",OR(AND(Data!BW633&lt;&gt;"",Data!BX633=""),AND(Data!BW633="",Data!BX633&lt;&gt;"")),TRUE),TRUE)</f>
        <v>1</v>
      </c>
      <c r="Q633" s="26" t="b">
        <f>IF(Checks!C633,UPPER(RIGHT(Data!A633,5))=".BPMN",TRUE)</f>
        <v>1</v>
      </c>
      <c r="R633" s="26" t="b">
        <f>IF(Checks!C633,IF(UPPER(Data!C633)="SUB PROCESS",UPPER(RIGHT(Data!BY633,5))=".BPMN",TRUE),TRUE)</f>
        <v>1</v>
      </c>
      <c r="S633" s="26" t="b">
        <f>IF(Checks!C633,IF(UPPER(Data!C633)="SERVICE TASK",IF(UPPER(Data!BZ633)="TYPE=SAS",UPPER(RIGHT(Data!CA633,4))=".SAS",TRUE),TRUE),TRUE)</f>
        <v>1</v>
      </c>
      <c r="T633" s="26" t="b">
        <f>IF(Checks!C633,IF(Data!B633&lt;&gt;"",Data!D633&lt;&gt;"",TRUE),TRUE)</f>
        <v>1</v>
      </c>
      <c r="U633" s="26" t="b">
        <f ca="1">IF(Checks!C633,IF(UPPER(Data!C633)="DATA OBJECT",NOT(ISERROR(MATCH(Data!A633&amp;"||"&amp;Data!BW633&amp;Data!BX633,Key,0))),TRUE),TRUE)</f>
        <v>1</v>
      </c>
      <c r="V633" s="26" t="b">
        <f>IF(Checks!C633,IF(UPPER(Data!C633)="SUB PROCESS",Data!BY633&lt;&gt;"",TRUE),TRUE)</f>
        <v>1</v>
      </c>
      <c r="W633" s="26" t="b">
        <f>IF(Checks!C633,IF(UPPER(Data!C633)="SERVICE TASK",AND(Data!BZ633&lt;&gt;"",Data!CA633&lt;&gt;""),TRUE),TRUE)</f>
        <v>1</v>
      </c>
      <c r="X633" s="26" t="b">
        <f t="array" aca="1" ref="X633" ca="1">SUM((OFFSET(Data!B633,MAX(ROW(Data!$B$5)-ROW(Data!B633),-200),0,400,1)=Data!B633)*(OFFSET(Data!A633,MAX(ROW(Data!$B$5)-ROW(Data!B633),-200),0,400,1)=Data!A633))=1</f>
        <v>1</v>
      </c>
      <c r="Y633" s="26" t="b">
        <f t="array" aca="1" ref="Y633" ca="1">IF(UPPER(Data!C633)="START",SUM((OFFSET(Data!C633,MAX(ROW(Data!$C$5)-ROW(Data!C633),-200),0,400,1)="START")*(OFFSET(Data!A633,MAX(ROW(Data!$B$5)-ROW(Data!B633),-200),0,400,1)=Data!A633))=1,TRUE)</f>
        <v>1</v>
      </c>
      <c r="Z633" s="26" t="b">
        <f t="array" aca="1" ref="Z633" ca="1">IF(UPPER(Data!C633)="END",SUM((OFFSET(Data!C633,MAX(ROW(Data!$C$5)-ROW(Data!C633),-200),0,400,1)="END")*(OFFSET(Data!A633,MAX(ROW(Data!$B$5)-ROW(Data!B633),-200),0,400,1)=Data!A633))=1,TRUE)</f>
        <v>1</v>
      </c>
      <c r="AA633" s="26" t="b">
        <f>IF(Checks!C633,ISERROR(FIND("&amp;",Data!D633)),TRUE)</f>
        <v>1</v>
      </c>
      <c r="AB633" s="26" t="b">
        <f>IF(Checks!$C633,IF(AND(UPPER(Data!$C633)&lt;&gt;"START",UPPER(Data!$C633)&lt;&gt;"DATA OBJECT",Data!E633&lt;&gt;""),NOT(ISERROR(MATCH(Data!$A633&amp;"||"&amp;Data!E633,Key,0))),TRUE),TRUE)</f>
        <v>1</v>
      </c>
      <c r="AC633" s="27" t="b">
        <f>IF(Checks!C633,IF(UPPER(Data!C633)="END",Data!E633&lt;&gt;"",TRUE),TRUE)</f>
        <v>1</v>
      </c>
    </row>
    <row r="634" spans="1:29" x14ac:dyDescent="0.25">
      <c r="A634" s="1" t="str">
        <f>Data!A634&amp;"||"&amp;Data!B634</f>
        <v>Miscellaneous/subflow/irmifrs9_attribution_analysis.bpmn||020_00_07</v>
      </c>
      <c r="B634" s="19"/>
      <c r="C634" s="24" t="b">
        <f>AND(UPPER(Data!A634)&lt;&gt;"EMPTY",Data!B634&lt;&gt;"")</f>
        <v>1</v>
      </c>
      <c r="D634" s="1"/>
      <c r="E634" s="25" t="b">
        <f t="shared" ca="1" si="18"/>
        <v>1</v>
      </c>
      <c r="F634" s="26" t="b">
        <f ca="1">IF(UPPER(Data!C634)="SUB PROCESS",NOT(ISERROR(MATCH(RIGHT(Data!BY634,LEN(Data!BY634)-5),OFFSET(Data,0,0,ItemsCount,1),0))),TRUE)</f>
        <v>1</v>
      </c>
      <c r="G634" s="26" t="b">
        <f ca="1">IF(MID(UPPER(Data!A634),1,13)="MISCELLANEOUS",NOT(ISERROR(MATCH("path="&amp;Data!A634,OFFSET(Data,0,76,ItemsCount,1),0))),TRUE)</f>
        <v>1</v>
      </c>
      <c r="L634" s="25" t="b">
        <f t="shared" ca="1" si="19"/>
        <v>1</v>
      </c>
      <c r="M634" s="24" t="b">
        <f>IF(Checks!$C634,Data!A634&lt;&gt;"",TRUE)</f>
        <v>1</v>
      </c>
      <c r="N634" s="26" t="b">
        <f>IF(Checks!C634,Data!B634&lt;&gt;"",TRUE)</f>
        <v>1</v>
      </c>
      <c r="O634" s="26" t="b">
        <f>IF(Checks!C634,IF(AND(UPPER(Data!C634)="SERVICE TASK",UPPER(Data!BZ634)="TYPE=SAS"),NodeExists(TRIM(RIGHT(Data!CA634,LEN(Data!CA634)-FIND("=",Data!CA634)))),TRUE),TRUE)</f>
        <v>1</v>
      </c>
      <c r="P634" s="26" t="b">
        <f>IF(Checks!C634,IF(Data!C634="DATA OBJECT",OR(AND(Data!BW634&lt;&gt;"",Data!BX634=""),AND(Data!BW634="",Data!BX634&lt;&gt;"")),TRUE),TRUE)</f>
        <v>1</v>
      </c>
      <c r="Q634" s="26" t="b">
        <f>IF(Checks!C634,UPPER(RIGHT(Data!A634,5))=".BPMN",TRUE)</f>
        <v>1</v>
      </c>
      <c r="R634" s="26" t="b">
        <f>IF(Checks!C634,IF(UPPER(Data!C634)="SUB PROCESS",UPPER(RIGHT(Data!BY634,5))=".BPMN",TRUE),TRUE)</f>
        <v>1</v>
      </c>
      <c r="S634" s="26" t="b">
        <f>IF(Checks!C634,IF(UPPER(Data!C634)="SERVICE TASK",IF(UPPER(Data!BZ634)="TYPE=SAS",UPPER(RIGHT(Data!CA634,4))=".SAS",TRUE),TRUE),TRUE)</f>
        <v>1</v>
      </c>
      <c r="T634" s="26" t="b">
        <f>IF(Checks!C634,IF(Data!B634&lt;&gt;"",Data!D634&lt;&gt;"",TRUE),TRUE)</f>
        <v>1</v>
      </c>
      <c r="U634" s="26" t="b">
        <f ca="1">IF(Checks!C634,IF(UPPER(Data!C634)="DATA OBJECT",NOT(ISERROR(MATCH(Data!A634&amp;"||"&amp;Data!BW634&amp;Data!BX634,Key,0))),TRUE),TRUE)</f>
        <v>1</v>
      </c>
      <c r="V634" s="26" t="b">
        <f>IF(Checks!C634,IF(UPPER(Data!C634)="SUB PROCESS",Data!BY634&lt;&gt;"",TRUE),TRUE)</f>
        <v>1</v>
      </c>
      <c r="W634" s="26" t="b">
        <f>IF(Checks!C634,IF(UPPER(Data!C634)="SERVICE TASK",AND(Data!BZ634&lt;&gt;"",Data!CA634&lt;&gt;""),TRUE),TRUE)</f>
        <v>1</v>
      </c>
      <c r="X634" s="26" t="b">
        <f t="array" aca="1" ref="X634" ca="1">SUM((OFFSET(Data!B634,MAX(ROW(Data!$B$5)-ROW(Data!B634),-200),0,400,1)=Data!B634)*(OFFSET(Data!A634,MAX(ROW(Data!$B$5)-ROW(Data!B634),-200),0,400,1)=Data!A634))=1</f>
        <v>1</v>
      </c>
      <c r="Y634" s="26" t="b">
        <f t="array" aca="1" ref="Y634" ca="1">IF(UPPER(Data!C634)="START",SUM((OFFSET(Data!C634,MAX(ROW(Data!$C$5)-ROW(Data!C634),-200),0,400,1)="START")*(OFFSET(Data!A634,MAX(ROW(Data!$B$5)-ROW(Data!B634),-200),0,400,1)=Data!A634))=1,TRUE)</f>
        <v>1</v>
      </c>
      <c r="Z634" s="26" t="b">
        <f t="array" aca="1" ref="Z634" ca="1">IF(UPPER(Data!C634)="END",SUM((OFFSET(Data!C634,MAX(ROW(Data!$C$5)-ROW(Data!C634),-200),0,400,1)="END")*(OFFSET(Data!A634,MAX(ROW(Data!$B$5)-ROW(Data!B634),-200),0,400,1)=Data!A634))=1,TRUE)</f>
        <v>1</v>
      </c>
      <c r="AA634" s="26" t="b">
        <f>IF(Checks!C634,ISERROR(FIND("&amp;",Data!D634)),TRUE)</f>
        <v>1</v>
      </c>
      <c r="AB634" s="26" t="b">
        <f>IF(Checks!$C634,IF(AND(UPPER(Data!$C634)&lt;&gt;"START",UPPER(Data!$C634)&lt;&gt;"DATA OBJECT",Data!E634&lt;&gt;""),NOT(ISERROR(MATCH(Data!$A634&amp;"||"&amp;Data!E634,Key,0))),TRUE),TRUE)</f>
        <v>1</v>
      </c>
      <c r="AC634" s="27" t="b">
        <f>IF(Checks!C634,IF(UPPER(Data!C634)="END",Data!E634&lt;&gt;"",TRUE),TRUE)</f>
        <v>1</v>
      </c>
    </row>
    <row r="635" spans="1:29" x14ac:dyDescent="0.25">
      <c r="A635" s="1" t="str">
        <f>Data!A635&amp;"||"&amp;Data!B635</f>
        <v>Miscellaneous/subflow/irmifrs9_attribution_analysis.bpmn||020_00_08</v>
      </c>
      <c r="B635" s="19"/>
      <c r="C635" s="24" t="b">
        <f>AND(UPPER(Data!A635)&lt;&gt;"EMPTY",Data!B635&lt;&gt;"")</f>
        <v>1</v>
      </c>
      <c r="D635" s="1"/>
      <c r="E635" s="25" t="b">
        <f t="shared" ca="1" si="18"/>
        <v>1</v>
      </c>
      <c r="F635" s="26" t="b">
        <f ca="1">IF(UPPER(Data!C635)="SUB PROCESS",NOT(ISERROR(MATCH(RIGHT(Data!BY635,LEN(Data!BY635)-5),OFFSET(Data,0,0,ItemsCount,1),0))),TRUE)</f>
        <v>1</v>
      </c>
      <c r="G635" s="26" t="b">
        <f ca="1">IF(MID(UPPER(Data!A635),1,13)="MISCELLANEOUS",NOT(ISERROR(MATCH("path="&amp;Data!A635,OFFSET(Data,0,76,ItemsCount,1),0))),TRUE)</f>
        <v>1</v>
      </c>
      <c r="L635" s="25" t="b">
        <f t="shared" ca="1" si="19"/>
        <v>1</v>
      </c>
      <c r="M635" s="24" t="b">
        <f>IF(Checks!$C635,Data!A635&lt;&gt;"",TRUE)</f>
        <v>1</v>
      </c>
      <c r="N635" s="26" t="b">
        <f>IF(Checks!C635,Data!B635&lt;&gt;"",TRUE)</f>
        <v>1</v>
      </c>
      <c r="O635" s="26" t="b">
        <f>IF(Checks!C635,IF(AND(UPPER(Data!C635)="SERVICE TASK",UPPER(Data!BZ635)="TYPE=SAS"),NodeExists(TRIM(RIGHT(Data!CA635,LEN(Data!CA635)-FIND("=",Data!CA635)))),TRUE),TRUE)</f>
        <v>1</v>
      </c>
      <c r="P635" s="26" t="b">
        <f>IF(Checks!C635,IF(Data!C635="DATA OBJECT",OR(AND(Data!BW635&lt;&gt;"",Data!BX635=""),AND(Data!BW635="",Data!BX635&lt;&gt;"")),TRUE),TRUE)</f>
        <v>1</v>
      </c>
      <c r="Q635" s="26" t="b">
        <f>IF(Checks!C635,UPPER(RIGHT(Data!A635,5))=".BPMN",TRUE)</f>
        <v>1</v>
      </c>
      <c r="R635" s="26" t="b">
        <f>IF(Checks!C635,IF(UPPER(Data!C635)="SUB PROCESS",UPPER(RIGHT(Data!BY635,5))=".BPMN",TRUE),TRUE)</f>
        <v>1</v>
      </c>
      <c r="S635" s="26" t="b">
        <f>IF(Checks!C635,IF(UPPER(Data!C635)="SERVICE TASK",IF(UPPER(Data!BZ635)="TYPE=SAS",UPPER(RIGHT(Data!CA635,4))=".SAS",TRUE),TRUE),TRUE)</f>
        <v>1</v>
      </c>
      <c r="T635" s="26" t="b">
        <f>IF(Checks!C635,IF(Data!B635&lt;&gt;"",Data!D635&lt;&gt;"",TRUE),TRUE)</f>
        <v>1</v>
      </c>
      <c r="U635" s="26" t="b">
        <f ca="1">IF(Checks!C635,IF(UPPER(Data!C635)="DATA OBJECT",NOT(ISERROR(MATCH(Data!A635&amp;"||"&amp;Data!BW635&amp;Data!BX635,Key,0))),TRUE),TRUE)</f>
        <v>1</v>
      </c>
      <c r="V635" s="26" t="b">
        <f>IF(Checks!C635,IF(UPPER(Data!C635)="SUB PROCESS",Data!BY635&lt;&gt;"",TRUE),TRUE)</f>
        <v>1</v>
      </c>
      <c r="W635" s="26" t="b">
        <f>IF(Checks!C635,IF(UPPER(Data!C635)="SERVICE TASK",AND(Data!BZ635&lt;&gt;"",Data!CA635&lt;&gt;""),TRUE),TRUE)</f>
        <v>1</v>
      </c>
      <c r="X635" s="26" t="b">
        <f t="array" aca="1" ref="X635" ca="1">SUM((OFFSET(Data!B635,MAX(ROW(Data!$B$5)-ROW(Data!B635),-200),0,400,1)=Data!B635)*(OFFSET(Data!A635,MAX(ROW(Data!$B$5)-ROW(Data!B635),-200),0,400,1)=Data!A635))=1</f>
        <v>1</v>
      </c>
      <c r="Y635" s="26" t="b">
        <f t="array" aca="1" ref="Y635" ca="1">IF(UPPER(Data!C635)="START",SUM((OFFSET(Data!C635,MAX(ROW(Data!$C$5)-ROW(Data!C635),-200),0,400,1)="START")*(OFFSET(Data!A635,MAX(ROW(Data!$B$5)-ROW(Data!B635),-200),0,400,1)=Data!A635))=1,TRUE)</f>
        <v>1</v>
      </c>
      <c r="Z635" s="26" t="b">
        <f t="array" aca="1" ref="Z635" ca="1">IF(UPPER(Data!C635)="END",SUM((OFFSET(Data!C635,MAX(ROW(Data!$C$5)-ROW(Data!C635),-200),0,400,1)="END")*(OFFSET(Data!A635,MAX(ROW(Data!$B$5)-ROW(Data!B635),-200),0,400,1)=Data!A635))=1,TRUE)</f>
        <v>1</v>
      </c>
      <c r="AA635" s="26" t="b">
        <f>IF(Checks!C635,ISERROR(FIND("&amp;",Data!D635)),TRUE)</f>
        <v>1</v>
      </c>
      <c r="AB635" s="26" t="b">
        <f>IF(Checks!$C635,IF(AND(UPPER(Data!$C635)&lt;&gt;"START",UPPER(Data!$C635)&lt;&gt;"DATA OBJECT",Data!E635&lt;&gt;""),NOT(ISERROR(MATCH(Data!$A635&amp;"||"&amp;Data!E635,Key,0))),TRUE),TRUE)</f>
        <v>1</v>
      </c>
      <c r="AC635" s="27" t="b">
        <f>IF(Checks!C635,IF(UPPER(Data!C635)="END",Data!E635&lt;&gt;"",TRUE),TRUE)</f>
        <v>1</v>
      </c>
    </row>
    <row r="636" spans="1:29" x14ac:dyDescent="0.25">
      <c r="A636" s="1" t="str">
        <f>Data!A636&amp;"||"&amp;Data!B636</f>
        <v>Miscellaneous/subflow/irmifrs9_attribution_analysis.bpmn||020_00_09</v>
      </c>
      <c r="B636" s="19"/>
      <c r="C636" s="24" t="b">
        <f>AND(UPPER(Data!A636)&lt;&gt;"EMPTY",Data!B636&lt;&gt;"")</f>
        <v>1</v>
      </c>
      <c r="D636" s="1"/>
      <c r="E636" s="25" t="b">
        <f t="shared" ca="1" si="18"/>
        <v>1</v>
      </c>
      <c r="F636" s="26" t="b">
        <f ca="1">IF(UPPER(Data!C636)="SUB PROCESS",NOT(ISERROR(MATCH(RIGHT(Data!BY636,LEN(Data!BY636)-5),OFFSET(Data,0,0,ItemsCount,1),0))),TRUE)</f>
        <v>1</v>
      </c>
      <c r="G636" s="26" t="b">
        <f ca="1">IF(MID(UPPER(Data!A636),1,13)="MISCELLANEOUS",NOT(ISERROR(MATCH("path="&amp;Data!A636,OFFSET(Data,0,76,ItemsCount,1),0))),TRUE)</f>
        <v>1</v>
      </c>
      <c r="L636" s="25" t="b">
        <f t="shared" ca="1" si="19"/>
        <v>1</v>
      </c>
      <c r="M636" s="24" t="b">
        <f>IF(Checks!$C636,Data!A636&lt;&gt;"",TRUE)</f>
        <v>1</v>
      </c>
      <c r="N636" s="26" t="b">
        <f>IF(Checks!C636,Data!B636&lt;&gt;"",TRUE)</f>
        <v>1</v>
      </c>
      <c r="O636" s="26" t="b">
        <f>IF(Checks!C636,IF(AND(UPPER(Data!C636)="SERVICE TASK",UPPER(Data!BZ636)="TYPE=SAS"),NodeExists(TRIM(RIGHT(Data!CA636,LEN(Data!CA636)-FIND("=",Data!CA636)))),TRUE),TRUE)</f>
        <v>1</v>
      </c>
      <c r="P636" s="26" t="b">
        <f>IF(Checks!C636,IF(Data!C636="DATA OBJECT",OR(AND(Data!BW636&lt;&gt;"",Data!BX636=""),AND(Data!BW636="",Data!BX636&lt;&gt;"")),TRUE),TRUE)</f>
        <v>1</v>
      </c>
      <c r="Q636" s="26" t="b">
        <f>IF(Checks!C636,UPPER(RIGHT(Data!A636,5))=".BPMN",TRUE)</f>
        <v>1</v>
      </c>
      <c r="R636" s="26" t="b">
        <f>IF(Checks!C636,IF(UPPER(Data!C636)="SUB PROCESS",UPPER(RIGHT(Data!BY636,5))=".BPMN",TRUE),TRUE)</f>
        <v>1</v>
      </c>
      <c r="S636" s="26" t="b">
        <f>IF(Checks!C636,IF(UPPER(Data!C636)="SERVICE TASK",IF(UPPER(Data!BZ636)="TYPE=SAS",UPPER(RIGHT(Data!CA636,4))=".SAS",TRUE),TRUE),TRUE)</f>
        <v>1</v>
      </c>
      <c r="T636" s="26" t="b">
        <f>IF(Checks!C636,IF(Data!B636&lt;&gt;"",Data!D636&lt;&gt;"",TRUE),TRUE)</f>
        <v>1</v>
      </c>
      <c r="U636" s="26" t="b">
        <f ca="1">IF(Checks!C636,IF(UPPER(Data!C636)="DATA OBJECT",NOT(ISERROR(MATCH(Data!A636&amp;"||"&amp;Data!BW636&amp;Data!BX636,Key,0))),TRUE),TRUE)</f>
        <v>1</v>
      </c>
      <c r="V636" s="26" t="b">
        <f>IF(Checks!C636,IF(UPPER(Data!C636)="SUB PROCESS",Data!BY636&lt;&gt;"",TRUE),TRUE)</f>
        <v>1</v>
      </c>
      <c r="W636" s="26" t="b">
        <f>IF(Checks!C636,IF(UPPER(Data!C636)="SERVICE TASK",AND(Data!BZ636&lt;&gt;"",Data!CA636&lt;&gt;""),TRUE),TRUE)</f>
        <v>1</v>
      </c>
      <c r="X636" s="26" t="b">
        <f t="array" aca="1" ref="X636" ca="1">SUM((OFFSET(Data!B636,MAX(ROW(Data!$B$5)-ROW(Data!B636),-200),0,400,1)=Data!B636)*(OFFSET(Data!A636,MAX(ROW(Data!$B$5)-ROW(Data!B636),-200),0,400,1)=Data!A636))=1</f>
        <v>1</v>
      </c>
      <c r="Y636" s="26" t="b">
        <f t="array" aca="1" ref="Y636" ca="1">IF(UPPER(Data!C636)="START",SUM((OFFSET(Data!C636,MAX(ROW(Data!$C$5)-ROW(Data!C636),-200),0,400,1)="START")*(OFFSET(Data!A636,MAX(ROW(Data!$B$5)-ROW(Data!B636),-200),0,400,1)=Data!A636))=1,TRUE)</f>
        <v>1</v>
      </c>
      <c r="Z636" s="26" t="b">
        <f t="array" aca="1" ref="Z636" ca="1">IF(UPPER(Data!C636)="END",SUM((OFFSET(Data!C636,MAX(ROW(Data!$C$5)-ROW(Data!C636),-200),0,400,1)="END")*(OFFSET(Data!A636,MAX(ROW(Data!$B$5)-ROW(Data!B636),-200),0,400,1)=Data!A636))=1,TRUE)</f>
        <v>1</v>
      </c>
      <c r="AA636" s="26" t="b">
        <f>IF(Checks!C636,ISERROR(FIND("&amp;",Data!D636)),TRUE)</f>
        <v>1</v>
      </c>
      <c r="AB636" s="26" t="b">
        <f>IF(Checks!$C636,IF(AND(UPPER(Data!$C636)&lt;&gt;"START",UPPER(Data!$C636)&lt;&gt;"DATA OBJECT",Data!E636&lt;&gt;""),NOT(ISERROR(MATCH(Data!$A636&amp;"||"&amp;Data!E636,Key,0))),TRUE),TRUE)</f>
        <v>1</v>
      </c>
      <c r="AC636" s="27" t="b">
        <f>IF(Checks!C636,IF(UPPER(Data!C636)="END",Data!E636&lt;&gt;"",TRUE),TRUE)</f>
        <v>1</v>
      </c>
    </row>
    <row r="637" spans="1:29" x14ac:dyDescent="0.25">
      <c r="A637" s="1" t="str">
        <f>Data!A637&amp;"||"&amp;Data!B637</f>
        <v>Miscellaneous/subflow/irmifrs9_attribution_analysis.bpmn||020_00_10</v>
      </c>
      <c r="B637" s="19"/>
      <c r="C637" s="24" t="b">
        <f>AND(UPPER(Data!A637)&lt;&gt;"EMPTY",Data!B637&lt;&gt;"")</f>
        <v>1</v>
      </c>
      <c r="D637" s="1"/>
      <c r="E637" s="25" t="b">
        <f t="shared" ca="1" si="18"/>
        <v>1</v>
      </c>
      <c r="F637" s="26" t="b">
        <f ca="1">IF(UPPER(Data!C637)="SUB PROCESS",NOT(ISERROR(MATCH(RIGHT(Data!BY637,LEN(Data!BY637)-5),OFFSET(Data,0,0,ItemsCount,1),0))),TRUE)</f>
        <v>1</v>
      </c>
      <c r="G637" s="26" t="b">
        <f ca="1">IF(MID(UPPER(Data!A637),1,13)="MISCELLANEOUS",NOT(ISERROR(MATCH("path="&amp;Data!A637,OFFSET(Data,0,76,ItemsCount,1),0))),TRUE)</f>
        <v>1</v>
      </c>
      <c r="L637" s="25" t="b">
        <f t="shared" ca="1" si="19"/>
        <v>1</v>
      </c>
      <c r="M637" s="24" t="b">
        <f>IF(Checks!$C637,Data!A637&lt;&gt;"",TRUE)</f>
        <v>1</v>
      </c>
      <c r="N637" s="26" t="b">
        <f>IF(Checks!C637,Data!B637&lt;&gt;"",TRUE)</f>
        <v>1</v>
      </c>
      <c r="O637" s="26" t="b">
        <f>IF(Checks!C637,IF(AND(UPPER(Data!C637)="SERVICE TASK",UPPER(Data!BZ637)="TYPE=SAS"),NodeExists(TRIM(RIGHT(Data!CA637,LEN(Data!CA637)-FIND("=",Data!CA637)))),TRUE),TRUE)</f>
        <v>1</v>
      </c>
      <c r="P637" s="26" t="b">
        <f>IF(Checks!C637,IF(Data!C637="DATA OBJECT",OR(AND(Data!BW637&lt;&gt;"",Data!BX637=""),AND(Data!BW637="",Data!BX637&lt;&gt;"")),TRUE),TRUE)</f>
        <v>1</v>
      </c>
      <c r="Q637" s="26" t="b">
        <f>IF(Checks!C637,UPPER(RIGHT(Data!A637,5))=".BPMN",TRUE)</f>
        <v>1</v>
      </c>
      <c r="R637" s="26" t="b">
        <f>IF(Checks!C637,IF(UPPER(Data!C637)="SUB PROCESS",UPPER(RIGHT(Data!BY637,5))=".BPMN",TRUE),TRUE)</f>
        <v>1</v>
      </c>
      <c r="S637" s="26" t="b">
        <f>IF(Checks!C637,IF(UPPER(Data!C637)="SERVICE TASK",IF(UPPER(Data!BZ637)="TYPE=SAS",UPPER(RIGHT(Data!CA637,4))=".SAS",TRUE),TRUE),TRUE)</f>
        <v>1</v>
      </c>
      <c r="T637" s="26" t="b">
        <f>IF(Checks!C637,IF(Data!B637&lt;&gt;"",Data!D637&lt;&gt;"",TRUE),TRUE)</f>
        <v>1</v>
      </c>
      <c r="U637" s="26" t="b">
        <f ca="1">IF(Checks!C637,IF(UPPER(Data!C637)="DATA OBJECT",NOT(ISERROR(MATCH(Data!A637&amp;"||"&amp;Data!BW637&amp;Data!BX637,Key,0))),TRUE),TRUE)</f>
        <v>1</v>
      </c>
      <c r="V637" s="26" t="b">
        <f>IF(Checks!C637,IF(UPPER(Data!C637)="SUB PROCESS",Data!BY637&lt;&gt;"",TRUE),TRUE)</f>
        <v>1</v>
      </c>
      <c r="W637" s="26" t="b">
        <f>IF(Checks!C637,IF(UPPER(Data!C637)="SERVICE TASK",AND(Data!BZ637&lt;&gt;"",Data!CA637&lt;&gt;""),TRUE),TRUE)</f>
        <v>1</v>
      </c>
      <c r="X637" s="26" t="b">
        <f t="array" aca="1" ref="X637" ca="1">SUM((OFFSET(Data!B637,MAX(ROW(Data!$B$5)-ROW(Data!B637),-200),0,400,1)=Data!B637)*(OFFSET(Data!A637,MAX(ROW(Data!$B$5)-ROW(Data!B637),-200),0,400,1)=Data!A637))=1</f>
        <v>1</v>
      </c>
      <c r="Y637" s="26" t="b">
        <f t="array" aca="1" ref="Y637" ca="1">IF(UPPER(Data!C637)="START",SUM((OFFSET(Data!C637,MAX(ROW(Data!$C$5)-ROW(Data!C637),-200),0,400,1)="START")*(OFFSET(Data!A637,MAX(ROW(Data!$B$5)-ROW(Data!B637),-200),0,400,1)=Data!A637))=1,TRUE)</f>
        <v>1</v>
      </c>
      <c r="Z637" s="26" t="b">
        <f t="array" aca="1" ref="Z637" ca="1">IF(UPPER(Data!C637)="END",SUM((OFFSET(Data!C637,MAX(ROW(Data!$C$5)-ROW(Data!C637),-200),0,400,1)="END")*(OFFSET(Data!A637,MAX(ROW(Data!$B$5)-ROW(Data!B637),-200),0,400,1)=Data!A637))=1,TRUE)</f>
        <v>1</v>
      </c>
      <c r="AA637" s="26" t="b">
        <f>IF(Checks!C637,ISERROR(FIND("&amp;",Data!D637)),TRUE)</f>
        <v>1</v>
      </c>
      <c r="AB637" s="26" t="b">
        <f>IF(Checks!$C637,IF(AND(UPPER(Data!$C637)&lt;&gt;"START",UPPER(Data!$C637)&lt;&gt;"DATA OBJECT",Data!E637&lt;&gt;""),NOT(ISERROR(MATCH(Data!$A637&amp;"||"&amp;Data!E637,Key,0))),TRUE),TRUE)</f>
        <v>1</v>
      </c>
      <c r="AC637" s="27" t="b">
        <f>IF(Checks!C637,IF(UPPER(Data!C637)="END",Data!E637&lt;&gt;"",TRUE),TRUE)</f>
        <v>1</v>
      </c>
    </row>
    <row r="638" spans="1:29" x14ac:dyDescent="0.25">
      <c r="A638" s="1" t="str">
        <f>Data!A638&amp;"||"&amp;Data!B638</f>
        <v>Miscellaneous/subflow/irmifrs9_attribution_analysis.bpmn||020_00_11</v>
      </c>
      <c r="B638" s="19"/>
      <c r="C638" s="24" t="b">
        <f>AND(UPPER(Data!A638)&lt;&gt;"EMPTY",Data!B638&lt;&gt;"")</f>
        <v>1</v>
      </c>
      <c r="D638" s="1"/>
      <c r="E638" s="25" t="b">
        <f t="shared" ca="1" si="18"/>
        <v>1</v>
      </c>
      <c r="F638" s="26" t="b">
        <f ca="1">IF(UPPER(Data!C638)="SUB PROCESS",NOT(ISERROR(MATCH(RIGHT(Data!BY638,LEN(Data!BY638)-5),OFFSET(Data,0,0,ItemsCount,1),0))),TRUE)</f>
        <v>1</v>
      </c>
      <c r="G638" s="26" t="b">
        <f ca="1">IF(MID(UPPER(Data!A638),1,13)="MISCELLANEOUS",NOT(ISERROR(MATCH("path="&amp;Data!A638,OFFSET(Data,0,76,ItemsCount,1),0))),TRUE)</f>
        <v>1</v>
      </c>
      <c r="L638" s="25" t="b">
        <f t="shared" ca="1" si="19"/>
        <v>1</v>
      </c>
      <c r="M638" s="24" t="b">
        <f>IF(Checks!$C638,Data!A638&lt;&gt;"",TRUE)</f>
        <v>1</v>
      </c>
      <c r="N638" s="26" t="b">
        <f>IF(Checks!C638,Data!B638&lt;&gt;"",TRUE)</f>
        <v>1</v>
      </c>
      <c r="O638" s="26" t="b">
        <f>IF(Checks!C638,IF(AND(UPPER(Data!C638)="SERVICE TASK",UPPER(Data!BZ638)="TYPE=SAS"),NodeExists(TRIM(RIGHT(Data!CA638,LEN(Data!CA638)-FIND("=",Data!CA638)))),TRUE),TRUE)</f>
        <v>1</v>
      </c>
      <c r="P638" s="26" t="b">
        <f>IF(Checks!C638,IF(Data!C638="DATA OBJECT",OR(AND(Data!BW638&lt;&gt;"",Data!BX638=""),AND(Data!BW638="",Data!BX638&lt;&gt;"")),TRUE),TRUE)</f>
        <v>1</v>
      </c>
      <c r="Q638" s="26" t="b">
        <f>IF(Checks!C638,UPPER(RIGHT(Data!A638,5))=".BPMN",TRUE)</f>
        <v>1</v>
      </c>
      <c r="R638" s="26" t="b">
        <f>IF(Checks!C638,IF(UPPER(Data!C638)="SUB PROCESS",UPPER(RIGHT(Data!BY638,5))=".BPMN",TRUE),TRUE)</f>
        <v>1</v>
      </c>
      <c r="S638" s="26" t="b">
        <f>IF(Checks!C638,IF(UPPER(Data!C638)="SERVICE TASK",IF(UPPER(Data!BZ638)="TYPE=SAS",UPPER(RIGHT(Data!CA638,4))=".SAS",TRUE),TRUE),TRUE)</f>
        <v>1</v>
      </c>
      <c r="T638" s="26" t="b">
        <f>IF(Checks!C638,IF(Data!B638&lt;&gt;"",Data!D638&lt;&gt;"",TRUE),TRUE)</f>
        <v>1</v>
      </c>
      <c r="U638" s="26" t="b">
        <f ca="1">IF(Checks!C638,IF(UPPER(Data!C638)="DATA OBJECT",NOT(ISERROR(MATCH(Data!A638&amp;"||"&amp;Data!BW638&amp;Data!BX638,Key,0))),TRUE),TRUE)</f>
        <v>1</v>
      </c>
      <c r="V638" s="26" t="b">
        <f>IF(Checks!C638,IF(UPPER(Data!C638)="SUB PROCESS",Data!BY638&lt;&gt;"",TRUE),TRUE)</f>
        <v>1</v>
      </c>
      <c r="W638" s="26" t="b">
        <f>IF(Checks!C638,IF(UPPER(Data!C638)="SERVICE TASK",AND(Data!BZ638&lt;&gt;"",Data!CA638&lt;&gt;""),TRUE),TRUE)</f>
        <v>1</v>
      </c>
      <c r="X638" s="26" t="b">
        <f t="array" aca="1" ref="X638" ca="1">SUM((OFFSET(Data!B638,MAX(ROW(Data!$B$5)-ROW(Data!B638),-200),0,400,1)=Data!B638)*(OFFSET(Data!A638,MAX(ROW(Data!$B$5)-ROW(Data!B638),-200),0,400,1)=Data!A638))=1</f>
        <v>1</v>
      </c>
      <c r="Y638" s="26" t="b">
        <f t="array" aca="1" ref="Y638" ca="1">IF(UPPER(Data!C638)="START",SUM((OFFSET(Data!C638,MAX(ROW(Data!$C$5)-ROW(Data!C638),-200),0,400,1)="START")*(OFFSET(Data!A638,MAX(ROW(Data!$B$5)-ROW(Data!B638),-200),0,400,1)=Data!A638))=1,TRUE)</f>
        <v>1</v>
      </c>
      <c r="Z638" s="26" t="b">
        <f t="array" aca="1" ref="Z638" ca="1">IF(UPPER(Data!C638)="END",SUM((OFFSET(Data!C638,MAX(ROW(Data!$C$5)-ROW(Data!C638),-200),0,400,1)="END")*(OFFSET(Data!A638,MAX(ROW(Data!$B$5)-ROW(Data!B638),-200),0,400,1)=Data!A638))=1,TRUE)</f>
        <v>1</v>
      </c>
      <c r="AA638" s="26" t="b">
        <f>IF(Checks!C638,ISERROR(FIND("&amp;",Data!D638)),TRUE)</f>
        <v>1</v>
      </c>
      <c r="AB638" s="26" t="b">
        <f>IF(Checks!$C638,IF(AND(UPPER(Data!$C638)&lt;&gt;"START",UPPER(Data!$C638)&lt;&gt;"DATA OBJECT",Data!E638&lt;&gt;""),NOT(ISERROR(MATCH(Data!$A638&amp;"||"&amp;Data!E638,Key,0))),TRUE),TRUE)</f>
        <v>1</v>
      </c>
      <c r="AC638" s="27" t="b">
        <f>IF(Checks!C638,IF(UPPER(Data!C638)="END",Data!E638&lt;&gt;"",TRUE),TRUE)</f>
        <v>1</v>
      </c>
    </row>
    <row r="639" spans="1:29" x14ac:dyDescent="0.25">
      <c r="A639" s="1" t="str">
        <f>Data!A639&amp;"||"&amp;Data!B639</f>
        <v>Miscellaneous/subflow/irmifrs9_attribution_analysis.bpmn||020_00_12</v>
      </c>
      <c r="B639" s="19"/>
      <c r="C639" s="24" t="b">
        <f>AND(UPPER(Data!A639)&lt;&gt;"EMPTY",Data!B639&lt;&gt;"")</f>
        <v>1</v>
      </c>
      <c r="D639" s="1"/>
      <c r="E639" s="25" t="b">
        <f t="shared" ca="1" si="18"/>
        <v>1</v>
      </c>
      <c r="F639" s="26" t="b">
        <f ca="1">IF(UPPER(Data!C639)="SUB PROCESS",NOT(ISERROR(MATCH(RIGHT(Data!BY639,LEN(Data!BY639)-5),OFFSET(Data,0,0,ItemsCount,1),0))),TRUE)</f>
        <v>1</v>
      </c>
      <c r="G639" s="26" t="b">
        <f ca="1">IF(MID(UPPER(Data!A639),1,13)="MISCELLANEOUS",NOT(ISERROR(MATCH("path="&amp;Data!A639,OFFSET(Data,0,76,ItemsCount,1),0))),TRUE)</f>
        <v>1</v>
      </c>
      <c r="L639" s="25" t="b">
        <f t="shared" ca="1" si="19"/>
        <v>1</v>
      </c>
      <c r="M639" s="24" t="b">
        <f>IF(Checks!$C639,Data!A639&lt;&gt;"",TRUE)</f>
        <v>1</v>
      </c>
      <c r="N639" s="26" t="b">
        <f>IF(Checks!C639,Data!B639&lt;&gt;"",TRUE)</f>
        <v>1</v>
      </c>
      <c r="O639" s="26" t="b">
        <f>IF(Checks!C639,IF(AND(UPPER(Data!C639)="SERVICE TASK",UPPER(Data!BZ639)="TYPE=SAS"),NodeExists(TRIM(RIGHT(Data!CA639,LEN(Data!CA639)-FIND("=",Data!CA639)))),TRUE),TRUE)</f>
        <v>1</v>
      </c>
      <c r="P639" s="26" t="b">
        <f>IF(Checks!C639,IF(Data!C639="DATA OBJECT",OR(AND(Data!BW639&lt;&gt;"",Data!BX639=""),AND(Data!BW639="",Data!BX639&lt;&gt;"")),TRUE),TRUE)</f>
        <v>1</v>
      </c>
      <c r="Q639" s="26" t="b">
        <f>IF(Checks!C639,UPPER(RIGHT(Data!A639,5))=".BPMN",TRUE)</f>
        <v>1</v>
      </c>
      <c r="R639" s="26" t="b">
        <f>IF(Checks!C639,IF(UPPER(Data!C639)="SUB PROCESS",UPPER(RIGHT(Data!BY639,5))=".BPMN",TRUE),TRUE)</f>
        <v>1</v>
      </c>
      <c r="S639" s="26" t="b">
        <f>IF(Checks!C639,IF(UPPER(Data!C639)="SERVICE TASK",IF(UPPER(Data!BZ639)="TYPE=SAS",UPPER(RIGHT(Data!CA639,4))=".SAS",TRUE),TRUE),TRUE)</f>
        <v>1</v>
      </c>
      <c r="T639" s="26" t="b">
        <f>IF(Checks!C639,IF(Data!B639&lt;&gt;"",Data!D639&lt;&gt;"",TRUE),TRUE)</f>
        <v>1</v>
      </c>
      <c r="U639" s="26" t="b">
        <f ca="1">IF(Checks!C639,IF(UPPER(Data!C639)="DATA OBJECT",NOT(ISERROR(MATCH(Data!A639&amp;"||"&amp;Data!BW639&amp;Data!BX639,Key,0))),TRUE),TRUE)</f>
        <v>1</v>
      </c>
      <c r="V639" s="26" t="b">
        <f>IF(Checks!C639,IF(UPPER(Data!C639)="SUB PROCESS",Data!BY639&lt;&gt;"",TRUE),TRUE)</f>
        <v>1</v>
      </c>
      <c r="W639" s="26" t="b">
        <f>IF(Checks!C639,IF(UPPER(Data!C639)="SERVICE TASK",AND(Data!BZ639&lt;&gt;"",Data!CA639&lt;&gt;""),TRUE),TRUE)</f>
        <v>1</v>
      </c>
      <c r="X639" s="26" t="b">
        <f t="array" aca="1" ref="X639" ca="1">SUM((OFFSET(Data!B639,MAX(ROW(Data!$B$5)-ROW(Data!B639),-200),0,400,1)=Data!B639)*(OFFSET(Data!A639,MAX(ROW(Data!$B$5)-ROW(Data!B639),-200),0,400,1)=Data!A639))=1</f>
        <v>1</v>
      </c>
      <c r="Y639" s="26" t="b">
        <f t="array" aca="1" ref="Y639" ca="1">IF(UPPER(Data!C639)="START",SUM((OFFSET(Data!C639,MAX(ROW(Data!$C$5)-ROW(Data!C639),-200),0,400,1)="START")*(OFFSET(Data!A639,MAX(ROW(Data!$B$5)-ROW(Data!B639),-200),0,400,1)=Data!A639))=1,TRUE)</f>
        <v>1</v>
      </c>
      <c r="Z639" s="26" t="b">
        <f t="array" aca="1" ref="Z639" ca="1">IF(UPPER(Data!C639)="END",SUM((OFFSET(Data!C639,MAX(ROW(Data!$C$5)-ROW(Data!C639),-200),0,400,1)="END")*(OFFSET(Data!A639,MAX(ROW(Data!$B$5)-ROW(Data!B639),-200),0,400,1)=Data!A639))=1,TRUE)</f>
        <v>1</v>
      </c>
      <c r="AA639" s="26" t="b">
        <f>IF(Checks!C639,ISERROR(FIND("&amp;",Data!D639)),TRUE)</f>
        <v>1</v>
      </c>
      <c r="AB639" s="26" t="b">
        <f>IF(Checks!$C639,IF(AND(UPPER(Data!$C639)&lt;&gt;"START",UPPER(Data!$C639)&lt;&gt;"DATA OBJECT",Data!E639&lt;&gt;""),NOT(ISERROR(MATCH(Data!$A639&amp;"||"&amp;Data!E639,Key,0))),TRUE),TRUE)</f>
        <v>1</v>
      </c>
      <c r="AC639" s="27" t="b">
        <f>IF(Checks!C639,IF(UPPER(Data!C639)="END",Data!E639&lt;&gt;"",TRUE),TRUE)</f>
        <v>1</v>
      </c>
    </row>
    <row r="640" spans="1:29" x14ac:dyDescent="0.25">
      <c r="A640" s="1" t="str">
        <f>Data!A640&amp;"||"&amp;Data!B640</f>
        <v>Miscellaneous/subflow/irmifrs9_attribution_analysis.bpmn||020_00_13</v>
      </c>
      <c r="B640" s="19"/>
      <c r="C640" s="24" t="b">
        <f>AND(UPPER(Data!A640)&lt;&gt;"EMPTY",Data!B640&lt;&gt;"")</f>
        <v>1</v>
      </c>
      <c r="D640" s="1"/>
      <c r="E640" s="25" t="b">
        <f t="shared" ca="1" si="18"/>
        <v>1</v>
      </c>
      <c r="F640" s="26" t="b">
        <f ca="1">IF(UPPER(Data!C640)="SUB PROCESS",NOT(ISERROR(MATCH(RIGHT(Data!BY640,LEN(Data!BY640)-5),OFFSET(Data,0,0,ItemsCount,1),0))),TRUE)</f>
        <v>1</v>
      </c>
      <c r="G640" s="26" t="b">
        <f ca="1">IF(MID(UPPER(Data!A640),1,13)="MISCELLANEOUS",NOT(ISERROR(MATCH("path="&amp;Data!A640,OFFSET(Data,0,76,ItemsCount,1),0))),TRUE)</f>
        <v>1</v>
      </c>
      <c r="L640" s="25" t="b">
        <f t="shared" ca="1" si="19"/>
        <v>1</v>
      </c>
      <c r="M640" s="24" t="b">
        <f>IF(Checks!$C640,Data!A640&lt;&gt;"",TRUE)</f>
        <v>1</v>
      </c>
      <c r="N640" s="26" t="b">
        <f>IF(Checks!C640,Data!B640&lt;&gt;"",TRUE)</f>
        <v>1</v>
      </c>
      <c r="O640" s="26" t="b">
        <f>IF(Checks!C640,IF(AND(UPPER(Data!C640)="SERVICE TASK",UPPER(Data!BZ640)="TYPE=SAS"),NodeExists(TRIM(RIGHT(Data!CA640,LEN(Data!CA640)-FIND("=",Data!CA640)))),TRUE),TRUE)</f>
        <v>1</v>
      </c>
      <c r="P640" s="26" t="b">
        <f>IF(Checks!C640,IF(Data!C640="DATA OBJECT",OR(AND(Data!BW640&lt;&gt;"",Data!BX640=""),AND(Data!BW640="",Data!BX640&lt;&gt;"")),TRUE),TRUE)</f>
        <v>1</v>
      </c>
      <c r="Q640" s="26" t="b">
        <f>IF(Checks!C640,UPPER(RIGHT(Data!A640,5))=".BPMN",TRUE)</f>
        <v>1</v>
      </c>
      <c r="R640" s="26" t="b">
        <f>IF(Checks!C640,IF(UPPER(Data!C640)="SUB PROCESS",UPPER(RIGHT(Data!BY640,5))=".BPMN",TRUE),TRUE)</f>
        <v>1</v>
      </c>
      <c r="S640" s="26" t="b">
        <f>IF(Checks!C640,IF(UPPER(Data!C640)="SERVICE TASK",IF(UPPER(Data!BZ640)="TYPE=SAS",UPPER(RIGHT(Data!CA640,4))=".SAS",TRUE),TRUE),TRUE)</f>
        <v>1</v>
      </c>
      <c r="T640" s="26" t="b">
        <f>IF(Checks!C640,IF(Data!B640&lt;&gt;"",Data!D640&lt;&gt;"",TRUE),TRUE)</f>
        <v>1</v>
      </c>
      <c r="U640" s="26" t="b">
        <f ca="1">IF(Checks!C640,IF(UPPER(Data!C640)="DATA OBJECT",NOT(ISERROR(MATCH(Data!A640&amp;"||"&amp;Data!BW640&amp;Data!BX640,Key,0))),TRUE),TRUE)</f>
        <v>1</v>
      </c>
      <c r="V640" s="26" t="b">
        <f>IF(Checks!C640,IF(UPPER(Data!C640)="SUB PROCESS",Data!BY640&lt;&gt;"",TRUE),TRUE)</f>
        <v>1</v>
      </c>
      <c r="W640" s="26" t="b">
        <f>IF(Checks!C640,IF(UPPER(Data!C640)="SERVICE TASK",AND(Data!BZ640&lt;&gt;"",Data!CA640&lt;&gt;""),TRUE),TRUE)</f>
        <v>1</v>
      </c>
      <c r="X640" s="26" t="b">
        <f t="array" aca="1" ref="X640" ca="1">SUM((OFFSET(Data!B640,MAX(ROW(Data!$B$5)-ROW(Data!B640),-200),0,400,1)=Data!B640)*(OFFSET(Data!A640,MAX(ROW(Data!$B$5)-ROW(Data!B640),-200),0,400,1)=Data!A640))=1</f>
        <v>1</v>
      </c>
      <c r="Y640" s="26" t="b">
        <f t="array" aca="1" ref="Y640" ca="1">IF(UPPER(Data!C640)="START",SUM((OFFSET(Data!C640,MAX(ROW(Data!$C$5)-ROW(Data!C640),-200),0,400,1)="START")*(OFFSET(Data!A640,MAX(ROW(Data!$B$5)-ROW(Data!B640),-200),0,400,1)=Data!A640))=1,TRUE)</f>
        <v>1</v>
      </c>
      <c r="Z640" s="26" t="b">
        <f t="array" aca="1" ref="Z640" ca="1">IF(UPPER(Data!C640)="END",SUM((OFFSET(Data!C640,MAX(ROW(Data!$C$5)-ROW(Data!C640),-200),0,400,1)="END")*(OFFSET(Data!A640,MAX(ROW(Data!$B$5)-ROW(Data!B640),-200),0,400,1)=Data!A640))=1,TRUE)</f>
        <v>1</v>
      </c>
      <c r="AA640" s="26" t="b">
        <f>IF(Checks!C640,ISERROR(FIND("&amp;",Data!D640)),TRUE)</f>
        <v>1</v>
      </c>
      <c r="AB640" s="26" t="b">
        <f>IF(Checks!$C640,IF(AND(UPPER(Data!$C640)&lt;&gt;"START",UPPER(Data!$C640)&lt;&gt;"DATA OBJECT",Data!E640&lt;&gt;""),NOT(ISERROR(MATCH(Data!$A640&amp;"||"&amp;Data!E640,Key,0))),TRUE),TRUE)</f>
        <v>1</v>
      </c>
      <c r="AC640" s="27" t="b">
        <f>IF(Checks!C640,IF(UPPER(Data!C640)="END",Data!E640&lt;&gt;"",TRUE),TRUE)</f>
        <v>1</v>
      </c>
    </row>
    <row r="641" spans="1:29" x14ac:dyDescent="0.25">
      <c r="A641" s="1" t="str">
        <f>Data!A641&amp;"||"&amp;Data!B641</f>
        <v>Miscellaneous/subflow/irmifrs9_attribution_analysis.bpmn||020_01_00</v>
      </c>
      <c r="B641" s="19"/>
      <c r="C641" s="24" t="b">
        <f>AND(UPPER(Data!A641)&lt;&gt;"EMPTY",Data!B641&lt;&gt;"")</f>
        <v>1</v>
      </c>
      <c r="D641" s="1"/>
      <c r="E641" s="25" t="b">
        <f t="shared" ca="1" si="18"/>
        <v>1</v>
      </c>
      <c r="F641" s="26" t="b">
        <f ca="1">IF(UPPER(Data!C641)="SUB PROCESS",NOT(ISERROR(MATCH(RIGHT(Data!BY641,LEN(Data!BY641)-5),OFFSET(Data,0,0,ItemsCount,1),0))),TRUE)</f>
        <v>1</v>
      </c>
      <c r="G641" s="26" t="b">
        <f ca="1">IF(MID(UPPER(Data!A641),1,13)="MISCELLANEOUS",NOT(ISERROR(MATCH("path="&amp;Data!A641,OFFSET(Data,0,76,ItemsCount,1),0))),TRUE)</f>
        <v>1</v>
      </c>
      <c r="L641" s="25" t="b">
        <f t="shared" ca="1" si="19"/>
        <v>1</v>
      </c>
      <c r="M641" s="24" t="b">
        <f>IF(Checks!$C641,Data!A641&lt;&gt;"",TRUE)</f>
        <v>1</v>
      </c>
      <c r="N641" s="26" t="b">
        <f>IF(Checks!C641,Data!B641&lt;&gt;"",TRUE)</f>
        <v>1</v>
      </c>
      <c r="O641" s="26" t="b">
        <f>IF(Checks!C641,IF(AND(UPPER(Data!C641)="SERVICE TASK",UPPER(Data!BZ641)="TYPE=SAS"),NodeExists(TRIM(RIGHT(Data!CA641,LEN(Data!CA641)-FIND("=",Data!CA641)))),TRUE),TRUE)</f>
        <v>1</v>
      </c>
      <c r="P641" s="26" t="b">
        <f>IF(Checks!C641,IF(Data!C641="DATA OBJECT",OR(AND(Data!BW641&lt;&gt;"",Data!BX641=""),AND(Data!BW641="",Data!BX641&lt;&gt;"")),TRUE),TRUE)</f>
        <v>1</v>
      </c>
      <c r="Q641" s="26" t="b">
        <f>IF(Checks!C641,UPPER(RIGHT(Data!A641,5))=".BPMN",TRUE)</f>
        <v>1</v>
      </c>
      <c r="R641" s="26" t="b">
        <f>IF(Checks!C641,IF(UPPER(Data!C641)="SUB PROCESS",UPPER(RIGHT(Data!BY641,5))=".BPMN",TRUE),TRUE)</f>
        <v>1</v>
      </c>
      <c r="S641" s="26" t="b">
        <f>IF(Checks!C641,IF(UPPER(Data!C641)="SERVICE TASK",IF(UPPER(Data!BZ641)="TYPE=SAS",UPPER(RIGHT(Data!CA641,4))=".SAS",TRUE),TRUE),TRUE)</f>
        <v>1</v>
      </c>
      <c r="T641" s="26" t="b">
        <f>IF(Checks!C641,IF(Data!B641&lt;&gt;"",Data!D641&lt;&gt;"",TRUE),TRUE)</f>
        <v>1</v>
      </c>
      <c r="U641" s="26" t="b">
        <f ca="1">IF(Checks!C641,IF(UPPER(Data!C641)="DATA OBJECT",NOT(ISERROR(MATCH(Data!A641&amp;"||"&amp;Data!BW641&amp;Data!BX641,Key,0))),TRUE),TRUE)</f>
        <v>1</v>
      </c>
      <c r="V641" s="26" t="b">
        <f>IF(Checks!C641,IF(UPPER(Data!C641)="SUB PROCESS",Data!BY641&lt;&gt;"",TRUE),TRUE)</f>
        <v>1</v>
      </c>
      <c r="W641" s="26" t="b">
        <f>IF(Checks!C641,IF(UPPER(Data!C641)="SERVICE TASK",AND(Data!BZ641&lt;&gt;"",Data!CA641&lt;&gt;""),TRUE),TRUE)</f>
        <v>1</v>
      </c>
      <c r="X641" s="26" t="b">
        <f t="array" aca="1" ref="X641" ca="1">SUM((OFFSET(Data!B641,MAX(ROW(Data!$B$5)-ROW(Data!B641),-200),0,400,1)=Data!B641)*(OFFSET(Data!A641,MAX(ROW(Data!$B$5)-ROW(Data!B641),-200),0,400,1)=Data!A641))=1</f>
        <v>1</v>
      </c>
      <c r="Y641" s="26" t="b">
        <f t="array" aca="1" ref="Y641" ca="1">IF(UPPER(Data!C641)="START",SUM((OFFSET(Data!C641,MAX(ROW(Data!$C$5)-ROW(Data!C641),-200),0,400,1)="START")*(OFFSET(Data!A641,MAX(ROW(Data!$B$5)-ROW(Data!B641),-200),0,400,1)=Data!A641))=1,TRUE)</f>
        <v>1</v>
      </c>
      <c r="Z641" s="26" t="b">
        <f t="array" aca="1" ref="Z641" ca="1">IF(UPPER(Data!C641)="END",SUM((OFFSET(Data!C641,MAX(ROW(Data!$C$5)-ROW(Data!C641),-200),0,400,1)="END")*(OFFSET(Data!A641,MAX(ROW(Data!$B$5)-ROW(Data!B641),-200),0,400,1)=Data!A641))=1,TRUE)</f>
        <v>1</v>
      </c>
      <c r="AA641" s="26" t="b">
        <f>IF(Checks!C641,ISERROR(FIND("&amp;",Data!D641)),TRUE)</f>
        <v>1</v>
      </c>
      <c r="AB641" s="26" t="b">
        <f>IF(Checks!$C641,IF(AND(UPPER(Data!$C641)&lt;&gt;"START",UPPER(Data!$C641)&lt;&gt;"DATA OBJECT",Data!E641&lt;&gt;""),NOT(ISERROR(MATCH(Data!$A641&amp;"||"&amp;Data!E641,Key,0))),TRUE),TRUE)</f>
        <v>1</v>
      </c>
      <c r="AC641" s="27" t="b">
        <f>IF(Checks!C641,IF(UPPER(Data!C641)="END",Data!E641&lt;&gt;"",TRUE),TRUE)</f>
        <v>1</v>
      </c>
    </row>
    <row r="642" spans="1:29" x14ac:dyDescent="0.25">
      <c r="A642" s="1" t="str">
        <f>Data!A642&amp;"||"&amp;Data!B642</f>
        <v>Miscellaneous/subflow/irmifrs9_attribution_analysis.bpmn||030_00_00</v>
      </c>
      <c r="B642" s="19"/>
      <c r="C642" s="24" t="b">
        <f>AND(UPPER(Data!A642)&lt;&gt;"EMPTY",Data!B642&lt;&gt;"")</f>
        <v>1</v>
      </c>
      <c r="D642" s="1"/>
      <c r="E642" s="25" t="b">
        <f t="shared" ca="1" si="18"/>
        <v>1</v>
      </c>
      <c r="F642" s="26" t="b">
        <f ca="1">IF(UPPER(Data!C642)="SUB PROCESS",NOT(ISERROR(MATCH(RIGHT(Data!BY642,LEN(Data!BY642)-5),OFFSET(Data,0,0,ItemsCount,1),0))),TRUE)</f>
        <v>1</v>
      </c>
      <c r="G642" s="26" t="b">
        <f ca="1">IF(MID(UPPER(Data!A642),1,13)="MISCELLANEOUS",NOT(ISERROR(MATCH("path="&amp;Data!A642,OFFSET(Data,0,76,ItemsCount,1),0))),TRUE)</f>
        <v>1</v>
      </c>
      <c r="L642" s="25" t="b">
        <f t="shared" ca="1" si="19"/>
        <v>1</v>
      </c>
      <c r="M642" s="24" t="b">
        <f>IF(Checks!$C642,Data!A642&lt;&gt;"",TRUE)</f>
        <v>1</v>
      </c>
      <c r="N642" s="26" t="b">
        <f>IF(Checks!C642,Data!B642&lt;&gt;"",TRUE)</f>
        <v>1</v>
      </c>
      <c r="O642" s="26" t="b">
        <f>IF(Checks!C642,IF(AND(UPPER(Data!C642)="SERVICE TASK",UPPER(Data!BZ642)="TYPE=SAS"),NodeExists(TRIM(RIGHT(Data!CA642,LEN(Data!CA642)-FIND("=",Data!CA642)))),TRUE),TRUE)</f>
        <v>1</v>
      </c>
      <c r="P642" s="26" t="b">
        <f>IF(Checks!C642,IF(Data!C642="DATA OBJECT",OR(AND(Data!BW642&lt;&gt;"",Data!BX642=""),AND(Data!BW642="",Data!BX642&lt;&gt;"")),TRUE),TRUE)</f>
        <v>1</v>
      </c>
      <c r="Q642" s="26" t="b">
        <f>IF(Checks!C642,UPPER(RIGHT(Data!A642,5))=".BPMN",TRUE)</f>
        <v>1</v>
      </c>
      <c r="R642" s="26" t="b">
        <f>IF(Checks!C642,IF(UPPER(Data!C642)="SUB PROCESS",UPPER(RIGHT(Data!BY642,5))=".BPMN",TRUE),TRUE)</f>
        <v>1</v>
      </c>
      <c r="S642" s="26" t="b">
        <f>IF(Checks!C642,IF(UPPER(Data!C642)="SERVICE TASK",IF(UPPER(Data!BZ642)="TYPE=SAS",UPPER(RIGHT(Data!CA642,4))=".SAS",TRUE),TRUE),TRUE)</f>
        <v>1</v>
      </c>
      <c r="T642" s="26" t="b">
        <f>IF(Checks!C642,IF(Data!B642&lt;&gt;"",Data!D642&lt;&gt;"",TRUE),TRUE)</f>
        <v>1</v>
      </c>
      <c r="U642" s="26" t="b">
        <f>IF(Checks!C642,IF(UPPER(Data!C642)="DATA OBJECT",NOT(ISERROR(MATCH(Data!A642&amp;"||"&amp;Data!BW642&amp;Data!BX642,Key,0))),TRUE),TRUE)</f>
        <v>1</v>
      </c>
      <c r="V642" s="26" t="b">
        <f>IF(Checks!C642,IF(UPPER(Data!C642)="SUB PROCESS",Data!BY642&lt;&gt;"",TRUE),TRUE)</f>
        <v>1</v>
      </c>
      <c r="W642" s="26" t="b">
        <f>IF(Checks!C642,IF(UPPER(Data!C642)="SERVICE TASK",AND(Data!BZ642&lt;&gt;"",Data!CA642&lt;&gt;""),TRUE),TRUE)</f>
        <v>1</v>
      </c>
      <c r="X642" s="26" t="b">
        <f t="array" aca="1" ref="X642" ca="1">SUM((OFFSET(Data!B642,MAX(ROW(Data!$B$5)-ROW(Data!B642),-200),0,400,1)=Data!B642)*(OFFSET(Data!A642,MAX(ROW(Data!$B$5)-ROW(Data!B642),-200),0,400,1)=Data!A642))=1</f>
        <v>1</v>
      </c>
      <c r="Y642" s="26" t="b">
        <f t="array" aca="1" ref="Y642" ca="1">IF(UPPER(Data!C642)="START",SUM((OFFSET(Data!C642,MAX(ROW(Data!$C$5)-ROW(Data!C642),-200),0,400,1)="START")*(OFFSET(Data!A642,MAX(ROW(Data!$B$5)-ROW(Data!B642),-200),0,400,1)=Data!A642))=1,TRUE)</f>
        <v>1</v>
      </c>
      <c r="Z642" s="26" t="b">
        <f t="array" aca="1" ref="Z642" ca="1">IF(UPPER(Data!C642)="END",SUM((OFFSET(Data!C642,MAX(ROW(Data!$C$5)-ROW(Data!C642),-200),0,400,1)="END")*(OFFSET(Data!A642,MAX(ROW(Data!$B$5)-ROW(Data!B642),-200),0,400,1)=Data!A642))=1,TRUE)</f>
        <v>1</v>
      </c>
      <c r="AA642" s="26" t="b">
        <f>IF(Checks!C642,ISERROR(FIND("&amp;",Data!D642)),TRUE)</f>
        <v>1</v>
      </c>
      <c r="AB642" s="26" t="b">
        <f ca="1">IF(Checks!$C642,IF(AND(UPPER(Data!$C642)&lt;&gt;"START",UPPER(Data!$C642)&lt;&gt;"DATA OBJECT",Data!E642&lt;&gt;""),NOT(ISERROR(MATCH(Data!$A642&amp;"||"&amp;Data!E642,Key,0))),TRUE),TRUE)</f>
        <v>1</v>
      </c>
      <c r="AC642" s="27" t="b">
        <f>IF(Checks!C642,IF(UPPER(Data!C642)="END",Data!E642&lt;&gt;"",TRUE),TRUE)</f>
        <v>1</v>
      </c>
    </row>
    <row r="643" spans="1:29" x14ac:dyDescent="0.25">
      <c r="A643" s="1" t="str">
        <f>Data!A643&amp;"||"&amp;Data!B643</f>
        <v>Miscellaneous/subflow/irmifrs9_attribution_analysis.bpmn||030_00_01</v>
      </c>
      <c r="B643" s="19"/>
      <c r="C643" s="24" t="b">
        <f>AND(UPPER(Data!A643)&lt;&gt;"EMPTY",Data!B643&lt;&gt;"")</f>
        <v>1</v>
      </c>
      <c r="D643" s="1"/>
      <c r="E643" s="25" t="b">
        <f t="shared" ca="1" si="18"/>
        <v>1</v>
      </c>
      <c r="F643" s="26" t="b">
        <f ca="1">IF(UPPER(Data!C643)="SUB PROCESS",NOT(ISERROR(MATCH(RIGHT(Data!BY643,LEN(Data!BY643)-5),OFFSET(Data,0,0,ItemsCount,1),0))),TRUE)</f>
        <v>1</v>
      </c>
      <c r="G643" s="26" t="b">
        <f ca="1">IF(MID(UPPER(Data!A643),1,13)="MISCELLANEOUS",NOT(ISERROR(MATCH("path="&amp;Data!A643,OFFSET(Data,0,76,ItemsCount,1),0))),TRUE)</f>
        <v>1</v>
      </c>
      <c r="L643" s="25" t="b">
        <f t="shared" ca="1" si="19"/>
        <v>1</v>
      </c>
      <c r="M643" s="24" t="b">
        <f>IF(Checks!$C643,Data!A643&lt;&gt;"",TRUE)</f>
        <v>1</v>
      </c>
      <c r="N643" s="26" t="b">
        <f>IF(Checks!C643,Data!B643&lt;&gt;"",TRUE)</f>
        <v>1</v>
      </c>
      <c r="O643" s="26" t="b">
        <f>IF(Checks!C643,IF(AND(UPPER(Data!C643)="SERVICE TASK",UPPER(Data!BZ643)="TYPE=SAS"),NodeExists(TRIM(RIGHT(Data!CA643,LEN(Data!CA643)-FIND("=",Data!CA643)))),TRUE),TRUE)</f>
        <v>1</v>
      </c>
      <c r="P643" s="26" t="b">
        <f>IF(Checks!C643,IF(Data!C643="DATA OBJECT",OR(AND(Data!BW643&lt;&gt;"",Data!BX643=""),AND(Data!BW643="",Data!BX643&lt;&gt;"")),TRUE),TRUE)</f>
        <v>1</v>
      </c>
      <c r="Q643" s="26" t="b">
        <f>IF(Checks!C643,UPPER(RIGHT(Data!A643,5))=".BPMN",TRUE)</f>
        <v>1</v>
      </c>
      <c r="R643" s="26" t="b">
        <f>IF(Checks!C643,IF(UPPER(Data!C643)="SUB PROCESS",UPPER(RIGHT(Data!BY643,5))=".BPMN",TRUE),TRUE)</f>
        <v>1</v>
      </c>
      <c r="S643" s="26" t="b">
        <f>IF(Checks!C643,IF(UPPER(Data!C643)="SERVICE TASK",IF(UPPER(Data!BZ643)="TYPE=SAS",UPPER(RIGHT(Data!CA643,4))=".SAS",TRUE),TRUE),TRUE)</f>
        <v>1</v>
      </c>
      <c r="T643" s="26" t="b">
        <f>IF(Checks!C643,IF(Data!B643&lt;&gt;"",Data!D643&lt;&gt;"",TRUE),TRUE)</f>
        <v>1</v>
      </c>
      <c r="U643" s="26" t="b">
        <f ca="1">IF(Checks!C643,IF(UPPER(Data!C643)="DATA OBJECT",NOT(ISERROR(MATCH(Data!A643&amp;"||"&amp;Data!BW643&amp;Data!BX643,Key,0))),TRUE),TRUE)</f>
        <v>1</v>
      </c>
      <c r="V643" s="26" t="b">
        <f>IF(Checks!C643,IF(UPPER(Data!C643)="SUB PROCESS",Data!BY643&lt;&gt;"",TRUE),TRUE)</f>
        <v>1</v>
      </c>
      <c r="W643" s="26" t="b">
        <f>IF(Checks!C643,IF(UPPER(Data!C643)="SERVICE TASK",AND(Data!BZ643&lt;&gt;"",Data!CA643&lt;&gt;""),TRUE),TRUE)</f>
        <v>1</v>
      </c>
      <c r="X643" s="26" t="b">
        <f t="array" aca="1" ref="X643" ca="1">SUM((OFFSET(Data!B643,MAX(ROW(Data!$B$5)-ROW(Data!B643),-200),0,400,1)=Data!B643)*(OFFSET(Data!A643,MAX(ROW(Data!$B$5)-ROW(Data!B643),-200),0,400,1)=Data!A643))=1</f>
        <v>1</v>
      </c>
      <c r="Y643" s="26" t="b">
        <f t="array" aca="1" ref="Y643" ca="1">IF(UPPER(Data!C643)="START",SUM((OFFSET(Data!C643,MAX(ROW(Data!$C$5)-ROW(Data!C643),-200),0,400,1)="START")*(OFFSET(Data!A643,MAX(ROW(Data!$B$5)-ROW(Data!B643),-200),0,400,1)=Data!A643))=1,TRUE)</f>
        <v>1</v>
      </c>
      <c r="Z643" s="26" t="b">
        <f t="array" aca="1" ref="Z643" ca="1">IF(UPPER(Data!C643)="END",SUM((OFFSET(Data!C643,MAX(ROW(Data!$C$5)-ROW(Data!C643),-200),0,400,1)="END")*(OFFSET(Data!A643,MAX(ROW(Data!$B$5)-ROW(Data!B643),-200),0,400,1)=Data!A643))=1,TRUE)</f>
        <v>1</v>
      </c>
      <c r="AA643" s="26" t="b">
        <f>IF(Checks!C643,ISERROR(FIND("&amp;",Data!D643)),TRUE)</f>
        <v>1</v>
      </c>
      <c r="AB643" s="26" t="b">
        <f>IF(Checks!$C643,IF(AND(UPPER(Data!$C643)&lt;&gt;"START",UPPER(Data!$C643)&lt;&gt;"DATA OBJECT",Data!E643&lt;&gt;""),NOT(ISERROR(MATCH(Data!$A643&amp;"||"&amp;Data!E643,Key,0))),TRUE),TRUE)</f>
        <v>1</v>
      </c>
      <c r="AC643" s="27" t="b">
        <f>IF(Checks!C643,IF(UPPER(Data!C643)="END",Data!E643&lt;&gt;"",TRUE),TRUE)</f>
        <v>1</v>
      </c>
    </row>
    <row r="644" spans="1:29" x14ac:dyDescent="0.25">
      <c r="A644" s="1" t="str">
        <f>Data!A644&amp;"||"&amp;Data!B644</f>
        <v>Miscellaneous/subflow/irmifrs9_attribution_analysis.bpmn||030_00_02</v>
      </c>
      <c r="B644" s="19"/>
      <c r="C644" s="24" t="b">
        <f>AND(UPPER(Data!A644)&lt;&gt;"EMPTY",Data!B644&lt;&gt;"")</f>
        <v>1</v>
      </c>
      <c r="D644" s="1"/>
      <c r="E644" s="25" t="b">
        <f t="shared" ca="1" si="18"/>
        <v>1</v>
      </c>
      <c r="F644" s="26" t="b">
        <f ca="1">IF(UPPER(Data!C644)="SUB PROCESS",NOT(ISERROR(MATCH(RIGHT(Data!BY644,LEN(Data!BY644)-5),OFFSET(Data,0,0,ItemsCount,1),0))),TRUE)</f>
        <v>1</v>
      </c>
      <c r="G644" s="26" t="b">
        <f ca="1">IF(MID(UPPER(Data!A644),1,13)="MISCELLANEOUS",NOT(ISERROR(MATCH("path="&amp;Data!A644,OFFSET(Data,0,76,ItemsCount,1),0))),TRUE)</f>
        <v>1</v>
      </c>
      <c r="L644" s="25" t="b">
        <f t="shared" ca="1" si="19"/>
        <v>1</v>
      </c>
      <c r="M644" s="24" t="b">
        <f>IF(Checks!$C644,Data!A644&lt;&gt;"",TRUE)</f>
        <v>1</v>
      </c>
      <c r="N644" s="26" t="b">
        <f>IF(Checks!C644,Data!B644&lt;&gt;"",TRUE)</f>
        <v>1</v>
      </c>
      <c r="O644" s="26" t="b">
        <f>IF(Checks!C644,IF(AND(UPPER(Data!C644)="SERVICE TASK",UPPER(Data!BZ644)="TYPE=SAS"),NodeExists(TRIM(RIGHT(Data!CA644,LEN(Data!CA644)-FIND("=",Data!CA644)))),TRUE),TRUE)</f>
        <v>1</v>
      </c>
      <c r="P644" s="26" t="b">
        <f>IF(Checks!C644,IF(Data!C644="DATA OBJECT",OR(AND(Data!BW644&lt;&gt;"",Data!BX644=""),AND(Data!BW644="",Data!BX644&lt;&gt;"")),TRUE),TRUE)</f>
        <v>1</v>
      </c>
      <c r="Q644" s="26" t="b">
        <f>IF(Checks!C644,UPPER(RIGHT(Data!A644,5))=".BPMN",TRUE)</f>
        <v>1</v>
      </c>
      <c r="R644" s="26" t="b">
        <f>IF(Checks!C644,IF(UPPER(Data!C644)="SUB PROCESS",UPPER(RIGHT(Data!BY644,5))=".BPMN",TRUE),TRUE)</f>
        <v>1</v>
      </c>
      <c r="S644" s="26" t="b">
        <f>IF(Checks!C644,IF(UPPER(Data!C644)="SERVICE TASK",IF(UPPER(Data!BZ644)="TYPE=SAS",UPPER(RIGHT(Data!CA644,4))=".SAS",TRUE),TRUE),TRUE)</f>
        <v>1</v>
      </c>
      <c r="T644" s="26" t="b">
        <f>IF(Checks!C644,IF(Data!B644&lt;&gt;"",Data!D644&lt;&gt;"",TRUE),TRUE)</f>
        <v>1</v>
      </c>
      <c r="U644" s="26" t="b">
        <f ca="1">IF(Checks!C644,IF(UPPER(Data!C644)="DATA OBJECT",NOT(ISERROR(MATCH(Data!A644&amp;"||"&amp;Data!BW644&amp;Data!BX644,Key,0))),TRUE),TRUE)</f>
        <v>1</v>
      </c>
      <c r="V644" s="26" t="b">
        <f>IF(Checks!C644,IF(UPPER(Data!C644)="SUB PROCESS",Data!BY644&lt;&gt;"",TRUE),TRUE)</f>
        <v>1</v>
      </c>
      <c r="W644" s="26" t="b">
        <f>IF(Checks!C644,IF(UPPER(Data!C644)="SERVICE TASK",AND(Data!BZ644&lt;&gt;"",Data!CA644&lt;&gt;""),TRUE),TRUE)</f>
        <v>1</v>
      </c>
      <c r="X644" s="26" t="b">
        <f t="array" aca="1" ref="X644" ca="1">SUM((OFFSET(Data!B644,MAX(ROW(Data!$B$5)-ROW(Data!B644),-200),0,400,1)=Data!B644)*(OFFSET(Data!A644,MAX(ROW(Data!$B$5)-ROW(Data!B644),-200),0,400,1)=Data!A644))=1</f>
        <v>1</v>
      </c>
      <c r="Y644" s="26" t="b">
        <f t="array" aca="1" ref="Y644" ca="1">IF(UPPER(Data!C644)="START",SUM((OFFSET(Data!C644,MAX(ROW(Data!$C$5)-ROW(Data!C644),-200),0,400,1)="START")*(OFFSET(Data!A644,MAX(ROW(Data!$B$5)-ROW(Data!B644),-200),0,400,1)=Data!A644))=1,TRUE)</f>
        <v>1</v>
      </c>
      <c r="Z644" s="26" t="b">
        <f t="array" aca="1" ref="Z644" ca="1">IF(UPPER(Data!C644)="END",SUM((OFFSET(Data!C644,MAX(ROW(Data!$C$5)-ROW(Data!C644),-200),0,400,1)="END")*(OFFSET(Data!A644,MAX(ROW(Data!$B$5)-ROW(Data!B644),-200),0,400,1)=Data!A644))=1,TRUE)</f>
        <v>1</v>
      </c>
      <c r="AA644" s="26" t="b">
        <f>IF(Checks!C644,ISERROR(FIND("&amp;",Data!D644)),TRUE)</f>
        <v>1</v>
      </c>
      <c r="AB644" s="26" t="b">
        <f>IF(Checks!$C644,IF(AND(UPPER(Data!$C644)&lt;&gt;"START",UPPER(Data!$C644)&lt;&gt;"DATA OBJECT",Data!E644&lt;&gt;""),NOT(ISERROR(MATCH(Data!$A644&amp;"||"&amp;Data!E644,Key,0))),TRUE),TRUE)</f>
        <v>1</v>
      </c>
      <c r="AC644" s="27" t="b">
        <f>IF(Checks!C644,IF(UPPER(Data!C644)="END",Data!E644&lt;&gt;"",TRUE),TRUE)</f>
        <v>1</v>
      </c>
    </row>
    <row r="645" spans="1:29" x14ac:dyDescent="0.25">
      <c r="A645" s="1" t="str">
        <f>Data!A645&amp;"||"&amp;Data!B645</f>
        <v>Miscellaneous/subflow/irmifrs9_attribution_analysis.bpmn||030_01_00</v>
      </c>
      <c r="B645" s="19"/>
      <c r="C645" s="24" t="b">
        <f>AND(UPPER(Data!A645)&lt;&gt;"EMPTY",Data!B645&lt;&gt;"")</f>
        <v>1</v>
      </c>
      <c r="D645" s="1"/>
      <c r="E645" s="25" t="b">
        <f t="shared" ca="1" si="18"/>
        <v>1</v>
      </c>
      <c r="F645" s="26" t="b">
        <f ca="1">IF(UPPER(Data!C645)="SUB PROCESS",NOT(ISERROR(MATCH(RIGHT(Data!BY645,LEN(Data!BY645)-5),OFFSET(Data,0,0,ItemsCount,1),0))),TRUE)</f>
        <v>1</v>
      </c>
      <c r="G645" s="26" t="b">
        <f ca="1">IF(MID(UPPER(Data!A645),1,13)="MISCELLANEOUS",NOT(ISERROR(MATCH("path="&amp;Data!A645,OFFSET(Data,0,76,ItemsCount,1),0))),TRUE)</f>
        <v>1</v>
      </c>
      <c r="L645" s="25" t="b">
        <f t="shared" ca="1" si="19"/>
        <v>1</v>
      </c>
      <c r="M645" s="24" t="b">
        <f>IF(Checks!$C645,Data!A645&lt;&gt;"",TRUE)</f>
        <v>1</v>
      </c>
      <c r="N645" s="26" t="b">
        <f>IF(Checks!C645,Data!B645&lt;&gt;"",TRUE)</f>
        <v>1</v>
      </c>
      <c r="O645" s="26" t="b">
        <f>IF(Checks!C645,IF(AND(UPPER(Data!C645)="SERVICE TASK",UPPER(Data!BZ645)="TYPE=SAS"),NodeExists(TRIM(RIGHT(Data!CA645,LEN(Data!CA645)-FIND("=",Data!CA645)))),TRUE),TRUE)</f>
        <v>1</v>
      </c>
      <c r="P645" s="26" t="b">
        <f>IF(Checks!C645,IF(Data!C645="DATA OBJECT",OR(AND(Data!BW645&lt;&gt;"",Data!BX645=""),AND(Data!BW645="",Data!BX645&lt;&gt;"")),TRUE),TRUE)</f>
        <v>1</v>
      </c>
      <c r="Q645" s="26" t="b">
        <f>IF(Checks!C645,UPPER(RIGHT(Data!A645,5))=".BPMN",TRUE)</f>
        <v>1</v>
      </c>
      <c r="R645" s="26" t="b">
        <f>IF(Checks!C645,IF(UPPER(Data!C645)="SUB PROCESS",UPPER(RIGHT(Data!BY645,5))=".BPMN",TRUE),TRUE)</f>
        <v>1</v>
      </c>
      <c r="S645" s="26" t="b">
        <f>IF(Checks!C645,IF(UPPER(Data!C645)="SERVICE TASK",IF(UPPER(Data!BZ645)="TYPE=SAS",UPPER(RIGHT(Data!CA645,4))=".SAS",TRUE),TRUE),TRUE)</f>
        <v>1</v>
      </c>
      <c r="T645" s="26" t="b">
        <f>IF(Checks!C645,IF(Data!B645&lt;&gt;"",Data!D645&lt;&gt;"",TRUE),TRUE)</f>
        <v>1</v>
      </c>
      <c r="U645" s="26" t="b">
        <f ca="1">IF(Checks!C645,IF(UPPER(Data!C645)="DATA OBJECT",NOT(ISERROR(MATCH(Data!A645&amp;"||"&amp;Data!BW645&amp;Data!BX645,Key,0))),TRUE),TRUE)</f>
        <v>1</v>
      </c>
      <c r="V645" s="26" t="b">
        <f>IF(Checks!C645,IF(UPPER(Data!C645)="SUB PROCESS",Data!BY645&lt;&gt;"",TRUE),TRUE)</f>
        <v>1</v>
      </c>
      <c r="W645" s="26" t="b">
        <f>IF(Checks!C645,IF(UPPER(Data!C645)="SERVICE TASK",AND(Data!BZ645&lt;&gt;"",Data!CA645&lt;&gt;""),TRUE),TRUE)</f>
        <v>1</v>
      </c>
      <c r="X645" s="26" t="b">
        <f t="array" aca="1" ref="X645" ca="1">SUM((OFFSET(Data!B645,MAX(ROW(Data!$B$5)-ROW(Data!B645),-200),0,400,1)=Data!B645)*(OFFSET(Data!A645,MAX(ROW(Data!$B$5)-ROW(Data!B645),-200),0,400,1)=Data!A645))=1</f>
        <v>1</v>
      </c>
      <c r="Y645" s="26" t="b">
        <f t="array" aca="1" ref="Y645" ca="1">IF(UPPER(Data!C645)="START",SUM((OFFSET(Data!C645,MAX(ROW(Data!$C$5)-ROW(Data!C645),-200),0,400,1)="START")*(OFFSET(Data!A645,MAX(ROW(Data!$B$5)-ROW(Data!B645),-200),0,400,1)=Data!A645))=1,TRUE)</f>
        <v>1</v>
      </c>
      <c r="Z645" s="26" t="b">
        <f t="array" aca="1" ref="Z645" ca="1">IF(UPPER(Data!C645)="END",SUM((OFFSET(Data!C645,MAX(ROW(Data!$C$5)-ROW(Data!C645),-200),0,400,1)="END")*(OFFSET(Data!A645,MAX(ROW(Data!$B$5)-ROW(Data!B645),-200),0,400,1)=Data!A645))=1,TRUE)</f>
        <v>1</v>
      </c>
      <c r="AA645" s="26" t="b">
        <f>IF(Checks!C645,ISERROR(FIND("&amp;",Data!D645)),TRUE)</f>
        <v>1</v>
      </c>
      <c r="AB645" s="26" t="b">
        <f>IF(Checks!$C645,IF(AND(UPPER(Data!$C645)&lt;&gt;"START",UPPER(Data!$C645)&lt;&gt;"DATA OBJECT",Data!E645&lt;&gt;""),NOT(ISERROR(MATCH(Data!$A645&amp;"||"&amp;Data!E645,Key,0))),TRUE),TRUE)</f>
        <v>1</v>
      </c>
      <c r="AC645" s="27" t="b">
        <f>IF(Checks!C645,IF(UPPER(Data!C645)="END",Data!E645&lt;&gt;"",TRUE),TRUE)</f>
        <v>1</v>
      </c>
    </row>
    <row r="646" spans="1:29" x14ac:dyDescent="0.25">
      <c r="A646" s="1" t="str">
        <f>Data!A646&amp;"||"&amp;Data!B646</f>
        <v>Miscellaneous/subflow/irmifrs9_attribution_analysis.bpmn||040_00_00</v>
      </c>
      <c r="B646" s="19"/>
      <c r="C646" s="24" t="b">
        <f>AND(UPPER(Data!A646)&lt;&gt;"EMPTY",Data!B646&lt;&gt;"")</f>
        <v>1</v>
      </c>
      <c r="D646" s="1"/>
      <c r="E646" s="25" t="b">
        <f t="shared" ref="E646:E659" ca="1" si="20">IF(C646,AND(F646:G646),TRUE)</f>
        <v>1</v>
      </c>
      <c r="F646" s="26" t="b">
        <f ca="1">IF(UPPER(Data!C646)="SUB PROCESS",NOT(ISERROR(MATCH(RIGHT(Data!BY646,LEN(Data!BY646)-5),OFFSET(Data,0,0,ItemsCount,1),0))),TRUE)</f>
        <v>1</v>
      </c>
      <c r="G646" s="26" t="b">
        <f ca="1">IF(MID(UPPER(Data!A646),1,13)="MISCELLANEOUS",NOT(ISERROR(MATCH("path="&amp;Data!A646,OFFSET(Data,0,76,ItemsCount,1),0))),TRUE)</f>
        <v>1</v>
      </c>
      <c r="L646" s="25" t="b">
        <f t="shared" ref="L646:L659" ca="1" si="21">IF(C646,AND(M646:AC646),TRUE)</f>
        <v>1</v>
      </c>
      <c r="M646" s="24" t="b">
        <f>IF(Checks!$C646,Data!A646&lt;&gt;"",TRUE)</f>
        <v>1</v>
      </c>
      <c r="N646" s="26" t="b">
        <f>IF(Checks!C646,Data!B646&lt;&gt;"",TRUE)</f>
        <v>1</v>
      </c>
      <c r="O646" s="26" t="b">
        <f>IF(Checks!C646,IF(AND(UPPER(Data!C646)="SERVICE TASK",UPPER(Data!BZ646)="TYPE=SAS"),NodeExists(TRIM(RIGHT(Data!CA646,LEN(Data!CA646)-FIND("=",Data!CA646)))),TRUE),TRUE)</f>
        <v>1</v>
      </c>
      <c r="P646" s="26" t="b">
        <f>IF(Checks!C646,IF(Data!C646="DATA OBJECT",OR(AND(Data!BW646&lt;&gt;"",Data!BX646=""),AND(Data!BW646="",Data!BX646&lt;&gt;"")),TRUE),TRUE)</f>
        <v>1</v>
      </c>
      <c r="Q646" s="26" t="b">
        <f>IF(Checks!C646,UPPER(RIGHT(Data!A646,5))=".BPMN",TRUE)</f>
        <v>1</v>
      </c>
      <c r="R646" s="26" t="b">
        <f>IF(Checks!C646,IF(UPPER(Data!C646)="SUB PROCESS",UPPER(RIGHT(Data!BY646,5))=".BPMN",TRUE),TRUE)</f>
        <v>1</v>
      </c>
      <c r="S646" s="26" t="b">
        <f>IF(Checks!C646,IF(UPPER(Data!C646)="SERVICE TASK",IF(UPPER(Data!BZ646)="TYPE=SAS",UPPER(RIGHT(Data!CA646,4))=".SAS",TRUE),TRUE),TRUE)</f>
        <v>1</v>
      </c>
      <c r="T646" s="26" t="b">
        <f>IF(Checks!C646,IF(Data!B646&lt;&gt;"",Data!D646&lt;&gt;"",TRUE),TRUE)</f>
        <v>1</v>
      </c>
      <c r="U646" s="26" t="b">
        <f>IF(Checks!C646,IF(UPPER(Data!C646)="DATA OBJECT",NOT(ISERROR(MATCH(Data!A646&amp;"||"&amp;Data!BW646&amp;Data!BX646,Key,0))),TRUE),TRUE)</f>
        <v>1</v>
      </c>
      <c r="V646" s="26" t="b">
        <f>IF(Checks!C646,IF(UPPER(Data!C646)="SUB PROCESS",Data!BY646&lt;&gt;"",TRUE),TRUE)</f>
        <v>1</v>
      </c>
      <c r="W646" s="26" t="b">
        <f>IF(Checks!C646,IF(UPPER(Data!C646)="SERVICE TASK",AND(Data!BZ646&lt;&gt;"",Data!CA646&lt;&gt;""),TRUE),TRUE)</f>
        <v>1</v>
      </c>
      <c r="X646" s="26" t="b">
        <f t="array" aca="1" ref="X646" ca="1">SUM((OFFSET(Data!B646,MAX(ROW(Data!$B$5)-ROW(Data!B646),-200),0,400,1)=Data!B646)*(OFFSET(Data!A646,MAX(ROW(Data!$B$5)-ROW(Data!B646),-200),0,400,1)=Data!A646))=1</f>
        <v>1</v>
      </c>
      <c r="Y646" s="26" t="b">
        <f t="array" aca="1" ref="Y646" ca="1">IF(UPPER(Data!C646)="START",SUM((OFFSET(Data!C646,MAX(ROW(Data!$C$5)-ROW(Data!C646),-200),0,400,1)="START")*(OFFSET(Data!A646,MAX(ROW(Data!$B$5)-ROW(Data!B646),-200),0,400,1)=Data!A646))=1,TRUE)</f>
        <v>1</v>
      </c>
      <c r="Z646" s="26" t="b">
        <f t="array" aca="1" ref="Z646" ca="1">IF(UPPER(Data!C646)="END",SUM((OFFSET(Data!C646,MAX(ROW(Data!$C$5)-ROW(Data!C646),-200),0,400,1)="END")*(OFFSET(Data!A646,MAX(ROW(Data!$B$5)-ROW(Data!B646),-200),0,400,1)=Data!A646))=1,TRUE)</f>
        <v>1</v>
      </c>
      <c r="AA646" s="26" t="b">
        <f>IF(Checks!C646,ISERROR(FIND("&amp;",Data!D646)),TRUE)</f>
        <v>1</v>
      </c>
      <c r="AB646" s="26" t="b">
        <f ca="1">IF(Checks!$C646,IF(AND(UPPER(Data!$C646)&lt;&gt;"START",UPPER(Data!$C646)&lt;&gt;"DATA OBJECT",Data!E646&lt;&gt;""),NOT(ISERROR(MATCH(Data!$A646&amp;"||"&amp;Data!E646,Key,0))),TRUE),TRUE)</f>
        <v>1</v>
      </c>
      <c r="AC646" s="27" t="b">
        <f>IF(Checks!C646,IF(UPPER(Data!C646)="END",Data!E646&lt;&gt;"",TRUE),TRUE)</f>
        <v>1</v>
      </c>
    </row>
    <row r="647" spans="1:29" x14ac:dyDescent="0.25">
      <c r="A647" s="1" t="str">
        <f>Data!A647&amp;"||"&amp;Data!B647</f>
        <v>Miscellaneous/subflow/irmifrs9_attribution_analysis.bpmn||040_00_01</v>
      </c>
      <c r="B647" s="19"/>
      <c r="C647" s="24" t="b">
        <f>AND(UPPER(Data!A647)&lt;&gt;"EMPTY",Data!B647&lt;&gt;"")</f>
        <v>1</v>
      </c>
      <c r="D647" s="1"/>
      <c r="E647" s="25" t="b">
        <f t="shared" ca="1" si="20"/>
        <v>1</v>
      </c>
      <c r="F647" s="26" t="b">
        <f ca="1">IF(UPPER(Data!C647)="SUB PROCESS",NOT(ISERROR(MATCH(RIGHT(Data!BY647,LEN(Data!BY647)-5),OFFSET(Data,0,0,ItemsCount,1),0))),TRUE)</f>
        <v>1</v>
      </c>
      <c r="G647" s="26" t="b">
        <f ca="1">IF(MID(UPPER(Data!A647),1,13)="MISCELLANEOUS",NOT(ISERROR(MATCH("path="&amp;Data!A647,OFFSET(Data,0,76,ItemsCount,1),0))),TRUE)</f>
        <v>1</v>
      </c>
      <c r="L647" s="25" t="b">
        <f t="shared" ca="1" si="21"/>
        <v>1</v>
      </c>
      <c r="M647" s="24" t="b">
        <f>IF(Checks!$C647,Data!A647&lt;&gt;"",TRUE)</f>
        <v>1</v>
      </c>
      <c r="N647" s="26" t="b">
        <f>IF(Checks!C647,Data!B647&lt;&gt;"",TRUE)</f>
        <v>1</v>
      </c>
      <c r="O647" s="26" t="b">
        <f>IF(Checks!C647,IF(AND(UPPER(Data!C647)="SERVICE TASK",UPPER(Data!BZ647)="TYPE=SAS"),NodeExists(TRIM(RIGHT(Data!CA647,LEN(Data!CA647)-FIND("=",Data!CA647)))),TRUE),TRUE)</f>
        <v>1</v>
      </c>
      <c r="P647" s="26" t="b">
        <f>IF(Checks!C647,IF(Data!C647="DATA OBJECT",OR(AND(Data!BW647&lt;&gt;"",Data!BX647=""),AND(Data!BW647="",Data!BX647&lt;&gt;"")),TRUE),TRUE)</f>
        <v>1</v>
      </c>
      <c r="Q647" s="26" t="b">
        <f>IF(Checks!C647,UPPER(RIGHT(Data!A647,5))=".BPMN",TRUE)</f>
        <v>1</v>
      </c>
      <c r="R647" s="26" t="b">
        <f>IF(Checks!C647,IF(UPPER(Data!C647)="SUB PROCESS",UPPER(RIGHT(Data!BY647,5))=".BPMN",TRUE),TRUE)</f>
        <v>1</v>
      </c>
      <c r="S647" s="26" t="b">
        <f>IF(Checks!C647,IF(UPPER(Data!C647)="SERVICE TASK",IF(UPPER(Data!BZ647)="TYPE=SAS",UPPER(RIGHT(Data!CA647,4))=".SAS",TRUE),TRUE),TRUE)</f>
        <v>1</v>
      </c>
      <c r="T647" s="26" t="b">
        <f>IF(Checks!C647,IF(Data!B647&lt;&gt;"",Data!D647&lt;&gt;"",TRUE),TRUE)</f>
        <v>1</v>
      </c>
      <c r="U647" s="26" t="b">
        <f ca="1">IF(Checks!C647,IF(UPPER(Data!C647)="DATA OBJECT",NOT(ISERROR(MATCH(Data!A647&amp;"||"&amp;Data!BW647&amp;Data!BX647,Key,0))),TRUE),TRUE)</f>
        <v>1</v>
      </c>
      <c r="V647" s="26" t="b">
        <f>IF(Checks!C647,IF(UPPER(Data!C647)="SUB PROCESS",Data!BY647&lt;&gt;"",TRUE),TRUE)</f>
        <v>1</v>
      </c>
      <c r="W647" s="26" t="b">
        <f>IF(Checks!C647,IF(UPPER(Data!C647)="SERVICE TASK",AND(Data!BZ647&lt;&gt;"",Data!CA647&lt;&gt;""),TRUE),TRUE)</f>
        <v>1</v>
      </c>
      <c r="X647" s="26" t="b">
        <f t="array" aca="1" ref="X647" ca="1">SUM((OFFSET(Data!B647,MAX(ROW(Data!$B$5)-ROW(Data!B647),-200),0,400,1)=Data!B647)*(OFFSET(Data!A647,MAX(ROW(Data!$B$5)-ROW(Data!B647),-200),0,400,1)=Data!A647))=1</f>
        <v>1</v>
      </c>
      <c r="Y647" s="26" t="b">
        <f t="array" aca="1" ref="Y647" ca="1">IF(UPPER(Data!C647)="START",SUM((OFFSET(Data!C647,MAX(ROW(Data!$C$5)-ROW(Data!C647),-200),0,400,1)="START")*(OFFSET(Data!A647,MAX(ROW(Data!$B$5)-ROW(Data!B647),-200),0,400,1)=Data!A647))=1,TRUE)</f>
        <v>1</v>
      </c>
      <c r="Z647" s="26" t="b">
        <f t="array" aca="1" ref="Z647" ca="1">IF(UPPER(Data!C647)="END",SUM((OFFSET(Data!C647,MAX(ROW(Data!$C$5)-ROW(Data!C647),-200),0,400,1)="END")*(OFFSET(Data!A647,MAX(ROW(Data!$B$5)-ROW(Data!B647),-200),0,400,1)=Data!A647))=1,TRUE)</f>
        <v>1</v>
      </c>
      <c r="AA647" s="26" t="b">
        <f>IF(Checks!C647,ISERROR(FIND("&amp;",Data!D647)),TRUE)</f>
        <v>1</v>
      </c>
      <c r="AB647" s="26" t="b">
        <f>IF(Checks!$C647,IF(AND(UPPER(Data!$C647)&lt;&gt;"START",UPPER(Data!$C647)&lt;&gt;"DATA OBJECT",Data!E647&lt;&gt;""),NOT(ISERROR(MATCH(Data!$A647&amp;"||"&amp;Data!E647,Key,0))),TRUE),TRUE)</f>
        <v>1</v>
      </c>
      <c r="AC647" s="27" t="b">
        <f>IF(Checks!C647,IF(UPPER(Data!C647)="END",Data!E647&lt;&gt;"",TRUE),TRUE)</f>
        <v>1</v>
      </c>
    </row>
    <row r="648" spans="1:29" x14ac:dyDescent="0.25">
      <c r="A648" s="1" t="str">
        <f>Data!A648&amp;"||"&amp;Data!B648</f>
        <v>Miscellaneous/subflow/irmifrs9_attribution_analysis.bpmn||040_00_02</v>
      </c>
      <c r="B648" s="19"/>
      <c r="C648" s="24" t="b">
        <f>AND(UPPER(Data!A648)&lt;&gt;"EMPTY",Data!B648&lt;&gt;"")</f>
        <v>1</v>
      </c>
      <c r="D648" s="1"/>
      <c r="E648" s="25" t="b">
        <f t="shared" ca="1" si="20"/>
        <v>1</v>
      </c>
      <c r="F648" s="26" t="b">
        <f ca="1">IF(UPPER(Data!C648)="SUB PROCESS",NOT(ISERROR(MATCH(RIGHT(Data!BY648,LEN(Data!BY648)-5),OFFSET(Data,0,0,ItemsCount,1),0))),TRUE)</f>
        <v>1</v>
      </c>
      <c r="G648" s="26" t="b">
        <f ca="1">IF(MID(UPPER(Data!A648),1,13)="MISCELLANEOUS",NOT(ISERROR(MATCH("path="&amp;Data!A648,OFFSET(Data,0,76,ItemsCount,1),0))),TRUE)</f>
        <v>1</v>
      </c>
      <c r="L648" s="25" t="b">
        <f t="shared" ca="1" si="21"/>
        <v>1</v>
      </c>
      <c r="M648" s="24" t="b">
        <f>IF(Checks!$C648,Data!A648&lt;&gt;"",TRUE)</f>
        <v>1</v>
      </c>
      <c r="N648" s="26" t="b">
        <f>IF(Checks!C648,Data!B648&lt;&gt;"",TRUE)</f>
        <v>1</v>
      </c>
      <c r="O648" s="26" t="b">
        <f>IF(Checks!C648,IF(AND(UPPER(Data!C648)="SERVICE TASK",UPPER(Data!BZ648)="TYPE=SAS"),NodeExists(TRIM(RIGHT(Data!CA648,LEN(Data!CA648)-FIND("=",Data!CA648)))),TRUE),TRUE)</f>
        <v>1</v>
      </c>
      <c r="P648" s="26" t="b">
        <f>IF(Checks!C648,IF(Data!C648="DATA OBJECT",OR(AND(Data!BW648&lt;&gt;"",Data!BX648=""),AND(Data!BW648="",Data!BX648&lt;&gt;"")),TRUE),TRUE)</f>
        <v>1</v>
      </c>
      <c r="Q648" s="26" t="b">
        <f>IF(Checks!C648,UPPER(RIGHT(Data!A648,5))=".BPMN",TRUE)</f>
        <v>1</v>
      </c>
      <c r="R648" s="26" t="b">
        <f>IF(Checks!C648,IF(UPPER(Data!C648)="SUB PROCESS",UPPER(RIGHT(Data!BY648,5))=".BPMN",TRUE),TRUE)</f>
        <v>1</v>
      </c>
      <c r="S648" s="26" t="b">
        <f>IF(Checks!C648,IF(UPPER(Data!C648)="SERVICE TASK",IF(UPPER(Data!BZ648)="TYPE=SAS",UPPER(RIGHT(Data!CA648,4))=".SAS",TRUE),TRUE),TRUE)</f>
        <v>1</v>
      </c>
      <c r="T648" s="26" t="b">
        <f>IF(Checks!C648,IF(Data!B648&lt;&gt;"",Data!D648&lt;&gt;"",TRUE),TRUE)</f>
        <v>1</v>
      </c>
      <c r="U648" s="26" t="b">
        <f ca="1">IF(Checks!C648,IF(UPPER(Data!C648)="DATA OBJECT",NOT(ISERROR(MATCH(Data!A648&amp;"||"&amp;Data!BW648&amp;Data!BX648,Key,0))),TRUE),TRUE)</f>
        <v>1</v>
      </c>
      <c r="V648" s="26" t="b">
        <f>IF(Checks!C648,IF(UPPER(Data!C648)="SUB PROCESS",Data!BY648&lt;&gt;"",TRUE),TRUE)</f>
        <v>1</v>
      </c>
      <c r="W648" s="26" t="b">
        <f>IF(Checks!C648,IF(UPPER(Data!C648)="SERVICE TASK",AND(Data!BZ648&lt;&gt;"",Data!CA648&lt;&gt;""),TRUE),TRUE)</f>
        <v>1</v>
      </c>
      <c r="X648" s="26" t="b">
        <f t="array" aca="1" ref="X648" ca="1">SUM((OFFSET(Data!B648,MAX(ROW(Data!$B$5)-ROW(Data!B648),-200),0,400,1)=Data!B648)*(OFFSET(Data!A648,MAX(ROW(Data!$B$5)-ROW(Data!B648),-200),0,400,1)=Data!A648))=1</f>
        <v>1</v>
      </c>
      <c r="Y648" s="26" t="b">
        <f t="array" aca="1" ref="Y648" ca="1">IF(UPPER(Data!C648)="START",SUM((OFFSET(Data!C648,MAX(ROW(Data!$C$5)-ROW(Data!C648),-200),0,400,1)="START")*(OFFSET(Data!A648,MAX(ROW(Data!$B$5)-ROW(Data!B648),-200),0,400,1)=Data!A648))=1,TRUE)</f>
        <v>1</v>
      </c>
      <c r="Z648" s="26" t="b">
        <f t="array" aca="1" ref="Z648" ca="1">IF(UPPER(Data!C648)="END",SUM((OFFSET(Data!C648,MAX(ROW(Data!$C$5)-ROW(Data!C648),-200),0,400,1)="END")*(OFFSET(Data!A648,MAX(ROW(Data!$B$5)-ROW(Data!B648),-200),0,400,1)=Data!A648))=1,TRUE)</f>
        <v>1</v>
      </c>
      <c r="AA648" s="26" t="b">
        <f>IF(Checks!C648,ISERROR(FIND("&amp;",Data!D648)),TRUE)</f>
        <v>1</v>
      </c>
      <c r="AB648" s="26" t="b">
        <f>IF(Checks!$C648,IF(AND(UPPER(Data!$C648)&lt;&gt;"START",UPPER(Data!$C648)&lt;&gt;"DATA OBJECT",Data!E648&lt;&gt;""),NOT(ISERROR(MATCH(Data!$A648&amp;"||"&amp;Data!E648,Key,0))),TRUE),TRUE)</f>
        <v>1</v>
      </c>
      <c r="AC648" s="27" t="b">
        <f>IF(Checks!C648,IF(UPPER(Data!C648)="END",Data!E648&lt;&gt;"",TRUE),TRUE)</f>
        <v>1</v>
      </c>
    </row>
    <row r="649" spans="1:29" x14ac:dyDescent="0.25">
      <c r="A649" s="1" t="str">
        <f>Data!A649&amp;"||"&amp;Data!B649</f>
        <v>Miscellaneous/subflow/irmifrs9_attribution_analysis.bpmn||040_00_03</v>
      </c>
      <c r="B649" s="19"/>
      <c r="C649" s="24" t="b">
        <f>AND(UPPER(Data!A649)&lt;&gt;"EMPTY",Data!B649&lt;&gt;"")</f>
        <v>1</v>
      </c>
      <c r="D649" s="1"/>
      <c r="E649" s="25" t="b">
        <f t="shared" ca="1" si="20"/>
        <v>1</v>
      </c>
      <c r="F649" s="26" t="b">
        <f ca="1">IF(UPPER(Data!C649)="SUB PROCESS",NOT(ISERROR(MATCH(RIGHT(Data!BY649,LEN(Data!BY649)-5),OFFSET(Data,0,0,ItemsCount,1),0))),TRUE)</f>
        <v>1</v>
      </c>
      <c r="G649" s="26" t="b">
        <f ca="1">IF(MID(UPPER(Data!A649),1,13)="MISCELLANEOUS",NOT(ISERROR(MATCH("path="&amp;Data!A649,OFFSET(Data,0,76,ItemsCount,1),0))),TRUE)</f>
        <v>1</v>
      </c>
      <c r="L649" s="25" t="b">
        <f t="shared" ca="1" si="21"/>
        <v>1</v>
      </c>
      <c r="M649" s="24" t="b">
        <f>IF(Checks!$C649,Data!A649&lt;&gt;"",TRUE)</f>
        <v>1</v>
      </c>
      <c r="N649" s="26" t="b">
        <f>IF(Checks!C649,Data!B649&lt;&gt;"",TRUE)</f>
        <v>1</v>
      </c>
      <c r="O649" s="26" t="b">
        <f>IF(Checks!C649,IF(AND(UPPER(Data!C649)="SERVICE TASK",UPPER(Data!BZ649)="TYPE=SAS"),NodeExists(TRIM(RIGHT(Data!CA649,LEN(Data!CA649)-FIND("=",Data!CA649)))),TRUE),TRUE)</f>
        <v>1</v>
      </c>
      <c r="P649" s="26" t="b">
        <f>IF(Checks!C649,IF(Data!C649="DATA OBJECT",OR(AND(Data!BW649&lt;&gt;"",Data!BX649=""),AND(Data!BW649="",Data!BX649&lt;&gt;"")),TRUE),TRUE)</f>
        <v>1</v>
      </c>
      <c r="Q649" s="26" t="b">
        <f>IF(Checks!C649,UPPER(RIGHT(Data!A649,5))=".BPMN",TRUE)</f>
        <v>1</v>
      </c>
      <c r="R649" s="26" t="b">
        <f>IF(Checks!C649,IF(UPPER(Data!C649)="SUB PROCESS",UPPER(RIGHT(Data!BY649,5))=".BPMN",TRUE),TRUE)</f>
        <v>1</v>
      </c>
      <c r="S649" s="26" t="b">
        <f>IF(Checks!C649,IF(UPPER(Data!C649)="SERVICE TASK",IF(UPPER(Data!BZ649)="TYPE=SAS",UPPER(RIGHT(Data!CA649,4))=".SAS",TRUE),TRUE),TRUE)</f>
        <v>1</v>
      </c>
      <c r="T649" s="26" t="b">
        <f>IF(Checks!C649,IF(Data!B649&lt;&gt;"",Data!D649&lt;&gt;"",TRUE),TRUE)</f>
        <v>1</v>
      </c>
      <c r="U649" s="26" t="b">
        <f ca="1">IF(Checks!C649,IF(UPPER(Data!C649)="DATA OBJECT",NOT(ISERROR(MATCH(Data!A649&amp;"||"&amp;Data!BW649&amp;Data!BX649,Key,0))),TRUE),TRUE)</f>
        <v>1</v>
      </c>
      <c r="V649" s="26" t="b">
        <f>IF(Checks!C649,IF(UPPER(Data!C649)="SUB PROCESS",Data!BY649&lt;&gt;"",TRUE),TRUE)</f>
        <v>1</v>
      </c>
      <c r="W649" s="26" t="b">
        <f>IF(Checks!C649,IF(UPPER(Data!C649)="SERVICE TASK",AND(Data!BZ649&lt;&gt;"",Data!CA649&lt;&gt;""),TRUE),TRUE)</f>
        <v>1</v>
      </c>
      <c r="X649" s="26" t="b">
        <f t="array" aca="1" ref="X649" ca="1">SUM((OFFSET(Data!B649,MAX(ROW(Data!$B$5)-ROW(Data!B649),-200),0,400,1)=Data!B649)*(OFFSET(Data!A649,MAX(ROW(Data!$B$5)-ROW(Data!B649),-200),0,400,1)=Data!A649))=1</f>
        <v>1</v>
      </c>
      <c r="Y649" s="26" t="b">
        <f t="array" aca="1" ref="Y649" ca="1">IF(UPPER(Data!C649)="START",SUM((OFFSET(Data!C649,MAX(ROW(Data!$C$5)-ROW(Data!C649),-200),0,400,1)="START")*(OFFSET(Data!A649,MAX(ROW(Data!$B$5)-ROW(Data!B649),-200),0,400,1)=Data!A649))=1,TRUE)</f>
        <v>1</v>
      </c>
      <c r="Z649" s="26" t="b">
        <f t="array" aca="1" ref="Z649" ca="1">IF(UPPER(Data!C649)="END",SUM((OFFSET(Data!C649,MAX(ROW(Data!$C$5)-ROW(Data!C649),-200),0,400,1)="END")*(OFFSET(Data!A649,MAX(ROW(Data!$B$5)-ROW(Data!B649),-200),0,400,1)=Data!A649))=1,TRUE)</f>
        <v>1</v>
      </c>
      <c r="AA649" s="26" t="b">
        <f>IF(Checks!C649,ISERROR(FIND("&amp;",Data!D649)),TRUE)</f>
        <v>1</v>
      </c>
      <c r="AB649" s="26" t="b">
        <f>IF(Checks!$C649,IF(AND(UPPER(Data!$C649)&lt;&gt;"START",UPPER(Data!$C649)&lt;&gt;"DATA OBJECT",Data!E649&lt;&gt;""),NOT(ISERROR(MATCH(Data!$A649&amp;"||"&amp;Data!E649,Key,0))),TRUE),TRUE)</f>
        <v>1</v>
      </c>
      <c r="AC649" s="27" t="b">
        <f>IF(Checks!C649,IF(UPPER(Data!C649)="END",Data!E649&lt;&gt;"",TRUE),TRUE)</f>
        <v>1</v>
      </c>
    </row>
    <row r="650" spans="1:29" x14ac:dyDescent="0.25">
      <c r="A650" s="1" t="str">
        <f>Data!A650&amp;"||"&amp;Data!B650</f>
        <v>Miscellaneous/subflow/irmifrs9_attribution_analysis.bpmn||040_00_04</v>
      </c>
      <c r="B650" s="19"/>
      <c r="C650" s="24" t="b">
        <f>AND(UPPER(Data!A650)&lt;&gt;"EMPTY",Data!B650&lt;&gt;"")</f>
        <v>1</v>
      </c>
      <c r="D650" s="1"/>
      <c r="E650" s="25" t="b">
        <f t="shared" ca="1" si="20"/>
        <v>1</v>
      </c>
      <c r="F650" s="26" t="b">
        <f ca="1">IF(UPPER(Data!C650)="SUB PROCESS",NOT(ISERROR(MATCH(RIGHT(Data!BY650,LEN(Data!BY650)-5),OFFSET(Data,0,0,ItemsCount,1),0))),TRUE)</f>
        <v>1</v>
      </c>
      <c r="G650" s="26" t="b">
        <f ca="1">IF(MID(UPPER(Data!A650),1,13)="MISCELLANEOUS",NOT(ISERROR(MATCH("path="&amp;Data!A650,OFFSET(Data,0,76,ItemsCount,1),0))),TRUE)</f>
        <v>1</v>
      </c>
      <c r="L650" s="25" t="b">
        <f t="shared" ca="1" si="21"/>
        <v>1</v>
      </c>
      <c r="M650" s="24" t="b">
        <f>IF(Checks!$C650,Data!A650&lt;&gt;"",TRUE)</f>
        <v>1</v>
      </c>
      <c r="N650" s="26" t="b">
        <f>IF(Checks!C650,Data!B650&lt;&gt;"",TRUE)</f>
        <v>1</v>
      </c>
      <c r="O650" s="26" t="b">
        <f>IF(Checks!C650,IF(AND(UPPER(Data!C650)="SERVICE TASK",UPPER(Data!BZ650)="TYPE=SAS"),NodeExists(TRIM(RIGHT(Data!CA650,LEN(Data!CA650)-FIND("=",Data!CA650)))),TRUE),TRUE)</f>
        <v>1</v>
      </c>
      <c r="P650" s="26" t="b">
        <f>IF(Checks!C650,IF(Data!C650="DATA OBJECT",OR(AND(Data!BW650&lt;&gt;"",Data!BX650=""),AND(Data!BW650="",Data!BX650&lt;&gt;"")),TRUE),TRUE)</f>
        <v>1</v>
      </c>
      <c r="Q650" s="26" t="b">
        <f>IF(Checks!C650,UPPER(RIGHT(Data!A650,5))=".BPMN",TRUE)</f>
        <v>1</v>
      </c>
      <c r="R650" s="26" t="b">
        <f>IF(Checks!C650,IF(UPPER(Data!C650)="SUB PROCESS",UPPER(RIGHT(Data!BY650,5))=".BPMN",TRUE),TRUE)</f>
        <v>1</v>
      </c>
      <c r="S650" s="26" t="b">
        <f>IF(Checks!C650,IF(UPPER(Data!C650)="SERVICE TASK",IF(UPPER(Data!BZ650)="TYPE=SAS",UPPER(RIGHT(Data!CA650,4))=".SAS",TRUE),TRUE),TRUE)</f>
        <v>1</v>
      </c>
      <c r="T650" s="26" t="b">
        <f>IF(Checks!C650,IF(Data!B650&lt;&gt;"",Data!D650&lt;&gt;"",TRUE),TRUE)</f>
        <v>1</v>
      </c>
      <c r="U650" s="26" t="b">
        <f ca="1">IF(Checks!C650,IF(UPPER(Data!C650)="DATA OBJECT",NOT(ISERROR(MATCH(Data!A650&amp;"||"&amp;Data!BW650&amp;Data!BX650,Key,0))),TRUE),TRUE)</f>
        <v>1</v>
      </c>
      <c r="V650" s="26" t="b">
        <f>IF(Checks!C650,IF(UPPER(Data!C650)="SUB PROCESS",Data!BY650&lt;&gt;"",TRUE),TRUE)</f>
        <v>1</v>
      </c>
      <c r="W650" s="26" t="b">
        <f>IF(Checks!C650,IF(UPPER(Data!C650)="SERVICE TASK",AND(Data!BZ650&lt;&gt;"",Data!CA650&lt;&gt;""),TRUE),TRUE)</f>
        <v>1</v>
      </c>
      <c r="X650" s="26" t="b">
        <f t="array" aca="1" ref="X650" ca="1">SUM((OFFSET(Data!B650,MAX(ROW(Data!$B$5)-ROW(Data!B650),-200),0,400,1)=Data!B650)*(OFFSET(Data!A650,MAX(ROW(Data!$B$5)-ROW(Data!B650),-200),0,400,1)=Data!A650))=1</f>
        <v>1</v>
      </c>
      <c r="Y650" s="26" t="b">
        <f t="array" aca="1" ref="Y650" ca="1">IF(UPPER(Data!C650)="START",SUM((OFFSET(Data!C650,MAX(ROW(Data!$C$5)-ROW(Data!C650),-200),0,400,1)="START")*(OFFSET(Data!A650,MAX(ROW(Data!$B$5)-ROW(Data!B650),-200),0,400,1)=Data!A650))=1,TRUE)</f>
        <v>1</v>
      </c>
      <c r="Z650" s="26" t="b">
        <f t="array" aca="1" ref="Z650" ca="1">IF(UPPER(Data!C650)="END",SUM((OFFSET(Data!C650,MAX(ROW(Data!$C$5)-ROW(Data!C650),-200),0,400,1)="END")*(OFFSET(Data!A650,MAX(ROW(Data!$B$5)-ROW(Data!B650),-200),0,400,1)=Data!A650))=1,TRUE)</f>
        <v>1</v>
      </c>
      <c r="AA650" s="26" t="b">
        <f>IF(Checks!C650,ISERROR(FIND("&amp;",Data!D650)),TRUE)</f>
        <v>1</v>
      </c>
      <c r="AB650" s="26" t="b">
        <f>IF(Checks!$C650,IF(AND(UPPER(Data!$C650)&lt;&gt;"START",UPPER(Data!$C650)&lt;&gt;"DATA OBJECT",Data!E650&lt;&gt;""),NOT(ISERROR(MATCH(Data!$A650&amp;"||"&amp;Data!E650,Key,0))),TRUE),TRUE)</f>
        <v>1</v>
      </c>
      <c r="AC650" s="27" t="b">
        <f>IF(Checks!C650,IF(UPPER(Data!C650)="END",Data!E650&lt;&gt;"",TRUE),TRUE)</f>
        <v>1</v>
      </c>
    </row>
    <row r="651" spans="1:29" x14ac:dyDescent="0.25">
      <c r="A651" s="1" t="str">
        <f>Data!A651&amp;"||"&amp;Data!B651</f>
        <v>Miscellaneous/subflow/irmifrs9_attribution_analysis.bpmn||040_00_05</v>
      </c>
      <c r="B651" s="19"/>
      <c r="C651" s="24" t="b">
        <f>AND(UPPER(Data!A651)&lt;&gt;"EMPTY",Data!B651&lt;&gt;"")</f>
        <v>1</v>
      </c>
      <c r="D651" s="1"/>
      <c r="E651" s="25" t="b">
        <f t="shared" ca="1" si="20"/>
        <v>1</v>
      </c>
      <c r="F651" s="26" t="b">
        <f ca="1">IF(UPPER(Data!C651)="SUB PROCESS",NOT(ISERROR(MATCH(RIGHT(Data!BY651,LEN(Data!BY651)-5),OFFSET(Data,0,0,ItemsCount,1),0))),TRUE)</f>
        <v>1</v>
      </c>
      <c r="G651" s="26" t="b">
        <f ca="1">IF(MID(UPPER(Data!A651),1,13)="MISCELLANEOUS",NOT(ISERROR(MATCH("path="&amp;Data!A651,OFFSET(Data,0,76,ItemsCount,1),0))),TRUE)</f>
        <v>1</v>
      </c>
      <c r="L651" s="25" t="b">
        <f t="shared" ca="1" si="21"/>
        <v>1</v>
      </c>
      <c r="M651" s="24" t="b">
        <f>IF(Checks!$C651,Data!A651&lt;&gt;"",TRUE)</f>
        <v>1</v>
      </c>
      <c r="N651" s="26" t="b">
        <f>IF(Checks!C651,Data!B651&lt;&gt;"",TRUE)</f>
        <v>1</v>
      </c>
      <c r="O651" s="26" t="b">
        <f>IF(Checks!C651,IF(AND(UPPER(Data!C651)="SERVICE TASK",UPPER(Data!BZ651)="TYPE=SAS"),NodeExists(TRIM(RIGHT(Data!CA651,LEN(Data!CA651)-FIND("=",Data!CA651)))),TRUE),TRUE)</f>
        <v>1</v>
      </c>
      <c r="P651" s="26" t="b">
        <f>IF(Checks!C651,IF(Data!C651="DATA OBJECT",OR(AND(Data!BW651&lt;&gt;"",Data!BX651=""),AND(Data!BW651="",Data!BX651&lt;&gt;"")),TRUE),TRUE)</f>
        <v>1</v>
      </c>
      <c r="Q651" s="26" t="b">
        <f>IF(Checks!C651,UPPER(RIGHT(Data!A651,5))=".BPMN",TRUE)</f>
        <v>1</v>
      </c>
      <c r="R651" s="26" t="b">
        <f>IF(Checks!C651,IF(UPPER(Data!C651)="SUB PROCESS",UPPER(RIGHT(Data!BY651,5))=".BPMN",TRUE),TRUE)</f>
        <v>1</v>
      </c>
      <c r="S651" s="26" t="b">
        <f>IF(Checks!C651,IF(UPPER(Data!C651)="SERVICE TASK",IF(UPPER(Data!BZ651)="TYPE=SAS",UPPER(RIGHT(Data!CA651,4))=".SAS",TRUE),TRUE),TRUE)</f>
        <v>1</v>
      </c>
      <c r="T651" s="26" t="b">
        <f>IF(Checks!C651,IF(Data!B651&lt;&gt;"",Data!D651&lt;&gt;"",TRUE),TRUE)</f>
        <v>1</v>
      </c>
      <c r="U651" s="26" t="b">
        <f ca="1">IF(Checks!C651,IF(UPPER(Data!C651)="DATA OBJECT",NOT(ISERROR(MATCH(Data!A651&amp;"||"&amp;Data!BW651&amp;Data!BX651,Key,0))),TRUE),TRUE)</f>
        <v>1</v>
      </c>
      <c r="V651" s="26" t="b">
        <f>IF(Checks!C651,IF(UPPER(Data!C651)="SUB PROCESS",Data!BY651&lt;&gt;"",TRUE),TRUE)</f>
        <v>1</v>
      </c>
      <c r="W651" s="26" t="b">
        <f>IF(Checks!C651,IF(UPPER(Data!C651)="SERVICE TASK",AND(Data!BZ651&lt;&gt;"",Data!CA651&lt;&gt;""),TRUE),TRUE)</f>
        <v>1</v>
      </c>
      <c r="X651" s="26" t="b">
        <f t="array" aca="1" ref="X651" ca="1">SUM((OFFSET(Data!B651,MAX(ROW(Data!$B$5)-ROW(Data!B651),-200),0,400,1)=Data!B651)*(OFFSET(Data!A651,MAX(ROW(Data!$B$5)-ROW(Data!B651),-200),0,400,1)=Data!A651))=1</f>
        <v>1</v>
      </c>
      <c r="Y651" s="26" t="b">
        <f t="array" aca="1" ref="Y651" ca="1">IF(UPPER(Data!C651)="START",SUM((OFFSET(Data!C651,MAX(ROW(Data!$C$5)-ROW(Data!C651),-200),0,400,1)="START")*(OFFSET(Data!A651,MAX(ROW(Data!$B$5)-ROW(Data!B651),-200),0,400,1)=Data!A651))=1,TRUE)</f>
        <v>1</v>
      </c>
      <c r="Z651" s="26" t="b">
        <f t="array" aca="1" ref="Z651" ca="1">IF(UPPER(Data!C651)="END",SUM((OFFSET(Data!C651,MAX(ROW(Data!$C$5)-ROW(Data!C651),-200),0,400,1)="END")*(OFFSET(Data!A651,MAX(ROW(Data!$B$5)-ROW(Data!B651),-200),0,400,1)=Data!A651))=1,TRUE)</f>
        <v>1</v>
      </c>
      <c r="AA651" s="26" t="b">
        <f>IF(Checks!C651,ISERROR(FIND("&amp;",Data!D651)),TRUE)</f>
        <v>1</v>
      </c>
      <c r="AB651" s="26" t="b">
        <f>IF(Checks!$C651,IF(AND(UPPER(Data!$C651)&lt;&gt;"START",UPPER(Data!$C651)&lt;&gt;"DATA OBJECT",Data!E651&lt;&gt;""),NOT(ISERROR(MATCH(Data!$A651&amp;"||"&amp;Data!E651,Key,0))),TRUE),TRUE)</f>
        <v>1</v>
      </c>
      <c r="AC651" s="27" t="b">
        <f>IF(Checks!C651,IF(UPPER(Data!C651)="END",Data!E651&lt;&gt;"",TRUE),TRUE)</f>
        <v>1</v>
      </c>
    </row>
    <row r="652" spans="1:29" x14ac:dyDescent="0.25">
      <c r="A652" s="1" t="str">
        <f>Data!A652&amp;"||"&amp;Data!B652</f>
        <v>Miscellaneous/subflow/irmifrs9_attribution_analysis.bpmn||040_00_06</v>
      </c>
      <c r="B652" s="19"/>
      <c r="C652" s="24" t="b">
        <f>AND(UPPER(Data!A652)&lt;&gt;"EMPTY",Data!B652&lt;&gt;"")</f>
        <v>1</v>
      </c>
      <c r="D652" s="1"/>
      <c r="E652" s="25" t="b">
        <f t="shared" ca="1" si="20"/>
        <v>1</v>
      </c>
      <c r="F652" s="26" t="b">
        <f ca="1">IF(UPPER(Data!C652)="SUB PROCESS",NOT(ISERROR(MATCH(RIGHT(Data!BY652,LEN(Data!BY652)-5),OFFSET(Data,0,0,ItemsCount,1),0))),TRUE)</f>
        <v>1</v>
      </c>
      <c r="G652" s="26" t="b">
        <f ca="1">IF(MID(UPPER(Data!A652),1,13)="MISCELLANEOUS",NOT(ISERROR(MATCH("path="&amp;Data!A652,OFFSET(Data,0,76,ItemsCount,1),0))),TRUE)</f>
        <v>1</v>
      </c>
      <c r="L652" s="25" t="b">
        <f t="shared" ca="1" si="21"/>
        <v>1</v>
      </c>
      <c r="M652" s="24" t="b">
        <f>IF(Checks!$C652,Data!A652&lt;&gt;"",TRUE)</f>
        <v>1</v>
      </c>
      <c r="N652" s="26" t="b">
        <f>IF(Checks!C652,Data!B652&lt;&gt;"",TRUE)</f>
        <v>1</v>
      </c>
      <c r="O652" s="26" t="b">
        <f>IF(Checks!C652,IF(AND(UPPER(Data!C652)="SERVICE TASK",UPPER(Data!BZ652)="TYPE=SAS"),NodeExists(TRIM(RIGHT(Data!CA652,LEN(Data!CA652)-FIND("=",Data!CA652)))),TRUE),TRUE)</f>
        <v>1</v>
      </c>
      <c r="P652" s="26" t="b">
        <f>IF(Checks!C652,IF(Data!C652="DATA OBJECT",OR(AND(Data!BW652&lt;&gt;"",Data!BX652=""),AND(Data!BW652="",Data!BX652&lt;&gt;"")),TRUE),TRUE)</f>
        <v>1</v>
      </c>
      <c r="Q652" s="26" t="b">
        <f>IF(Checks!C652,UPPER(RIGHT(Data!A652,5))=".BPMN",TRUE)</f>
        <v>1</v>
      </c>
      <c r="R652" s="26" t="b">
        <f>IF(Checks!C652,IF(UPPER(Data!C652)="SUB PROCESS",UPPER(RIGHT(Data!BY652,5))=".BPMN",TRUE),TRUE)</f>
        <v>1</v>
      </c>
      <c r="S652" s="26" t="b">
        <f>IF(Checks!C652,IF(UPPER(Data!C652)="SERVICE TASK",IF(UPPER(Data!BZ652)="TYPE=SAS",UPPER(RIGHT(Data!CA652,4))=".SAS",TRUE),TRUE),TRUE)</f>
        <v>1</v>
      </c>
      <c r="T652" s="26" t="b">
        <f>IF(Checks!C652,IF(Data!B652&lt;&gt;"",Data!D652&lt;&gt;"",TRUE),TRUE)</f>
        <v>1</v>
      </c>
      <c r="U652" s="26" t="b">
        <f ca="1">IF(Checks!C652,IF(UPPER(Data!C652)="DATA OBJECT",NOT(ISERROR(MATCH(Data!A652&amp;"||"&amp;Data!BW652&amp;Data!BX652,Key,0))),TRUE),TRUE)</f>
        <v>1</v>
      </c>
      <c r="V652" s="26" t="b">
        <f>IF(Checks!C652,IF(UPPER(Data!C652)="SUB PROCESS",Data!BY652&lt;&gt;"",TRUE),TRUE)</f>
        <v>1</v>
      </c>
      <c r="W652" s="26" t="b">
        <f>IF(Checks!C652,IF(UPPER(Data!C652)="SERVICE TASK",AND(Data!BZ652&lt;&gt;"",Data!CA652&lt;&gt;""),TRUE),TRUE)</f>
        <v>1</v>
      </c>
      <c r="X652" s="26" t="b">
        <f t="array" aca="1" ref="X652" ca="1">SUM((OFFSET(Data!B652,MAX(ROW(Data!$B$5)-ROW(Data!B652),-200),0,400,1)=Data!B652)*(OFFSET(Data!A652,MAX(ROW(Data!$B$5)-ROW(Data!B652),-200),0,400,1)=Data!A652))=1</f>
        <v>1</v>
      </c>
      <c r="Y652" s="26" t="b">
        <f t="array" aca="1" ref="Y652" ca="1">IF(UPPER(Data!C652)="START",SUM((OFFSET(Data!C652,MAX(ROW(Data!$C$5)-ROW(Data!C652),-200),0,400,1)="START")*(OFFSET(Data!A652,MAX(ROW(Data!$B$5)-ROW(Data!B652),-200),0,400,1)=Data!A652))=1,TRUE)</f>
        <v>1</v>
      </c>
      <c r="Z652" s="26" t="b">
        <f t="array" aca="1" ref="Z652" ca="1">IF(UPPER(Data!C652)="END",SUM((OFFSET(Data!C652,MAX(ROW(Data!$C$5)-ROW(Data!C652),-200),0,400,1)="END")*(OFFSET(Data!A652,MAX(ROW(Data!$B$5)-ROW(Data!B652),-200),0,400,1)=Data!A652))=1,TRUE)</f>
        <v>1</v>
      </c>
      <c r="AA652" s="26" t="b">
        <f>IF(Checks!C652,ISERROR(FIND("&amp;",Data!D652)),TRUE)</f>
        <v>1</v>
      </c>
      <c r="AB652" s="26" t="b">
        <f>IF(Checks!$C652,IF(AND(UPPER(Data!$C652)&lt;&gt;"START",UPPER(Data!$C652)&lt;&gt;"DATA OBJECT",Data!E652&lt;&gt;""),NOT(ISERROR(MATCH(Data!$A652&amp;"||"&amp;Data!E652,Key,0))),TRUE),TRUE)</f>
        <v>1</v>
      </c>
      <c r="AC652" s="27" t="b">
        <f>IF(Checks!C652,IF(UPPER(Data!C652)="END",Data!E652&lt;&gt;"",TRUE),TRUE)</f>
        <v>1</v>
      </c>
    </row>
    <row r="653" spans="1:29" x14ac:dyDescent="0.25">
      <c r="A653" s="1" t="str">
        <f>Data!A653&amp;"||"&amp;Data!B653</f>
        <v>Miscellaneous/subflow/irmifrs9_attribution_analysis.bpmn||040_00_07</v>
      </c>
      <c r="B653" s="19"/>
      <c r="C653" s="24" t="b">
        <f>AND(UPPER(Data!A653)&lt;&gt;"EMPTY",Data!B653&lt;&gt;"")</f>
        <v>1</v>
      </c>
      <c r="D653" s="1"/>
      <c r="E653" s="25" t="b">
        <f t="shared" ca="1" si="20"/>
        <v>1</v>
      </c>
      <c r="F653" s="26" t="b">
        <f ca="1">IF(UPPER(Data!C653)="SUB PROCESS",NOT(ISERROR(MATCH(RIGHT(Data!BY653,LEN(Data!BY653)-5),OFFSET(Data,0,0,ItemsCount,1),0))),TRUE)</f>
        <v>1</v>
      </c>
      <c r="G653" s="26" t="b">
        <f ca="1">IF(MID(UPPER(Data!A653),1,13)="MISCELLANEOUS",NOT(ISERROR(MATCH("path="&amp;Data!A653,OFFSET(Data,0,76,ItemsCount,1),0))),TRUE)</f>
        <v>1</v>
      </c>
      <c r="L653" s="25" t="b">
        <f t="shared" ca="1" si="21"/>
        <v>1</v>
      </c>
      <c r="M653" s="24" t="b">
        <f>IF(Checks!$C653,Data!A653&lt;&gt;"",TRUE)</f>
        <v>1</v>
      </c>
      <c r="N653" s="26" t="b">
        <f>IF(Checks!C653,Data!B653&lt;&gt;"",TRUE)</f>
        <v>1</v>
      </c>
      <c r="O653" s="26" t="b">
        <f>IF(Checks!C653,IF(AND(UPPER(Data!C653)="SERVICE TASK",UPPER(Data!BZ653)="TYPE=SAS"),NodeExists(TRIM(RIGHT(Data!CA653,LEN(Data!CA653)-FIND("=",Data!CA653)))),TRUE),TRUE)</f>
        <v>1</v>
      </c>
      <c r="P653" s="26" t="b">
        <f>IF(Checks!C653,IF(Data!C653="DATA OBJECT",OR(AND(Data!BW653&lt;&gt;"",Data!BX653=""),AND(Data!BW653="",Data!BX653&lt;&gt;"")),TRUE),TRUE)</f>
        <v>1</v>
      </c>
      <c r="Q653" s="26" t="b">
        <f>IF(Checks!C653,UPPER(RIGHT(Data!A653,5))=".BPMN",TRUE)</f>
        <v>1</v>
      </c>
      <c r="R653" s="26" t="b">
        <f>IF(Checks!C653,IF(UPPER(Data!C653)="SUB PROCESS",UPPER(RIGHT(Data!BY653,5))=".BPMN",TRUE),TRUE)</f>
        <v>1</v>
      </c>
      <c r="S653" s="26" t="b">
        <f>IF(Checks!C653,IF(UPPER(Data!C653)="SERVICE TASK",IF(UPPER(Data!BZ653)="TYPE=SAS",UPPER(RIGHT(Data!CA653,4))=".SAS",TRUE),TRUE),TRUE)</f>
        <v>1</v>
      </c>
      <c r="T653" s="26" t="b">
        <f>IF(Checks!C653,IF(Data!B653&lt;&gt;"",Data!D653&lt;&gt;"",TRUE),TRUE)</f>
        <v>1</v>
      </c>
      <c r="U653" s="26" t="b">
        <f ca="1">IF(Checks!C653,IF(UPPER(Data!C653)="DATA OBJECT",NOT(ISERROR(MATCH(Data!A653&amp;"||"&amp;Data!BW653&amp;Data!BX653,Key,0))),TRUE),TRUE)</f>
        <v>1</v>
      </c>
      <c r="V653" s="26" t="b">
        <f>IF(Checks!C653,IF(UPPER(Data!C653)="SUB PROCESS",Data!BY653&lt;&gt;"",TRUE),TRUE)</f>
        <v>1</v>
      </c>
      <c r="W653" s="26" t="b">
        <f>IF(Checks!C653,IF(UPPER(Data!C653)="SERVICE TASK",AND(Data!BZ653&lt;&gt;"",Data!CA653&lt;&gt;""),TRUE),TRUE)</f>
        <v>1</v>
      </c>
      <c r="X653" s="26" t="b">
        <f t="array" aca="1" ref="X653" ca="1">SUM((OFFSET(Data!B653,MAX(ROW(Data!$B$5)-ROW(Data!B653),-200),0,400,1)=Data!B653)*(OFFSET(Data!A653,MAX(ROW(Data!$B$5)-ROW(Data!B653),-200),0,400,1)=Data!A653))=1</f>
        <v>1</v>
      </c>
      <c r="Y653" s="26" t="b">
        <f t="array" aca="1" ref="Y653" ca="1">IF(UPPER(Data!C653)="START",SUM((OFFSET(Data!C653,MAX(ROW(Data!$C$5)-ROW(Data!C653),-200),0,400,1)="START")*(OFFSET(Data!A653,MAX(ROW(Data!$B$5)-ROW(Data!B653),-200),0,400,1)=Data!A653))=1,TRUE)</f>
        <v>1</v>
      </c>
      <c r="Z653" s="26" t="b">
        <f t="array" aca="1" ref="Z653" ca="1">IF(UPPER(Data!C653)="END",SUM((OFFSET(Data!C653,MAX(ROW(Data!$C$5)-ROW(Data!C653),-200),0,400,1)="END")*(OFFSET(Data!A653,MAX(ROW(Data!$B$5)-ROW(Data!B653),-200),0,400,1)=Data!A653))=1,TRUE)</f>
        <v>1</v>
      </c>
      <c r="AA653" s="26" t="b">
        <f>IF(Checks!C653,ISERROR(FIND("&amp;",Data!D653)),TRUE)</f>
        <v>1</v>
      </c>
      <c r="AB653" s="26" t="b">
        <f>IF(Checks!$C653,IF(AND(UPPER(Data!$C653)&lt;&gt;"START",UPPER(Data!$C653)&lt;&gt;"DATA OBJECT",Data!E653&lt;&gt;""),NOT(ISERROR(MATCH(Data!$A653&amp;"||"&amp;Data!E653,Key,0))),TRUE),TRUE)</f>
        <v>1</v>
      </c>
      <c r="AC653" s="27" t="b">
        <f>IF(Checks!C653,IF(UPPER(Data!C653)="END",Data!E653&lt;&gt;"",TRUE),TRUE)</f>
        <v>1</v>
      </c>
    </row>
    <row r="654" spans="1:29" x14ac:dyDescent="0.25">
      <c r="A654" s="1" t="str">
        <f>Data!A654&amp;"||"&amp;Data!B654</f>
        <v>Miscellaneous/subflow/irmifrs9_attribution_analysis.bpmn||040_00_08</v>
      </c>
      <c r="B654" s="19"/>
      <c r="C654" s="24" t="b">
        <f>AND(UPPER(Data!A654)&lt;&gt;"EMPTY",Data!B654&lt;&gt;"")</f>
        <v>1</v>
      </c>
      <c r="D654" s="1"/>
      <c r="E654" s="25" t="b">
        <f t="shared" ca="1" si="20"/>
        <v>1</v>
      </c>
      <c r="F654" s="26" t="b">
        <f ca="1">IF(UPPER(Data!C654)="SUB PROCESS",NOT(ISERROR(MATCH(RIGHT(Data!BY654,LEN(Data!BY654)-5),OFFSET(Data,0,0,ItemsCount,1),0))),TRUE)</f>
        <v>1</v>
      </c>
      <c r="G654" s="26" t="b">
        <f ca="1">IF(MID(UPPER(Data!A654),1,13)="MISCELLANEOUS",NOT(ISERROR(MATCH("path="&amp;Data!A654,OFFSET(Data,0,76,ItemsCount,1),0))),TRUE)</f>
        <v>1</v>
      </c>
      <c r="L654" s="25" t="b">
        <f t="shared" ca="1" si="21"/>
        <v>1</v>
      </c>
      <c r="M654" s="24" t="b">
        <f>IF(Checks!$C654,Data!A654&lt;&gt;"",TRUE)</f>
        <v>1</v>
      </c>
      <c r="N654" s="26" t="b">
        <f>IF(Checks!C654,Data!B654&lt;&gt;"",TRUE)</f>
        <v>1</v>
      </c>
      <c r="O654" s="26" t="b">
        <f>IF(Checks!C654,IF(AND(UPPER(Data!C654)="SERVICE TASK",UPPER(Data!BZ654)="TYPE=SAS"),NodeExists(TRIM(RIGHT(Data!CA654,LEN(Data!CA654)-FIND("=",Data!CA654)))),TRUE),TRUE)</f>
        <v>1</v>
      </c>
      <c r="P654" s="26" t="b">
        <f>IF(Checks!C654,IF(Data!C654="DATA OBJECT",OR(AND(Data!BW654&lt;&gt;"",Data!BX654=""),AND(Data!BW654="",Data!BX654&lt;&gt;"")),TRUE),TRUE)</f>
        <v>1</v>
      </c>
      <c r="Q654" s="26" t="b">
        <f>IF(Checks!C654,UPPER(RIGHT(Data!A654,5))=".BPMN",TRUE)</f>
        <v>1</v>
      </c>
      <c r="R654" s="26" t="b">
        <f>IF(Checks!C654,IF(UPPER(Data!C654)="SUB PROCESS",UPPER(RIGHT(Data!BY654,5))=".BPMN",TRUE),TRUE)</f>
        <v>1</v>
      </c>
      <c r="S654" s="26" t="b">
        <f>IF(Checks!C654,IF(UPPER(Data!C654)="SERVICE TASK",IF(UPPER(Data!BZ654)="TYPE=SAS",UPPER(RIGHT(Data!CA654,4))=".SAS",TRUE),TRUE),TRUE)</f>
        <v>1</v>
      </c>
      <c r="T654" s="26" t="b">
        <f>IF(Checks!C654,IF(Data!B654&lt;&gt;"",Data!D654&lt;&gt;"",TRUE),TRUE)</f>
        <v>1</v>
      </c>
      <c r="U654" s="26" t="b">
        <f ca="1">IF(Checks!C654,IF(UPPER(Data!C654)="DATA OBJECT",NOT(ISERROR(MATCH(Data!A654&amp;"||"&amp;Data!BW654&amp;Data!BX654,Key,0))),TRUE),TRUE)</f>
        <v>1</v>
      </c>
      <c r="V654" s="26" t="b">
        <f>IF(Checks!C654,IF(UPPER(Data!C654)="SUB PROCESS",Data!BY654&lt;&gt;"",TRUE),TRUE)</f>
        <v>1</v>
      </c>
      <c r="W654" s="26" t="b">
        <f>IF(Checks!C654,IF(UPPER(Data!C654)="SERVICE TASK",AND(Data!BZ654&lt;&gt;"",Data!CA654&lt;&gt;""),TRUE),TRUE)</f>
        <v>1</v>
      </c>
      <c r="X654" s="26" t="b">
        <f t="array" aca="1" ref="X654" ca="1">SUM((OFFSET(Data!B654,MAX(ROW(Data!$B$5)-ROW(Data!B654),-200),0,400,1)=Data!B654)*(OFFSET(Data!A654,MAX(ROW(Data!$B$5)-ROW(Data!B654),-200),0,400,1)=Data!A654))=1</f>
        <v>1</v>
      </c>
      <c r="Y654" s="26" t="b">
        <f t="array" aca="1" ref="Y654" ca="1">IF(UPPER(Data!C654)="START",SUM((OFFSET(Data!C654,MAX(ROW(Data!$C$5)-ROW(Data!C654),-200),0,400,1)="START")*(OFFSET(Data!A654,MAX(ROW(Data!$B$5)-ROW(Data!B654),-200),0,400,1)=Data!A654))=1,TRUE)</f>
        <v>1</v>
      </c>
      <c r="Z654" s="26" t="b">
        <f t="array" aca="1" ref="Z654" ca="1">IF(UPPER(Data!C654)="END",SUM((OFFSET(Data!C654,MAX(ROW(Data!$C$5)-ROW(Data!C654),-200),0,400,1)="END")*(OFFSET(Data!A654,MAX(ROW(Data!$B$5)-ROW(Data!B654),-200),0,400,1)=Data!A654))=1,TRUE)</f>
        <v>1</v>
      </c>
      <c r="AA654" s="26" t="b">
        <f>IF(Checks!C654,ISERROR(FIND("&amp;",Data!D654)),TRUE)</f>
        <v>1</v>
      </c>
      <c r="AB654" s="26" t="b">
        <f>IF(Checks!$C654,IF(AND(UPPER(Data!$C654)&lt;&gt;"START",UPPER(Data!$C654)&lt;&gt;"DATA OBJECT",Data!E654&lt;&gt;""),NOT(ISERROR(MATCH(Data!$A654&amp;"||"&amp;Data!E654,Key,0))),TRUE),TRUE)</f>
        <v>1</v>
      </c>
      <c r="AC654" s="27" t="b">
        <f>IF(Checks!C654,IF(UPPER(Data!C654)="END",Data!E654&lt;&gt;"",TRUE),TRUE)</f>
        <v>1</v>
      </c>
    </row>
    <row r="655" spans="1:29" x14ac:dyDescent="0.25">
      <c r="A655" s="1" t="str">
        <f>Data!A655&amp;"||"&amp;Data!B655</f>
        <v>Miscellaneous/subflow/irmifrs9_attribution_analysis.bpmn||040_00_09</v>
      </c>
      <c r="B655" s="19"/>
      <c r="C655" s="24" t="b">
        <f>AND(UPPER(Data!A655)&lt;&gt;"EMPTY",Data!B655&lt;&gt;"")</f>
        <v>1</v>
      </c>
      <c r="D655" s="1"/>
      <c r="E655" s="25" t="b">
        <f t="shared" ca="1" si="20"/>
        <v>1</v>
      </c>
      <c r="F655" s="26" t="b">
        <f ca="1">IF(UPPER(Data!C655)="SUB PROCESS",NOT(ISERROR(MATCH(RIGHT(Data!BY655,LEN(Data!BY655)-5),OFFSET(Data,0,0,ItemsCount,1),0))),TRUE)</f>
        <v>1</v>
      </c>
      <c r="G655" s="26" t="b">
        <f ca="1">IF(MID(UPPER(Data!A655),1,13)="MISCELLANEOUS",NOT(ISERROR(MATCH("path="&amp;Data!A655,OFFSET(Data,0,76,ItemsCount,1),0))),TRUE)</f>
        <v>1</v>
      </c>
      <c r="L655" s="25" t="b">
        <f t="shared" ca="1" si="21"/>
        <v>1</v>
      </c>
      <c r="M655" s="24" t="b">
        <f>IF(Checks!$C655,Data!A655&lt;&gt;"",TRUE)</f>
        <v>1</v>
      </c>
      <c r="N655" s="26" t="b">
        <f>IF(Checks!C655,Data!B655&lt;&gt;"",TRUE)</f>
        <v>1</v>
      </c>
      <c r="O655" s="26" t="b">
        <f>IF(Checks!C655,IF(AND(UPPER(Data!C655)="SERVICE TASK",UPPER(Data!BZ655)="TYPE=SAS"),NodeExists(TRIM(RIGHT(Data!CA655,LEN(Data!CA655)-FIND("=",Data!CA655)))),TRUE),TRUE)</f>
        <v>1</v>
      </c>
      <c r="P655" s="26" t="b">
        <f>IF(Checks!C655,IF(Data!C655="DATA OBJECT",OR(AND(Data!BW655&lt;&gt;"",Data!BX655=""),AND(Data!BW655="",Data!BX655&lt;&gt;"")),TRUE),TRUE)</f>
        <v>1</v>
      </c>
      <c r="Q655" s="26" t="b">
        <f>IF(Checks!C655,UPPER(RIGHT(Data!A655,5))=".BPMN",TRUE)</f>
        <v>1</v>
      </c>
      <c r="R655" s="26" t="b">
        <f>IF(Checks!C655,IF(UPPER(Data!C655)="SUB PROCESS",UPPER(RIGHT(Data!BY655,5))=".BPMN",TRUE),TRUE)</f>
        <v>1</v>
      </c>
      <c r="S655" s="26" t="b">
        <f>IF(Checks!C655,IF(UPPER(Data!C655)="SERVICE TASK",IF(UPPER(Data!BZ655)="TYPE=SAS",UPPER(RIGHT(Data!CA655,4))=".SAS",TRUE),TRUE),TRUE)</f>
        <v>1</v>
      </c>
      <c r="T655" s="26" t="b">
        <f>IF(Checks!C655,IF(Data!B655&lt;&gt;"",Data!D655&lt;&gt;"",TRUE),TRUE)</f>
        <v>1</v>
      </c>
      <c r="U655" s="26" t="b">
        <f ca="1">IF(Checks!C655,IF(UPPER(Data!C655)="DATA OBJECT",NOT(ISERROR(MATCH(Data!A655&amp;"||"&amp;Data!BW655&amp;Data!BX655,Key,0))),TRUE),TRUE)</f>
        <v>1</v>
      </c>
      <c r="V655" s="26" t="b">
        <f>IF(Checks!C655,IF(UPPER(Data!C655)="SUB PROCESS",Data!BY655&lt;&gt;"",TRUE),TRUE)</f>
        <v>1</v>
      </c>
      <c r="W655" s="26" t="b">
        <f>IF(Checks!C655,IF(UPPER(Data!C655)="SERVICE TASK",AND(Data!BZ655&lt;&gt;"",Data!CA655&lt;&gt;""),TRUE),TRUE)</f>
        <v>1</v>
      </c>
      <c r="X655" s="26" t="b">
        <f t="array" aca="1" ref="X655" ca="1">SUM((OFFSET(Data!B655,MAX(ROW(Data!$B$5)-ROW(Data!B655),-200),0,400,1)=Data!B655)*(OFFSET(Data!A655,MAX(ROW(Data!$B$5)-ROW(Data!B655),-200),0,400,1)=Data!A655))=1</f>
        <v>1</v>
      </c>
      <c r="Y655" s="26" t="b">
        <f t="array" aca="1" ref="Y655" ca="1">IF(UPPER(Data!C655)="START",SUM((OFFSET(Data!C655,MAX(ROW(Data!$C$5)-ROW(Data!C655),-200),0,400,1)="START")*(OFFSET(Data!A655,MAX(ROW(Data!$B$5)-ROW(Data!B655),-200),0,400,1)=Data!A655))=1,TRUE)</f>
        <v>1</v>
      </c>
      <c r="Z655" s="26" t="b">
        <f t="array" aca="1" ref="Z655" ca="1">IF(UPPER(Data!C655)="END",SUM((OFFSET(Data!C655,MAX(ROW(Data!$C$5)-ROW(Data!C655),-200),0,400,1)="END")*(OFFSET(Data!A655,MAX(ROW(Data!$B$5)-ROW(Data!B655),-200),0,400,1)=Data!A655))=1,TRUE)</f>
        <v>1</v>
      </c>
      <c r="AA655" s="26" t="b">
        <f>IF(Checks!C655,ISERROR(FIND("&amp;",Data!D655)),TRUE)</f>
        <v>1</v>
      </c>
      <c r="AB655" s="26" t="b">
        <f>IF(Checks!$C655,IF(AND(UPPER(Data!$C655)&lt;&gt;"START",UPPER(Data!$C655)&lt;&gt;"DATA OBJECT",Data!E655&lt;&gt;""),NOT(ISERROR(MATCH(Data!$A655&amp;"||"&amp;Data!E655,Key,0))),TRUE),TRUE)</f>
        <v>1</v>
      </c>
      <c r="AC655" s="27" t="b">
        <f>IF(Checks!C655,IF(UPPER(Data!C655)="END",Data!E655&lt;&gt;"",TRUE),TRUE)</f>
        <v>1</v>
      </c>
    </row>
    <row r="656" spans="1:29" x14ac:dyDescent="0.25">
      <c r="A656" s="1" t="str">
        <f>Data!A656&amp;"||"&amp;Data!B656</f>
        <v>Miscellaneous/subflow/irmifrs9_attribution_analysis.bpmn||040_00_10</v>
      </c>
      <c r="B656" s="19"/>
      <c r="C656" s="24" t="b">
        <f>AND(UPPER(Data!A656)&lt;&gt;"EMPTY",Data!B656&lt;&gt;"")</f>
        <v>1</v>
      </c>
      <c r="D656" s="1"/>
      <c r="E656" s="25" t="b">
        <f t="shared" ca="1" si="20"/>
        <v>1</v>
      </c>
      <c r="F656" s="26" t="b">
        <f ca="1">IF(UPPER(Data!C656)="SUB PROCESS",NOT(ISERROR(MATCH(RIGHT(Data!BY656,LEN(Data!BY656)-5),OFFSET(Data,0,0,ItemsCount,1),0))),TRUE)</f>
        <v>1</v>
      </c>
      <c r="G656" s="26" t="b">
        <f ca="1">IF(MID(UPPER(Data!A656),1,13)="MISCELLANEOUS",NOT(ISERROR(MATCH("path="&amp;Data!A656,OFFSET(Data,0,76,ItemsCount,1),0))),TRUE)</f>
        <v>1</v>
      </c>
      <c r="L656" s="25" t="b">
        <f t="shared" ca="1" si="21"/>
        <v>1</v>
      </c>
      <c r="M656" s="24" t="b">
        <f>IF(Checks!$C656,Data!A656&lt;&gt;"",TRUE)</f>
        <v>1</v>
      </c>
      <c r="N656" s="26" t="b">
        <f>IF(Checks!C656,Data!B656&lt;&gt;"",TRUE)</f>
        <v>1</v>
      </c>
      <c r="O656" s="26" t="b">
        <f>IF(Checks!C656,IF(AND(UPPER(Data!C656)="SERVICE TASK",UPPER(Data!BZ656)="TYPE=SAS"),NodeExists(TRIM(RIGHT(Data!CA656,LEN(Data!CA656)-FIND("=",Data!CA656)))),TRUE),TRUE)</f>
        <v>1</v>
      </c>
      <c r="P656" s="26" t="b">
        <f>IF(Checks!C656,IF(Data!C656="DATA OBJECT",OR(AND(Data!BW656&lt;&gt;"",Data!BX656=""),AND(Data!BW656="",Data!BX656&lt;&gt;"")),TRUE),TRUE)</f>
        <v>1</v>
      </c>
      <c r="Q656" s="26" t="b">
        <f>IF(Checks!C656,UPPER(RIGHT(Data!A656,5))=".BPMN",TRUE)</f>
        <v>1</v>
      </c>
      <c r="R656" s="26" t="b">
        <f>IF(Checks!C656,IF(UPPER(Data!C656)="SUB PROCESS",UPPER(RIGHT(Data!BY656,5))=".BPMN",TRUE),TRUE)</f>
        <v>1</v>
      </c>
      <c r="S656" s="26" t="b">
        <f>IF(Checks!C656,IF(UPPER(Data!C656)="SERVICE TASK",IF(UPPER(Data!BZ656)="TYPE=SAS",UPPER(RIGHT(Data!CA656,4))=".SAS",TRUE),TRUE),TRUE)</f>
        <v>1</v>
      </c>
      <c r="T656" s="26" t="b">
        <f>IF(Checks!C656,IF(Data!B656&lt;&gt;"",Data!D656&lt;&gt;"",TRUE),TRUE)</f>
        <v>1</v>
      </c>
      <c r="U656" s="26" t="b">
        <f ca="1">IF(Checks!C656,IF(UPPER(Data!C656)="DATA OBJECT",NOT(ISERROR(MATCH(Data!A656&amp;"||"&amp;Data!BW656&amp;Data!BX656,Key,0))),TRUE),TRUE)</f>
        <v>1</v>
      </c>
      <c r="V656" s="26" t="b">
        <f>IF(Checks!C656,IF(UPPER(Data!C656)="SUB PROCESS",Data!BY656&lt;&gt;"",TRUE),TRUE)</f>
        <v>1</v>
      </c>
      <c r="W656" s="26" t="b">
        <f>IF(Checks!C656,IF(UPPER(Data!C656)="SERVICE TASK",AND(Data!BZ656&lt;&gt;"",Data!CA656&lt;&gt;""),TRUE),TRUE)</f>
        <v>1</v>
      </c>
      <c r="X656" s="26" t="b">
        <f t="array" aca="1" ref="X656" ca="1">SUM((OFFSET(Data!B656,MAX(ROW(Data!$B$5)-ROW(Data!B656),-200),0,400,1)=Data!B656)*(OFFSET(Data!A656,MAX(ROW(Data!$B$5)-ROW(Data!B656),-200),0,400,1)=Data!A656))=1</f>
        <v>1</v>
      </c>
      <c r="Y656" s="26" t="b">
        <f t="array" aca="1" ref="Y656" ca="1">IF(UPPER(Data!C656)="START",SUM((OFFSET(Data!C656,MAX(ROW(Data!$C$5)-ROW(Data!C656),-200),0,400,1)="START")*(OFFSET(Data!A656,MAX(ROW(Data!$B$5)-ROW(Data!B656),-200),0,400,1)=Data!A656))=1,TRUE)</f>
        <v>1</v>
      </c>
      <c r="Z656" s="26" t="b">
        <f t="array" aca="1" ref="Z656" ca="1">IF(UPPER(Data!C656)="END",SUM((OFFSET(Data!C656,MAX(ROW(Data!$C$5)-ROW(Data!C656),-200),0,400,1)="END")*(OFFSET(Data!A656,MAX(ROW(Data!$B$5)-ROW(Data!B656),-200),0,400,1)=Data!A656))=1,TRUE)</f>
        <v>1</v>
      </c>
      <c r="AA656" s="26" t="b">
        <f>IF(Checks!C656,ISERROR(FIND("&amp;",Data!D656)),TRUE)</f>
        <v>1</v>
      </c>
      <c r="AB656" s="26" t="b">
        <f>IF(Checks!$C656,IF(AND(UPPER(Data!$C656)&lt;&gt;"START",UPPER(Data!$C656)&lt;&gt;"DATA OBJECT",Data!E656&lt;&gt;""),NOT(ISERROR(MATCH(Data!$A656&amp;"||"&amp;Data!E656,Key,0))),TRUE),TRUE)</f>
        <v>1</v>
      </c>
      <c r="AC656" s="27" t="b">
        <f>IF(Checks!C656,IF(UPPER(Data!C656)="END",Data!E656&lt;&gt;"",TRUE),TRUE)</f>
        <v>1</v>
      </c>
    </row>
    <row r="657" spans="1:29" x14ac:dyDescent="0.25">
      <c r="A657" s="1" t="str">
        <f>Data!A657&amp;"||"&amp;Data!B657</f>
        <v>Miscellaneous/subflow/irmifrs9_attribution_analysis.bpmn||040_01_00</v>
      </c>
      <c r="B657" s="19"/>
      <c r="C657" s="24" t="b">
        <f>AND(UPPER(Data!A657)&lt;&gt;"EMPTY",Data!B657&lt;&gt;"")</f>
        <v>1</v>
      </c>
      <c r="D657" s="1"/>
      <c r="E657" s="25" t="b">
        <f t="shared" ca="1" si="20"/>
        <v>1</v>
      </c>
      <c r="F657" s="26" t="b">
        <f ca="1">IF(UPPER(Data!C657)="SUB PROCESS",NOT(ISERROR(MATCH(RIGHT(Data!BY657,LEN(Data!BY657)-5),OFFSET(Data,0,0,ItemsCount,1),0))),TRUE)</f>
        <v>1</v>
      </c>
      <c r="G657" s="26" t="b">
        <f ca="1">IF(MID(UPPER(Data!A657),1,13)="MISCELLANEOUS",NOT(ISERROR(MATCH("path="&amp;Data!A657,OFFSET(Data,0,76,ItemsCount,1),0))),TRUE)</f>
        <v>1</v>
      </c>
      <c r="L657" s="25" t="b">
        <f t="shared" ca="1" si="21"/>
        <v>1</v>
      </c>
      <c r="M657" s="24" t="b">
        <f>IF(Checks!$C657,Data!A657&lt;&gt;"",TRUE)</f>
        <v>1</v>
      </c>
      <c r="N657" s="26" t="b">
        <f>IF(Checks!C657,Data!B657&lt;&gt;"",TRUE)</f>
        <v>1</v>
      </c>
      <c r="O657" s="26" t="b">
        <f>IF(Checks!C657,IF(AND(UPPER(Data!C657)="SERVICE TASK",UPPER(Data!BZ657)="TYPE=SAS"),NodeExists(TRIM(RIGHT(Data!CA657,LEN(Data!CA657)-FIND("=",Data!CA657)))),TRUE),TRUE)</f>
        <v>1</v>
      </c>
      <c r="P657" s="26" t="b">
        <f>IF(Checks!C657,IF(Data!C657="DATA OBJECT",OR(AND(Data!BW657&lt;&gt;"",Data!BX657=""),AND(Data!BW657="",Data!BX657&lt;&gt;"")),TRUE),TRUE)</f>
        <v>1</v>
      </c>
      <c r="Q657" s="26" t="b">
        <f>IF(Checks!C657,UPPER(RIGHT(Data!A657,5))=".BPMN",TRUE)</f>
        <v>1</v>
      </c>
      <c r="R657" s="26" t="b">
        <f>IF(Checks!C657,IF(UPPER(Data!C657)="SUB PROCESS",UPPER(RIGHT(Data!BY657,5))=".BPMN",TRUE),TRUE)</f>
        <v>1</v>
      </c>
      <c r="S657" s="26" t="b">
        <f>IF(Checks!C657,IF(UPPER(Data!C657)="SERVICE TASK",IF(UPPER(Data!BZ657)="TYPE=SAS",UPPER(RIGHT(Data!CA657,4))=".SAS",TRUE),TRUE),TRUE)</f>
        <v>1</v>
      </c>
      <c r="T657" s="26" t="b">
        <f>IF(Checks!C657,IF(Data!B657&lt;&gt;"",Data!D657&lt;&gt;"",TRUE),TRUE)</f>
        <v>1</v>
      </c>
      <c r="U657" s="26" t="b">
        <f ca="1">IF(Checks!C657,IF(UPPER(Data!C657)="DATA OBJECT",NOT(ISERROR(MATCH(Data!A657&amp;"||"&amp;Data!BW657&amp;Data!BX657,Key,0))),TRUE),TRUE)</f>
        <v>1</v>
      </c>
      <c r="V657" s="26" t="b">
        <f>IF(Checks!C657,IF(UPPER(Data!C657)="SUB PROCESS",Data!BY657&lt;&gt;"",TRUE),TRUE)</f>
        <v>1</v>
      </c>
      <c r="W657" s="26" t="b">
        <f>IF(Checks!C657,IF(UPPER(Data!C657)="SERVICE TASK",AND(Data!BZ657&lt;&gt;"",Data!CA657&lt;&gt;""),TRUE),TRUE)</f>
        <v>1</v>
      </c>
      <c r="X657" s="26" t="b">
        <f t="array" aca="1" ref="X657" ca="1">SUM((OFFSET(Data!B657,MAX(ROW(Data!$B$5)-ROW(Data!B657),-200),0,400,1)=Data!B657)*(OFFSET(Data!A657,MAX(ROW(Data!$B$5)-ROW(Data!B657),-200),0,400,1)=Data!A657))=1</f>
        <v>1</v>
      </c>
      <c r="Y657" s="26" t="b">
        <f t="array" aca="1" ref="Y657" ca="1">IF(UPPER(Data!C657)="START",SUM((OFFSET(Data!C657,MAX(ROW(Data!$C$5)-ROW(Data!C657),-200),0,400,1)="START")*(OFFSET(Data!A657,MAX(ROW(Data!$B$5)-ROW(Data!B657),-200),0,400,1)=Data!A657))=1,TRUE)</f>
        <v>1</v>
      </c>
      <c r="Z657" s="26" t="b">
        <f t="array" aca="1" ref="Z657" ca="1">IF(UPPER(Data!C657)="END",SUM((OFFSET(Data!C657,MAX(ROW(Data!$C$5)-ROW(Data!C657),-200),0,400,1)="END")*(OFFSET(Data!A657,MAX(ROW(Data!$B$5)-ROW(Data!B657),-200),0,400,1)=Data!A657))=1,TRUE)</f>
        <v>1</v>
      </c>
      <c r="AA657" s="26" t="b">
        <f>IF(Checks!C657,ISERROR(FIND("&amp;",Data!D657)),TRUE)</f>
        <v>1</v>
      </c>
      <c r="AB657" s="26" t="b">
        <f>IF(Checks!$C657,IF(AND(UPPER(Data!$C657)&lt;&gt;"START",UPPER(Data!$C657)&lt;&gt;"DATA OBJECT",Data!E657&lt;&gt;""),NOT(ISERROR(MATCH(Data!$A657&amp;"||"&amp;Data!E657,Key,0))),TRUE),TRUE)</f>
        <v>1</v>
      </c>
      <c r="AC657" s="27" t="b">
        <f>IF(Checks!C657,IF(UPPER(Data!C657)="END",Data!E657&lt;&gt;"",TRUE),TRUE)</f>
        <v>1</v>
      </c>
    </row>
    <row r="658" spans="1:29" x14ac:dyDescent="0.25">
      <c r="A658" s="1" t="str">
        <f>Data!A658&amp;"||"&amp;Data!B658</f>
        <v>Miscellaneous/subflow/irmifrs9_attribution_analysis.bpmn||040_02_00</v>
      </c>
      <c r="B658" s="19"/>
      <c r="C658" s="24" t="b">
        <f>AND(UPPER(Data!A658)&lt;&gt;"EMPTY",Data!B658&lt;&gt;"")</f>
        <v>1</v>
      </c>
      <c r="D658" s="1"/>
      <c r="E658" s="25" t="b">
        <f t="shared" ca="1" si="20"/>
        <v>1</v>
      </c>
      <c r="F658" s="26" t="b">
        <f ca="1">IF(UPPER(Data!C658)="SUB PROCESS",NOT(ISERROR(MATCH(RIGHT(Data!BY658,LEN(Data!BY658)-5),OFFSET(Data,0,0,ItemsCount,1),0))),TRUE)</f>
        <v>1</v>
      </c>
      <c r="G658" s="26" t="b">
        <f ca="1">IF(MID(UPPER(Data!A658),1,13)="MISCELLANEOUS",NOT(ISERROR(MATCH("path="&amp;Data!A658,OFFSET(Data,0,76,ItemsCount,1),0))),TRUE)</f>
        <v>1</v>
      </c>
      <c r="L658" s="25" t="b">
        <f t="shared" ca="1" si="21"/>
        <v>1</v>
      </c>
      <c r="M658" s="24" t="b">
        <f>IF(Checks!$C658,Data!A658&lt;&gt;"",TRUE)</f>
        <v>1</v>
      </c>
      <c r="N658" s="26" t="b">
        <f>IF(Checks!C658,Data!B658&lt;&gt;"",TRUE)</f>
        <v>1</v>
      </c>
      <c r="O658" s="26" t="b">
        <f>IF(Checks!C658,IF(AND(UPPER(Data!C658)="SERVICE TASK",UPPER(Data!BZ658)="TYPE=SAS"),NodeExists(TRIM(RIGHT(Data!CA658,LEN(Data!CA658)-FIND("=",Data!CA658)))),TRUE),TRUE)</f>
        <v>1</v>
      </c>
      <c r="P658" s="26" t="b">
        <f>IF(Checks!C658,IF(Data!C658="DATA OBJECT",OR(AND(Data!BW658&lt;&gt;"",Data!BX658=""),AND(Data!BW658="",Data!BX658&lt;&gt;"")),TRUE),TRUE)</f>
        <v>1</v>
      </c>
      <c r="Q658" s="26" t="b">
        <f>IF(Checks!C658,UPPER(RIGHT(Data!A658,5))=".BPMN",TRUE)</f>
        <v>1</v>
      </c>
      <c r="R658" s="26" t="b">
        <f>IF(Checks!C658,IF(UPPER(Data!C658)="SUB PROCESS",UPPER(RIGHT(Data!BY658,5))=".BPMN",TRUE),TRUE)</f>
        <v>1</v>
      </c>
      <c r="S658" s="26" t="b">
        <f>IF(Checks!C658,IF(UPPER(Data!C658)="SERVICE TASK",IF(UPPER(Data!BZ658)="TYPE=SAS",UPPER(RIGHT(Data!CA658,4))=".SAS",TRUE),TRUE),TRUE)</f>
        <v>1</v>
      </c>
      <c r="T658" s="26" t="b">
        <f>IF(Checks!C658,IF(Data!B658&lt;&gt;"",Data!D658&lt;&gt;"",TRUE),TRUE)</f>
        <v>1</v>
      </c>
      <c r="U658" s="26" t="b">
        <f ca="1">IF(Checks!C658,IF(UPPER(Data!C658)="DATA OBJECT",NOT(ISERROR(MATCH(Data!A658&amp;"||"&amp;Data!BW658&amp;Data!BX658,Key,0))),TRUE),TRUE)</f>
        <v>1</v>
      </c>
      <c r="V658" s="26" t="b">
        <f>IF(Checks!C658,IF(UPPER(Data!C658)="SUB PROCESS",Data!BY658&lt;&gt;"",TRUE),TRUE)</f>
        <v>1</v>
      </c>
      <c r="W658" s="26" t="b">
        <f>IF(Checks!C658,IF(UPPER(Data!C658)="SERVICE TASK",AND(Data!BZ658&lt;&gt;"",Data!CA658&lt;&gt;""),TRUE),TRUE)</f>
        <v>1</v>
      </c>
      <c r="X658" s="26" t="b">
        <f t="array" aca="1" ref="X658" ca="1">SUM((OFFSET(Data!B658,MAX(ROW(Data!$B$5)-ROW(Data!B658),-200),0,400,1)=Data!B658)*(OFFSET(Data!A658,MAX(ROW(Data!$B$5)-ROW(Data!B658),-200),0,400,1)=Data!A658))=1</f>
        <v>1</v>
      </c>
      <c r="Y658" s="26" t="b">
        <f t="array" aca="1" ref="Y658" ca="1">IF(UPPER(Data!C658)="START",SUM((OFFSET(Data!C658,MAX(ROW(Data!$C$5)-ROW(Data!C658),-200),0,400,1)="START")*(OFFSET(Data!A658,MAX(ROW(Data!$B$5)-ROW(Data!B658),-200),0,400,1)=Data!A658))=1,TRUE)</f>
        <v>1</v>
      </c>
      <c r="Z658" s="26" t="b">
        <f t="array" aca="1" ref="Z658" ca="1">IF(UPPER(Data!C658)="END",SUM((OFFSET(Data!C658,MAX(ROW(Data!$C$5)-ROW(Data!C658),-200),0,400,1)="END")*(OFFSET(Data!A658,MAX(ROW(Data!$B$5)-ROW(Data!B658),-200),0,400,1)=Data!A658))=1,TRUE)</f>
        <v>1</v>
      </c>
      <c r="AA658" s="26" t="b">
        <f>IF(Checks!C658,ISERROR(FIND("&amp;",Data!D658)),TRUE)</f>
        <v>1</v>
      </c>
      <c r="AB658" s="26" t="b">
        <f>IF(Checks!$C658,IF(AND(UPPER(Data!$C658)&lt;&gt;"START",UPPER(Data!$C658)&lt;&gt;"DATA OBJECT",Data!E658&lt;&gt;""),NOT(ISERROR(MATCH(Data!$A658&amp;"||"&amp;Data!E658,Key,0))),TRUE),TRUE)</f>
        <v>1</v>
      </c>
      <c r="AC658" s="27" t="b">
        <f>IF(Checks!C658,IF(UPPER(Data!C658)="END",Data!E658&lt;&gt;"",TRUE),TRUE)</f>
        <v>1</v>
      </c>
    </row>
    <row r="659" spans="1:29" x14ac:dyDescent="0.25">
      <c r="A659" s="1" t="str">
        <f>Data!A659&amp;"||"&amp;Data!B659</f>
        <v>Miscellaneous/subflow/irmifrs9_attribution_analysis.bpmn||999_00_00</v>
      </c>
      <c r="B659" s="19"/>
      <c r="C659" s="24" t="b">
        <f>AND(UPPER(Data!A659)&lt;&gt;"EMPTY",Data!B659&lt;&gt;"")</f>
        <v>1</v>
      </c>
      <c r="D659" s="1"/>
      <c r="E659" s="25" t="b">
        <f t="shared" ca="1" si="20"/>
        <v>1</v>
      </c>
      <c r="F659" s="26" t="b">
        <f ca="1">IF(UPPER(Data!C659)="SUB PROCESS",NOT(ISERROR(MATCH(RIGHT(Data!BY659,LEN(Data!BY659)-5),OFFSET(Data,0,0,ItemsCount,1),0))),TRUE)</f>
        <v>1</v>
      </c>
      <c r="G659" s="26" t="b">
        <f ca="1">IF(MID(UPPER(Data!A659),1,13)="MISCELLANEOUS",NOT(ISERROR(MATCH("path="&amp;Data!A659,OFFSET(Data,0,76,ItemsCount,1),0))),TRUE)</f>
        <v>1</v>
      </c>
      <c r="L659" s="25" t="b">
        <f t="shared" ca="1" si="21"/>
        <v>1</v>
      </c>
      <c r="M659" s="24" t="b">
        <f>IF(Checks!$C659,Data!A659&lt;&gt;"",TRUE)</f>
        <v>1</v>
      </c>
      <c r="N659" s="26" t="b">
        <f>IF(Checks!C659,Data!B659&lt;&gt;"",TRUE)</f>
        <v>1</v>
      </c>
      <c r="O659" s="26" t="b">
        <f>IF(Checks!C659,IF(AND(UPPER(Data!C659)="SERVICE TASK",UPPER(Data!BZ659)="TYPE=SAS"),NodeExists(TRIM(RIGHT(Data!CA659,LEN(Data!CA659)-FIND("=",Data!CA659)))),TRUE),TRUE)</f>
        <v>1</v>
      </c>
      <c r="P659" s="26" t="b">
        <f>IF(Checks!C659,IF(Data!C659="DATA OBJECT",OR(AND(Data!BW659&lt;&gt;"",Data!BX659=""),AND(Data!BW659="",Data!BX659&lt;&gt;"")),TRUE),TRUE)</f>
        <v>1</v>
      </c>
      <c r="Q659" s="26" t="b">
        <f>IF(Checks!C659,UPPER(RIGHT(Data!A659,5))=".BPMN",TRUE)</f>
        <v>1</v>
      </c>
      <c r="R659" s="26" t="b">
        <f>IF(Checks!C659,IF(UPPER(Data!C659)="SUB PROCESS",UPPER(RIGHT(Data!BY659,5))=".BPMN",TRUE),TRUE)</f>
        <v>1</v>
      </c>
      <c r="S659" s="26" t="b">
        <f>IF(Checks!C659,IF(UPPER(Data!C659)="SERVICE TASK",IF(UPPER(Data!BZ659)="TYPE=SAS",UPPER(RIGHT(Data!CA659,4))=".SAS",TRUE),TRUE),TRUE)</f>
        <v>1</v>
      </c>
      <c r="T659" s="26" t="b">
        <f>IF(Checks!C659,IF(Data!B659&lt;&gt;"",Data!D659&lt;&gt;"",TRUE),TRUE)</f>
        <v>1</v>
      </c>
      <c r="U659" s="26" t="b">
        <f>IF(Checks!C659,IF(UPPER(Data!C659)="DATA OBJECT",NOT(ISERROR(MATCH(Data!A659&amp;"||"&amp;Data!BW659&amp;Data!BX659,Key,0))),TRUE),TRUE)</f>
        <v>1</v>
      </c>
      <c r="V659" s="26" t="b">
        <f>IF(Checks!C659,IF(UPPER(Data!C659)="SUB PROCESS",Data!BY659&lt;&gt;"",TRUE),TRUE)</f>
        <v>1</v>
      </c>
      <c r="W659" s="26" t="b">
        <f>IF(Checks!C659,IF(UPPER(Data!C659)="SERVICE TASK",AND(Data!BZ659&lt;&gt;"",Data!CA659&lt;&gt;""),TRUE),TRUE)</f>
        <v>1</v>
      </c>
      <c r="X659" s="26" t="b">
        <f t="array" aca="1" ref="X659" ca="1">SUM((OFFSET(Data!B659,MAX(ROW(Data!$B$5)-ROW(Data!B659),-200),0,400,1)=Data!B659)*(OFFSET(Data!A659,MAX(ROW(Data!$B$5)-ROW(Data!B659),-200),0,400,1)=Data!A659))=1</f>
        <v>1</v>
      </c>
      <c r="Y659" s="26" t="b">
        <f t="array" aca="1" ref="Y659" ca="1">IF(UPPER(Data!C659)="START",SUM((OFFSET(Data!C659,MAX(ROW(Data!$C$5)-ROW(Data!C659),-200),0,400,1)="START")*(OFFSET(Data!A659,MAX(ROW(Data!$B$5)-ROW(Data!B659),-200),0,400,1)=Data!A659))=1,TRUE)</f>
        <v>1</v>
      </c>
      <c r="Z659" s="26" t="b">
        <f t="array" aca="1" ref="Z659" ca="1">IF(UPPER(Data!C659)="END",SUM((OFFSET(Data!C659,MAX(ROW(Data!$C$5)-ROW(Data!C659),-200),0,400,1)="END")*(OFFSET(Data!A659,MAX(ROW(Data!$B$5)-ROW(Data!B659),-200),0,400,1)=Data!A659))=1,TRUE)</f>
        <v>1</v>
      </c>
      <c r="AA659" s="26" t="b">
        <f>IF(Checks!C659,ISERROR(FIND("&amp;",Data!D659)),TRUE)</f>
        <v>1</v>
      </c>
      <c r="AB659" s="26" t="b">
        <f ca="1">IF(Checks!$C659,IF(AND(UPPER(Data!$C659)&lt;&gt;"START",UPPER(Data!$C659)&lt;&gt;"DATA OBJECT",Data!E659&lt;&gt;""),NOT(ISERROR(MATCH(Data!$A659&amp;"||"&amp;Data!E659,Key,0))),TRUE),TRUE)</f>
        <v>1</v>
      </c>
      <c r="AC659" s="27" t="b">
        <f>IF(Checks!C659,IF(UPPER(Data!C659)="END",Data!E659&lt;&gt;"",TRUE),TRUE)</f>
        <v>1</v>
      </c>
    </row>
    <row r="660" spans="1:29" x14ac:dyDescent="0.25">
      <c r="A660" s="1"/>
      <c r="B660" s="19"/>
      <c r="C660" s="24"/>
      <c r="D660" s="1"/>
      <c r="E660" s="25"/>
      <c r="F660" s="26"/>
      <c r="G660" s="26"/>
      <c r="L660" s="25"/>
      <c r="M660" s="24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6"/>
      <c r="AB660" s="26"/>
      <c r="AC660" s="27"/>
    </row>
    <row r="661" spans="1:29" x14ac:dyDescent="0.25">
      <c r="A661" s="1"/>
      <c r="B661" s="19"/>
      <c r="C661" s="24"/>
      <c r="D661" s="1"/>
      <c r="E661" s="25"/>
      <c r="F661" s="26"/>
      <c r="G661" s="26"/>
      <c r="L661" s="25"/>
      <c r="M661" s="24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6"/>
      <c r="AB661" s="26"/>
      <c r="AC661" s="27"/>
    </row>
    <row r="662" spans="1:29" x14ac:dyDescent="0.25">
      <c r="A662" s="1"/>
      <c r="B662" s="19"/>
      <c r="C662" s="24"/>
      <c r="D662" s="1"/>
      <c r="E662" s="25"/>
      <c r="F662" s="26"/>
      <c r="G662" s="26"/>
      <c r="L662" s="25"/>
      <c r="M662" s="24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6"/>
      <c r="AB662" s="26"/>
      <c r="AC662" s="27"/>
    </row>
    <row r="663" spans="1:29" x14ac:dyDescent="0.25">
      <c r="A663" s="1"/>
      <c r="B663" s="19"/>
      <c r="C663" s="24"/>
      <c r="D663" s="1"/>
      <c r="E663" s="25"/>
      <c r="F663" s="26"/>
      <c r="G663" s="26"/>
      <c r="L663" s="25"/>
      <c r="M663" s="24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6"/>
      <c r="AB663" s="26"/>
      <c r="AC663" s="27"/>
    </row>
    <row r="664" spans="1:29" x14ac:dyDescent="0.25">
      <c r="A664" s="1"/>
      <c r="B664" s="19"/>
      <c r="C664" s="24"/>
      <c r="D664" s="1"/>
      <c r="E664" s="25"/>
      <c r="F664" s="26"/>
      <c r="G664" s="26"/>
      <c r="L664" s="25"/>
      <c r="M664" s="24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6"/>
      <c r="AB664" s="26"/>
      <c r="AC664" s="27"/>
    </row>
    <row r="665" spans="1:29" x14ac:dyDescent="0.25">
      <c r="A665" s="1"/>
      <c r="B665" s="19"/>
      <c r="C665" s="24"/>
      <c r="D665" s="1"/>
      <c r="E665" s="25"/>
      <c r="F665" s="26"/>
      <c r="G665" s="26"/>
      <c r="L665" s="25"/>
      <c r="M665" s="24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6"/>
      <c r="AB665" s="26"/>
      <c r="AC665" s="27"/>
    </row>
    <row r="666" spans="1:29" x14ac:dyDescent="0.25">
      <c r="A666" s="1"/>
      <c r="B666" s="19"/>
      <c r="C666" s="24"/>
      <c r="D666" s="1"/>
      <c r="E666" s="25"/>
      <c r="F666" s="26"/>
      <c r="G666" s="26"/>
      <c r="L666" s="25"/>
      <c r="M666" s="24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6"/>
      <c r="AB666" s="26"/>
      <c r="AC666" s="27"/>
    </row>
    <row r="667" spans="1:29" x14ac:dyDescent="0.25">
      <c r="A667" s="1"/>
      <c r="B667" s="19"/>
      <c r="C667" s="24"/>
      <c r="D667" s="1"/>
      <c r="E667" s="25"/>
      <c r="F667" s="26"/>
      <c r="G667" s="26"/>
      <c r="L667" s="25"/>
      <c r="M667" s="24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6"/>
      <c r="AB667" s="26"/>
      <c r="AC667" s="27"/>
    </row>
    <row r="668" spans="1:29" x14ac:dyDescent="0.25">
      <c r="A668" s="1"/>
      <c r="B668" s="19"/>
      <c r="C668" s="24"/>
      <c r="D668" s="1"/>
      <c r="E668" s="25"/>
      <c r="F668" s="26"/>
      <c r="G668" s="26"/>
      <c r="L668" s="25"/>
      <c r="M668" s="24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6"/>
      <c r="AB668" s="26"/>
      <c r="AC668" s="27"/>
    </row>
    <row r="669" spans="1:29" x14ac:dyDescent="0.25">
      <c r="A669" s="1"/>
      <c r="B669" s="19"/>
      <c r="C669" s="24"/>
      <c r="D669" s="1"/>
      <c r="E669" s="25"/>
      <c r="F669" s="26"/>
      <c r="G669" s="26"/>
      <c r="L669" s="25"/>
      <c r="M669" s="24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6"/>
      <c r="AB669" s="26"/>
      <c r="AC669" s="27"/>
    </row>
    <row r="670" spans="1:29" x14ac:dyDescent="0.25">
      <c r="A670" s="1"/>
      <c r="B670" s="19"/>
      <c r="C670" s="24"/>
      <c r="D670" s="1"/>
      <c r="E670" s="25"/>
      <c r="F670" s="26"/>
      <c r="G670" s="26"/>
      <c r="L670" s="25"/>
      <c r="M670" s="24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6"/>
      <c r="AB670" s="26"/>
      <c r="AC670" s="27"/>
    </row>
    <row r="671" spans="1:29" x14ac:dyDescent="0.25">
      <c r="A671" s="1"/>
      <c r="B671" s="19"/>
      <c r="C671" s="24"/>
      <c r="D671" s="1"/>
      <c r="E671" s="25"/>
      <c r="F671" s="26"/>
      <c r="G671" s="26"/>
      <c r="L671" s="25"/>
      <c r="M671" s="24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6"/>
      <c r="AB671" s="26"/>
      <c r="AC671" s="27"/>
    </row>
    <row r="672" spans="1:29" x14ac:dyDescent="0.25">
      <c r="A672" s="1"/>
      <c r="B672" s="19"/>
      <c r="C672" s="24"/>
      <c r="D672" s="1"/>
      <c r="E672" s="25"/>
      <c r="F672" s="26"/>
      <c r="G672" s="26"/>
      <c r="L672" s="25"/>
      <c r="M672" s="24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6"/>
      <c r="AB672" s="26"/>
      <c r="AC672" s="27"/>
    </row>
    <row r="673" spans="1:29" x14ac:dyDescent="0.25">
      <c r="A673" s="1"/>
      <c r="B673" s="19"/>
      <c r="C673" s="24"/>
      <c r="D673" s="1"/>
      <c r="E673" s="25"/>
      <c r="F673" s="26"/>
      <c r="G673" s="26"/>
      <c r="L673" s="25"/>
      <c r="M673" s="24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6"/>
      <c r="AB673" s="26"/>
      <c r="AC673" s="27"/>
    </row>
    <row r="674" spans="1:29" x14ac:dyDescent="0.25">
      <c r="A674" s="1"/>
      <c r="B674" s="19"/>
      <c r="C674" s="24"/>
      <c r="D674" s="1"/>
      <c r="E674" s="25"/>
      <c r="F674" s="26"/>
      <c r="G674" s="26"/>
      <c r="L674" s="25"/>
      <c r="M674" s="24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6"/>
      <c r="AB674" s="26"/>
      <c r="AC674" s="27"/>
    </row>
    <row r="675" spans="1:29" x14ac:dyDescent="0.25">
      <c r="A675" s="1"/>
      <c r="B675" s="19"/>
      <c r="C675" s="24"/>
      <c r="D675" s="1"/>
      <c r="E675" s="25"/>
      <c r="F675" s="26"/>
      <c r="G675" s="26"/>
      <c r="L675" s="25"/>
      <c r="M675" s="24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6"/>
      <c r="AB675" s="26"/>
      <c r="AC675" s="27"/>
    </row>
    <row r="676" spans="1:29" x14ac:dyDescent="0.25">
      <c r="A676" s="1"/>
      <c r="B676" s="19"/>
      <c r="C676" s="24"/>
      <c r="D676" s="1"/>
      <c r="E676" s="25"/>
      <c r="F676" s="26"/>
      <c r="G676" s="26"/>
      <c r="L676" s="25"/>
      <c r="M676" s="24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6"/>
      <c r="AB676" s="26"/>
      <c r="AC676" s="27"/>
    </row>
    <row r="677" spans="1:29" x14ac:dyDescent="0.25">
      <c r="A677" s="1"/>
      <c r="B677" s="19"/>
      <c r="C677" s="24"/>
      <c r="D677" s="1"/>
      <c r="E677" s="25"/>
      <c r="F677" s="26"/>
      <c r="G677" s="26"/>
      <c r="L677" s="25"/>
      <c r="M677" s="24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6"/>
      <c r="AB677" s="26"/>
      <c r="AC677" s="27"/>
    </row>
    <row r="678" spans="1:29" x14ac:dyDescent="0.25">
      <c r="A678" s="1"/>
      <c r="B678" s="19"/>
      <c r="C678" s="24"/>
      <c r="D678" s="1"/>
      <c r="E678" s="25"/>
      <c r="F678" s="26"/>
      <c r="G678" s="26"/>
      <c r="L678" s="25"/>
      <c r="M678" s="24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6"/>
      <c r="AB678" s="26"/>
      <c r="AC678" s="27"/>
    </row>
    <row r="679" spans="1:29" x14ac:dyDescent="0.25">
      <c r="A679" s="1"/>
      <c r="B679" s="19"/>
      <c r="C679" s="24"/>
      <c r="D679" s="1"/>
      <c r="E679" s="25"/>
      <c r="F679" s="26"/>
      <c r="G679" s="26"/>
      <c r="L679" s="25"/>
      <c r="M679" s="24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6"/>
      <c r="AB679" s="26"/>
      <c r="AC679" s="27"/>
    </row>
    <row r="680" spans="1:29" x14ac:dyDescent="0.25">
      <c r="A680" s="1"/>
      <c r="B680" s="19"/>
      <c r="C680" s="24"/>
      <c r="D680" s="1"/>
      <c r="E680" s="25"/>
      <c r="F680" s="26"/>
      <c r="G680" s="26"/>
      <c r="L680" s="25"/>
      <c r="M680" s="24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6"/>
      <c r="AB680" s="26"/>
      <c r="AC680" s="27"/>
    </row>
    <row r="681" spans="1:29" x14ac:dyDescent="0.25">
      <c r="A681" s="1"/>
      <c r="B681" s="19"/>
      <c r="C681" s="24"/>
      <c r="D681" s="1"/>
      <c r="E681" s="25"/>
      <c r="F681" s="26"/>
      <c r="G681" s="26"/>
      <c r="L681" s="25"/>
      <c r="M681" s="24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6"/>
      <c r="AB681" s="26"/>
      <c r="AC681" s="27"/>
    </row>
    <row r="682" spans="1:29" x14ac:dyDescent="0.25">
      <c r="A682" s="1"/>
      <c r="B682" s="19"/>
      <c r="C682" s="24"/>
      <c r="D682" s="1"/>
      <c r="E682" s="25"/>
      <c r="F682" s="26"/>
      <c r="G682" s="26"/>
      <c r="L682" s="25"/>
      <c r="M682" s="24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6"/>
      <c r="AB682" s="26"/>
      <c r="AC682" s="27"/>
    </row>
    <row r="683" spans="1:29" x14ac:dyDescent="0.25">
      <c r="A683" s="1"/>
      <c r="B683" s="19"/>
      <c r="C683" s="24"/>
      <c r="D683" s="1"/>
      <c r="E683" s="25"/>
      <c r="F683" s="26"/>
      <c r="G683" s="26"/>
      <c r="L683" s="25"/>
      <c r="M683" s="24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6"/>
      <c r="AB683" s="26"/>
      <c r="AC683" s="27"/>
    </row>
    <row r="684" spans="1:29" x14ac:dyDescent="0.25">
      <c r="A684" s="1"/>
      <c r="B684" s="19"/>
      <c r="C684" s="24"/>
      <c r="D684" s="1"/>
      <c r="E684" s="25"/>
      <c r="F684" s="26"/>
      <c r="G684" s="26"/>
      <c r="L684" s="25"/>
      <c r="M684" s="24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6"/>
      <c r="AB684" s="26"/>
      <c r="AC684" s="27"/>
    </row>
    <row r="685" spans="1:29" x14ac:dyDescent="0.25">
      <c r="A685" s="1"/>
      <c r="B685" s="19"/>
      <c r="C685" s="24"/>
      <c r="D685" s="1"/>
      <c r="E685" s="25"/>
      <c r="F685" s="26"/>
      <c r="G685" s="26"/>
      <c r="L685" s="25"/>
      <c r="M685" s="24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6"/>
      <c r="AB685" s="26"/>
      <c r="AC685" s="27"/>
    </row>
    <row r="686" spans="1:29" x14ac:dyDescent="0.25">
      <c r="A686" s="1"/>
      <c r="B686" s="19"/>
      <c r="C686" s="24"/>
      <c r="D686" s="1"/>
      <c r="E686" s="25"/>
      <c r="F686" s="26"/>
      <c r="G686" s="26"/>
      <c r="L686" s="25"/>
      <c r="M686" s="24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6"/>
      <c r="AB686" s="26"/>
      <c r="AC686" s="27"/>
    </row>
    <row r="687" spans="1:29" x14ac:dyDescent="0.25">
      <c r="A687" s="1"/>
      <c r="B687" s="19"/>
      <c r="C687" s="24"/>
      <c r="D687" s="1"/>
      <c r="E687" s="25"/>
      <c r="F687" s="26"/>
      <c r="G687" s="26"/>
      <c r="L687" s="25"/>
      <c r="M687" s="24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6"/>
      <c r="AB687" s="26"/>
      <c r="AC687" s="27"/>
    </row>
    <row r="688" spans="1:29" x14ac:dyDescent="0.25">
      <c r="A688" s="1"/>
      <c r="B688" s="19"/>
      <c r="C688" s="24"/>
      <c r="D688" s="1"/>
      <c r="E688" s="25"/>
      <c r="F688" s="26"/>
      <c r="G688" s="26"/>
      <c r="L688" s="25"/>
      <c r="M688" s="24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6"/>
      <c r="AB688" s="26"/>
      <c r="AC688" s="27"/>
    </row>
    <row r="689" spans="1:29" x14ac:dyDescent="0.25">
      <c r="A689" s="1"/>
      <c r="B689" s="19"/>
      <c r="C689" s="24"/>
      <c r="D689" s="1"/>
      <c r="E689" s="25"/>
      <c r="F689" s="26"/>
      <c r="G689" s="26"/>
      <c r="L689" s="25"/>
      <c r="M689" s="24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6"/>
      <c r="AB689" s="26"/>
      <c r="AC689" s="27"/>
    </row>
    <row r="690" spans="1:29" x14ac:dyDescent="0.25">
      <c r="A690" s="1"/>
      <c r="B690" s="19"/>
      <c r="C690" s="24"/>
      <c r="D690" s="1"/>
      <c r="E690" s="25"/>
      <c r="F690" s="26"/>
      <c r="G690" s="26"/>
      <c r="L690" s="25"/>
      <c r="M690" s="24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6"/>
      <c r="AB690" s="26"/>
      <c r="AC690" s="27"/>
    </row>
    <row r="691" spans="1:29" x14ac:dyDescent="0.25">
      <c r="A691" s="1"/>
      <c r="B691" s="19"/>
      <c r="C691" s="24"/>
      <c r="D691" s="1"/>
      <c r="E691" s="25"/>
      <c r="F691" s="26"/>
      <c r="G691" s="26"/>
      <c r="L691" s="25"/>
      <c r="M691" s="24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6"/>
      <c r="AB691" s="26"/>
      <c r="AC691" s="27"/>
    </row>
    <row r="692" spans="1:29" x14ac:dyDescent="0.25">
      <c r="A692" s="1"/>
      <c r="B692" s="19"/>
      <c r="C692" s="24"/>
      <c r="D692" s="1"/>
      <c r="E692" s="25"/>
      <c r="F692" s="26"/>
      <c r="G692" s="26"/>
      <c r="L692" s="25"/>
      <c r="M692" s="24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6"/>
      <c r="AB692" s="26"/>
      <c r="AC692" s="27"/>
    </row>
    <row r="693" spans="1:29" x14ac:dyDescent="0.25">
      <c r="A693" s="1"/>
      <c r="B693" s="19"/>
      <c r="C693" s="24"/>
      <c r="D693" s="1"/>
      <c r="E693" s="25"/>
      <c r="F693" s="26"/>
      <c r="G693" s="26"/>
      <c r="L693" s="25"/>
      <c r="M693" s="24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6"/>
      <c r="AB693" s="26"/>
      <c r="AC693" s="27"/>
    </row>
    <row r="694" spans="1:29" x14ac:dyDescent="0.25">
      <c r="A694" s="1"/>
      <c r="B694" s="19"/>
      <c r="C694" s="24"/>
      <c r="D694" s="1"/>
      <c r="E694" s="25"/>
      <c r="F694" s="26"/>
      <c r="G694" s="26"/>
      <c r="L694" s="25"/>
      <c r="M694" s="24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6"/>
      <c r="AB694" s="26"/>
      <c r="AC694" s="27"/>
    </row>
    <row r="695" spans="1:29" x14ac:dyDescent="0.25">
      <c r="A695" s="1"/>
      <c r="B695" s="19"/>
      <c r="C695" s="24"/>
      <c r="D695" s="1"/>
      <c r="E695" s="25"/>
      <c r="F695" s="26"/>
      <c r="G695" s="26"/>
      <c r="L695" s="25"/>
      <c r="M695" s="24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6"/>
      <c r="AB695" s="26"/>
      <c r="AC695" s="27"/>
    </row>
    <row r="696" spans="1:29" x14ac:dyDescent="0.25">
      <c r="A696" s="1"/>
      <c r="B696" s="19"/>
      <c r="C696" s="24"/>
      <c r="D696" s="1"/>
      <c r="E696" s="25"/>
      <c r="F696" s="26"/>
      <c r="G696" s="26"/>
      <c r="L696" s="25"/>
      <c r="M696" s="24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6"/>
      <c r="AB696" s="26"/>
      <c r="AC696" s="27"/>
    </row>
    <row r="697" spans="1:29" x14ac:dyDescent="0.25">
      <c r="A697" s="1"/>
      <c r="B697" s="19"/>
      <c r="C697" s="24"/>
      <c r="D697" s="1"/>
      <c r="E697" s="25"/>
      <c r="F697" s="26"/>
      <c r="G697" s="26"/>
      <c r="L697" s="25"/>
      <c r="M697" s="24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6"/>
      <c r="AB697" s="26"/>
      <c r="AC697" s="27"/>
    </row>
    <row r="698" spans="1:29" x14ac:dyDescent="0.25">
      <c r="A698" s="1"/>
      <c r="B698" s="19"/>
      <c r="C698" s="24"/>
      <c r="D698" s="1"/>
      <c r="E698" s="25"/>
      <c r="F698" s="26"/>
      <c r="G698" s="26"/>
      <c r="L698" s="25"/>
      <c r="M698" s="24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6"/>
      <c r="AB698" s="26"/>
      <c r="AC698" s="27"/>
    </row>
    <row r="699" spans="1:29" x14ac:dyDescent="0.25">
      <c r="A699" s="1"/>
      <c r="B699" s="19"/>
      <c r="C699" s="24"/>
      <c r="D699" s="1"/>
      <c r="E699" s="25"/>
      <c r="F699" s="26"/>
      <c r="G699" s="26"/>
      <c r="L699" s="25"/>
      <c r="M699" s="24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6"/>
      <c r="AB699" s="26"/>
      <c r="AC699" s="27"/>
    </row>
    <row r="700" spans="1:29" x14ac:dyDescent="0.25">
      <c r="A700" s="1"/>
      <c r="B700" s="19"/>
      <c r="C700" s="24"/>
      <c r="D700" s="1"/>
      <c r="E700" s="25"/>
      <c r="F700" s="26"/>
      <c r="G700" s="26"/>
      <c r="L700" s="25"/>
      <c r="M700" s="24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6"/>
      <c r="AB700" s="26"/>
      <c r="AC700" s="27"/>
    </row>
    <row r="701" spans="1:29" x14ac:dyDescent="0.25">
      <c r="A701" s="1"/>
      <c r="B701" s="19"/>
      <c r="C701" s="24"/>
      <c r="D701" s="1"/>
      <c r="E701" s="25"/>
      <c r="F701" s="26"/>
      <c r="G701" s="26"/>
      <c r="L701" s="25"/>
      <c r="M701" s="24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6"/>
      <c r="AB701" s="26"/>
      <c r="AC701" s="27"/>
    </row>
    <row r="702" spans="1:29" x14ac:dyDescent="0.25">
      <c r="A702" s="1"/>
      <c r="B702" s="19"/>
      <c r="C702" s="24"/>
      <c r="D702" s="1"/>
      <c r="E702" s="25"/>
      <c r="F702" s="26"/>
      <c r="G702" s="26"/>
      <c r="L702" s="25"/>
      <c r="M702" s="24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6"/>
      <c r="AB702" s="26"/>
      <c r="AC702" s="27"/>
    </row>
    <row r="703" spans="1:29" x14ac:dyDescent="0.25">
      <c r="A703" s="1"/>
      <c r="B703" s="19"/>
      <c r="C703" s="24"/>
      <c r="D703" s="1"/>
      <c r="E703" s="25"/>
      <c r="F703" s="26"/>
      <c r="G703" s="26"/>
      <c r="L703" s="25"/>
      <c r="M703" s="24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6"/>
      <c r="AB703" s="26"/>
      <c r="AC703" s="27"/>
    </row>
    <row r="704" spans="1:29" x14ac:dyDescent="0.25">
      <c r="A704" s="1"/>
      <c r="B704" s="19"/>
      <c r="C704" s="24"/>
      <c r="D704" s="1"/>
      <c r="E704" s="25"/>
      <c r="F704" s="26"/>
      <c r="G704" s="26"/>
      <c r="L704" s="25"/>
      <c r="M704" s="24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6"/>
      <c r="AB704" s="26"/>
      <c r="AC704" s="27"/>
    </row>
    <row r="705" spans="1:29" x14ac:dyDescent="0.25">
      <c r="A705" s="1"/>
      <c r="B705" s="19"/>
      <c r="C705" s="24"/>
      <c r="D705" s="1"/>
      <c r="E705" s="25"/>
      <c r="F705" s="26"/>
      <c r="G705" s="26"/>
      <c r="L705" s="25"/>
      <c r="M705" s="24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6"/>
      <c r="AB705" s="26"/>
      <c r="AC705" s="27"/>
    </row>
    <row r="706" spans="1:29" x14ac:dyDescent="0.25">
      <c r="A706" s="1"/>
      <c r="B706" s="19"/>
      <c r="C706" s="24"/>
      <c r="D706" s="1"/>
      <c r="E706" s="25"/>
      <c r="F706" s="26"/>
      <c r="G706" s="26"/>
      <c r="L706" s="25"/>
      <c r="M706" s="24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6"/>
      <c r="AB706" s="26"/>
      <c r="AC706" s="27"/>
    </row>
    <row r="707" spans="1:29" x14ac:dyDescent="0.25">
      <c r="A707" s="1"/>
      <c r="B707" s="19"/>
      <c r="C707" s="24"/>
      <c r="D707" s="1"/>
      <c r="E707" s="25"/>
      <c r="F707" s="26"/>
      <c r="G707" s="26"/>
      <c r="L707" s="25"/>
      <c r="M707" s="24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6"/>
      <c r="AB707" s="26"/>
      <c r="AC707" s="27"/>
    </row>
    <row r="708" spans="1:29" x14ac:dyDescent="0.25">
      <c r="A708" s="1"/>
      <c r="B708" s="19"/>
      <c r="C708" s="24"/>
      <c r="D708" s="1"/>
      <c r="E708" s="25"/>
      <c r="F708" s="26"/>
      <c r="G708" s="26"/>
      <c r="L708" s="25"/>
      <c r="M708" s="24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6"/>
      <c r="AB708" s="26"/>
      <c r="AC708" s="27"/>
    </row>
    <row r="709" spans="1:29" x14ac:dyDescent="0.25">
      <c r="A709" s="1"/>
      <c r="B709" s="19"/>
      <c r="C709" s="24"/>
      <c r="D709" s="1"/>
      <c r="E709" s="25"/>
      <c r="F709" s="26"/>
      <c r="G709" s="26"/>
      <c r="L709" s="25"/>
      <c r="M709" s="24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6"/>
      <c r="AB709" s="26"/>
      <c r="AC709" s="27"/>
    </row>
    <row r="710" spans="1:29" x14ac:dyDescent="0.25">
      <c r="A710" s="1"/>
      <c r="B710" s="19"/>
      <c r="C710" s="24"/>
      <c r="D710" s="1"/>
      <c r="E710" s="25"/>
      <c r="F710" s="26"/>
      <c r="G710" s="26"/>
      <c r="L710" s="25"/>
      <c r="M710" s="24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6"/>
      <c r="AB710" s="26"/>
      <c r="AC710" s="27"/>
    </row>
    <row r="711" spans="1:29" x14ac:dyDescent="0.25">
      <c r="A711" s="1"/>
      <c r="B711" s="19"/>
      <c r="C711" s="24"/>
      <c r="D711" s="1"/>
      <c r="E711" s="25"/>
      <c r="F711" s="26"/>
      <c r="G711" s="26"/>
      <c r="L711" s="25"/>
      <c r="M711" s="24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6"/>
      <c r="AB711" s="26"/>
      <c r="AC711" s="27"/>
    </row>
    <row r="712" spans="1:29" x14ac:dyDescent="0.25">
      <c r="A712" s="1"/>
      <c r="B712" s="19"/>
      <c r="C712" s="24"/>
      <c r="D712" s="1"/>
      <c r="E712" s="25"/>
      <c r="F712" s="26"/>
      <c r="G712" s="26"/>
      <c r="L712" s="25"/>
      <c r="M712" s="24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6"/>
      <c r="AB712" s="26"/>
      <c r="AC712" s="27"/>
    </row>
    <row r="713" spans="1:29" x14ac:dyDescent="0.25">
      <c r="A713" s="1"/>
      <c r="B713" s="19"/>
      <c r="C713" s="24"/>
      <c r="D713" s="1"/>
      <c r="E713" s="25"/>
      <c r="F713" s="26"/>
      <c r="G713" s="26"/>
      <c r="L713" s="25"/>
      <c r="M713" s="24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6"/>
      <c r="AB713" s="26"/>
      <c r="AC713" s="27"/>
    </row>
    <row r="714" spans="1:29" x14ac:dyDescent="0.25">
      <c r="A714" s="1"/>
      <c r="B714" s="19"/>
      <c r="C714" s="24"/>
      <c r="D714" s="1"/>
      <c r="E714" s="25"/>
      <c r="F714" s="26"/>
      <c r="G714" s="26"/>
      <c r="L714" s="25"/>
      <c r="M714" s="24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6"/>
      <c r="AB714" s="26"/>
      <c r="AC714" s="27"/>
    </row>
    <row r="715" spans="1:29" x14ac:dyDescent="0.25">
      <c r="A715" s="1"/>
      <c r="B715" s="19"/>
      <c r="C715" s="24"/>
      <c r="D715" s="1"/>
      <c r="E715" s="25"/>
      <c r="F715" s="26"/>
      <c r="G715" s="26"/>
      <c r="L715" s="25"/>
      <c r="M715" s="24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6"/>
      <c r="AB715" s="26"/>
      <c r="AC715" s="27"/>
    </row>
    <row r="716" spans="1:29" x14ac:dyDescent="0.25">
      <c r="A716" s="1"/>
      <c r="B716" s="19"/>
      <c r="C716" s="24"/>
      <c r="D716" s="1"/>
      <c r="E716" s="25"/>
      <c r="F716" s="26"/>
      <c r="G716" s="26"/>
      <c r="L716" s="25"/>
      <c r="M716" s="24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6"/>
      <c r="AB716" s="26"/>
      <c r="AC716" s="27"/>
    </row>
    <row r="717" spans="1:29" x14ac:dyDescent="0.25">
      <c r="A717" s="1"/>
      <c r="B717" s="19"/>
      <c r="C717" s="24"/>
      <c r="D717" s="1"/>
      <c r="E717" s="25"/>
      <c r="F717" s="26"/>
      <c r="G717" s="26"/>
      <c r="L717" s="25"/>
      <c r="M717" s="24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6"/>
      <c r="AB717" s="26"/>
      <c r="AC717" s="27"/>
    </row>
    <row r="718" spans="1:29" x14ac:dyDescent="0.25">
      <c r="A718" s="1"/>
      <c r="B718" s="19"/>
      <c r="C718" s="24"/>
      <c r="D718" s="1"/>
      <c r="E718" s="25"/>
      <c r="F718" s="26"/>
      <c r="G718" s="26"/>
      <c r="L718" s="25"/>
      <c r="M718" s="24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7"/>
    </row>
    <row r="719" spans="1:29" x14ac:dyDescent="0.25">
      <c r="A719" s="1"/>
      <c r="B719" s="19"/>
      <c r="C719" s="24"/>
      <c r="D719" s="1"/>
      <c r="E719" s="25"/>
      <c r="F719" s="26"/>
      <c r="G719" s="26"/>
      <c r="L719" s="25"/>
      <c r="M719" s="24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6"/>
      <c r="AB719" s="26"/>
      <c r="AC719" s="27"/>
    </row>
    <row r="720" spans="1:29" x14ac:dyDescent="0.25">
      <c r="A720" s="1"/>
      <c r="B720" s="19"/>
      <c r="C720" s="24"/>
      <c r="D720" s="1"/>
      <c r="E720" s="25"/>
      <c r="F720" s="26"/>
      <c r="G720" s="26"/>
      <c r="L720" s="25"/>
      <c r="M720" s="24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6"/>
      <c r="AB720" s="26"/>
      <c r="AC720" s="27"/>
    </row>
    <row r="721" spans="1:29" x14ac:dyDescent="0.25">
      <c r="A721" s="1"/>
      <c r="B721" s="19"/>
      <c r="C721" s="24"/>
      <c r="D721" s="1"/>
      <c r="E721" s="25"/>
      <c r="F721" s="26"/>
      <c r="G721" s="26"/>
      <c r="L721" s="25"/>
      <c r="M721" s="24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6"/>
      <c r="AB721" s="26"/>
      <c r="AC721" s="27"/>
    </row>
    <row r="722" spans="1:29" x14ac:dyDescent="0.25">
      <c r="A722" s="1"/>
      <c r="B722" s="19"/>
      <c r="C722" s="24"/>
      <c r="D722" s="1"/>
      <c r="E722" s="25"/>
      <c r="F722" s="26"/>
      <c r="G722" s="26"/>
      <c r="L722" s="25"/>
      <c r="M722" s="24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6"/>
      <c r="AB722" s="26"/>
      <c r="AC722" s="27"/>
    </row>
    <row r="723" spans="1:29" x14ac:dyDescent="0.25">
      <c r="A723" s="1"/>
      <c r="B723" s="19"/>
      <c r="C723" s="24"/>
      <c r="D723" s="1"/>
      <c r="E723" s="25"/>
      <c r="F723" s="26"/>
      <c r="G723" s="26"/>
      <c r="L723" s="25"/>
      <c r="M723" s="24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6"/>
      <c r="AB723" s="26"/>
      <c r="AC723" s="27"/>
    </row>
    <row r="724" spans="1:29" x14ac:dyDescent="0.25">
      <c r="A724" s="1"/>
      <c r="B724" s="19"/>
      <c r="C724" s="24"/>
      <c r="D724" s="1"/>
      <c r="E724" s="25"/>
      <c r="F724" s="26"/>
      <c r="G724" s="26"/>
      <c r="L724" s="25"/>
      <c r="M724" s="24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6"/>
      <c r="AB724" s="26"/>
      <c r="AC724" s="27"/>
    </row>
    <row r="725" spans="1:29" x14ac:dyDescent="0.25">
      <c r="A725" s="1"/>
      <c r="B725" s="19"/>
      <c r="C725" s="24"/>
      <c r="D725" s="1"/>
      <c r="E725" s="25"/>
      <c r="F725" s="26"/>
      <c r="G725" s="26"/>
      <c r="L725" s="25"/>
      <c r="M725" s="24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6"/>
      <c r="AB725" s="26"/>
      <c r="AC725" s="27"/>
    </row>
    <row r="726" spans="1:29" x14ac:dyDescent="0.25">
      <c r="A726" s="1"/>
      <c r="B726" s="19"/>
      <c r="C726" s="24"/>
      <c r="D726" s="1"/>
      <c r="E726" s="25"/>
      <c r="F726" s="26"/>
      <c r="G726" s="26"/>
      <c r="L726" s="25"/>
      <c r="M726" s="24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6"/>
      <c r="AB726" s="26"/>
      <c r="AC726" s="27"/>
    </row>
    <row r="727" spans="1:29" x14ac:dyDescent="0.25">
      <c r="A727" s="1"/>
      <c r="B727" s="19"/>
      <c r="C727" s="24"/>
      <c r="D727" s="1"/>
      <c r="E727" s="25"/>
      <c r="F727" s="26"/>
      <c r="G727" s="26"/>
      <c r="L727" s="25"/>
      <c r="M727" s="24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6"/>
      <c r="AB727" s="26"/>
      <c r="AC727" s="27"/>
    </row>
    <row r="728" spans="1:29" x14ac:dyDescent="0.25">
      <c r="A728" s="1"/>
      <c r="B728" s="19"/>
      <c r="C728" s="24"/>
      <c r="D728" s="1"/>
      <c r="E728" s="25"/>
      <c r="F728" s="26"/>
      <c r="G728" s="26"/>
      <c r="L728" s="25"/>
      <c r="M728" s="24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6"/>
      <c r="AB728" s="26"/>
      <c r="AC728" s="27"/>
    </row>
    <row r="729" spans="1:29" x14ac:dyDescent="0.25">
      <c r="A729" s="1"/>
      <c r="B729" s="19"/>
      <c r="C729" s="24"/>
      <c r="D729" s="1"/>
      <c r="E729" s="25"/>
      <c r="F729" s="26"/>
      <c r="G729" s="26"/>
      <c r="L729" s="25"/>
      <c r="M729" s="24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6"/>
      <c r="AB729" s="26"/>
      <c r="AC729" s="27"/>
    </row>
    <row r="730" spans="1:29" x14ac:dyDescent="0.25">
      <c r="A730" s="1"/>
      <c r="B730" s="19"/>
      <c r="C730" s="24"/>
      <c r="D730" s="1"/>
      <c r="E730" s="25"/>
      <c r="F730" s="26"/>
      <c r="G730" s="26"/>
      <c r="L730" s="25"/>
      <c r="M730" s="24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6"/>
      <c r="AB730" s="26"/>
      <c r="AC730" s="27"/>
    </row>
    <row r="731" spans="1:29" x14ac:dyDescent="0.25">
      <c r="A731" s="1"/>
      <c r="B731" s="19"/>
      <c r="C731" s="24"/>
      <c r="D731" s="1"/>
      <c r="E731" s="25"/>
      <c r="F731" s="26"/>
      <c r="G731" s="26"/>
      <c r="L731" s="25"/>
      <c r="M731" s="24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6"/>
      <c r="AB731" s="26"/>
      <c r="AC731" s="27"/>
    </row>
    <row r="732" spans="1:29" x14ac:dyDescent="0.25">
      <c r="A732" s="1"/>
      <c r="B732" s="19"/>
      <c r="C732" s="24"/>
      <c r="D732" s="1"/>
      <c r="E732" s="25"/>
      <c r="F732" s="26"/>
      <c r="G732" s="26"/>
      <c r="L732" s="25"/>
      <c r="M732" s="24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6"/>
      <c r="AB732" s="26"/>
      <c r="AC732" s="27"/>
    </row>
    <row r="733" spans="1:29" x14ac:dyDescent="0.25">
      <c r="A733" s="1"/>
      <c r="B733" s="19"/>
      <c r="C733" s="24"/>
      <c r="D733" s="1"/>
      <c r="E733" s="25"/>
      <c r="F733" s="26"/>
      <c r="G733" s="26"/>
      <c r="L733" s="25"/>
      <c r="M733" s="24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6"/>
      <c r="AB733" s="26"/>
      <c r="AC733" s="27"/>
    </row>
    <row r="734" spans="1:29" x14ac:dyDescent="0.25">
      <c r="A734" s="1"/>
      <c r="B734" s="19"/>
      <c r="C734" s="24"/>
      <c r="D734" s="1"/>
      <c r="E734" s="25"/>
      <c r="F734" s="26"/>
      <c r="G734" s="26"/>
      <c r="L734" s="25"/>
      <c r="M734" s="24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6"/>
      <c r="AB734" s="26"/>
      <c r="AC734" s="27"/>
    </row>
    <row r="735" spans="1:29" x14ac:dyDescent="0.25">
      <c r="A735" s="1"/>
      <c r="B735" s="19"/>
      <c r="C735" s="24"/>
      <c r="D735" s="1"/>
      <c r="E735" s="25"/>
      <c r="F735" s="26"/>
      <c r="G735" s="26"/>
      <c r="L735" s="25"/>
      <c r="M735" s="24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6"/>
      <c r="AB735" s="26"/>
      <c r="AC735" s="27"/>
    </row>
    <row r="736" spans="1:29" x14ac:dyDescent="0.25">
      <c r="A736" s="1"/>
      <c r="B736" s="19"/>
      <c r="C736" s="24"/>
      <c r="D736" s="1"/>
      <c r="E736" s="25"/>
      <c r="F736" s="26"/>
      <c r="G736" s="26"/>
      <c r="L736" s="25"/>
      <c r="M736" s="24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6"/>
      <c r="AB736" s="26"/>
      <c r="AC736" s="27"/>
    </row>
    <row r="737" spans="1:29" x14ac:dyDescent="0.25">
      <c r="A737" s="1"/>
      <c r="B737" s="19"/>
      <c r="C737" s="24"/>
      <c r="D737" s="1"/>
      <c r="E737" s="25"/>
      <c r="F737" s="26"/>
      <c r="G737" s="26"/>
      <c r="L737" s="25"/>
      <c r="M737" s="24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6"/>
      <c r="AB737" s="26"/>
      <c r="AC737" s="27"/>
    </row>
    <row r="738" spans="1:29" x14ac:dyDescent="0.25">
      <c r="A738" s="1"/>
      <c r="B738" s="19"/>
      <c r="C738" s="24"/>
      <c r="D738" s="1"/>
      <c r="E738" s="25"/>
      <c r="F738" s="26"/>
      <c r="G738" s="26"/>
      <c r="L738" s="25"/>
      <c r="M738" s="24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6"/>
      <c r="AB738" s="26"/>
      <c r="AC738" s="27"/>
    </row>
    <row r="739" spans="1:29" x14ac:dyDescent="0.25">
      <c r="A739" s="1"/>
      <c r="B739" s="19"/>
      <c r="C739" s="24"/>
      <c r="D739" s="1"/>
      <c r="E739" s="25"/>
      <c r="F739" s="26"/>
      <c r="G739" s="26"/>
      <c r="L739" s="25"/>
      <c r="M739" s="24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6"/>
      <c r="AB739" s="26"/>
      <c r="AC739" s="27"/>
    </row>
    <row r="740" spans="1:29" x14ac:dyDescent="0.25">
      <c r="A740" s="1"/>
      <c r="B740" s="19"/>
      <c r="C740" s="24"/>
      <c r="D740" s="1"/>
      <c r="E740" s="25"/>
      <c r="F740" s="26"/>
      <c r="G740" s="26"/>
      <c r="L740" s="25"/>
      <c r="M740" s="24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6"/>
      <c r="AB740" s="26"/>
      <c r="AC740" s="27"/>
    </row>
    <row r="741" spans="1:29" x14ac:dyDescent="0.25">
      <c r="A741" s="1"/>
      <c r="B741" s="19"/>
      <c r="C741" s="24"/>
      <c r="D741" s="1"/>
      <c r="E741" s="25"/>
      <c r="F741" s="26"/>
      <c r="G741" s="26"/>
      <c r="L741" s="25"/>
      <c r="M741" s="24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6"/>
      <c r="AB741" s="26"/>
      <c r="AC741" s="27"/>
    </row>
    <row r="742" spans="1:29" x14ac:dyDescent="0.25">
      <c r="A742" s="1"/>
      <c r="B742" s="19"/>
      <c r="C742" s="24"/>
      <c r="D742" s="1"/>
      <c r="E742" s="25"/>
      <c r="F742" s="26"/>
      <c r="G742" s="26"/>
      <c r="L742" s="25"/>
      <c r="M742" s="24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6"/>
      <c r="AB742" s="26"/>
      <c r="AC742" s="27"/>
    </row>
    <row r="743" spans="1:29" x14ac:dyDescent="0.25">
      <c r="A743" s="1"/>
      <c r="B743" s="19"/>
      <c r="C743" s="24"/>
      <c r="D743" s="1"/>
      <c r="E743" s="25"/>
      <c r="F743" s="26"/>
      <c r="G743" s="26"/>
      <c r="L743" s="25"/>
      <c r="M743" s="24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6"/>
      <c r="AB743" s="26"/>
      <c r="AC743" s="27"/>
    </row>
    <row r="744" spans="1:29" x14ac:dyDescent="0.25">
      <c r="A744" s="1"/>
      <c r="B744" s="19"/>
      <c r="C744" s="24"/>
      <c r="D744" s="1"/>
      <c r="E744" s="25"/>
      <c r="F744" s="26"/>
      <c r="G744" s="26"/>
      <c r="L744" s="25"/>
      <c r="M744" s="24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6"/>
      <c r="AB744" s="26"/>
      <c r="AC744" s="27"/>
    </row>
    <row r="745" spans="1:29" x14ac:dyDescent="0.25">
      <c r="A745" s="1"/>
      <c r="B745" s="19"/>
      <c r="C745" s="24"/>
      <c r="D745" s="1"/>
      <c r="E745" s="25"/>
      <c r="F745" s="26"/>
      <c r="G745" s="26"/>
      <c r="L745" s="25"/>
      <c r="M745" s="24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6"/>
      <c r="AB745" s="26"/>
      <c r="AC745" s="27"/>
    </row>
    <row r="746" spans="1:29" x14ac:dyDescent="0.25">
      <c r="A746" s="1"/>
      <c r="B746" s="19"/>
      <c r="C746" s="24"/>
      <c r="D746" s="1"/>
      <c r="E746" s="25"/>
      <c r="F746" s="26"/>
      <c r="G746" s="26"/>
      <c r="L746" s="25"/>
      <c r="M746" s="24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6"/>
      <c r="AB746" s="26"/>
      <c r="AC746" s="27"/>
    </row>
    <row r="747" spans="1:29" x14ac:dyDescent="0.25">
      <c r="A747" s="1"/>
      <c r="B747" s="19"/>
      <c r="C747" s="24"/>
      <c r="D747" s="1"/>
      <c r="E747" s="25"/>
      <c r="F747" s="26"/>
      <c r="G747" s="26"/>
      <c r="L747" s="25"/>
      <c r="M747" s="24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6"/>
      <c r="AB747" s="26"/>
      <c r="AC747" s="27"/>
    </row>
    <row r="748" spans="1:29" x14ac:dyDescent="0.25">
      <c r="A748" s="1"/>
      <c r="B748" s="19"/>
      <c r="C748" s="24"/>
      <c r="D748" s="1"/>
      <c r="E748" s="25"/>
      <c r="F748" s="26"/>
      <c r="G748" s="26"/>
      <c r="L748" s="25"/>
      <c r="M748" s="24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6"/>
      <c r="AB748" s="26"/>
      <c r="AC748" s="27"/>
    </row>
    <row r="749" spans="1:29" x14ac:dyDescent="0.25">
      <c r="A749" s="1"/>
      <c r="B749" s="19"/>
      <c r="C749" s="24"/>
      <c r="D749" s="1"/>
      <c r="E749" s="25"/>
      <c r="F749" s="26"/>
      <c r="G749" s="26"/>
      <c r="L749" s="25"/>
      <c r="M749" s="24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6"/>
      <c r="AB749" s="26"/>
      <c r="AC749" s="27"/>
    </row>
    <row r="750" spans="1:29" x14ac:dyDescent="0.25">
      <c r="A750" s="1"/>
      <c r="B750" s="19"/>
      <c r="C750" s="24"/>
      <c r="D750" s="1"/>
      <c r="E750" s="25"/>
      <c r="F750" s="26"/>
      <c r="G750" s="26"/>
      <c r="L750" s="25"/>
      <c r="M750" s="24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6"/>
      <c r="AB750" s="26"/>
      <c r="AC750" s="27"/>
    </row>
    <row r="751" spans="1:29" x14ac:dyDescent="0.25">
      <c r="A751" s="1"/>
      <c r="B751" s="19"/>
      <c r="C751" s="24"/>
      <c r="D751" s="1"/>
      <c r="E751" s="25"/>
      <c r="F751" s="26"/>
      <c r="G751" s="26"/>
      <c r="L751" s="25"/>
      <c r="M751" s="24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6"/>
      <c r="AB751" s="26"/>
      <c r="AC751" s="27"/>
    </row>
    <row r="752" spans="1:29" x14ac:dyDescent="0.25">
      <c r="A752" s="1"/>
      <c r="B752" s="19"/>
      <c r="C752" s="24"/>
      <c r="D752" s="1"/>
      <c r="E752" s="25"/>
      <c r="F752" s="26"/>
      <c r="G752" s="26"/>
      <c r="L752" s="25"/>
      <c r="M752" s="24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6"/>
      <c r="AB752" s="26"/>
      <c r="AC752" s="27"/>
    </row>
    <row r="753" spans="1:29" x14ac:dyDescent="0.25">
      <c r="A753" s="1"/>
      <c r="B753" s="19"/>
      <c r="C753" s="24"/>
      <c r="D753" s="1"/>
      <c r="E753" s="25"/>
      <c r="F753" s="26"/>
      <c r="G753" s="26"/>
      <c r="L753" s="25"/>
      <c r="M753" s="24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6"/>
      <c r="AB753" s="26"/>
      <c r="AC753" s="27"/>
    </row>
    <row r="754" spans="1:29" x14ac:dyDescent="0.25">
      <c r="A754" s="1"/>
      <c r="B754" s="19"/>
      <c r="C754" s="24"/>
      <c r="D754" s="1"/>
      <c r="E754" s="25"/>
      <c r="F754" s="26"/>
      <c r="G754" s="26"/>
      <c r="L754" s="25"/>
      <c r="M754" s="24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6"/>
      <c r="AB754" s="26"/>
      <c r="AC754" s="27"/>
    </row>
    <row r="755" spans="1:29" x14ac:dyDescent="0.25">
      <c r="A755" s="1"/>
      <c r="B755" s="19"/>
      <c r="C755" s="24"/>
      <c r="D755" s="1"/>
      <c r="E755" s="25"/>
      <c r="F755" s="26"/>
      <c r="G755" s="26"/>
      <c r="L755" s="25"/>
      <c r="M755" s="24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6"/>
      <c r="AB755" s="26"/>
      <c r="AC755" s="27"/>
    </row>
    <row r="756" spans="1:29" x14ac:dyDescent="0.25">
      <c r="A756" s="1"/>
      <c r="B756" s="19"/>
      <c r="C756" s="24"/>
      <c r="D756" s="1"/>
      <c r="E756" s="25"/>
      <c r="F756" s="26"/>
      <c r="G756" s="26"/>
      <c r="L756" s="25"/>
      <c r="M756" s="24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6"/>
      <c r="AB756" s="26"/>
      <c r="AC756" s="27"/>
    </row>
    <row r="757" spans="1:29" x14ac:dyDescent="0.25">
      <c r="A757" s="1"/>
      <c r="B757" s="19"/>
      <c r="C757" s="24"/>
      <c r="D757" s="1"/>
      <c r="E757" s="25"/>
      <c r="F757" s="26"/>
      <c r="G757" s="26"/>
      <c r="L757" s="25"/>
      <c r="M757" s="24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6"/>
      <c r="AB757" s="26"/>
      <c r="AC757" s="27"/>
    </row>
    <row r="758" spans="1:29" x14ac:dyDescent="0.25">
      <c r="A758" s="1"/>
      <c r="B758" s="19"/>
      <c r="C758" s="24"/>
      <c r="D758" s="1"/>
      <c r="E758" s="25"/>
      <c r="F758" s="26"/>
      <c r="G758" s="26"/>
      <c r="L758" s="25"/>
      <c r="M758" s="24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6"/>
      <c r="AB758" s="26"/>
      <c r="AC758" s="27"/>
    </row>
    <row r="759" spans="1:29" x14ac:dyDescent="0.25">
      <c r="A759" s="1"/>
      <c r="B759" s="19"/>
      <c r="C759" s="24"/>
      <c r="D759" s="1"/>
      <c r="E759" s="25"/>
      <c r="F759" s="26"/>
      <c r="G759" s="26"/>
      <c r="L759" s="25"/>
      <c r="M759" s="24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6"/>
      <c r="AB759" s="26"/>
      <c r="AC759" s="27"/>
    </row>
    <row r="760" spans="1:29" x14ac:dyDescent="0.25">
      <c r="A760" s="1"/>
      <c r="B760" s="19"/>
      <c r="C760" s="24"/>
      <c r="D760" s="1"/>
      <c r="E760" s="25"/>
      <c r="F760" s="26"/>
      <c r="G760" s="26"/>
      <c r="L760" s="25"/>
      <c r="M760" s="24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6"/>
      <c r="AB760" s="26"/>
      <c r="AC760" s="27"/>
    </row>
    <row r="761" spans="1:29" x14ac:dyDescent="0.25">
      <c r="A761" s="1"/>
      <c r="B761" s="19"/>
      <c r="C761" s="24"/>
      <c r="D761" s="1"/>
      <c r="E761" s="25"/>
      <c r="F761" s="26"/>
      <c r="G761" s="26"/>
      <c r="L761" s="25"/>
      <c r="M761" s="24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6"/>
      <c r="AB761" s="26"/>
      <c r="AC761" s="27"/>
    </row>
    <row r="762" spans="1:29" x14ac:dyDescent="0.25">
      <c r="A762" s="1"/>
      <c r="B762" s="19"/>
      <c r="C762" s="24"/>
      <c r="D762" s="1"/>
      <c r="E762" s="25"/>
      <c r="F762" s="26"/>
      <c r="G762" s="26"/>
      <c r="L762" s="25"/>
      <c r="M762" s="24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6"/>
      <c r="AB762" s="26"/>
      <c r="AC762" s="27"/>
    </row>
    <row r="763" spans="1:29" x14ac:dyDescent="0.25">
      <c r="A763" s="1"/>
      <c r="B763" s="19"/>
      <c r="C763" s="24"/>
      <c r="D763" s="1"/>
      <c r="E763" s="25"/>
      <c r="F763" s="26"/>
      <c r="G763" s="26"/>
      <c r="L763" s="25"/>
      <c r="M763" s="24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6"/>
      <c r="AB763" s="26"/>
      <c r="AC763" s="27"/>
    </row>
    <row r="764" spans="1:29" x14ac:dyDescent="0.25">
      <c r="A764" s="1"/>
      <c r="B764" s="19"/>
      <c r="C764" s="24"/>
      <c r="D764" s="1"/>
      <c r="E764" s="25"/>
      <c r="F764" s="26"/>
      <c r="G764" s="26"/>
      <c r="L764" s="25"/>
      <c r="M764" s="24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6"/>
      <c r="AB764" s="26"/>
      <c r="AC764" s="27"/>
    </row>
    <row r="765" spans="1:29" x14ac:dyDescent="0.25">
      <c r="A765" s="1"/>
      <c r="B765" s="19"/>
      <c r="C765" s="24"/>
      <c r="D765" s="1"/>
      <c r="E765" s="25"/>
      <c r="F765" s="26"/>
      <c r="G765" s="26"/>
      <c r="L765" s="25"/>
      <c r="M765" s="24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6"/>
      <c r="AB765" s="26"/>
      <c r="AC765" s="27"/>
    </row>
    <row r="766" spans="1:29" x14ac:dyDescent="0.25">
      <c r="A766" s="1"/>
      <c r="B766" s="19"/>
      <c r="C766" s="24"/>
      <c r="D766" s="1"/>
      <c r="E766" s="25"/>
      <c r="F766" s="26"/>
      <c r="G766" s="26"/>
      <c r="L766" s="25"/>
      <c r="M766" s="24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6"/>
      <c r="AB766" s="26"/>
      <c r="AC766" s="27"/>
    </row>
    <row r="767" spans="1:29" x14ac:dyDescent="0.25">
      <c r="A767" s="1"/>
      <c r="B767" s="19"/>
      <c r="C767" s="24"/>
      <c r="D767" s="1"/>
      <c r="E767" s="25"/>
      <c r="F767" s="26"/>
      <c r="G767" s="26"/>
      <c r="L767" s="25"/>
      <c r="M767" s="24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6"/>
      <c r="AB767" s="26"/>
      <c r="AC767" s="27"/>
    </row>
    <row r="768" spans="1:29" x14ac:dyDescent="0.25">
      <c r="A768" s="1"/>
      <c r="B768" s="19"/>
      <c r="C768" s="24"/>
      <c r="D768" s="1"/>
      <c r="E768" s="25"/>
      <c r="F768" s="26"/>
      <c r="G768" s="26"/>
      <c r="L768" s="25"/>
      <c r="M768" s="24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6"/>
      <c r="AB768" s="26"/>
      <c r="AC768" s="27"/>
    </row>
    <row r="769" spans="1:29" x14ac:dyDescent="0.25">
      <c r="A769" s="1"/>
      <c r="B769" s="19"/>
      <c r="C769" s="24"/>
      <c r="D769" s="1"/>
      <c r="E769" s="25"/>
      <c r="F769" s="26"/>
      <c r="G769" s="26"/>
      <c r="L769" s="25"/>
      <c r="M769" s="24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6"/>
      <c r="AB769" s="26"/>
      <c r="AC769" s="27"/>
    </row>
    <row r="770" spans="1:29" x14ac:dyDescent="0.25">
      <c r="A770" s="1"/>
      <c r="B770" s="19"/>
      <c r="C770" s="24"/>
      <c r="D770" s="1"/>
      <c r="E770" s="25"/>
      <c r="F770" s="26"/>
      <c r="G770" s="26"/>
      <c r="L770" s="25"/>
      <c r="M770" s="24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6"/>
      <c r="AB770" s="26"/>
      <c r="AC770" s="27"/>
    </row>
    <row r="771" spans="1:29" x14ac:dyDescent="0.25">
      <c r="A771" s="1"/>
      <c r="B771" s="19"/>
      <c r="C771" s="24"/>
      <c r="D771" s="1"/>
      <c r="E771" s="25"/>
      <c r="F771" s="26"/>
      <c r="G771" s="26"/>
      <c r="L771" s="25"/>
      <c r="M771" s="24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6"/>
      <c r="AB771" s="26"/>
      <c r="AC771" s="27"/>
    </row>
    <row r="772" spans="1:29" x14ac:dyDescent="0.25">
      <c r="A772" s="1"/>
      <c r="B772" s="19"/>
      <c r="C772" s="24"/>
      <c r="D772" s="1"/>
      <c r="E772" s="25"/>
      <c r="F772" s="26"/>
      <c r="G772" s="26"/>
      <c r="L772" s="25"/>
      <c r="M772" s="24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6"/>
      <c r="AB772" s="26"/>
      <c r="AC772" s="27"/>
    </row>
    <row r="773" spans="1:29" x14ac:dyDescent="0.25">
      <c r="A773" s="1"/>
      <c r="B773" s="19"/>
      <c r="C773" s="24"/>
      <c r="D773" s="1"/>
      <c r="E773" s="25"/>
      <c r="F773" s="26"/>
      <c r="G773" s="26"/>
      <c r="L773" s="25"/>
      <c r="M773" s="24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6"/>
      <c r="AB773" s="26"/>
      <c r="AC773" s="27"/>
    </row>
    <row r="774" spans="1:29" x14ac:dyDescent="0.25">
      <c r="A774" s="1"/>
      <c r="B774" s="19"/>
      <c r="C774" s="24"/>
      <c r="D774" s="1"/>
      <c r="E774" s="25"/>
      <c r="F774" s="26"/>
      <c r="G774" s="26"/>
      <c r="L774" s="25"/>
      <c r="M774" s="24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6"/>
      <c r="AB774" s="26"/>
      <c r="AC774" s="27"/>
    </row>
    <row r="775" spans="1:29" x14ac:dyDescent="0.25">
      <c r="A775" s="1"/>
      <c r="B775" s="19"/>
      <c r="C775" s="24"/>
      <c r="D775" s="1"/>
      <c r="E775" s="25"/>
      <c r="F775" s="26"/>
      <c r="G775" s="26"/>
      <c r="L775" s="25"/>
      <c r="M775" s="24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6"/>
      <c r="AB775" s="26"/>
      <c r="AC775" s="27"/>
    </row>
    <row r="776" spans="1:29" x14ac:dyDescent="0.25">
      <c r="A776" s="1"/>
      <c r="B776" s="19"/>
      <c r="C776" s="24"/>
      <c r="D776" s="1"/>
      <c r="E776" s="25"/>
      <c r="F776" s="26"/>
      <c r="G776" s="26"/>
      <c r="L776" s="25"/>
      <c r="M776" s="24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6"/>
      <c r="AB776" s="26"/>
      <c r="AC776" s="27"/>
    </row>
    <row r="777" spans="1:29" x14ac:dyDescent="0.25">
      <c r="A777" s="1"/>
      <c r="B777" s="19"/>
      <c r="C777" s="24"/>
      <c r="D777" s="1"/>
      <c r="E777" s="25"/>
      <c r="F777" s="26"/>
      <c r="G777" s="26"/>
      <c r="L777" s="25"/>
      <c r="M777" s="24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6"/>
      <c r="AB777" s="26"/>
      <c r="AC777" s="27"/>
    </row>
    <row r="778" spans="1:29" x14ac:dyDescent="0.25">
      <c r="A778" s="1"/>
      <c r="B778" s="19"/>
      <c r="C778" s="24"/>
      <c r="D778" s="1"/>
      <c r="E778" s="25"/>
      <c r="F778" s="26"/>
      <c r="G778" s="26"/>
      <c r="L778" s="25"/>
      <c r="M778" s="24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6"/>
      <c r="AB778" s="26"/>
      <c r="AC778" s="27"/>
    </row>
    <row r="779" spans="1:29" x14ac:dyDescent="0.25">
      <c r="A779" s="1"/>
      <c r="B779" s="19"/>
      <c r="C779" s="24"/>
      <c r="D779" s="1"/>
      <c r="E779" s="25"/>
      <c r="F779" s="26"/>
      <c r="G779" s="26"/>
      <c r="L779" s="25"/>
      <c r="M779" s="24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6"/>
      <c r="AB779" s="26"/>
      <c r="AC779" s="27"/>
    </row>
    <row r="780" spans="1:29" x14ac:dyDescent="0.25">
      <c r="A780" s="1"/>
      <c r="B780" s="19"/>
      <c r="C780" s="24"/>
      <c r="D780" s="1"/>
      <c r="E780" s="25"/>
      <c r="F780" s="26"/>
      <c r="G780" s="26"/>
      <c r="L780" s="25"/>
      <c r="M780" s="24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6"/>
      <c r="AB780" s="26"/>
      <c r="AC780" s="27"/>
    </row>
    <row r="781" spans="1:29" x14ac:dyDescent="0.25">
      <c r="A781" s="1"/>
      <c r="B781" s="19"/>
      <c r="C781" s="24"/>
      <c r="D781" s="1"/>
      <c r="E781" s="25"/>
      <c r="F781" s="26"/>
      <c r="G781" s="26"/>
      <c r="L781" s="25"/>
      <c r="M781" s="24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6"/>
      <c r="AB781" s="26"/>
      <c r="AC781" s="27"/>
    </row>
    <row r="782" spans="1:29" x14ac:dyDescent="0.25">
      <c r="A782" s="1"/>
      <c r="B782" s="19"/>
      <c r="C782" s="24"/>
      <c r="D782" s="1"/>
      <c r="E782" s="25"/>
      <c r="F782" s="26"/>
      <c r="G782" s="26"/>
      <c r="L782" s="25"/>
      <c r="M782" s="24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6"/>
      <c r="AB782" s="26"/>
      <c r="AC782" s="27"/>
    </row>
    <row r="783" spans="1:29" x14ac:dyDescent="0.25">
      <c r="A783" s="1"/>
      <c r="B783" s="19"/>
      <c r="C783" s="24"/>
      <c r="D783" s="1"/>
      <c r="E783" s="25"/>
      <c r="F783" s="26"/>
      <c r="G783" s="26"/>
      <c r="L783" s="25"/>
      <c r="M783" s="24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6"/>
      <c r="AB783" s="26"/>
      <c r="AC783" s="27"/>
    </row>
    <row r="784" spans="1:29" x14ac:dyDescent="0.25">
      <c r="A784" s="1"/>
      <c r="B784" s="19"/>
      <c r="C784" s="24"/>
      <c r="D784" s="1"/>
      <c r="E784" s="25"/>
      <c r="F784" s="26"/>
      <c r="G784" s="26"/>
      <c r="L784" s="25"/>
      <c r="M784" s="24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6"/>
      <c r="AB784" s="26"/>
      <c r="AC784" s="27"/>
    </row>
    <row r="785" spans="1:29" x14ac:dyDescent="0.25">
      <c r="A785" s="1"/>
      <c r="B785" s="19"/>
      <c r="C785" s="24"/>
      <c r="D785" s="1"/>
      <c r="E785" s="25"/>
      <c r="F785" s="26"/>
      <c r="G785" s="26"/>
      <c r="L785" s="25"/>
      <c r="M785" s="24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6"/>
      <c r="AB785" s="26"/>
      <c r="AC785" s="27"/>
    </row>
    <row r="786" spans="1:29" x14ac:dyDescent="0.25">
      <c r="A786" s="1"/>
      <c r="B786" s="19"/>
      <c r="C786" s="24"/>
      <c r="D786" s="1"/>
      <c r="E786" s="25"/>
      <c r="F786" s="26"/>
      <c r="G786" s="26"/>
      <c r="L786" s="25"/>
      <c r="M786" s="24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6"/>
      <c r="AB786" s="26"/>
      <c r="AC786" s="27"/>
    </row>
    <row r="787" spans="1:29" x14ac:dyDescent="0.25">
      <c r="A787" s="1"/>
      <c r="B787" s="19"/>
      <c r="C787" s="24"/>
      <c r="D787" s="1"/>
      <c r="E787" s="25"/>
      <c r="F787" s="26"/>
      <c r="G787" s="26"/>
      <c r="L787" s="25"/>
      <c r="M787" s="24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6"/>
      <c r="AB787" s="26"/>
      <c r="AC787" s="27"/>
    </row>
    <row r="788" spans="1:29" x14ac:dyDescent="0.25">
      <c r="A788" s="1"/>
      <c r="B788" s="19"/>
      <c r="C788" s="24"/>
      <c r="D788" s="1"/>
      <c r="E788" s="25"/>
      <c r="F788" s="26"/>
      <c r="G788" s="26"/>
      <c r="L788" s="25"/>
      <c r="M788" s="24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6"/>
      <c r="AB788" s="26"/>
      <c r="AC788" s="27"/>
    </row>
    <row r="789" spans="1:29" x14ac:dyDescent="0.25">
      <c r="A789" s="1"/>
      <c r="B789" s="19"/>
      <c r="C789" s="24"/>
      <c r="D789" s="1"/>
      <c r="E789" s="25"/>
      <c r="F789" s="26"/>
      <c r="G789" s="26"/>
      <c r="L789" s="25"/>
      <c r="M789" s="24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6"/>
      <c r="AB789" s="26"/>
      <c r="AC789" s="27"/>
    </row>
    <row r="790" spans="1:29" x14ac:dyDescent="0.25">
      <c r="A790" s="1"/>
      <c r="B790" s="19"/>
      <c r="C790" s="24"/>
      <c r="D790" s="1"/>
      <c r="E790" s="25"/>
      <c r="F790" s="26"/>
      <c r="G790" s="26"/>
      <c r="L790" s="25"/>
      <c r="M790" s="24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6"/>
      <c r="AB790" s="26"/>
      <c r="AC790" s="27"/>
    </row>
    <row r="791" spans="1:29" x14ac:dyDescent="0.25">
      <c r="A791" s="1"/>
      <c r="B791" s="19"/>
      <c r="C791" s="24"/>
      <c r="D791" s="1"/>
      <c r="E791" s="25"/>
      <c r="F791" s="26"/>
      <c r="G791" s="26"/>
      <c r="L791" s="25"/>
      <c r="M791" s="24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6"/>
      <c r="AB791" s="26"/>
      <c r="AC791" s="27"/>
    </row>
    <row r="792" spans="1:29" x14ac:dyDescent="0.25">
      <c r="A792" s="1"/>
      <c r="B792" s="19"/>
      <c r="C792" s="24"/>
      <c r="D792" s="1"/>
      <c r="E792" s="25"/>
      <c r="F792" s="26"/>
      <c r="G792" s="26"/>
      <c r="L792" s="25"/>
      <c r="M792" s="24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6"/>
      <c r="AB792" s="26"/>
      <c r="AC792" s="27"/>
    </row>
    <row r="793" spans="1:29" x14ac:dyDescent="0.25">
      <c r="A793" s="1"/>
      <c r="B793" s="19"/>
      <c r="C793" s="24"/>
      <c r="D793" s="1"/>
      <c r="E793" s="25"/>
      <c r="F793" s="26"/>
      <c r="G793" s="26"/>
      <c r="L793" s="25"/>
      <c r="M793" s="24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6"/>
      <c r="AB793" s="26"/>
      <c r="AC793" s="27"/>
    </row>
    <row r="794" spans="1:29" x14ac:dyDescent="0.25">
      <c r="A794" s="1"/>
      <c r="B794" s="19"/>
      <c r="C794" s="24"/>
      <c r="D794" s="1"/>
      <c r="E794" s="25"/>
      <c r="F794" s="26"/>
      <c r="G794" s="26"/>
      <c r="L794" s="25"/>
      <c r="M794" s="24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6"/>
      <c r="AB794" s="26"/>
      <c r="AC794" s="27"/>
    </row>
    <row r="795" spans="1:29" x14ac:dyDescent="0.25">
      <c r="A795" s="1"/>
      <c r="B795" s="19"/>
      <c r="C795" s="24"/>
      <c r="D795" s="1"/>
      <c r="E795" s="25"/>
      <c r="F795" s="26"/>
      <c r="G795" s="26"/>
      <c r="L795" s="25"/>
      <c r="M795" s="24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6"/>
      <c r="AB795" s="26"/>
      <c r="AC795" s="27"/>
    </row>
    <row r="796" spans="1:29" x14ac:dyDescent="0.25">
      <c r="A796" s="1"/>
      <c r="B796" s="19"/>
      <c r="C796" s="24"/>
      <c r="D796" s="1"/>
      <c r="E796" s="25"/>
      <c r="F796" s="26"/>
      <c r="G796" s="26"/>
      <c r="L796" s="25"/>
      <c r="M796" s="24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6"/>
      <c r="AB796" s="26"/>
      <c r="AC796" s="27"/>
    </row>
    <row r="797" spans="1:29" x14ac:dyDescent="0.25">
      <c r="A797" s="1"/>
      <c r="B797" s="19"/>
      <c r="C797" s="24"/>
      <c r="D797" s="1"/>
      <c r="E797" s="25"/>
      <c r="F797" s="26"/>
      <c r="G797" s="26"/>
      <c r="L797" s="25"/>
      <c r="M797" s="24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6"/>
      <c r="AB797" s="26"/>
      <c r="AC797" s="27"/>
    </row>
    <row r="798" spans="1:29" x14ac:dyDescent="0.25">
      <c r="A798" s="1"/>
      <c r="B798" s="19"/>
      <c r="C798" s="24"/>
      <c r="D798" s="1"/>
      <c r="E798" s="25"/>
      <c r="F798" s="26"/>
      <c r="G798" s="26"/>
      <c r="L798" s="25"/>
      <c r="M798" s="24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6"/>
      <c r="AB798" s="26"/>
      <c r="AC798" s="27"/>
    </row>
    <row r="799" spans="1:29" x14ac:dyDescent="0.25">
      <c r="A799" s="1"/>
      <c r="B799" s="19"/>
      <c r="C799" s="24"/>
      <c r="D799" s="1"/>
      <c r="E799" s="25"/>
      <c r="F799" s="26"/>
      <c r="G799" s="26"/>
      <c r="L799" s="25"/>
      <c r="M799" s="24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6"/>
      <c r="AB799" s="26"/>
      <c r="AC799" s="27"/>
    </row>
    <row r="800" spans="1:29" x14ac:dyDescent="0.25">
      <c r="A800" s="1"/>
      <c r="B800" s="19"/>
      <c r="C800" s="24"/>
      <c r="D800" s="1"/>
      <c r="E800" s="25"/>
      <c r="F800" s="26"/>
      <c r="G800" s="26"/>
      <c r="L800" s="25"/>
      <c r="M800" s="24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6"/>
      <c r="AB800" s="26"/>
      <c r="AC800" s="27"/>
    </row>
    <row r="801" spans="1:29" x14ac:dyDescent="0.25">
      <c r="A801" s="1"/>
      <c r="B801" s="19"/>
      <c r="C801" s="24"/>
      <c r="D801" s="1"/>
      <c r="E801" s="25"/>
      <c r="F801" s="26"/>
      <c r="G801" s="26"/>
      <c r="L801" s="25"/>
      <c r="M801" s="24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6"/>
      <c r="AB801" s="26"/>
      <c r="AC801" s="27"/>
    </row>
    <row r="802" spans="1:29" x14ac:dyDescent="0.25">
      <c r="A802" s="1"/>
      <c r="B802" s="19"/>
      <c r="C802" s="24"/>
      <c r="D802" s="1"/>
      <c r="E802" s="25"/>
      <c r="F802" s="26"/>
      <c r="G802" s="26"/>
      <c r="L802" s="25"/>
      <c r="M802" s="24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6"/>
      <c r="AB802" s="26"/>
      <c r="AC802" s="27"/>
    </row>
    <row r="803" spans="1:29" x14ac:dyDescent="0.25">
      <c r="A803" s="1"/>
      <c r="B803" s="19"/>
      <c r="C803" s="24"/>
      <c r="D803" s="1"/>
      <c r="E803" s="25"/>
      <c r="F803" s="26"/>
      <c r="G803" s="26"/>
      <c r="L803" s="25"/>
      <c r="M803" s="24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6"/>
      <c r="AB803" s="26"/>
      <c r="AC803" s="27"/>
    </row>
    <row r="804" spans="1:29" x14ac:dyDescent="0.25">
      <c r="A804" s="1"/>
      <c r="B804" s="19"/>
      <c r="C804" s="24"/>
      <c r="D804" s="1"/>
      <c r="E804" s="25"/>
      <c r="F804" s="26"/>
      <c r="G804" s="26"/>
      <c r="L804" s="25"/>
      <c r="M804" s="24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6"/>
      <c r="AB804" s="26"/>
      <c r="AC804" s="27"/>
    </row>
    <row r="805" spans="1:29" x14ac:dyDescent="0.25">
      <c r="A805" s="1"/>
      <c r="B805" s="19"/>
      <c r="C805" s="24"/>
      <c r="D805" s="1"/>
      <c r="E805" s="25"/>
      <c r="F805" s="26"/>
      <c r="G805" s="26"/>
      <c r="L805" s="25"/>
      <c r="M805" s="24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6"/>
      <c r="AB805" s="26"/>
      <c r="AC805" s="27"/>
    </row>
    <row r="806" spans="1:29" x14ac:dyDescent="0.25">
      <c r="A806" s="1"/>
      <c r="B806" s="19"/>
      <c r="C806" s="24"/>
      <c r="D806" s="1"/>
      <c r="E806" s="25"/>
      <c r="F806" s="26"/>
      <c r="G806" s="26"/>
      <c r="L806" s="25"/>
      <c r="M806" s="24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6"/>
      <c r="AB806" s="26"/>
      <c r="AC806" s="27"/>
    </row>
    <row r="807" spans="1:29" x14ac:dyDescent="0.25">
      <c r="A807" s="1"/>
      <c r="B807" s="19"/>
      <c r="C807" s="24"/>
      <c r="D807" s="1"/>
      <c r="E807" s="25"/>
      <c r="F807" s="26"/>
      <c r="G807" s="26"/>
      <c r="L807" s="25"/>
      <c r="M807" s="24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6"/>
      <c r="AB807" s="26"/>
      <c r="AC807" s="27"/>
    </row>
    <row r="808" spans="1:29" x14ac:dyDescent="0.25">
      <c r="A808" s="1"/>
      <c r="B808" s="19"/>
      <c r="C808" s="24"/>
      <c r="D808" s="1"/>
      <c r="E808" s="25"/>
      <c r="F808" s="26"/>
      <c r="G808" s="26"/>
      <c r="L808" s="25"/>
      <c r="M808" s="24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6"/>
      <c r="AB808" s="26"/>
      <c r="AC808" s="27"/>
    </row>
    <row r="809" spans="1:29" x14ac:dyDescent="0.25">
      <c r="A809" s="1"/>
      <c r="B809" s="19"/>
      <c r="C809" s="24"/>
      <c r="D809" s="1"/>
      <c r="E809" s="25"/>
      <c r="F809" s="26"/>
      <c r="G809" s="26"/>
      <c r="L809" s="25"/>
      <c r="M809" s="24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6"/>
      <c r="AB809" s="26"/>
      <c r="AC809" s="27"/>
    </row>
    <row r="810" spans="1:29" x14ac:dyDescent="0.25">
      <c r="A810" s="1"/>
      <c r="B810" s="19"/>
      <c r="C810" s="24"/>
      <c r="D810" s="1"/>
      <c r="E810" s="25"/>
      <c r="F810" s="26"/>
      <c r="G810" s="26"/>
      <c r="L810" s="25"/>
      <c r="M810" s="24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6"/>
      <c r="AB810" s="26"/>
      <c r="AC810" s="27"/>
    </row>
    <row r="811" spans="1:29" x14ac:dyDescent="0.25">
      <c r="A811" s="1"/>
      <c r="B811" s="19"/>
      <c r="C811" s="24"/>
      <c r="D811" s="1"/>
      <c r="E811" s="25"/>
      <c r="F811" s="26"/>
      <c r="G811" s="26"/>
      <c r="L811" s="25"/>
      <c r="M811" s="24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6"/>
      <c r="AB811" s="26"/>
      <c r="AC811" s="27"/>
    </row>
    <row r="812" spans="1:29" x14ac:dyDescent="0.25">
      <c r="A812" s="1"/>
      <c r="B812" s="19"/>
      <c r="C812" s="24"/>
      <c r="D812" s="1"/>
      <c r="E812" s="25"/>
      <c r="F812" s="26"/>
      <c r="G812" s="26"/>
      <c r="L812" s="25"/>
      <c r="M812" s="24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6"/>
      <c r="AB812" s="26"/>
      <c r="AC812" s="27"/>
    </row>
    <row r="813" spans="1:29" x14ac:dyDescent="0.25">
      <c r="A813" s="1"/>
      <c r="B813" s="19"/>
      <c r="C813" s="24"/>
      <c r="D813" s="1"/>
      <c r="E813" s="25"/>
      <c r="F813" s="26"/>
      <c r="G813" s="26"/>
      <c r="L813" s="25"/>
      <c r="M813" s="24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6"/>
      <c r="AB813" s="26"/>
      <c r="AC813" s="27"/>
    </row>
    <row r="814" spans="1:29" x14ac:dyDescent="0.25">
      <c r="A814" s="1"/>
      <c r="B814" s="19"/>
      <c r="C814" s="24"/>
      <c r="D814" s="1"/>
      <c r="E814" s="25"/>
      <c r="F814" s="26"/>
      <c r="G814" s="26"/>
      <c r="L814" s="25"/>
      <c r="M814" s="24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6"/>
      <c r="AB814" s="26"/>
      <c r="AC814" s="27"/>
    </row>
    <row r="815" spans="1:29" x14ac:dyDescent="0.25">
      <c r="A815" s="1"/>
      <c r="B815" s="19"/>
      <c r="C815" s="24"/>
      <c r="D815" s="1"/>
      <c r="E815" s="25"/>
      <c r="F815" s="26"/>
      <c r="G815" s="26"/>
      <c r="L815" s="25"/>
      <c r="M815" s="24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6"/>
      <c r="AB815" s="26"/>
      <c r="AC815" s="27"/>
    </row>
    <row r="816" spans="1:29" x14ac:dyDescent="0.25">
      <c r="A816" s="1"/>
      <c r="B816" s="19"/>
      <c r="C816" s="24"/>
      <c r="D816" s="1"/>
      <c r="E816" s="25"/>
      <c r="F816" s="26"/>
      <c r="G816" s="26"/>
      <c r="L816" s="25"/>
      <c r="M816" s="24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6"/>
      <c r="AB816" s="26"/>
      <c r="AC816" s="27"/>
    </row>
    <row r="817" spans="1:29" x14ac:dyDescent="0.25">
      <c r="A817" s="1"/>
      <c r="B817" s="19"/>
      <c r="C817" s="24"/>
      <c r="D817" s="1"/>
      <c r="E817" s="25"/>
      <c r="F817" s="26"/>
      <c r="G817" s="26"/>
      <c r="L817" s="25"/>
      <c r="M817" s="24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6"/>
      <c r="AB817" s="26"/>
      <c r="AC817" s="27"/>
    </row>
    <row r="818" spans="1:29" x14ac:dyDescent="0.25">
      <c r="A818" s="1"/>
      <c r="B818" s="19"/>
      <c r="C818" s="24"/>
      <c r="D818" s="1"/>
      <c r="E818" s="25"/>
      <c r="F818" s="26"/>
      <c r="G818" s="26"/>
      <c r="L818" s="25"/>
      <c r="M818" s="24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6"/>
      <c r="AB818" s="26"/>
      <c r="AC818" s="27"/>
    </row>
    <row r="819" spans="1:29" x14ac:dyDescent="0.25">
      <c r="A819" s="1"/>
      <c r="B819" s="19"/>
      <c r="C819" s="24"/>
      <c r="D819" s="1"/>
      <c r="E819" s="25"/>
      <c r="F819" s="26"/>
      <c r="G819" s="26"/>
      <c r="L819" s="25"/>
      <c r="M819" s="24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6"/>
      <c r="AB819" s="26"/>
      <c r="AC819" s="27"/>
    </row>
    <row r="820" spans="1:29" x14ac:dyDescent="0.25">
      <c r="A820" s="1"/>
      <c r="B820" s="19"/>
      <c r="C820" s="24"/>
      <c r="D820" s="1"/>
      <c r="E820" s="25"/>
      <c r="F820" s="26"/>
      <c r="G820" s="26"/>
      <c r="L820" s="25"/>
      <c r="M820" s="24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6"/>
      <c r="AB820" s="26"/>
      <c r="AC820" s="27"/>
    </row>
    <row r="821" spans="1:29" x14ac:dyDescent="0.25">
      <c r="A821" s="1"/>
      <c r="B821" s="19"/>
      <c r="C821" s="24"/>
      <c r="D821" s="1"/>
      <c r="E821" s="25"/>
      <c r="F821" s="26"/>
      <c r="G821" s="26"/>
      <c r="L821" s="25"/>
      <c r="M821" s="24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6"/>
      <c r="AB821" s="26"/>
      <c r="AC821" s="27"/>
    </row>
    <row r="822" spans="1:29" x14ac:dyDescent="0.25">
      <c r="A822" s="1"/>
      <c r="B822" s="19"/>
      <c r="C822" s="24"/>
      <c r="D822" s="1"/>
      <c r="E822" s="25"/>
      <c r="F822" s="26"/>
      <c r="G822" s="26"/>
      <c r="L822" s="25"/>
      <c r="M822" s="24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6"/>
      <c r="AB822" s="26"/>
      <c r="AC822" s="27"/>
    </row>
    <row r="823" spans="1:29" x14ac:dyDescent="0.25">
      <c r="A823" s="1"/>
      <c r="B823" s="19"/>
      <c r="C823" s="24"/>
      <c r="D823" s="1"/>
      <c r="E823" s="25"/>
      <c r="F823" s="26"/>
      <c r="G823" s="26"/>
      <c r="L823" s="25"/>
      <c r="M823" s="24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6"/>
      <c r="AB823" s="26"/>
      <c r="AC823" s="27"/>
    </row>
    <row r="824" spans="1:29" x14ac:dyDescent="0.25">
      <c r="A824" s="1"/>
      <c r="B824" s="19"/>
      <c r="C824" s="24"/>
      <c r="D824" s="1"/>
      <c r="E824" s="25"/>
      <c r="F824" s="26"/>
      <c r="G824" s="26"/>
      <c r="L824" s="25"/>
      <c r="M824" s="24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6"/>
      <c r="AB824" s="26"/>
      <c r="AC824" s="27"/>
    </row>
    <row r="825" spans="1:29" x14ac:dyDescent="0.25">
      <c r="A825" s="1"/>
      <c r="B825" s="19"/>
      <c r="C825" s="24"/>
      <c r="D825" s="1"/>
      <c r="E825" s="25"/>
      <c r="F825" s="26"/>
      <c r="G825" s="26"/>
      <c r="L825" s="25"/>
      <c r="M825" s="24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6"/>
      <c r="AB825" s="26"/>
      <c r="AC825" s="27"/>
    </row>
    <row r="826" spans="1:29" x14ac:dyDescent="0.25">
      <c r="A826" s="1"/>
      <c r="B826" s="19"/>
      <c r="C826" s="24"/>
      <c r="D826" s="1"/>
      <c r="E826" s="25"/>
      <c r="F826" s="26"/>
      <c r="G826" s="26"/>
      <c r="L826" s="25"/>
      <c r="M826" s="24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6"/>
      <c r="AB826" s="26"/>
      <c r="AC826" s="27"/>
    </row>
    <row r="827" spans="1:29" x14ac:dyDescent="0.25">
      <c r="A827" s="1"/>
      <c r="B827" s="19"/>
      <c r="C827" s="24"/>
      <c r="D827" s="1"/>
      <c r="E827" s="25"/>
      <c r="F827" s="26"/>
      <c r="G827" s="26"/>
      <c r="L827" s="25"/>
      <c r="M827" s="24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6"/>
      <c r="AB827" s="26"/>
      <c r="AC827" s="27"/>
    </row>
    <row r="828" spans="1:29" x14ac:dyDescent="0.25">
      <c r="A828" s="1"/>
      <c r="B828" s="19"/>
      <c r="C828" s="24"/>
      <c r="D828" s="1"/>
      <c r="E828" s="25"/>
      <c r="F828" s="26"/>
      <c r="G828" s="26"/>
      <c r="L828" s="25"/>
      <c r="M828" s="24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6"/>
      <c r="AB828" s="26"/>
      <c r="AC828" s="27"/>
    </row>
    <row r="829" spans="1:29" x14ac:dyDescent="0.25">
      <c r="A829" s="1"/>
      <c r="B829" s="19"/>
      <c r="C829" s="24"/>
      <c r="D829" s="1"/>
      <c r="E829" s="25"/>
      <c r="F829" s="26"/>
      <c r="G829" s="26"/>
      <c r="L829" s="25"/>
      <c r="M829" s="24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6"/>
      <c r="AB829" s="26"/>
      <c r="AC829" s="27"/>
    </row>
    <row r="830" spans="1:29" x14ac:dyDescent="0.25">
      <c r="A830" s="1"/>
      <c r="B830" s="19"/>
      <c r="C830" s="24"/>
      <c r="D830" s="1"/>
      <c r="E830" s="25"/>
      <c r="F830" s="26"/>
      <c r="G830" s="26"/>
      <c r="L830" s="25"/>
      <c r="M830" s="24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6"/>
      <c r="AB830" s="26"/>
      <c r="AC830" s="27"/>
    </row>
    <row r="831" spans="1:29" x14ac:dyDescent="0.25">
      <c r="A831" s="1"/>
      <c r="B831" s="19"/>
      <c r="C831" s="24"/>
      <c r="D831" s="1"/>
      <c r="E831" s="25"/>
      <c r="F831" s="26"/>
      <c r="G831" s="26"/>
      <c r="L831" s="25"/>
      <c r="M831" s="24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6"/>
      <c r="AB831" s="26"/>
      <c r="AC831" s="27"/>
    </row>
    <row r="832" spans="1:29" x14ac:dyDescent="0.25">
      <c r="A832" s="1"/>
      <c r="B832" s="19"/>
      <c r="C832" s="24"/>
      <c r="D832" s="1"/>
      <c r="E832" s="25"/>
      <c r="F832" s="26"/>
      <c r="G832" s="26"/>
      <c r="L832" s="25"/>
      <c r="M832" s="24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6"/>
      <c r="AB832" s="26"/>
      <c r="AC832" s="27"/>
    </row>
    <row r="833" spans="1:29" x14ac:dyDescent="0.25">
      <c r="A833" s="1"/>
      <c r="B833" s="19"/>
      <c r="C833" s="24"/>
      <c r="D833" s="1"/>
      <c r="E833" s="25"/>
      <c r="F833" s="26"/>
      <c r="G833" s="26"/>
      <c r="L833" s="25"/>
      <c r="M833" s="24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6"/>
      <c r="AB833" s="26"/>
      <c r="AC833" s="27"/>
    </row>
    <row r="834" spans="1:29" x14ac:dyDescent="0.25">
      <c r="A834" s="1"/>
      <c r="B834" s="19"/>
      <c r="C834" s="24"/>
      <c r="D834" s="1"/>
      <c r="E834" s="25"/>
      <c r="F834" s="26"/>
      <c r="G834" s="26"/>
      <c r="L834" s="25"/>
      <c r="M834" s="24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6"/>
      <c r="AB834" s="26"/>
      <c r="AC834" s="27"/>
    </row>
    <row r="835" spans="1:29" x14ac:dyDescent="0.25">
      <c r="A835" s="1"/>
      <c r="B835" s="19"/>
      <c r="C835" s="24"/>
      <c r="D835" s="1"/>
      <c r="E835" s="25"/>
      <c r="F835" s="26"/>
      <c r="G835" s="26"/>
      <c r="L835" s="25"/>
      <c r="M835" s="24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6"/>
      <c r="AB835" s="26"/>
      <c r="AC835" s="27"/>
    </row>
    <row r="836" spans="1:29" x14ac:dyDescent="0.25">
      <c r="A836" s="1"/>
      <c r="B836" s="19"/>
      <c r="C836" s="24"/>
      <c r="D836" s="1"/>
      <c r="E836" s="25"/>
      <c r="F836" s="26"/>
      <c r="G836" s="26"/>
      <c r="L836" s="25"/>
      <c r="M836" s="24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6"/>
      <c r="AB836" s="26"/>
      <c r="AC836" s="27"/>
    </row>
    <row r="837" spans="1:29" x14ac:dyDescent="0.25">
      <c r="A837" s="1"/>
      <c r="B837" s="19"/>
      <c r="C837" s="24"/>
      <c r="D837" s="1"/>
      <c r="E837" s="25"/>
      <c r="F837" s="26"/>
      <c r="G837" s="26"/>
      <c r="L837" s="25"/>
      <c r="M837" s="24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6"/>
      <c r="AB837" s="26"/>
      <c r="AC837" s="27"/>
    </row>
    <row r="838" spans="1:29" x14ac:dyDescent="0.25">
      <c r="A838" s="1"/>
      <c r="B838" s="19"/>
      <c r="C838" s="24"/>
      <c r="D838" s="1"/>
      <c r="E838" s="25"/>
      <c r="F838" s="26"/>
      <c r="G838" s="26"/>
      <c r="L838" s="25"/>
      <c r="M838" s="24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6"/>
      <c r="AB838" s="26"/>
      <c r="AC838" s="27"/>
    </row>
    <row r="839" spans="1:29" x14ac:dyDescent="0.25">
      <c r="A839" s="1"/>
      <c r="B839" s="19"/>
      <c r="C839" s="24"/>
      <c r="D839" s="1"/>
      <c r="E839" s="25"/>
      <c r="F839" s="26"/>
      <c r="G839" s="26"/>
      <c r="L839" s="25"/>
      <c r="M839" s="24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6"/>
      <c r="AB839" s="26"/>
      <c r="AC839" s="27"/>
    </row>
    <row r="840" spans="1:29" x14ac:dyDescent="0.25">
      <c r="A840" s="1"/>
      <c r="B840" s="19"/>
      <c r="C840" s="24"/>
      <c r="D840" s="1"/>
      <c r="E840" s="25"/>
      <c r="F840" s="26"/>
      <c r="G840" s="26"/>
      <c r="L840" s="25"/>
      <c r="M840" s="24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6"/>
      <c r="AB840" s="26"/>
      <c r="AC840" s="27"/>
    </row>
    <row r="841" spans="1:29" x14ac:dyDescent="0.25">
      <c r="A841" s="1"/>
      <c r="B841" s="19"/>
      <c r="C841" s="24"/>
      <c r="D841" s="1"/>
      <c r="E841" s="25"/>
      <c r="F841" s="26"/>
      <c r="G841" s="26"/>
      <c r="L841" s="25"/>
      <c r="M841" s="24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6"/>
      <c r="AB841" s="26"/>
      <c r="AC841" s="27"/>
    </row>
    <row r="842" spans="1:29" x14ac:dyDescent="0.25">
      <c r="A842" s="1"/>
      <c r="B842" s="19"/>
      <c r="C842" s="24"/>
      <c r="D842" s="1"/>
      <c r="E842" s="25"/>
      <c r="F842" s="26"/>
      <c r="G842" s="26"/>
      <c r="L842" s="25"/>
      <c r="M842" s="24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6"/>
      <c r="AB842" s="26"/>
      <c r="AC842" s="27"/>
    </row>
    <row r="843" spans="1:29" x14ac:dyDescent="0.25">
      <c r="A843" s="1"/>
      <c r="B843" s="19"/>
      <c r="C843" s="24"/>
      <c r="D843" s="1"/>
      <c r="E843" s="25"/>
      <c r="F843" s="26"/>
      <c r="G843" s="26"/>
      <c r="L843" s="25"/>
      <c r="M843" s="24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6"/>
      <c r="AB843" s="26"/>
      <c r="AC843" s="27"/>
    </row>
    <row r="844" spans="1:29" x14ac:dyDescent="0.25">
      <c r="A844" s="1"/>
      <c r="B844" s="19"/>
      <c r="C844" s="24"/>
      <c r="D844" s="1"/>
      <c r="E844" s="25"/>
      <c r="F844" s="26"/>
      <c r="G844" s="26"/>
      <c r="L844" s="25"/>
      <c r="M844" s="24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6"/>
      <c r="AB844" s="26"/>
      <c r="AC844" s="27"/>
    </row>
    <row r="845" spans="1:29" x14ac:dyDescent="0.25">
      <c r="A845" s="1"/>
      <c r="B845" s="19"/>
      <c r="C845" s="24"/>
      <c r="D845" s="1"/>
      <c r="E845" s="25"/>
      <c r="F845" s="26"/>
      <c r="G845" s="26"/>
      <c r="L845" s="25"/>
      <c r="M845" s="24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6"/>
      <c r="AB845" s="26"/>
      <c r="AC845" s="27"/>
    </row>
    <row r="846" spans="1:29" x14ac:dyDescent="0.25">
      <c r="A846" s="1"/>
      <c r="B846" s="19"/>
      <c r="C846" s="24"/>
      <c r="D846" s="1"/>
      <c r="E846" s="25"/>
      <c r="F846" s="26"/>
      <c r="G846" s="26"/>
      <c r="L846" s="25"/>
      <c r="M846" s="24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6"/>
      <c r="AB846" s="26"/>
      <c r="AC846" s="27"/>
    </row>
    <row r="847" spans="1:29" x14ac:dyDescent="0.25">
      <c r="A847" s="1"/>
      <c r="B847" s="19"/>
      <c r="C847" s="24"/>
      <c r="D847" s="1"/>
      <c r="E847" s="25"/>
      <c r="F847" s="26"/>
      <c r="G847" s="26"/>
      <c r="L847" s="25"/>
      <c r="M847" s="24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6"/>
      <c r="AB847" s="26"/>
      <c r="AC847" s="27"/>
    </row>
    <row r="848" spans="1:29" x14ac:dyDescent="0.25">
      <c r="A848" s="1"/>
      <c r="B848" s="19"/>
      <c r="C848" s="24"/>
      <c r="D848" s="1"/>
      <c r="E848" s="25"/>
      <c r="F848" s="26"/>
      <c r="G848" s="26"/>
      <c r="L848" s="25"/>
      <c r="M848" s="24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6"/>
      <c r="AB848" s="26"/>
      <c r="AC848" s="27"/>
    </row>
    <row r="849" spans="1:29" x14ac:dyDescent="0.25">
      <c r="A849" s="1"/>
      <c r="B849" s="19"/>
      <c r="C849" s="24"/>
      <c r="D849" s="1"/>
      <c r="E849" s="25"/>
      <c r="F849" s="26"/>
      <c r="G849" s="26"/>
      <c r="L849" s="25"/>
      <c r="M849" s="24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6"/>
      <c r="AB849" s="26"/>
      <c r="AC849" s="27"/>
    </row>
    <row r="850" spans="1:29" x14ac:dyDescent="0.25">
      <c r="A850" s="1"/>
      <c r="B850" s="19"/>
      <c r="C850" s="24"/>
      <c r="D850" s="1"/>
      <c r="E850" s="25"/>
      <c r="F850" s="26"/>
      <c r="G850" s="26"/>
      <c r="L850" s="25"/>
      <c r="M850" s="24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6"/>
      <c r="AB850" s="26"/>
      <c r="AC850" s="27"/>
    </row>
    <row r="851" spans="1:29" x14ac:dyDescent="0.25">
      <c r="A851" s="1"/>
      <c r="B851" s="19"/>
      <c r="C851" s="24"/>
      <c r="D851" s="1"/>
      <c r="E851" s="25"/>
      <c r="F851" s="26"/>
      <c r="G851" s="26"/>
      <c r="L851" s="25"/>
      <c r="M851" s="24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6"/>
      <c r="AB851" s="26"/>
      <c r="AC851" s="27"/>
    </row>
    <row r="852" spans="1:29" x14ac:dyDescent="0.25">
      <c r="A852" s="1"/>
      <c r="B852" s="19"/>
      <c r="C852" s="24"/>
      <c r="D852" s="1"/>
      <c r="E852" s="25"/>
      <c r="F852" s="26"/>
      <c r="G852" s="26"/>
      <c r="L852" s="25"/>
      <c r="M852" s="24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6"/>
      <c r="AB852" s="26"/>
      <c r="AC852" s="27"/>
    </row>
    <row r="853" spans="1:29" x14ac:dyDescent="0.25">
      <c r="A853" s="1"/>
      <c r="B853" s="19"/>
      <c r="C853" s="24"/>
      <c r="D853" s="1"/>
      <c r="E853" s="25"/>
      <c r="F853" s="26"/>
      <c r="G853" s="26"/>
      <c r="L853" s="25"/>
      <c r="M853" s="24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6"/>
      <c r="AB853" s="26"/>
      <c r="AC853" s="27"/>
    </row>
    <row r="854" spans="1:29" x14ac:dyDescent="0.25">
      <c r="A854" s="1"/>
      <c r="B854" s="19"/>
      <c r="C854" s="24"/>
      <c r="D854" s="1"/>
      <c r="E854" s="25"/>
      <c r="F854" s="26"/>
      <c r="G854" s="26"/>
      <c r="L854" s="25"/>
      <c r="M854" s="24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6"/>
      <c r="AB854" s="26"/>
      <c r="AC854" s="27"/>
    </row>
    <row r="855" spans="1:29" x14ac:dyDescent="0.25">
      <c r="A855" s="1"/>
      <c r="B855" s="19"/>
      <c r="C855" s="24"/>
      <c r="D855" s="1"/>
      <c r="E855" s="25"/>
      <c r="F855" s="26"/>
      <c r="G855" s="26"/>
      <c r="L855" s="25"/>
      <c r="M855" s="24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6"/>
      <c r="AB855" s="26"/>
      <c r="AC855" s="27"/>
    </row>
    <row r="856" spans="1:29" x14ac:dyDescent="0.25">
      <c r="A856" s="1"/>
      <c r="B856" s="19"/>
      <c r="C856" s="24"/>
      <c r="D856" s="1"/>
      <c r="E856" s="25"/>
      <c r="F856" s="26"/>
      <c r="G856" s="26"/>
      <c r="L856" s="25"/>
      <c r="M856" s="24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6"/>
      <c r="AB856" s="26"/>
      <c r="AC856" s="27"/>
    </row>
    <row r="857" spans="1:29" x14ac:dyDescent="0.25">
      <c r="A857" s="1"/>
      <c r="B857" s="19"/>
      <c r="C857" s="24"/>
      <c r="D857" s="1"/>
      <c r="E857" s="25"/>
      <c r="F857" s="26"/>
      <c r="G857" s="26"/>
      <c r="L857" s="25"/>
      <c r="M857" s="24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6"/>
      <c r="AB857" s="26"/>
      <c r="AC857" s="27"/>
    </row>
    <row r="858" spans="1:29" x14ac:dyDescent="0.25">
      <c r="A858" s="1"/>
      <c r="B858" s="19"/>
      <c r="C858" s="24"/>
      <c r="D858" s="1"/>
      <c r="E858" s="25"/>
      <c r="F858" s="26"/>
      <c r="G858" s="26"/>
      <c r="L858" s="25"/>
      <c r="M858" s="24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6"/>
      <c r="AB858" s="26"/>
      <c r="AC858" s="27"/>
    </row>
    <row r="859" spans="1:29" x14ac:dyDescent="0.25">
      <c r="A859" s="1"/>
      <c r="B859" s="19"/>
      <c r="C859" s="24"/>
      <c r="D859" s="1"/>
      <c r="E859" s="25"/>
      <c r="F859" s="26"/>
      <c r="G859" s="26"/>
      <c r="L859" s="25"/>
      <c r="M859" s="24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6"/>
      <c r="AB859" s="26"/>
      <c r="AC859" s="27"/>
    </row>
    <row r="860" spans="1:29" x14ac:dyDescent="0.25">
      <c r="A860" s="1"/>
      <c r="B860" s="19"/>
      <c r="C860" s="24"/>
      <c r="D860" s="1"/>
      <c r="E860" s="25"/>
      <c r="F860" s="26"/>
      <c r="G860" s="26"/>
      <c r="L860" s="25"/>
      <c r="M860" s="24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6"/>
      <c r="AB860" s="26"/>
      <c r="AC860" s="27"/>
    </row>
    <row r="861" spans="1:29" x14ac:dyDescent="0.25">
      <c r="A861" s="1"/>
      <c r="B861" s="19"/>
      <c r="C861" s="24"/>
      <c r="D861" s="1"/>
      <c r="E861" s="25"/>
      <c r="F861" s="26"/>
      <c r="G861" s="26"/>
      <c r="L861" s="25"/>
      <c r="M861" s="24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6"/>
      <c r="AB861" s="26"/>
      <c r="AC861" s="27"/>
    </row>
    <row r="862" spans="1:29" x14ac:dyDescent="0.25">
      <c r="A862" s="1"/>
      <c r="B862" s="19"/>
      <c r="C862" s="24"/>
      <c r="D862" s="1"/>
      <c r="E862" s="25"/>
      <c r="F862" s="26"/>
      <c r="G862" s="26"/>
      <c r="L862" s="25"/>
      <c r="M862" s="24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6"/>
      <c r="AB862" s="26"/>
      <c r="AC862" s="27"/>
    </row>
    <row r="863" spans="1:29" x14ac:dyDescent="0.25">
      <c r="A863" s="1"/>
      <c r="B863" s="19"/>
      <c r="C863" s="24"/>
      <c r="D863" s="1"/>
      <c r="E863" s="25"/>
      <c r="F863" s="26"/>
      <c r="G863" s="26"/>
      <c r="L863" s="25"/>
      <c r="M863" s="24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6"/>
      <c r="AB863" s="26"/>
      <c r="AC863" s="27"/>
    </row>
    <row r="864" spans="1:29" x14ac:dyDescent="0.25">
      <c r="A864" s="1"/>
      <c r="B864" s="19"/>
      <c r="C864" s="24"/>
      <c r="D864" s="1"/>
      <c r="E864" s="25"/>
      <c r="F864" s="26"/>
      <c r="G864" s="26"/>
      <c r="L864" s="25"/>
      <c r="M864" s="24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6"/>
      <c r="AB864" s="26"/>
      <c r="AC864" s="27"/>
    </row>
    <row r="865" spans="1:29" x14ac:dyDescent="0.25">
      <c r="A865" s="1"/>
      <c r="B865" s="19"/>
      <c r="C865" s="24"/>
      <c r="D865" s="1"/>
      <c r="E865" s="25"/>
      <c r="F865" s="26"/>
      <c r="G865" s="26"/>
      <c r="L865" s="25"/>
      <c r="M865" s="24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6"/>
      <c r="AB865" s="26"/>
      <c r="AC865" s="27"/>
    </row>
    <row r="866" spans="1:29" x14ac:dyDescent="0.25">
      <c r="A866" s="1"/>
      <c r="B866" s="19"/>
      <c r="C866" s="24"/>
      <c r="D866" s="1"/>
      <c r="E866" s="25"/>
      <c r="F866" s="26"/>
      <c r="G866" s="26"/>
      <c r="L866" s="25"/>
      <c r="M866" s="24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6"/>
      <c r="AB866" s="26"/>
      <c r="AC866" s="27"/>
    </row>
    <row r="867" spans="1:29" x14ac:dyDescent="0.25">
      <c r="A867" s="1"/>
      <c r="B867" s="19"/>
      <c r="C867" s="24"/>
      <c r="D867" s="1"/>
      <c r="E867" s="25"/>
      <c r="F867" s="26"/>
      <c r="G867" s="26"/>
      <c r="L867" s="25"/>
      <c r="M867" s="24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6"/>
      <c r="AB867" s="26"/>
      <c r="AC867" s="27"/>
    </row>
    <row r="868" spans="1:29" x14ac:dyDescent="0.25">
      <c r="A868" s="1"/>
      <c r="B868" s="19"/>
      <c r="C868" s="24"/>
      <c r="D868" s="1"/>
      <c r="E868" s="25"/>
      <c r="F868" s="26"/>
      <c r="G868" s="26"/>
      <c r="L868" s="25"/>
      <c r="M868" s="24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6"/>
      <c r="AB868" s="26"/>
      <c r="AC868" s="27"/>
    </row>
    <row r="869" spans="1:29" x14ac:dyDescent="0.25">
      <c r="A869" s="1"/>
      <c r="B869" s="19"/>
      <c r="C869" s="24"/>
      <c r="D869" s="1"/>
      <c r="E869" s="25"/>
      <c r="F869" s="26"/>
      <c r="G869" s="26"/>
      <c r="L869" s="25"/>
      <c r="M869" s="24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6"/>
      <c r="AB869" s="26"/>
      <c r="AC869" s="27"/>
    </row>
    <row r="870" spans="1:29" x14ac:dyDescent="0.25">
      <c r="A870" s="1"/>
      <c r="B870" s="19"/>
      <c r="C870" s="24"/>
      <c r="D870" s="1"/>
      <c r="E870" s="25"/>
      <c r="F870" s="26"/>
      <c r="G870" s="26"/>
      <c r="L870" s="25"/>
      <c r="M870" s="24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6"/>
      <c r="AB870" s="26"/>
      <c r="AC870" s="27"/>
    </row>
    <row r="871" spans="1:29" x14ac:dyDescent="0.25">
      <c r="A871" s="1"/>
      <c r="B871" s="19"/>
      <c r="C871" s="24"/>
      <c r="D871" s="1"/>
      <c r="E871" s="25"/>
      <c r="F871" s="26"/>
      <c r="G871" s="26"/>
      <c r="L871" s="25"/>
      <c r="M871" s="24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6"/>
      <c r="AB871" s="26"/>
      <c r="AC871" s="27"/>
    </row>
    <row r="872" spans="1:29" x14ac:dyDescent="0.25">
      <c r="A872" s="1"/>
      <c r="B872" s="19"/>
      <c r="C872" s="24"/>
      <c r="D872" s="1"/>
      <c r="E872" s="25"/>
      <c r="F872" s="26"/>
      <c r="G872" s="26"/>
      <c r="L872" s="25"/>
      <c r="M872" s="24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6"/>
      <c r="AB872" s="26"/>
      <c r="AC872" s="27"/>
    </row>
    <row r="873" spans="1:29" x14ac:dyDescent="0.25">
      <c r="A873" s="1"/>
      <c r="B873" s="19"/>
      <c r="C873" s="24"/>
      <c r="D873" s="1"/>
      <c r="E873" s="25"/>
      <c r="F873" s="26"/>
      <c r="G873" s="26"/>
      <c r="L873" s="25"/>
      <c r="M873" s="24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6"/>
      <c r="AB873" s="26"/>
      <c r="AC873" s="27"/>
    </row>
    <row r="874" spans="1:29" x14ac:dyDescent="0.25">
      <c r="A874" s="1"/>
      <c r="B874" s="19"/>
      <c r="C874" s="24"/>
      <c r="D874" s="1"/>
      <c r="E874" s="25"/>
      <c r="F874" s="26"/>
      <c r="G874" s="26"/>
      <c r="L874" s="25"/>
      <c r="M874" s="24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6"/>
      <c r="AB874" s="26"/>
      <c r="AC874" s="27"/>
    </row>
    <row r="875" spans="1:29" x14ac:dyDescent="0.25">
      <c r="A875" s="1"/>
      <c r="B875" s="19"/>
      <c r="C875" s="24"/>
      <c r="D875" s="1"/>
      <c r="E875" s="25"/>
      <c r="F875" s="26"/>
      <c r="G875" s="26"/>
      <c r="L875" s="25"/>
      <c r="M875" s="24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6"/>
      <c r="AB875" s="26"/>
      <c r="AC875" s="27"/>
    </row>
    <row r="876" spans="1:29" x14ac:dyDescent="0.25">
      <c r="A876" s="1"/>
      <c r="B876" s="19"/>
      <c r="C876" s="24"/>
      <c r="D876" s="1"/>
      <c r="E876" s="25"/>
      <c r="F876" s="26"/>
      <c r="G876" s="26"/>
      <c r="L876" s="25"/>
      <c r="M876" s="24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6"/>
      <c r="AB876" s="26"/>
      <c r="AC876" s="27"/>
    </row>
    <row r="877" spans="1:29" x14ac:dyDescent="0.25">
      <c r="A877" s="1"/>
      <c r="B877" s="19"/>
      <c r="C877" s="24"/>
      <c r="D877" s="1"/>
      <c r="E877" s="25"/>
      <c r="F877" s="26"/>
      <c r="G877" s="26"/>
      <c r="L877" s="25"/>
      <c r="M877" s="24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6"/>
      <c r="AB877" s="26"/>
      <c r="AC877" s="27"/>
    </row>
    <row r="878" spans="1:29" x14ac:dyDescent="0.25">
      <c r="A878" s="1"/>
      <c r="B878" s="19"/>
      <c r="C878" s="24"/>
      <c r="D878" s="1"/>
      <c r="E878" s="25"/>
      <c r="F878" s="26"/>
      <c r="G878" s="26"/>
      <c r="L878" s="25"/>
      <c r="M878" s="24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6"/>
      <c r="AB878" s="26"/>
      <c r="AC878" s="27"/>
    </row>
    <row r="879" spans="1:29" x14ac:dyDescent="0.25">
      <c r="A879" s="1"/>
      <c r="B879" s="19"/>
      <c r="C879" s="24"/>
      <c r="D879" s="1"/>
      <c r="E879" s="25"/>
      <c r="F879" s="26"/>
      <c r="G879" s="26"/>
      <c r="L879" s="25"/>
      <c r="M879" s="24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6"/>
      <c r="AB879" s="26"/>
      <c r="AC879" s="27"/>
    </row>
    <row r="880" spans="1:29" x14ac:dyDescent="0.25">
      <c r="A880" s="1"/>
      <c r="B880" s="19"/>
      <c r="C880" s="24"/>
      <c r="D880" s="1"/>
      <c r="E880" s="25"/>
      <c r="F880" s="26"/>
      <c r="G880" s="26"/>
      <c r="L880" s="25"/>
      <c r="M880" s="24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6"/>
      <c r="AB880" s="26"/>
      <c r="AC880" s="27"/>
    </row>
    <row r="881" spans="1:29" x14ac:dyDescent="0.25">
      <c r="A881" s="1"/>
      <c r="B881" s="19"/>
      <c r="C881" s="24"/>
      <c r="D881" s="1"/>
      <c r="E881" s="25"/>
      <c r="F881" s="26"/>
      <c r="G881" s="26"/>
      <c r="L881" s="25"/>
      <c r="M881" s="24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6"/>
      <c r="AB881" s="26"/>
      <c r="AC881" s="27"/>
    </row>
    <row r="882" spans="1:29" x14ac:dyDescent="0.25">
      <c r="A882" s="1"/>
      <c r="B882" s="19"/>
      <c r="C882" s="24"/>
      <c r="D882" s="1"/>
      <c r="E882" s="25"/>
      <c r="F882" s="26"/>
      <c r="G882" s="26"/>
      <c r="L882" s="25"/>
      <c r="M882" s="24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6"/>
      <c r="AB882" s="26"/>
      <c r="AC882" s="27"/>
    </row>
    <row r="883" spans="1:29" x14ac:dyDescent="0.25">
      <c r="A883" s="1"/>
      <c r="B883" s="19"/>
      <c r="C883" s="24"/>
      <c r="D883" s="1"/>
      <c r="E883" s="25"/>
      <c r="F883" s="26"/>
      <c r="G883" s="26"/>
      <c r="L883" s="25"/>
      <c r="M883" s="24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6"/>
      <c r="AB883" s="26"/>
      <c r="AC883" s="27"/>
    </row>
    <row r="884" spans="1:29" x14ac:dyDescent="0.25">
      <c r="A884" s="1"/>
      <c r="B884" s="19"/>
      <c r="C884" s="24"/>
      <c r="D884" s="1"/>
      <c r="E884" s="25"/>
      <c r="F884" s="26"/>
      <c r="G884" s="26"/>
      <c r="L884" s="25"/>
      <c r="M884" s="24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6"/>
      <c r="AB884" s="26"/>
      <c r="AC884" s="27"/>
    </row>
    <row r="885" spans="1:29" x14ac:dyDescent="0.25">
      <c r="A885" s="1"/>
      <c r="B885" s="19"/>
      <c r="C885" s="24"/>
      <c r="D885" s="1"/>
      <c r="E885" s="25"/>
      <c r="F885" s="26"/>
      <c r="G885" s="26"/>
      <c r="L885" s="25"/>
      <c r="M885" s="24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6"/>
      <c r="AB885" s="26"/>
      <c r="AC885" s="27"/>
    </row>
    <row r="886" spans="1:29" x14ac:dyDescent="0.25">
      <c r="A886" s="1"/>
      <c r="B886" s="19"/>
      <c r="C886" s="24"/>
      <c r="D886" s="1"/>
      <c r="E886" s="25"/>
      <c r="F886" s="26"/>
      <c r="G886" s="26"/>
      <c r="L886" s="25"/>
      <c r="M886" s="24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6"/>
      <c r="AB886" s="26"/>
      <c r="AC886" s="27"/>
    </row>
    <row r="887" spans="1:29" x14ac:dyDescent="0.25">
      <c r="A887" s="1"/>
      <c r="B887" s="19"/>
      <c r="C887" s="24"/>
      <c r="D887" s="1"/>
      <c r="E887" s="25"/>
      <c r="F887" s="26"/>
      <c r="G887" s="26"/>
      <c r="L887" s="25"/>
      <c r="M887" s="24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6"/>
      <c r="AB887" s="26"/>
      <c r="AC887" s="27"/>
    </row>
    <row r="888" spans="1:29" x14ac:dyDescent="0.25">
      <c r="A888" s="1"/>
      <c r="B888" s="19"/>
      <c r="C888" s="24"/>
      <c r="D888" s="1"/>
      <c r="E888" s="25"/>
      <c r="F888" s="26"/>
      <c r="G888" s="26"/>
      <c r="L888" s="25"/>
      <c r="M888" s="24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6"/>
      <c r="AB888" s="26"/>
      <c r="AC888" s="27"/>
    </row>
    <row r="889" spans="1:29" x14ac:dyDescent="0.25">
      <c r="A889" s="1"/>
      <c r="B889" s="19"/>
      <c r="C889" s="24"/>
      <c r="D889" s="1"/>
      <c r="E889" s="25"/>
      <c r="F889" s="26"/>
      <c r="G889" s="26"/>
      <c r="L889" s="25"/>
      <c r="M889" s="24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6"/>
      <c r="AB889" s="26"/>
      <c r="AC889" s="27"/>
    </row>
    <row r="890" spans="1:29" x14ac:dyDescent="0.25">
      <c r="A890" s="1"/>
      <c r="B890" s="19"/>
      <c r="C890" s="24"/>
      <c r="D890" s="1"/>
      <c r="E890" s="25"/>
      <c r="F890" s="26"/>
      <c r="G890" s="26"/>
      <c r="L890" s="25"/>
      <c r="M890" s="24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6"/>
      <c r="AB890" s="26"/>
      <c r="AC890" s="27"/>
    </row>
    <row r="891" spans="1:29" x14ac:dyDescent="0.25">
      <c r="A891" s="1"/>
      <c r="B891" s="19"/>
      <c r="C891" s="24"/>
      <c r="D891" s="1"/>
      <c r="E891" s="25"/>
      <c r="F891" s="26"/>
      <c r="G891" s="26"/>
      <c r="L891" s="25"/>
      <c r="M891" s="24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6"/>
      <c r="AB891" s="26"/>
      <c r="AC891" s="27"/>
    </row>
    <row r="892" spans="1:29" x14ac:dyDescent="0.25">
      <c r="A892" s="1"/>
      <c r="B892" s="19"/>
      <c r="C892" s="24"/>
      <c r="D892" s="1"/>
      <c r="E892" s="25"/>
      <c r="F892" s="26"/>
      <c r="G892" s="26"/>
      <c r="L892" s="25"/>
      <c r="M892" s="24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6"/>
      <c r="AB892" s="26"/>
      <c r="AC892" s="27"/>
    </row>
    <row r="893" spans="1:29" x14ac:dyDescent="0.25">
      <c r="A893" s="1"/>
      <c r="B893" s="19"/>
      <c r="C893" s="24"/>
      <c r="D893" s="1"/>
      <c r="E893" s="25"/>
      <c r="F893" s="26"/>
      <c r="G893" s="26"/>
      <c r="L893" s="25"/>
      <c r="M893" s="24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6"/>
      <c r="AB893" s="26"/>
      <c r="AC893" s="27"/>
    </row>
    <row r="894" spans="1:29" x14ac:dyDescent="0.25">
      <c r="A894" s="1"/>
      <c r="B894" s="19"/>
      <c r="C894" s="24"/>
      <c r="D894" s="1"/>
      <c r="E894" s="25"/>
      <c r="F894" s="26"/>
      <c r="G894" s="26"/>
      <c r="L894" s="25"/>
      <c r="M894" s="24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6"/>
      <c r="AB894" s="26"/>
      <c r="AC894" s="27"/>
    </row>
    <row r="895" spans="1:29" x14ac:dyDescent="0.25">
      <c r="A895" s="1"/>
      <c r="B895" s="19"/>
      <c r="C895" s="24"/>
      <c r="D895" s="1"/>
      <c r="E895" s="25"/>
      <c r="F895" s="26"/>
      <c r="G895" s="26"/>
      <c r="L895" s="25"/>
      <c r="M895" s="24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6"/>
      <c r="AB895" s="26"/>
      <c r="AC895" s="27"/>
    </row>
    <row r="896" spans="1:29" x14ac:dyDescent="0.25">
      <c r="A896" s="1"/>
      <c r="B896" s="19"/>
      <c r="C896" s="24"/>
      <c r="D896" s="1"/>
      <c r="E896" s="25"/>
      <c r="F896" s="26"/>
      <c r="G896" s="26"/>
      <c r="L896" s="25"/>
      <c r="M896" s="24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6"/>
      <c r="AB896" s="26"/>
      <c r="AC896" s="27"/>
    </row>
    <row r="897" spans="1:29" x14ac:dyDescent="0.25">
      <c r="A897" s="1"/>
      <c r="B897" s="19"/>
      <c r="C897" s="24"/>
      <c r="D897" s="1"/>
      <c r="E897" s="25"/>
      <c r="F897" s="26"/>
      <c r="G897" s="26"/>
      <c r="L897" s="25"/>
      <c r="M897" s="24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6"/>
      <c r="AB897" s="26"/>
      <c r="AC897" s="27"/>
    </row>
    <row r="898" spans="1:29" x14ac:dyDescent="0.25">
      <c r="A898" s="1"/>
      <c r="B898" s="19"/>
      <c r="C898" s="24"/>
      <c r="D898" s="1"/>
      <c r="E898" s="25"/>
      <c r="F898" s="26"/>
      <c r="G898" s="26"/>
      <c r="L898" s="25"/>
      <c r="M898" s="24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6"/>
      <c r="AB898" s="26"/>
      <c r="AC898" s="27"/>
    </row>
    <row r="899" spans="1:29" x14ac:dyDescent="0.25">
      <c r="A899" s="1"/>
      <c r="B899" s="19"/>
      <c r="C899" s="24"/>
      <c r="D899" s="1"/>
      <c r="E899" s="25"/>
      <c r="F899" s="26"/>
      <c r="G899" s="26"/>
      <c r="L899" s="25"/>
      <c r="M899" s="24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6"/>
      <c r="AB899" s="26"/>
      <c r="AC899" s="27"/>
    </row>
    <row r="900" spans="1:29" x14ac:dyDescent="0.25">
      <c r="A900" s="1"/>
      <c r="B900" s="19"/>
      <c r="C900" s="24"/>
      <c r="D900" s="1"/>
      <c r="E900" s="25"/>
      <c r="F900" s="26"/>
      <c r="G900" s="26"/>
      <c r="L900" s="25"/>
      <c r="M900" s="24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6"/>
      <c r="AB900" s="26"/>
      <c r="AC900" s="27"/>
    </row>
    <row r="901" spans="1:29" x14ac:dyDescent="0.25">
      <c r="A901" s="1"/>
      <c r="B901" s="19"/>
      <c r="C901" s="24"/>
      <c r="D901" s="1"/>
      <c r="E901" s="25"/>
      <c r="F901" s="26"/>
      <c r="G901" s="26"/>
      <c r="L901" s="25"/>
      <c r="M901" s="24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6"/>
      <c r="AB901" s="26"/>
      <c r="AC901" s="27"/>
    </row>
    <row r="902" spans="1:29" x14ac:dyDescent="0.25">
      <c r="A902" s="1"/>
      <c r="B902" s="19"/>
      <c r="C902" s="24"/>
      <c r="D902" s="1"/>
      <c r="E902" s="25"/>
      <c r="F902" s="26"/>
      <c r="G902" s="26"/>
      <c r="L902" s="25"/>
      <c r="M902" s="24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6"/>
      <c r="AB902" s="26"/>
      <c r="AC902" s="27"/>
    </row>
    <row r="903" spans="1:29" x14ac:dyDescent="0.25">
      <c r="A903" s="1"/>
      <c r="B903" s="19"/>
      <c r="C903" s="24"/>
      <c r="D903" s="1"/>
      <c r="E903" s="25"/>
      <c r="F903" s="26"/>
      <c r="G903" s="26"/>
      <c r="L903" s="25"/>
      <c r="M903" s="24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6"/>
      <c r="AB903" s="26"/>
      <c r="AC903" s="27"/>
    </row>
    <row r="904" spans="1:29" x14ac:dyDescent="0.25">
      <c r="A904" s="1"/>
      <c r="B904" s="19"/>
      <c r="C904" s="24"/>
      <c r="D904" s="1"/>
      <c r="E904" s="25"/>
      <c r="F904" s="26"/>
      <c r="G904" s="26"/>
      <c r="L904" s="25"/>
      <c r="M904" s="24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6"/>
      <c r="AB904" s="26"/>
      <c r="AC904" s="27"/>
    </row>
    <row r="905" spans="1:29" x14ac:dyDescent="0.25">
      <c r="A905" s="1"/>
      <c r="B905" s="19"/>
      <c r="C905" s="24"/>
      <c r="D905" s="1"/>
      <c r="E905" s="25"/>
      <c r="F905" s="26"/>
      <c r="G905" s="26"/>
      <c r="L905" s="25"/>
      <c r="M905" s="24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6"/>
      <c r="AB905" s="26"/>
      <c r="AC905" s="27"/>
    </row>
    <row r="906" spans="1:29" x14ac:dyDescent="0.25">
      <c r="A906" s="1"/>
      <c r="B906" s="19"/>
      <c r="C906" s="24"/>
      <c r="D906" s="1"/>
      <c r="E906" s="25"/>
      <c r="F906" s="26"/>
      <c r="G906" s="26"/>
      <c r="L906" s="25"/>
      <c r="M906" s="24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6"/>
      <c r="AB906" s="26"/>
      <c r="AC906" s="27"/>
    </row>
    <row r="907" spans="1:29" x14ac:dyDescent="0.25">
      <c r="A907" s="1"/>
      <c r="B907" s="19"/>
      <c r="C907" s="24"/>
      <c r="D907" s="1"/>
      <c r="E907" s="25"/>
      <c r="F907" s="26"/>
      <c r="G907" s="26"/>
      <c r="L907" s="25"/>
      <c r="M907" s="24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6"/>
      <c r="AB907" s="26"/>
      <c r="AC907" s="27"/>
    </row>
    <row r="908" spans="1:29" x14ac:dyDescent="0.25">
      <c r="A908" s="1"/>
      <c r="B908" s="19"/>
      <c r="C908" s="24"/>
      <c r="D908" s="1"/>
      <c r="E908" s="25"/>
      <c r="F908" s="26"/>
      <c r="G908" s="26"/>
      <c r="L908" s="25"/>
      <c r="M908" s="24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6"/>
      <c r="AB908" s="26"/>
      <c r="AC908" s="27"/>
    </row>
    <row r="909" spans="1:29" x14ac:dyDescent="0.25">
      <c r="A909" s="1"/>
      <c r="B909" s="19"/>
      <c r="C909" s="24"/>
      <c r="D909" s="1"/>
      <c r="E909" s="25"/>
      <c r="F909" s="26"/>
      <c r="G909" s="26"/>
      <c r="L909" s="25"/>
      <c r="M909" s="24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6"/>
      <c r="AB909" s="26"/>
      <c r="AC909" s="27"/>
    </row>
    <row r="910" spans="1:29" x14ac:dyDescent="0.25">
      <c r="A910" s="1"/>
      <c r="B910" s="19"/>
      <c r="C910" s="24"/>
      <c r="D910" s="1"/>
      <c r="E910" s="25"/>
      <c r="F910" s="26"/>
      <c r="G910" s="26"/>
      <c r="L910" s="25"/>
      <c r="M910" s="24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6"/>
      <c r="AB910" s="26"/>
      <c r="AC910" s="27"/>
    </row>
    <row r="911" spans="1:29" x14ac:dyDescent="0.25">
      <c r="A911" s="1"/>
      <c r="B911" s="19"/>
      <c r="C911" s="24"/>
      <c r="D911" s="1"/>
      <c r="E911" s="25"/>
      <c r="F911" s="26"/>
      <c r="G911" s="26"/>
      <c r="L911" s="25"/>
      <c r="M911" s="24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6"/>
      <c r="AB911" s="26"/>
      <c r="AC911" s="27"/>
    </row>
    <row r="912" spans="1:29" x14ac:dyDescent="0.25">
      <c r="A912" s="1"/>
      <c r="B912" s="19"/>
      <c r="C912" s="24"/>
      <c r="D912" s="1"/>
      <c r="E912" s="25"/>
      <c r="F912" s="26"/>
      <c r="G912" s="26"/>
      <c r="L912" s="25"/>
      <c r="M912" s="24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6"/>
      <c r="AB912" s="26"/>
      <c r="AC912" s="27"/>
    </row>
    <row r="913" spans="1:29" x14ac:dyDescent="0.25">
      <c r="A913" s="1"/>
      <c r="B913" s="19"/>
      <c r="C913" s="24"/>
      <c r="D913" s="1"/>
      <c r="E913" s="25"/>
      <c r="F913" s="26"/>
      <c r="G913" s="26"/>
      <c r="L913" s="25"/>
      <c r="M913" s="24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6"/>
      <c r="AB913" s="26"/>
      <c r="AC913" s="27"/>
    </row>
    <row r="914" spans="1:29" x14ac:dyDescent="0.25">
      <c r="A914" s="1"/>
      <c r="B914" s="19"/>
      <c r="C914" s="24"/>
      <c r="D914" s="1"/>
      <c r="E914" s="25"/>
      <c r="F914" s="26"/>
      <c r="G914" s="26"/>
      <c r="L914" s="25"/>
      <c r="M914" s="24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6"/>
      <c r="AB914" s="26"/>
      <c r="AC914" s="27"/>
    </row>
    <row r="915" spans="1:29" x14ac:dyDescent="0.25">
      <c r="A915" s="1"/>
      <c r="B915" s="19"/>
      <c r="C915" s="24"/>
      <c r="D915" s="1"/>
      <c r="E915" s="25"/>
      <c r="F915" s="26"/>
      <c r="G915" s="26"/>
      <c r="L915" s="25"/>
      <c r="M915" s="24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6"/>
      <c r="AB915" s="26"/>
      <c r="AC915" s="27"/>
    </row>
    <row r="916" spans="1:29" x14ac:dyDescent="0.25">
      <c r="A916" s="1"/>
      <c r="B916" s="19"/>
      <c r="C916" s="24"/>
      <c r="D916" s="1"/>
      <c r="E916" s="25"/>
      <c r="F916" s="26"/>
      <c r="G916" s="26"/>
      <c r="L916" s="25"/>
      <c r="M916" s="24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6"/>
      <c r="AB916" s="26"/>
      <c r="AC916" s="27"/>
    </row>
    <row r="917" spans="1:29" x14ac:dyDescent="0.25">
      <c r="A917" s="1"/>
      <c r="B917" s="19"/>
      <c r="C917" s="24"/>
      <c r="D917" s="1"/>
      <c r="E917" s="25"/>
      <c r="F917" s="26"/>
      <c r="G917" s="26"/>
      <c r="L917" s="25"/>
      <c r="M917" s="24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6"/>
      <c r="AB917" s="26"/>
      <c r="AC917" s="27"/>
    </row>
    <row r="918" spans="1:29" x14ac:dyDescent="0.25">
      <c r="A918" s="1"/>
      <c r="B918" s="19"/>
      <c r="C918" s="24"/>
      <c r="D918" s="1"/>
      <c r="E918" s="25"/>
      <c r="F918" s="26"/>
      <c r="G918" s="26"/>
      <c r="L918" s="25"/>
      <c r="M918" s="24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6"/>
      <c r="AB918" s="26"/>
      <c r="AC918" s="27"/>
    </row>
    <row r="919" spans="1:29" x14ac:dyDescent="0.25">
      <c r="A919" s="1"/>
      <c r="B919" s="19"/>
      <c r="C919" s="24"/>
      <c r="D919" s="1"/>
      <c r="E919" s="25"/>
      <c r="F919" s="26"/>
      <c r="G919" s="26"/>
      <c r="L919" s="25"/>
      <c r="M919" s="24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6"/>
      <c r="AB919" s="26"/>
      <c r="AC919" s="27"/>
    </row>
    <row r="920" spans="1:29" x14ac:dyDescent="0.25">
      <c r="A920" s="1"/>
      <c r="B920" s="19"/>
      <c r="C920" s="24"/>
      <c r="D920" s="1"/>
      <c r="E920" s="25"/>
      <c r="F920" s="26"/>
      <c r="G920" s="26"/>
      <c r="L920" s="25"/>
      <c r="M920" s="24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6"/>
      <c r="AB920" s="26"/>
      <c r="AC920" s="27"/>
    </row>
    <row r="921" spans="1:29" x14ac:dyDescent="0.25">
      <c r="A921" s="1"/>
      <c r="B921" s="19"/>
      <c r="C921" s="24"/>
      <c r="D921" s="1"/>
      <c r="E921" s="25"/>
      <c r="F921" s="26"/>
      <c r="G921" s="26"/>
      <c r="L921" s="25"/>
      <c r="M921" s="24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6"/>
      <c r="AB921" s="26"/>
      <c r="AC921" s="27"/>
    </row>
    <row r="922" spans="1:29" x14ac:dyDescent="0.25">
      <c r="A922" s="1"/>
      <c r="B922" s="19"/>
      <c r="C922" s="24"/>
      <c r="D922" s="1"/>
      <c r="E922" s="25"/>
      <c r="F922" s="26"/>
      <c r="G922" s="26"/>
      <c r="L922" s="25"/>
      <c r="M922" s="24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6"/>
      <c r="AB922" s="26"/>
      <c r="AC922" s="27"/>
    </row>
    <row r="923" spans="1:29" x14ac:dyDescent="0.25">
      <c r="A923" s="1"/>
      <c r="B923" s="19"/>
      <c r="C923" s="24"/>
      <c r="D923" s="1"/>
      <c r="E923" s="25"/>
      <c r="F923" s="26"/>
      <c r="G923" s="26"/>
      <c r="L923" s="25"/>
      <c r="M923" s="24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6"/>
      <c r="AB923" s="26"/>
      <c r="AC923" s="27"/>
    </row>
    <row r="924" spans="1:29" x14ac:dyDescent="0.25">
      <c r="A924" s="1"/>
      <c r="B924" s="19"/>
      <c r="C924" s="24"/>
      <c r="D924" s="1"/>
      <c r="E924" s="25"/>
      <c r="F924" s="26"/>
      <c r="G924" s="26"/>
      <c r="L924" s="25"/>
      <c r="M924" s="24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6"/>
      <c r="AB924" s="26"/>
      <c r="AC924" s="27"/>
    </row>
    <row r="925" spans="1:29" x14ac:dyDescent="0.25">
      <c r="A925" s="1"/>
      <c r="B925" s="19"/>
      <c r="C925" s="24"/>
      <c r="D925" s="1"/>
      <c r="E925" s="25"/>
      <c r="F925" s="26"/>
      <c r="G925" s="26"/>
      <c r="L925" s="25"/>
      <c r="M925" s="24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6"/>
      <c r="AB925" s="26"/>
      <c r="AC925" s="27"/>
    </row>
    <row r="926" spans="1:29" x14ac:dyDescent="0.25">
      <c r="A926" s="1"/>
      <c r="B926" s="19"/>
      <c r="C926" s="24"/>
      <c r="D926" s="1"/>
      <c r="E926" s="25"/>
      <c r="F926" s="26"/>
      <c r="G926" s="26"/>
      <c r="L926" s="25"/>
      <c r="M926" s="24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6"/>
      <c r="AB926" s="26"/>
      <c r="AC926" s="27"/>
    </row>
    <row r="927" spans="1:29" x14ac:dyDescent="0.25">
      <c r="A927" s="1"/>
      <c r="B927" s="19"/>
      <c r="C927" s="24"/>
      <c r="D927" s="1"/>
      <c r="E927" s="25"/>
      <c r="F927" s="26"/>
      <c r="G927" s="26"/>
      <c r="L927" s="25"/>
      <c r="M927" s="24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6"/>
      <c r="AB927" s="26"/>
      <c r="AC927" s="27"/>
    </row>
    <row r="928" spans="1:29" x14ac:dyDescent="0.25">
      <c r="A928" s="1"/>
      <c r="B928" s="19"/>
      <c r="C928" s="24"/>
      <c r="D928" s="1"/>
      <c r="E928" s="25"/>
      <c r="F928" s="26"/>
      <c r="G928" s="26"/>
      <c r="L928" s="25"/>
      <c r="M928" s="24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6"/>
      <c r="AB928" s="26"/>
      <c r="AC928" s="27"/>
    </row>
    <row r="929" spans="1:29" x14ac:dyDescent="0.25">
      <c r="A929" s="1"/>
      <c r="B929" s="19"/>
      <c r="C929" s="24"/>
      <c r="D929" s="1"/>
      <c r="E929" s="25"/>
      <c r="F929" s="26"/>
      <c r="G929" s="26"/>
      <c r="L929" s="25"/>
      <c r="M929" s="24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6"/>
      <c r="AB929" s="26"/>
      <c r="AC929" s="27"/>
    </row>
    <row r="930" spans="1:29" x14ac:dyDescent="0.25">
      <c r="A930" s="1"/>
      <c r="B930" s="19"/>
      <c r="C930" s="24"/>
      <c r="D930" s="1"/>
      <c r="E930" s="25"/>
      <c r="F930" s="26"/>
      <c r="G930" s="26"/>
      <c r="L930" s="25"/>
      <c r="M930" s="24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6"/>
      <c r="AB930" s="26"/>
      <c r="AC930" s="27"/>
    </row>
    <row r="931" spans="1:29" x14ac:dyDescent="0.25">
      <c r="A931" s="1"/>
      <c r="B931" s="19"/>
      <c r="C931" s="24"/>
      <c r="D931" s="1"/>
      <c r="E931" s="25"/>
      <c r="F931" s="26"/>
      <c r="G931" s="26"/>
      <c r="L931" s="25"/>
      <c r="M931" s="24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6"/>
      <c r="AB931" s="26"/>
      <c r="AC931" s="27"/>
    </row>
    <row r="932" spans="1:29" x14ac:dyDescent="0.25">
      <c r="A932" s="1"/>
      <c r="B932" s="19"/>
      <c r="C932" s="24"/>
      <c r="D932" s="1"/>
      <c r="E932" s="25"/>
      <c r="F932" s="26"/>
      <c r="G932" s="26"/>
      <c r="L932" s="25"/>
      <c r="M932" s="24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6"/>
      <c r="AB932" s="26"/>
      <c r="AC932" s="27"/>
    </row>
    <row r="933" spans="1:29" x14ac:dyDescent="0.25">
      <c r="A933" s="1"/>
      <c r="B933" s="19"/>
      <c r="C933" s="24"/>
      <c r="D933" s="1"/>
      <c r="E933" s="25"/>
      <c r="F933" s="26"/>
      <c r="G933" s="26"/>
      <c r="L933" s="25"/>
      <c r="M933" s="24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6"/>
      <c r="AB933" s="26"/>
      <c r="AC933" s="27"/>
    </row>
    <row r="934" spans="1:29" x14ac:dyDescent="0.25">
      <c r="A934" s="1"/>
      <c r="B934" s="19"/>
      <c r="C934" s="24"/>
      <c r="D934" s="1"/>
      <c r="E934" s="25"/>
      <c r="F934" s="26"/>
      <c r="G934" s="26"/>
      <c r="L934" s="25"/>
      <c r="M934" s="24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6"/>
      <c r="AB934" s="26"/>
      <c r="AC934" s="27"/>
    </row>
    <row r="935" spans="1:29" x14ac:dyDescent="0.25">
      <c r="A935" s="1"/>
      <c r="B935" s="19"/>
      <c r="C935" s="24"/>
      <c r="D935" s="1"/>
      <c r="E935" s="25"/>
      <c r="F935" s="26"/>
      <c r="G935" s="26"/>
      <c r="L935" s="25"/>
      <c r="M935" s="24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6"/>
      <c r="AB935" s="26"/>
      <c r="AC935" s="27"/>
    </row>
    <row r="936" spans="1:29" x14ac:dyDescent="0.25">
      <c r="A936" s="1"/>
      <c r="B936" s="19"/>
      <c r="C936" s="24"/>
      <c r="D936" s="1"/>
      <c r="E936" s="25"/>
      <c r="F936" s="26"/>
      <c r="G936" s="26"/>
      <c r="L936" s="25"/>
      <c r="M936" s="24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6"/>
      <c r="AB936" s="26"/>
      <c r="AC936" s="27"/>
    </row>
    <row r="937" spans="1:29" x14ac:dyDescent="0.25">
      <c r="A937" s="1"/>
      <c r="B937" s="19"/>
      <c r="C937" s="24"/>
      <c r="D937" s="1"/>
      <c r="E937" s="25"/>
      <c r="F937" s="26"/>
      <c r="G937" s="26"/>
      <c r="L937" s="25"/>
      <c r="M937" s="24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6"/>
      <c r="AB937" s="26"/>
      <c r="AC937" s="27"/>
    </row>
    <row r="938" spans="1:29" x14ac:dyDescent="0.25">
      <c r="A938" s="1"/>
      <c r="B938" s="19"/>
      <c r="C938" s="24"/>
      <c r="D938" s="1"/>
      <c r="E938" s="25"/>
      <c r="F938" s="26"/>
      <c r="G938" s="26"/>
      <c r="L938" s="25"/>
      <c r="M938" s="24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6"/>
      <c r="AB938" s="26"/>
      <c r="AC938" s="27"/>
    </row>
    <row r="939" spans="1:29" x14ac:dyDescent="0.25">
      <c r="A939" s="1"/>
      <c r="B939" s="19"/>
      <c r="C939" s="24"/>
      <c r="D939" s="1"/>
      <c r="E939" s="25"/>
      <c r="F939" s="26"/>
      <c r="G939" s="26"/>
      <c r="L939" s="25"/>
      <c r="M939" s="24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6"/>
      <c r="AB939" s="26"/>
      <c r="AC939" s="27"/>
    </row>
    <row r="940" spans="1:29" x14ac:dyDescent="0.25">
      <c r="A940" s="1"/>
      <c r="B940" s="19"/>
      <c r="C940" s="24"/>
      <c r="D940" s="1"/>
      <c r="E940" s="25"/>
      <c r="F940" s="26"/>
      <c r="G940" s="26"/>
      <c r="L940" s="25"/>
      <c r="M940" s="24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6"/>
      <c r="AB940" s="26"/>
      <c r="AC940" s="27"/>
    </row>
    <row r="941" spans="1:29" x14ac:dyDescent="0.25">
      <c r="A941" s="1"/>
      <c r="B941" s="19"/>
      <c r="C941" s="24"/>
      <c r="D941" s="1"/>
      <c r="E941" s="25"/>
      <c r="F941" s="26"/>
      <c r="G941" s="26"/>
      <c r="L941" s="25"/>
      <c r="M941" s="24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6"/>
      <c r="AB941" s="26"/>
      <c r="AC941" s="27"/>
    </row>
    <row r="942" spans="1:29" x14ac:dyDescent="0.25">
      <c r="A942" s="1"/>
      <c r="B942" s="19"/>
      <c r="C942" s="24"/>
      <c r="D942" s="1"/>
      <c r="E942" s="25"/>
      <c r="F942" s="26"/>
      <c r="G942" s="26"/>
      <c r="L942" s="25"/>
      <c r="M942" s="24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6"/>
      <c r="AB942" s="26"/>
      <c r="AC942" s="27"/>
    </row>
    <row r="943" spans="1:29" x14ac:dyDescent="0.25">
      <c r="A943" s="1"/>
      <c r="B943" s="19"/>
      <c r="C943" s="24"/>
      <c r="D943" s="1"/>
      <c r="E943" s="25"/>
      <c r="F943" s="26"/>
      <c r="G943" s="26"/>
      <c r="L943" s="25"/>
      <c r="M943" s="24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6"/>
      <c r="AB943" s="26"/>
      <c r="AC943" s="27"/>
    </row>
    <row r="944" spans="1:29" x14ac:dyDescent="0.25">
      <c r="A944" s="1"/>
      <c r="B944" s="19"/>
      <c r="C944" s="24"/>
      <c r="D944" s="1"/>
      <c r="E944" s="25"/>
      <c r="F944" s="26"/>
      <c r="G944" s="26"/>
      <c r="L944" s="25"/>
      <c r="M944" s="24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6"/>
      <c r="AB944" s="26"/>
      <c r="AC944" s="27"/>
    </row>
    <row r="945" spans="1:29" x14ac:dyDescent="0.25">
      <c r="A945" s="1"/>
      <c r="B945" s="19"/>
      <c r="C945" s="24"/>
      <c r="D945" s="1"/>
      <c r="E945" s="25"/>
      <c r="F945" s="26"/>
      <c r="G945" s="26"/>
      <c r="L945" s="25"/>
      <c r="M945" s="24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6"/>
      <c r="AB945" s="26"/>
      <c r="AC945" s="27"/>
    </row>
    <row r="946" spans="1:29" x14ac:dyDescent="0.25">
      <c r="A946" s="1"/>
      <c r="B946" s="19"/>
      <c r="C946" s="24"/>
      <c r="D946" s="1"/>
      <c r="E946" s="25"/>
      <c r="F946" s="26"/>
      <c r="G946" s="26"/>
      <c r="L946" s="25"/>
      <c r="M946" s="24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6"/>
      <c r="AB946" s="26"/>
      <c r="AC946" s="27"/>
    </row>
    <row r="947" spans="1:29" x14ac:dyDescent="0.25">
      <c r="A947" s="1"/>
      <c r="B947" s="19"/>
      <c r="C947" s="24"/>
      <c r="D947" s="1"/>
      <c r="E947" s="25"/>
      <c r="F947" s="26"/>
      <c r="G947" s="26"/>
      <c r="L947" s="25"/>
      <c r="M947" s="24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6"/>
      <c r="AB947" s="26"/>
      <c r="AC947" s="27"/>
    </row>
    <row r="948" spans="1:29" x14ac:dyDescent="0.25">
      <c r="A948" s="1"/>
      <c r="B948" s="19"/>
      <c r="C948" s="24"/>
      <c r="D948" s="1"/>
      <c r="E948" s="25"/>
      <c r="F948" s="26"/>
      <c r="G948" s="26"/>
      <c r="L948" s="25"/>
      <c r="M948" s="24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6"/>
      <c r="AB948" s="26"/>
      <c r="AC948" s="27"/>
    </row>
    <row r="949" spans="1:29" x14ac:dyDescent="0.25">
      <c r="A949" s="1"/>
      <c r="B949" s="19"/>
      <c r="C949" s="24"/>
      <c r="D949" s="1"/>
      <c r="E949" s="25"/>
      <c r="F949" s="26"/>
      <c r="G949" s="26"/>
      <c r="L949" s="25"/>
      <c r="M949" s="24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6"/>
      <c r="AB949" s="26"/>
      <c r="AC949" s="27"/>
    </row>
    <row r="950" spans="1:29" x14ac:dyDescent="0.25">
      <c r="A950" s="1"/>
      <c r="B950" s="19"/>
      <c r="C950" s="24"/>
      <c r="D950" s="1"/>
      <c r="E950" s="25"/>
      <c r="F950" s="26"/>
      <c r="G950" s="26"/>
      <c r="L950" s="25"/>
      <c r="M950" s="24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6"/>
      <c r="AB950" s="26"/>
      <c r="AC950" s="27"/>
    </row>
    <row r="951" spans="1:29" x14ac:dyDescent="0.25">
      <c r="A951" s="1"/>
      <c r="B951" s="19"/>
      <c r="C951" s="24"/>
      <c r="D951" s="1"/>
      <c r="E951" s="25"/>
      <c r="F951" s="26"/>
      <c r="G951" s="26"/>
      <c r="L951" s="25"/>
      <c r="M951" s="24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6"/>
      <c r="AB951" s="26"/>
      <c r="AC951" s="27"/>
    </row>
    <row r="952" spans="1:29" x14ac:dyDescent="0.25">
      <c r="A952" s="1"/>
      <c r="B952" s="19"/>
      <c r="C952" s="24"/>
      <c r="D952" s="1"/>
      <c r="E952" s="25"/>
      <c r="F952" s="26"/>
      <c r="G952" s="26"/>
      <c r="L952" s="25"/>
      <c r="M952" s="24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6"/>
      <c r="AB952" s="26"/>
      <c r="AC952" s="27"/>
    </row>
    <row r="953" spans="1:29" x14ac:dyDescent="0.25">
      <c r="A953" s="1"/>
      <c r="B953" s="19"/>
      <c r="C953" s="24"/>
      <c r="D953" s="1"/>
      <c r="E953" s="25"/>
      <c r="F953" s="26"/>
      <c r="G953" s="26"/>
      <c r="L953" s="25"/>
      <c r="M953" s="24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6"/>
      <c r="AB953" s="26"/>
      <c r="AC953" s="27"/>
    </row>
    <row r="954" spans="1:29" x14ac:dyDescent="0.25">
      <c r="A954" s="1"/>
      <c r="B954" s="19"/>
      <c r="C954" s="24"/>
      <c r="D954" s="1"/>
      <c r="E954" s="25"/>
      <c r="F954" s="26"/>
      <c r="G954" s="26"/>
      <c r="L954" s="25"/>
      <c r="M954" s="24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6"/>
      <c r="AB954" s="26"/>
      <c r="AC954" s="27"/>
    </row>
    <row r="955" spans="1:29" x14ac:dyDescent="0.25">
      <c r="A955" s="1"/>
      <c r="B955" s="19"/>
      <c r="C955" s="24"/>
      <c r="D955" s="1"/>
      <c r="E955" s="25"/>
      <c r="F955" s="26"/>
      <c r="G955" s="26"/>
      <c r="L955" s="25"/>
      <c r="M955" s="24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6"/>
      <c r="AB955" s="26"/>
      <c r="AC955" s="27"/>
    </row>
    <row r="956" spans="1:29" x14ac:dyDescent="0.25">
      <c r="A956" s="1"/>
      <c r="B956" s="19"/>
      <c r="C956" s="24"/>
      <c r="D956" s="1"/>
      <c r="E956" s="25"/>
      <c r="F956" s="26"/>
      <c r="G956" s="26"/>
      <c r="L956" s="25"/>
      <c r="M956" s="24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6"/>
      <c r="AB956" s="26"/>
      <c r="AC956" s="27"/>
    </row>
    <row r="957" spans="1:29" x14ac:dyDescent="0.25">
      <c r="A957" s="1"/>
      <c r="B957" s="19"/>
      <c r="C957" s="24"/>
      <c r="D957" s="1"/>
      <c r="E957" s="25"/>
      <c r="F957" s="26"/>
      <c r="G957" s="26"/>
      <c r="L957" s="25"/>
      <c r="M957" s="24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6"/>
      <c r="AB957" s="26"/>
      <c r="AC957" s="27"/>
    </row>
    <row r="958" spans="1:29" x14ac:dyDescent="0.25">
      <c r="A958" s="1"/>
      <c r="B958" s="19"/>
      <c r="C958" s="24"/>
      <c r="D958" s="1"/>
      <c r="E958" s="25"/>
      <c r="F958" s="26"/>
      <c r="G958" s="26"/>
      <c r="L958" s="25"/>
      <c r="M958" s="24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6"/>
      <c r="AB958" s="26"/>
      <c r="AC958" s="27"/>
    </row>
    <row r="959" spans="1:29" x14ac:dyDescent="0.25">
      <c r="A959" s="1"/>
      <c r="B959" s="19"/>
      <c r="C959" s="24"/>
      <c r="D959" s="1"/>
      <c r="E959" s="25"/>
      <c r="F959" s="26"/>
      <c r="G959" s="26"/>
      <c r="L959" s="25"/>
      <c r="M959" s="24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6"/>
      <c r="AB959" s="26"/>
      <c r="AC959" s="27"/>
    </row>
    <row r="960" spans="1:29" x14ac:dyDescent="0.25">
      <c r="A960" s="1"/>
      <c r="B960" s="19"/>
      <c r="C960" s="24"/>
      <c r="D960" s="1"/>
      <c r="E960" s="25"/>
      <c r="F960" s="26"/>
      <c r="G960" s="26"/>
      <c r="L960" s="25"/>
      <c r="M960" s="24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6"/>
      <c r="AB960" s="26"/>
      <c r="AC960" s="27"/>
    </row>
    <row r="961" spans="1:29" x14ac:dyDescent="0.25">
      <c r="A961" s="1"/>
      <c r="B961" s="19"/>
      <c r="C961" s="24"/>
      <c r="D961" s="1"/>
      <c r="E961" s="25"/>
      <c r="F961" s="26"/>
      <c r="G961" s="26"/>
      <c r="L961" s="25"/>
      <c r="M961" s="24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6"/>
      <c r="AB961" s="26"/>
      <c r="AC961" s="27"/>
    </row>
    <row r="962" spans="1:29" x14ac:dyDescent="0.25">
      <c r="A962" s="1"/>
      <c r="B962" s="19"/>
      <c r="C962" s="24"/>
      <c r="D962" s="1"/>
      <c r="E962" s="25"/>
      <c r="F962" s="26"/>
      <c r="G962" s="26"/>
      <c r="L962" s="25"/>
      <c r="M962" s="24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6"/>
      <c r="AB962" s="26"/>
      <c r="AC962" s="27"/>
    </row>
    <row r="963" spans="1:29" x14ac:dyDescent="0.25">
      <c r="A963" s="1"/>
      <c r="B963" s="19"/>
      <c r="C963" s="24"/>
      <c r="D963" s="1"/>
      <c r="E963" s="25"/>
      <c r="F963" s="26"/>
      <c r="G963" s="26"/>
      <c r="L963" s="25"/>
      <c r="M963" s="24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6"/>
      <c r="AB963" s="26"/>
      <c r="AC963" s="27"/>
    </row>
    <row r="964" spans="1:29" x14ac:dyDescent="0.25">
      <c r="A964" s="1"/>
      <c r="B964" s="19"/>
      <c r="C964" s="24"/>
      <c r="D964" s="1"/>
      <c r="E964" s="25"/>
      <c r="F964" s="26"/>
      <c r="G964" s="26"/>
      <c r="L964" s="25"/>
      <c r="M964" s="24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6"/>
      <c r="AB964" s="26"/>
      <c r="AC964" s="27"/>
    </row>
    <row r="965" spans="1:29" x14ac:dyDescent="0.25">
      <c r="A965" s="1"/>
      <c r="B965" s="19"/>
      <c r="C965" s="24"/>
      <c r="D965" s="1"/>
      <c r="E965" s="25"/>
      <c r="F965" s="26"/>
      <c r="G965" s="26"/>
      <c r="L965" s="25"/>
      <c r="M965" s="24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6"/>
      <c r="AB965" s="26"/>
      <c r="AC965" s="27"/>
    </row>
    <row r="966" spans="1:29" x14ac:dyDescent="0.25">
      <c r="A966" s="1"/>
      <c r="B966" s="19"/>
      <c r="C966" s="24"/>
      <c r="D966" s="1"/>
      <c r="E966" s="25"/>
      <c r="F966" s="26"/>
      <c r="G966" s="26"/>
      <c r="L966" s="25"/>
      <c r="M966" s="24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6"/>
      <c r="AB966" s="26"/>
      <c r="AC966" s="27"/>
    </row>
    <row r="967" spans="1:29" x14ac:dyDescent="0.25">
      <c r="A967" s="1"/>
      <c r="B967" s="19"/>
      <c r="C967" s="24"/>
      <c r="D967" s="1"/>
      <c r="E967" s="25"/>
      <c r="F967" s="26"/>
      <c r="G967" s="26"/>
      <c r="L967" s="25"/>
      <c r="M967" s="24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6"/>
      <c r="AB967" s="26"/>
      <c r="AC967" s="27"/>
    </row>
    <row r="968" spans="1:29" x14ac:dyDescent="0.25">
      <c r="A968" s="1"/>
      <c r="B968" s="19"/>
      <c r="C968" s="24"/>
      <c r="D968" s="1"/>
      <c r="E968" s="25"/>
      <c r="F968" s="26"/>
      <c r="G968" s="26"/>
      <c r="L968" s="25"/>
      <c r="M968" s="24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6"/>
      <c r="AB968" s="26"/>
      <c r="AC968" s="27"/>
    </row>
    <row r="969" spans="1:29" x14ac:dyDescent="0.25">
      <c r="A969" s="1"/>
      <c r="B969" s="19"/>
      <c r="C969" s="24"/>
      <c r="D969" s="1"/>
      <c r="E969" s="25"/>
      <c r="F969" s="26"/>
      <c r="G969" s="26"/>
      <c r="L969" s="25"/>
      <c r="M969" s="24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6"/>
      <c r="AB969" s="26"/>
      <c r="AC969" s="27"/>
    </row>
    <row r="970" spans="1:29" x14ac:dyDescent="0.25">
      <c r="A970" s="1"/>
      <c r="B970" s="19"/>
      <c r="C970" s="24"/>
      <c r="D970" s="1"/>
      <c r="E970" s="25"/>
      <c r="F970" s="26"/>
      <c r="G970" s="26"/>
      <c r="L970" s="25"/>
      <c r="M970" s="24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6"/>
      <c r="AB970" s="26"/>
      <c r="AC970" s="27"/>
    </row>
    <row r="971" spans="1:29" x14ac:dyDescent="0.25">
      <c r="A971" s="1"/>
      <c r="B971" s="19"/>
      <c r="C971" s="24"/>
      <c r="D971" s="1"/>
      <c r="E971" s="25"/>
      <c r="F971" s="26"/>
      <c r="G971" s="26"/>
      <c r="L971" s="25"/>
      <c r="M971" s="24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6"/>
      <c r="AB971" s="26"/>
      <c r="AC971" s="27"/>
    </row>
    <row r="972" spans="1:29" x14ac:dyDescent="0.25">
      <c r="A972" s="1"/>
      <c r="B972" s="19"/>
      <c r="C972" s="24"/>
      <c r="D972" s="1"/>
      <c r="E972" s="25"/>
      <c r="F972" s="26"/>
      <c r="G972" s="26"/>
      <c r="L972" s="25"/>
      <c r="M972" s="24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6"/>
      <c r="AB972" s="26"/>
      <c r="AC972" s="27"/>
    </row>
    <row r="973" spans="1:29" x14ac:dyDescent="0.25">
      <c r="A973" s="1"/>
      <c r="B973" s="19"/>
      <c r="C973" s="24"/>
      <c r="D973" s="1"/>
      <c r="E973" s="25"/>
      <c r="F973" s="26"/>
      <c r="G973" s="26"/>
      <c r="L973" s="25"/>
      <c r="M973" s="24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6"/>
      <c r="AB973" s="26"/>
      <c r="AC973" s="27"/>
    </row>
    <row r="974" spans="1:29" x14ac:dyDescent="0.25">
      <c r="A974" s="1"/>
      <c r="B974" s="19"/>
      <c r="C974" s="24"/>
      <c r="D974" s="1"/>
      <c r="E974" s="25"/>
      <c r="F974" s="26"/>
      <c r="G974" s="26"/>
      <c r="L974" s="25"/>
      <c r="M974" s="24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6"/>
      <c r="AB974" s="26"/>
      <c r="AC974" s="27"/>
    </row>
    <row r="975" spans="1:29" x14ac:dyDescent="0.25">
      <c r="A975" s="1"/>
      <c r="B975" s="19"/>
      <c r="C975" s="24"/>
      <c r="D975" s="1"/>
      <c r="E975" s="25"/>
      <c r="F975" s="26"/>
      <c r="G975" s="26"/>
      <c r="L975" s="25"/>
      <c r="M975" s="24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6"/>
      <c r="AB975" s="26"/>
      <c r="AC975" s="27"/>
    </row>
    <row r="976" spans="1:29" x14ac:dyDescent="0.25">
      <c r="A976" s="1"/>
      <c r="B976" s="19"/>
      <c r="C976" s="24"/>
      <c r="D976" s="1"/>
      <c r="E976" s="25"/>
      <c r="F976" s="26"/>
      <c r="G976" s="26"/>
      <c r="L976" s="25"/>
      <c r="M976" s="24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6"/>
      <c r="AB976" s="26"/>
      <c r="AC976" s="27"/>
    </row>
    <row r="977" spans="1:29" x14ac:dyDescent="0.25">
      <c r="A977" s="1"/>
      <c r="B977" s="19"/>
      <c r="C977" s="24"/>
      <c r="D977" s="1"/>
      <c r="E977" s="25"/>
      <c r="F977" s="26"/>
      <c r="G977" s="26"/>
      <c r="L977" s="25"/>
      <c r="M977" s="24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6"/>
      <c r="AB977" s="26"/>
      <c r="AC977" s="27"/>
    </row>
    <row r="978" spans="1:29" x14ac:dyDescent="0.25">
      <c r="A978" s="1"/>
      <c r="B978" s="19"/>
      <c r="C978" s="24"/>
      <c r="D978" s="1"/>
      <c r="E978" s="25"/>
      <c r="F978" s="26"/>
      <c r="G978" s="26"/>
      <c r="L978" s="25"/>
      <c r="M978" s="24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6"/>
      <c r="AB978" s="26"/>
      <c r="AC978" s="27"/>
    </row>
    <row r="979" spans="1:29" x14ac:dyDescent="0.25">
      <c r="A979" s="1"/>
      <c r="B979" s="19"/>
      <c r="C979" s="24"/>
      <c r="D979" s="1"/>
      <c r="E979" s="25"/>
      <c r="F979" s="26"/>
      <c r="G979" s="26"/>
      <c r="L979" s="25"/>
      <c r="M979" s="24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6"/>
      <c r="AB979" s="26"/>
      <c r="AC979" s="27"/>
    </row>
    <row r="980" spans="1:29" x14ac:dyDescent="0.25">
      <c r="A980" s="1"/>
      <c r="B980" s="19"/>
      <c r="C980" s="24"/>
      <c r="D980" s="1"/>
      <c r="E980" s="25"/>
      <c r="F980" s="26"/>
      <c r="G980" s="26"/>
      <c r="L980" s="25"/>
      <c r="M980" s="24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6"/>
      <c r="AB980" s="26"/>
      <c r="AC980" s="27"/>
    </row>
    <row r="981" spans="1:29" x14ac:dyDescent="0.25">
      <c r="A981" s="1"/>
      <c r="B981" s="19"/>
      <c r="C981" s="24"/>
      <c r="D981" s="1"/>
      <c r="E981" s="25"/>
      <c r="F981" s="26"/>
      <c r="G981" s="26"/>
      <c r="L981" s="25"/>
      <c r="M981" s="24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6"/>
      <c r="AB981" s="26"/>
      <c r="AC981" s="27"/>
    </row>
    <row r="982" spans="1:29" x14ac:dyDescent="0.25">
      <c r="A982" s="1"/>
      <c r="B982" s="19"/>
      <c r="C982" s="24"/>
      <c r="D982" s="1"/>
      <c r="E982" s="25"/>
      <c r="F982" s="26"/>
      <c r="G982" s="26"/>
      <c r="L982" s="25"/>
      <c r="M982" s="24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6"/>
      <c r="AB982" s="26"/>
      <c r="AC982" s="27"/>
    </row>
    <row r="983" spans="1:29" x14ac:dyDescent="0.25">
      <c r="A983" s="1"/>
      <c r="B983" s="19"/>
      <c r="C983" s="24"/>
      <c r="D983" s="1"/>
      <c r="E983" s="25"/>
      <c r="F983" s="26"/>
      <c r="G983" s="26"/>
      <c r="L983" s="25"/>
      <c r="M983" s="24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6"/>
      <c r="AB983" s="26"/>
      <c r="AC983" s="27"/>
    </row>
    <row r="984" spans="1:29" x14ac:dyDescent="0.25">
      <c r="A984" s="1"/>
      <c r="B984" s="19"/>
      <c r="C984" s="24"/>
      <c r="D984" s="1"/>
      <c r="E984" s="25"/>
      <c r="F984" s="26"/>
      <c r="G984" s="26"/>
      <c r="L984" s="25"/>
      <c r="M984" s="24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6"/>
      <c r="AB984" s="26"/>
      <c r="AC984" s="27"/>
    </row>
    <row r="985" spans="1:29" x14ac:dyDescent="0.25">
      <c r="A985" s="1"/>
      <c r="B985" s="19"/>
      <c r="C985" s="24"/>
      <c r="D985" s="1"/>
      <c r="E985" s="25"/>
      <c r="F985" s="26"/>
      <c r="G985" s="26"/>
      <c r="L985" s="25"/>
      <c r="M985" s="24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6"/>
      <c r="AB985" s="26"/>
      <c r="AC985" s="27"/>
    </row>
    <row r="986" spans="1:29" x14ac:dyDescent="0.25">
      <c r="A986" s="1"/>
      <c r="B986" s="19"/>
      <c r="C986" s="24"/>
      <c r="D986" s="1"/>
      <c r="E986" s="25"/>
      <c r="F986" s="26"/>
      <c r="G986" s="26"/>
      <c r="L986" s="25"/>
      <c r="M986" s="24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6"/>
      <c r="AB986" s="26"/>
      <c r="AC986" s="27"/>
    </row>
    <row r="987" spans="1:29" x14ac:dyDescent="0.25">
      <c r="A987" s="1"/>
      <c r="B987" s="19"/>
      <c r="C987" s="24"/>
      <c r="D987" s="1"/>
      <c r="E987" s="25"/>
      <c r="F987" s="26"/>
      <c r="G987" s="26"/>
      <c r="L987" s="25"/>
      <c r="M987" s="24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6"/>
      <c r="AB987" s="26"/>
      <c r="AC987" s="27"/>
    </row>
    <row r="988" spans="1:29" x14ac:dyDescent="0.25">
      <c r="A988" s="1"/>
      <c r="B988" s="19"/>
      <c r="C988" s="24"/>
      <c r="D988" s="1"/>
      <c r="E988" s="25"/>
      <c r="F988" s="26"/>
      <c r="G988" s="26"/>
      <c r="L988" s="25"/>
      <c r="M988" s="24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6"/>
      <c r="AB988" s="26"/>
      <c r="AC988" s="27"/>
    </row>
    <row r="989" spans="1:29" x14ac:dyDescent="0.25">
      <c r="A989" s="1"/>
      <c r="B989" s="19"/>
      <c r="C989" s="24"/>
      <c r="D989" s="1"/>
      <c r="E989" s="25"/>
      <c r="F989" s="26"/>
      <c r="G989" s="26"/>
      <c r="L989" s="25"/>
      <c r="M989" s="24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6"/>
      <c r="AB989" s="26"/>
      <c r="AC989" s="27"/>
    </row>
    <row r="990" spans="1:29" x14ac:dyDescent="0.25">
      <c r="A990" s="1"/>
      <c r="B990" s="19"/>
      <c r="C990" s="24"/>
      <c r="D990" s="1"/>
      <c r="E990" s="25"/>
      <c r="F990" s="26"/>
      <c r="G990" s="26"/>
      <c r="L990" s="25"/>
      <c r="M990" s="24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6"/>
      <c r="AB990" s="26"/>
      <c r="AC990" s="27"/>
    </row>
    <row r="991" spans="1:29" x14ac:dyDescent="0.25">
      <c r="A991" s="1"/>
      <c r="B991" s="19"/>
      <c r="C991" s="24"/>
      <c r="D991" s="1"/>
      <c r="E991" s="25"/>
      <c r="F991" s="26"/>
      <c r="G991" s="26"/>
      <c r="L991" s="25"/>
      <c r="M991" s="24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6"/>
      <c r="AB991" s="26"/>
      <c r="AC991" s="27"/>
    </row>
    <row r="992" spans="1:29" x14ac:dyDescent="0.25">
      <c r="A992" s="1"/>
      <c r="B992" s="19"/>
      <c r="C992" s="24"/>
      <c r="D992" s="1"/>
      <c r="E992" s="25"/>
      <c r="F992" s="26"/>
      <c r="G992" s="26"/>
      <c r="L992" s="25"/>
      <c r="M992" s="24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6"/>
      <c r="AB992" s="26"/>
      <c r="AC992" s="27"/>
    </row>
    <row r="993" spans="1:29" x14ac:dyDescent="0.25">
      <c r="A993" s="1"/>
      <c r="B993" s="19"/>
      <c r="C993" s="24"/>
      <c r="D993" s="1"/>
      <c r="E993" s="25"/>
      <c r="F993" s="26"/>
      <c r="G993" s="26"/>
      <c r="L993" s="25"/>
      <c r="M993" s="24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6"/>
      <c r="AB993" s="26"/>
      <c r="AC993" s="27"/>
    </row>
    <row r="994" spans="1:29" x14ac:dyDescent="0.25">
      <c r="A994" s="1"/>
      <c r="B994" s="19"/>
      <c r="C994" s="24"/>
      <c r="D994" s="1"/>
      <c r="E994" s="25"/>
      <c r="F994" s="26"/>
      <c r="G994" s="26"/>
      <c r="L994" s="25"/>
      <c r="M994" s="24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6"/>
      <c r="AB994" s="26"/>
      <c r="AC994" s="27"/>
    </row>
    <row r="995" spans="1:29" x14ac:dyDescent="0.25">
      <c r="A995" s="1"/>
      <c r="B995" s="19"/>
      <c r="C995" s="24"/>
      <c r="D995" s="1"/>
      <c r="E995" s="25"/>
      <c r="F995" s="26"/>
      <c r="G995" s="26"/>
      <c r="L995" s="25"/>
      <c r="M995" s="24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6"/>
      <c r="AB995" s="26"/>
      <c r="AC995" s="27"/>
    </row>
    <row r="996" spans="1:29" x14ac:dyDescent="0.25">
      <c r="A996" s="1"/>
      <c r="B996" s="19"/>
      <c r="C996" s="24"/>
      <c r="D996" s="1"/>
      <c r="E996" s="25"/>
      <c r="F996" s="26"/>
      <c r="G996" s="26"/>
      <c r="L996" s="25"/>
      <c r="M996" s="24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6"/>
      <c r="AB996" s="26"/>
      <c r="AC996" s="27"/>
    </row>
    <row r="997" spans="1:29" x14ac:dyDescent="0.25">
      <c r="A997" s="1"/>
      <c r="B997" s="19"/>
      <c r="C997" s="24"/>
      <c r="D997" s="1"/>
      <c r="E997" s="25"/>
      <c r="F997" s="26"/>
      <c r="G997" s="26"/>
      <c r="L997" s="25"/>
      <c r="M997" s="24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6"/>
      <c r="AB997" s="26"/>
      <c r="AC997" s="27"/>
    </row>
    <row r="998" spans="1:29" x14ac:dyDescent="0.25">
      <c r="A998" s="1"/>
      <c r="B998" s="19"/>
      <c r="C998" s="24"/>
      <c r="D998" s="1"/>
      <c r="E998" s="25"/>
      <c r="F998" s="26"/>
      <c r="G998" s="26"/>
      <c r="L998" s="25"/>
      <c r="M998" s="24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6"/>
      <c r="AB998" s="26"/>
      <c r="AC998" s="27"/>
    </row>
    <row r="999" spans="1:29" x14ac:dyDescent="0.25">
      <c r="A999" s="1"/>
      <c r="B999" s="19"/>
      <c r="C999" s="24"/>
      <c r="D999" s="1"/>
      <c r="E999" s="25"/>
      <c r="F999" s="26"/>
      <c r="G999" s="26"/>
      <c r="L999" s="25"/>
      <c r="M999" s="24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6"/>
      <c r="AB999" s="26"/>
      <c r="AC999" s="27"/>
    </row>
    <row r="1000" spans="1:29" x14ac:dyDescent="0.25">
      <c r="A1000" s="1"/>
      <c r="B1000" s="19"/>
      <c r="C1000" s="24"/>
      <c r="D1000" s="1"/>
      <c r="E1000" s="25"/>
      <c r="F1000" s="26"/>
      <c r="G1000" s="26"/>
      <c r="L1000" s="25"/>
      <c r="M1000" s="24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6"/>
      <c r="AB1000" s="26"/>
      <c r="AC1000" s="27"/>
    </row>
    <row r="1001" spans="1:29" x14ac:dyDescent="0.25">
      <c r="A1001" s="1"/>
      <c r="B1001" s="19"/>
      <c r="C1001" s="24"/>
      <c r="D1001" s="1"/>
      <c r="E1001" s="25"/>
      <c r="F1001" s="26"/>
      <c r="G1001" s="26"/>
      <c r="L1001" s="25"/>
      <c r="M1001" s="24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6"/>
      <c r="AB1001" s="26"/>
      <c r="AC1001" s="27"/>
    </row>
    <row r="1002" spans="1:29" x14ac:dyDescent="0.25">
      <c r="A1002" s="1"/>
      <c r="B1002" s="19"/>
      <c r="C1002" s="24"/>
      <c r="D1002" s="1"/>
      <c r="E1002" s="25"/>
      <c r="F1002" s="26"/>
      <c r="G1002" s="26"/>
      <c r="L1002" s="25"/>
      <c r="M1002" s="24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6"/>
      <c r="AB1002" s="26"/>
      <c r="AC1002" s="27"/>
    </row>
    <row r="1003" spans="1:29" x14ac:dyDescent="0.25">
      <c r="A1003" s="1"/>
      <c r="B1003" s="19"/>
      <c r="C1003" s="24"/>
      <c r="D1003" s="1"/>
      <c r="E1003" s="25"/>
      <c r="F1003" s="26"/>
      <c r="G1003" s="26"/>
      <c r="L1003" s="25"/>
      <c r="M1003" s="24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6"/>
      <c r="AB1003" s="26"/>
      <c r="AC1003" s="27"/>
    </row>
    <row r="1004" spans="1:29" x14ac:dyDescent="0.25">
      <c r="A1004" s="1"/>
      <c r="B1004" s="19"/>
      <c r="C1004" s="24"/>
      <c r="D1004" s="1"/>
      <c r="E1004" s="25"/>
      <c r="F1004" s="26"/>
      <c r="G1004" s="26"/>
      <c r="L1004" s="25"/>
      <c r="M1004" s="24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6"/>
      <c r="AB1004" s="26"/>
      <c r="AC1004" s="27"/>
    </row>
    <row r="1005" spans="1:29" x14ac:dyDescent="0.25">
      <c r="A1005" s="1"/>
      <c r="B1005" s="19"/>
      <c r="C1005" s="24"/>
      <c r="D1005" s="1"/>
      <c r="E1005" s="25"/>
      <c r="F1005" s="26"/>
      <c r="G1005" s="26"/>
      <c r="L1005" s="25"/>
      <c r="M1005" s="24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6"/>
      <c r="AB1005" s="26"/>
      <c r="AC1005" s="27"/>
    </row>
    <row r="1006" spans="1:29" x14ac:dyDescent="0.25">
      <c r="A1006" s="1"/>
      <c r="B1006" s="19"/>
      <c r="C1006" s="24"/>
      <c r="D1006" s="1"/>
      <c r="E1006" s="25"/>
      <c r="F1006" s="26"/>
      <c r="G1006" s="26"/>
      <c r="L1006" s="25"/>
      <c r="M1006" s="24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6"/>
      <c r="AB1006" s="26"/>
      <c r="AC1006" s="27"/>
    </row>
    <row r="1007" spans="1:29" x14ac:dyDescent="0.25">
      <c r="A1007" s="1"/>
      <c r="B1007" s="19"/>
      <c r="C1007" s="24"/>
      <c r="D1007" s="1"/>
      <c r="E1007" s="25"/>
      <c r="F1007" s="26"/>
      <c r="G1007" s="26"/>
      <c r="L1007" s="25"/>
      <c r="M1007" s="24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6"/>
      <c r="AB1007" s="26"/>
      <c r="AC1007" s="27"/>
    </row>
    <row r="1008" spans="1:29" x14ac:dyDescent="0.25">
      <c r="A1008" s="1"/>
      <c r="B1008" s="19"/>
      <c r="C1008" s="24"/>
      <c r="D1008" s="1"/>
      <c r="E1008" s="25"/>
      <c r="F1008" s="26"/>
      <c r="G1008" s="26"/>
      <c r="L1008" s="25"/>
      <c r="M1008" s="24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6"/>
      <c r="AB1008" s="26"/>
      <c r="AC1008" s="27"/>
    </row>
    <row r="1009" spans="1:29" x14ac:dyDescent="0.25">
      <c r="A1009" s="1"/>
      <c r="B1009" s="19"/>
      <c r="C1009" s="24"/>
      <c r="D1009" s="1"/>
      <c r="E1009" s="25"/>
      <c r="F1009" s="26"/>
      <c r="G1009" s="26"/>
      <c r="L1009" s="25"/>
      <c r="M1009" s="24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6"/>
      <c r="AB1009" s="26"/>
      <c r="AC1009" s="27"/>
    </row>
    <row r="1010" spans="1:29" x14ac:dyDescent="0.25">
      <c r="A1010" s="1"/>
      <c r="B1010" s="19"/>
      <c r="C1010" s="24"/>
      <c r="D1010" s="1"/>
      <c r="E1010" s="25"/>
      <c r="F1010" s="26"/>
      <c r="G1010" s="26"/>
      <c r="L1010" s="25"/>
      <c r="M1010" s="24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6"/>
      <c r="AB1010" s="26"/>
      <c r="AC1010" s="27"/>
    </row>
    <row r="1011" spans="1:29" x14ac:dyDescent="0.25">
      <c r="A1011" s="1"/>
      <c r="B1011" s="19"/>
      <c r="C1011" s="24"/>
      <c r="D1011" s="1"/>
      <c r="E1011" s="25"/>
      <c r="F1011" s="26"/>
      <c r="G1011" s="26"/>
      <c r="L1011" s="25"/>
      <c r="M1011" s="24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6"/>
      <c r="AB1011" s="26"/>
      <c r="AC1011" s="27"/>
    </row>
    <row r="1012" spans="1:29" x14ac:dyDescent="0.25">
      <c r="A1012" s="1"/>
      <c r="B1012" s="19"/>
      <c r="C1012" s="24"/>
      <c r="D1012" s="1"/>
      <c r="E1012" s="25"/>
      <c r="F1012" s="26"/>
      <c r="G1012" s="26"/>
      <c r="L1012" s="25"/>
      <c r="M1012" s="24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6"/>
      <c r="AB1012" s="26"/>
      <c r="AC1012" s="27"/>
    </row>
    <row r="1013" spans="1:29" x14ac:dyDescent="0.25">
      <c r="A1013" s="1"/>
      <c r="B1013" s="19"/>
      <c r="C1013" s="24"/>
      <c r="D1013" s="1"/>
      <c r="E1013" s="25"/>
      <c r="F1013" s="26"/>
      <c r="G1013" s="26"/>
      <c r="L1013" s="25"/>
      <c r="M1013" s="24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6"/>
      <c r="AB1013" s="26"/>
      <c r="AC1013" s="27"/>
    </row>
    <row r="1014" spans="1:29" x14ac:dyDescent="0.25">
      <c r="A1014" s="1"/>
      <c r="B1014" s="19"/>
      <c r="C1014" s="24"/>
      <c r="D1014" s="1"/>
      <c r="E1014" s="25"/>
      <c r="F1014" s="26"/>
      <c r="G1014" s="26"/>
      <c r="L1014" s="25"/>
      <c r="M1014" s="24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6"/>
      <c r="AB1014" s="26"/>
      <c r="AC1014" s="27"/>
    </row>
    <row r="1015" spans="1:29" x14ac:dyDescent="0.25">
      <c r="A1015" s="1"/>
      <c r="B1015" s="19"/>
      <c r="C1015" s="24"/>
      <c r="D1015" s="1"/>
      <c r="E1015" s="25"/>
      <c r="F1015" s="26"/>
      <c r="G1015" s="26"/>
      <c r="L1015" s="25"/>
      <c r="M1015" s="24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6"/>
      <c r="AB1015" s="26"/>
      <c r="AC1015" s="27"/>
    </row>
    <row r="1016" spans="1:29" x14ac:dyDescent="0.25">
      <c r="A1016" s="1"/>
      <c r="B1016" s="19"/>
      <c r="C1016" s="24"/>
      <c r="D1016" s="1"/>
      <c r="E1016" s="25"/>
      <c r="F1016" s="26"/>
      <c r="G1016" s="26"/>
      <c r="L1016" s="25"/>
      <c r="M1016" s="24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6"/>
      <c r="AB1016" s="26"/>
      <c r="AC1016" s="27"/>
    </row>
    <row r="1017" spans="1:29" x14ac:dyDescent="0.25">
      <c r="A1017" s="1"/>
      <c r="B1017" s="19"/>
      <c r="C1017" s="24"/>
      <c r="D1017" s="1"/>
      <c r="E1017" s="25"/>
      <c r="F1017" s="26"/>
      <c r="G1017" s="26"/>
      <c r="L1017" s="25"/>
      <c r="M1017" s="24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6"/>
      <c r="AB1017" s="26"/>
      <c r="AC1017" s="27"/>
    </row>
    <row r="1018" spans="1:29" x14ac:dyDescent="0.25">
      <c r="A1018" s="1"/>
      <c r="B1018" s="19"/>
      <c r="C1018" s="24"/>
      <c r="D1018" s="1"/>
      <c r="E1018" s="25"/>
      <c r="F1018" s="26"/>
      <c r="G1018" s="26"/>
      <c r="L1018" s="25"/>
      <c r="M1018" s="24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6"/>
      <c r="AB1018" s="26"/>
      <c r="AC1018" s="27"/>
    </row>
    <row r="1019" spans="1:29" x14ac:dyDescent="0.25">
      <c r="A1019" s="1"/>
      <c r="B1019" s="19"/>
      <c r="C1019" s="24"/>
      <c r="D1019" s="1"/>
      <c r="E1019" s="25"/>
      <c r="F1019" s="26"/>
      <c r="G1019" s="26"/>
      <c r="L1019" s="25"/>
      <c r="M1019" s="24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6"/>
      <c r="AB1019" s="26"/>
      <c r="AC1019" s="27"/>
    </row>
    <row r="1020" spans="1:29" x14ac:dyDescent="0.25">
      <c r="A1020" s="1"/>
      <c r="B1020" s="19"/>
      <c r="C1020" s="24"/>
      <c r="D1020" s="1"/>
      <c r="E1020" s="25"/>
      <c r="F1020" s="26"/>
      <c r="G1020" s="26"/>
      <c r="L1020" s="25"/>
      <c r="M1020" s="24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6"/>
      <c r="AB1020" s="26"/>
      <c r="AC1020" s="27"/>
    </row>
    <row r="1021" spans="1:29" x14ac:dyDescent="0.25">
      <c r="A1021" s="1"/>
      <c r="B1021" s="19"/>
      <c r="C1021" s="24"/>
      <c r="D1021" s="1"/>
      <c r="E1021" s="25"/>
      <c r="F1021" s="26"/>
      <c r="G1021" s="26"/>
      <c r="L1021" s="25"/>
      <c r="M1021" s="24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6"/>
      <c r="AB1021" s="26"/>
      <c r="AC1021" s="27"/>
    </row>
    <row r="1022" spans="1:29" x14ac:dyDescent="0.25">
      <c r="A1022" s="1"/>
      <c r="B1022" s="19"/>
      <c r="C1022" s="24"/>
      <c r="D1022" s="1"/>
      <c r="E1022" s="25"/>
      <c r="F1022" s="26"/>
      <c r="G1022" s="26"/>
      <c r="L1022" s="25"/>
      <c r="M1022" s="24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6"/>
      <c r="AB1022" s="26"/>
      <c r="AC1022" s="27"/>
    </row>
    <row r="1023" spans="1:29" x14ac:dyDescent="0.25">
      <c r="A1023" s="1"/>
      <c r="B1023" s="19"/>
      <c r="C1023" s="24"/>
      <c r="D1023" s="1"/>
      <c r="E1023" s="25"/>
      <c r="F1023" s="26"/>
      <c r="G1023" s="26"/>
      <c r="L1023" s="25"/>
      <c r="M1023" s="24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6"/>
      <c r="AB1023" s="26"/>
      <c r="AC1023" s="27"/>
    </row>
    <row r="1024" spans="1:29" x14ac:dyDescent="0.25">
      <c r="A1024" s="1"/>
      <c r="B1024" s="19"/>
      <c r="C1024" s="24"/>
      <c r="D1024" s="1"/>
      <c r="E1024" s="25"/>
      <c r="F1024" s="26"/>
      <c r="G1024" s="26"/>
      <c r="L1024" s="25"/>
      <c r="M1024" s="24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6"/>
      <c r="AB1024" s="26"/>
      <c r="AC1024" s="27"/>
    </row>
    <row r="1025" spans="1:29" x14ac:dyDescent="0.25">
      <c r="A1025" s="1"/>
      <c r="B1025" s="19"/>
      <c r="C1025" s="24"/>
      <c r="D1025" s="1"/>
      <c r="E1025" s="25"/>
      <c r="F1025" s="26"/>
      <c r="G1025" s="26"/>
      <c r="L1025" s="25"/>
      <c r="M1025" s="24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6"/>
      <c r="AB1025" s="26"/>
      <c r="AC1025" s="27"/>
    </row>
    <row r="1026" spans="1:29" x14ac:dyDescent="0.25">
      <c r="A1026" s="1"/>
      <c r="B1026" s="19"/>
      <c r="C1026" s="24"/>
      <c r="D1026" s="1"/>
      <c r="E1026" s="25"/>
      <c r="F1026" s="26"/>
      <c r="G1026" s="26"/>
      <c r="L1026" s="25"/>
      <c r="M1026" s="24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6"/>
      <c r="AB1026" s="26"/>
      <c r="AC1026" s="27"/>
    </row>
    <row r="1027" spans="1:29" x14ac:dyDescent="0.25">
      <c r="A1027" s="1"/>
      <c r="B1027" s="19"/>
      <c r="C1027" s="24"/>
      <c r="D1027" s="1"/>
      <c r="E1027" s="25"/>
      <c r="F1027" s="26"/>
      <c r="G1027" s="26"/>
      <c r="L1027" s="25"/>
      <c r="M1027" s="24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6"/>
      <c r="AB1027" s="26"/>
      <c r="AC1027" s="27"/>
    </row>
    <row r="1028" spans="1:29" x14ac:dyDescent="0.25">
      <c r="A1028" s="1"/>
      <c r="B1028" s="19"/>
      <c r="C1028" s="24"/>
      <c r="D1028" s="1"/>
      <c r="E1028" s="25"/>
      <c r="F1028" s="26"/>
      <c r="G1028" s="26"/>
      <c r="L1028" s="25"/>
      <c r="M1028" s="24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6"/>
      <c r="AB1028" s="26"/>
      <c r="AC1028" s="27"/>
    </row>
    <row r="1029" spans="1:29" x14ac:dyDescent="0.25">
      <c r="A1029" s="1"/>
      <c r="B1029" s="19"/>
      <c r="C1029" s="24"/>
      <c r="D1029" s="1"/>
      <c r="E1029" s="25"/>
      <c r="F1029" s="26"/>
      <c r="G1029" s="26"/>
      <c r="L1029" s="25"/>
      <c r="M1029" s="24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6"/>
      <c r="AB1029" s="26"/>
      <c r="AC1029" s="27"/>
    </row>
    <row r="1030" spans="1:29" x14ac:dyDescent="0.25">
      <c r="A1030" s="1"/>
      <c r="B1030" s="19"/>
      <c r="C1030" s="24"/>
      <c r="D1030" s="1"/>
      <c r="E1030" s="25"/>
      <c r="F1030" s="26"/>
      <c r="G1030" s="26"/>
      <c r="L1030" s="25"/>
      <c r="M1030" s="24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6"/>
      <c r="AB1030" s="26"/>
      <c r="AC1030" s="27"/>
    </row>
    <row r="1031" spans="1:29" x14ac:dyDescent="0.25">
      <c r="A1031" s="1"/>
      <c r="B1031" s="19"/>
      <c r="C1031" s="24"/>
      <c r="D1031" s="1"/>
      <c r="E1031" s="25"/>
      <c r="F1031" s="26"/>
      <c r="G1031" s="26"/>
      <c r="L1031" s="25"/>
      <c r="M1031" s="24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6"/>
      <c r="AB1031" s="26"/>
      <c r="AC1031" s="27"/>
    </row>
    <row r="1032" spans="1:29" x14ac:dyDescent="0.25">
      <c r="A1032" s="1"/>
      <c r="B1032" s="19"/>
      <c r="C1032" s="24"/>
      <c r="D1032" s="1"/>
      <c r="E1032" s="25"/>
      <c r="F1032" s="26"/>
      <c r="G1032" s="26"/>
      <c r="L1032" s="25"/>
      <c r="M1032" s="24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6"/>
      <c r="AB1032" s="26"/>
      <c r="AC1032" s="27"/>
    </row>
    <row r="1033" spans="1:29" x14ac:dyDescent="0.25">
      <c r="A1033" s="1"/>
      <c r="B1033" s="19"/>
      <c r="C1033" s="24"/>
      <c r="D1033" s="1"/>
      <c r="E1033" s="25"/>
      <c r="F1033" s="26"/>
      <c r="G1033" s="26"/>
      <c r="L1033" s="25"/>
      <c r="M1033" s="24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6"/>
      <c r="AB1033" s="26"/>
      <c r="AC1033" s="27"/>
    </row>
    <row r="1034" spans="1:29" x14ac:dyDescent="0.25">
      <c r="A1034" s="1"/>
      <c r="B1034" s="19"/>
      <c r="C1034" s="24"/>
      <c r="D1034" s="1"/>
      <c r="E1034" s="25"/>
      <c r="F1034" s="26"/>
      <c r="G1034" s="26"/>
      <c r="L1034" s="25"/>
      <c r="M1034" s="24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6"/>
      <c r="AB1034" s="26"/>
      <c r="AC1034" s="27"/>
    </row>
    <row r="1035" spans="1:29" x14ac:dyDescent="0.25">
      <c r="A1035" s="1"/>
      <c r="B1035" s="19"/>
      <c r="C1035" s="24"/>
      <c r="D1035" s="1"/>
      <c r="E1035" s="25"/>
      <c r="F1035" s="26"/>
      <c r="G1035" s="26"/>
      <c r="L1035" s="25"/>
      <c r="M1035" s="24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6"/>
      <c r="AB1035" s="26"/>
      <c r="AC1035" s="27"/>
    </row>
    <row r="1036" spans="1:29" x14ac:dyDescent="0.25">
      <c r="A1036" s="1"/>
      <c r="B1036" s="19"/>
      <c r="C1036" s="24"/>
      <c r="D1036" s="1"/>
      <c r="E1036" s="25"/>
      <c r="F1036" s="26"/>
      <c r="G1036" s="26"/>
      <c r="L1036" s="25"/>
      <c r="M1036" s="24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6"/>
      <c r="AB1036" s="26"/>
      <c r="AC1036" s="27"/>
    </row>
    <row r="1037" spans="1:29" x14ac:dyDescent="0.25">
      <c r="A1037" s="1"/>
      <c r="B1037" s="19"/>
      <c r="C1037" s="24"/>
      <c r="D1037" s="1"/>
      <c r="E1037" s="25"/>
      <c r="F1037" s="26"/>
      <c r="G1037" s="26"/>
      <c r="L1037" s="25"/>
      <c r="M1037" s="24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6"/>
      <c r="AB1037" s="26"/>
      <c r="AC1037" s="27"/>
    </row>
    <row r="1038" spans="1:29" x14ac:dyDescent="0.25">
      <c r="A1038" s="1"/>
      <c r="B1038" s="19"/>
      <c r="C1038" s="24"/>
      <c r="D1038" s="1"/>
      <c r="E1038" s="25"/>
      <c r="F1038" s="26"/>
      <c r="G1038" s="26"/>
      <c r="L1038" s="25"/>
      <c r="M1038" s="24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6"/>
      <c r="AB1038" s="26"/>
      <c r="AC1038" s="27"/>
    </row>
    <row r="1039" spans="1:29" x14ac:dyDescent="0.25">
      <c r="A1039" s="1"/>
      <c r="B1039" s="19"/>
      <c r="C1039" s="24"/>
      <c r="D1039" s="1"/>
      <c r="E1039" s="25"/>
      <c r="F1039" s="26"/>
      <c r="G1039" s="26"/>
      <c r="L1039" s="25"/>
      <c r="M1039" s="24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6"/>
      <c r="AB1039" s="26"/>
      <c r="AC1039" s="27"/>
    </row>
    <row r="1040" spans="1:29" x14ac:dyDescent="0.25">
      <c r="A1040" s="1"/>
      <c r="B1040" s="19"/>
      <c r="C1040" s="24"/>
      <c r="D1040" s="1"/>
      <c r="E1040" s="25"/>
      <c r="F1040" s="26"/>
      <c r="G1040" s="26"/>
      <c r="L1040" s="25"/>
      <c r="M1040" s="24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6"/>
      <c r="AB1040" s="26"/>
      <c r="AC1040" s="27"/>
    </row>
    <row r="1041" spans="1:29" x14ac:dyDescent="0.25">
      <c r="A1041" s="1"/>
      <c r="B1041" s="19"/>
      <c r="C1041" s="24"/>
      <c r="D1041" s="1"/>
      <c r="E1041" s="25"/>
      <c r="F1041" s="26"/>
      <c r="G1041" s="26"/>
      <c r="L1041" s="25"/>
      <c r="M1041" s="24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6"/>
      <c r="AB1041" s="26"/>
      <c r="AC1041" s="27"/>
    </row>
    <row r="1042" spans="1:29" x14ac:dyDescent="0.25">
      <c r="A1042" s="1"/>
      <c r="B1042" s="19"/>
      <c r="C1042" s="24"/>
      <c r="D1042" s="1"/>
      <c r="E1042" s="25"/>
      <c r="F1042" s="26"/>
      <c r="G1042" s="26"/>
      <c r="L1042" s="25"/>
      <c r="M1042" s="24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6"/>
      <c r="AB1042" s="26"/>
      <c r="AC1042" s="27"/>
    </row>
    <row r="1043" spans="1:29" x14ac:dyDescent="0.25">
      <c r="A1043" s="1"/>
      <c r="B1043" s="19"/>
      <c r="C1043" s="24"/>
      <c r="D1043" s="1"/>
      <c r="E1043" s="25"/>
      <c r="F1043" s="26"/>
      <c r="G1043" s="26"/>
      <c r="L1043" s="25"/>
      <c r="M1043" s="24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6"/>
      <c r="AB1043" s="26"/>
      <c r="AC1043" s="27"/>
    </row>
    <row r="1044" spans="1:29" x14ac:dyDescent="0.25">
      <c r="A1044" s="1"/>
      <c r="B1044" s="19"/>
      <c r="C1044" s="24"/>
      <c r="D1044" s="1"/>
      <c r="E1044" s="25"/>
      <c r="F1044" s="26"/>
      <c r="G1044" s="26"/>
      <c r="L1044" s="25"/>
      <c r="M1044" s="24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6"/>
      <c r="AB1044" s="26"/>
      <c r="AC1044" s="27"/>
    </row>
    <row r="1045" spans="1:29" x14ac:dyDescent="0.25">
      <c r="A1045" s="1"/>
      <c r="B1045" s="19"/>
      <c r="C1045" s="24"/>
      <c r="D1045" s="1"/>
      <c r="E1045" s="25"/>
      <c r="F1045" s="26"/>
      <c r="G1045" s="26"/>
      <c r="L1045" s="25"/>
      <c r="M1045" s="24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6"/>
      <c r="AB1045" s="26"/>
      <c r="AC1045" s="27"/>
    </row>
    <row r="1046" spans="1:29" x14ac:dyDescent="0.25">
      <c r="A1046" s="1"/>
      <c r="B1046" s="19"/>
      <c r="C1046" s="24"/>
      <c r="D1046" s="1"/>
      <c r="E1046" s="25"/>
      <c r="F1046" s="26"/>
      <c r="G1046" s="26"/>
      <c r="L1046" s="25"/>
      <c r="M1046" s="24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6"/>
      <c r="AB1046" s="26"/>
      <c r="AC1046" s="27"/>
    </row>
    <row r="1047" spans="1:29" x14ac:dyDescent="0.25">
      <c r="A1047" s="1"/>
      <c r="B1047" s="19"/>
      <c r="C1047" s="24"/>
      <c r="D1047" s="1"/>
      <c r="E1047" s="25"/>
      <c r="F1047" s="26"/>
      <c r="G1047" s="26"/>
      <c r="L1047" s="25"/>
      <c r="M1047" s="24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6"/>
      <c r="AB1047" s="26"/>
      <c r="AC1047" s="27"/>
    </row>
    <row r="1048" spans="1:29" x14ac:dyDescent="0.25">
      <c r="A1048" s="1"/>
      <c r="B1048" s="19"/>
      <c r="C1048" s="24"/>
      <c r="D1048" s="1"/>
      <c r="E1048" s="25"/>
      <c r="F1048" s="26"/>
      <c r="G1048" s="26"/>
      <c r="L1048" s="25"/>
      <c r="M1048" s="24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6"/>
      <c r="AB1048" s="26"/>
      <c r="AC1048" s="27"/>
    </row>
    <row r="1049" spans="1:29" x14ac:dyDescent="0.25">
      <c r="A1049" s="1"/>
      <c r="B1049" s="19"/>
      <c r="C1049" s="24"/>
      <c r="D1049" s="1"/>
      <c r="E1049" s="25"/>
      <c r="F1049" s="26"/>
      <c r="G1049" s="26"/>
      <c r="L1049" s="25"/>
      <c r="M1049" s="24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6"/>
      <c r="AB1049" s="26"/>
      <c r="AC1049" s="27"/>
    </row>
    <row r="1050" spans="1:29" x14ac:dyDescent="0.25">
      <c r="A1050" s="1"/>
      <c r="B1050" s="19"/>
      <c r="C1050" s="24"/>
      <c r="D1050" s="1"/>
      <c r="E1050" s="25"/>
      <c r="F1050" s="26"/>
      <c r="G1050" s="26"/>
      <c r="L1050" s="25"/>
      <c r="M1050" s="24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6"/>
      <c r="AB1050" s="26"/>
      <c r="AC1050" s="27"/>
    </row>
    <row r="1051" spans="1:29" x14ac:dyDescent="0.25">
      <c r="A1051" s="1"/>
      <c r="B1051" s="19"/>
      <c r="C1051" s="24"/>
      <c r="D1051" s="1"/>
      <c r="E1051" s="25"/>
      <c r="F1051" s="26"/>
      <c r="G1051" s="26"/>
      <c r="L1051" s="25"/>
      <c r="M1051" s="24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6"/>
      <c r="AB1051" s="26"/>
      <c r="AC1051" s="27"/>
    </row>
    <row r="1052" spans="1:29" x14ac:dyDescent="0.25">
      <c r="A1052" s="1"/>
      <c r="B1052" s="19"/>
      <c r="C1052" s="24"/>
      <c r="D1052" s="1"/>
      <c r="E1052" s="25"/>
      <c r="F1052" s="26"/>
      <c r="G1052" s="26"/>
      <c r="L1052" s="25"/>
      <c r="M1052" s="24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6"/>
      <c r="AB1052" s="26"/>
      <c r="AC1052" s="27"/>
    </row>
    <row r="1053" spans="1:29" x14ac:dyDescent="0.25">
      <c r="A1053" s="1"/>
      <c r="B1053" s="19"/>
      <c r="C1053" s="24"/>
      <c r="D1053" s="1"/>
      <c r="E1053" s="25"/>
      <c r="F1053" s="26"/>
      <c r="G1053" s="26"/>
      <c r="L1053" s="25"/>
      <c r="M1053" s="24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6"/>
      <c r="AB1053" s="26"/>
      <c r="AC1053" s="27"/>
    </row>
    <row r="1054" spans="1:29" x14ac:dyDescent="0.25">
      <c r="A1054" s="1"/>
      <c r="B1054" s="19"/>
      <c r="C1054" s="24"/>
      <c r="D1054" s="1"/>
      <c r="E1054" s="25"/>
      <c r="F1054" s="26"/>
      <c r="G1054" s="26"/>
      <c r="L1054" s="25"/>
      <c r="M1054" s="24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6"/>
      <c r="AB1054" s="26"/>
      <c r="AC1054" s="27"/>
    </row>
    <row r="1055" spans="1:29" x14ac:dyDescent="0.25">
      <c r="A1055" s="1"/>
      <c r="B1055" s="19"/>
      <c r="C1055" s="24"/>
      <c r="D1055" s="1"/>
      <c r="E1055" s="25"/>
      <c r="F1055" s="26"/>
      <c r="G1055" s="26"/>
      <c r="L1055" s="25"/>
      <c r="M1055" s="24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6"/>
      <c r="AB1055" s="26"/>
      <c r="AC1055" s="27"/>
    </row>
    <row r="1056" spans="1:29" x14ac:dyDescent="0.25">
      <c r="A1056" s="1"/>
      <c r="B1056" s="19"/>
      <c r="C1056" s="24"/>
      <c r="D1056" s="1"/>
      <c r="E1056" s="25"/>
      <c r="F1056" s="26"/>
      <c r="G1056" s="26"/>
      <c r="L1056" s="25"/>
      <c r="M1056" s="24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6"/>
      <c r="AB1056" s="26"/>
      <c r="AC1056" s="27"/>
    </row>
    <row r="1057" spans="1:29" x14ac:dyDescent="0.25">
      <c r="A1057" s="1"/>
      <c r="B1057" s="19"/>
      <c r="C1057" s="24"/>
      <c r="D1057" s="1"/>
      <c r="E1057" s="25"/>
      <c r="F1057" s="26"/>
      <c r="G1057" s="26"/>
      <c r="L1057" s="25"/>
      <c r="M1057" s="24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6"/>
      <c r="AB1057" s="26"/>
      <c r="AC1057" s="27"/>
    </row>
    <row r="1058" spans="1:29" x14ac:dyDescent="0.25">
      <c r="A1058" s="1"/>
      <c r="B1058" s="19"/>
      <c r="C1058" s="24"/>
      <c r="D1058" s="1"/>
      <c r="E1058" s="25"/>
      <c r="F1058" s="26"/>
      <c r="G1058" s="26"/>
      <c r="L1058" s="25"/>
      <c r="M1058" s="24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6"/>
      <c r="AB1058" s="26"/>
      <c r="AC1058" s="27"/>
    </row>
    <row r="1059" spans="1:29" x14ac:dyDescent="0.25">
      <c r="A1059" s="1"/>
      <c r="B1059" s="19"/>
      <c r="C1059" s="24"/>
      <c r="D1059" s="1"/>
      <c r="E1059" s="25"/>
      <c r="F1059" s="26"/>
      <c r="G1059" s="26"/>
      <c r="L1059" s="25"/>
      <c r="M1059" s="24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6"/>
      <c r="AB1059" s="26"/>
      <c r="AC1059" s="27"/>
    </row>
    <row r="1060" spans="1:29" x14ac:dyDescent="0.25">
      <c r="A1060" s="1"/>
      <c r="B1060" s="19"/>
      <c r="C1060" s="24"/>
      <c r="D1060" s="1"/>
      <c r="E1060" s="25"/>
      <c r="F1060" s="26"/>
      <c r="G1060" s="26"/>
      <c r="L1060" s="25"/>
      <c r="M1060" s="24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6"/>
      <c r="AB1060" s="26"/>
      <c r="AC1060" s="27"/>
    </row>
    <row r="1061" spans="1:29" x14ac:dyDescent="0.25">
      <c r="A1061" s="1"/>
      <c r="B1061" s="19"/>
      <c r="C1061" s="24"/>
      <c r="D1061" s="1"/>
      <c r="E1061" s="25"/>
      <c r="F1061" s="26"/>
      <c r="G1061" s="26"/>
      <c r="L1061" s="25"/>
      <c r="M1061" s="24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6"/>
      <c r="AB1061" s="26"/>
      <c r="AC1061" s="27"/>
    </row>
    <row r="1062" spans="1:29" x14ac:dyDescent="0.25">
      <c r="A1062" s="1"/>
      <c r="B1062" s="19"/>
      <c r="C1062" s="24"/>
      <c r="D1062" s="1"/>
      <c r="E1062" s="25"/>
      <c r="F1062" s="26"/>
      <c r="G1062" s="26"/>
      <c r="L1062" s="25"/>
      <c r="M1062" s="24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6"/>
      <c r="AB1062" s="26"/>
      <c r="AC1062" s="27"/>
    </row>
    <row r="1063" spans="1:29" x14ac:dyDescent="0.25">
      <c r="A1063" s="1"/>
      <c r="B1063" s="19"/>
      <c r="C1063" s="24"/>
      <c r="D1063" s="1"/>
      <c r="E1063" s="25"/>
      <c r="F1063" s="26"/>
      <c r="G1063" s="26"/>
      <c r="L1063" s="25"/>
      <c r="M1063" s="24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6"/>
      <c r="AB1063" s="26"/>
      <c r="AC1063" s="27"/>
    </row>
    <row r="1064" spans="1:29" x14ac:dyDescent="0.25">
      <c r="A1064" s="1"/>
      <c r="B1064" s="19"/>
      <c r="C1064" s="24"/>
      <c r="D1064" s="1"/>
      <c r="E1064" s="25"/>
      <c r="F1064" s="26"/>
      <c r="G1064" s="26"/>
      <c r="L1064" s="25"/>
      <c r="M1064" s="24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6"/>
      <c r="AB1064" s="26"/>
      <c r="AC1064" s="27"/>
    </row>
    <row r="1065" spans="1:29" x14ac:dyDescent="0.25">
      <c r="A1065" s="1"/>
      <c r="B1065" s="19"/>
      <c r="C1065" s="24"/>
      <c r="D1065" s="1"/>
      <c r="E1065" s="25"/>
      <c r="F1065" s="26"/>
      <c r="G1065" s="26"/>
      <c r="L1065" s="25"/>
      <c r="M1065" s="24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6"/>
      <c r="AB1065" s="26"/>
      <c r="AC1065" s="27"/>
    </row>
    <row r="1066" spans="1:29" x14ac:dyDescent="0.25">
      <c r="A1066" s="1"/>
      <c r="B1066" s="19"/>
      <c r="C1066" s="24"/>
      <c r="D1066" s="1"/>
      <c r="E1066" s="25"/>
      <c r="F1066" s="26"/>
      <c r="G1066" s="26"/>
      <c r="L1066" s="25"/>
      <c r="M1066" s="24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6"/>
      <c r="AB1066" s="26"/>
      <c r="AC1066" s="27"/>
    </row>
    <row r="1067" spans="1:29" x14ac:dyDescent="0.25">
      <c r="A1067" s="1"/>
      <c r="B1067" s="19"/>
      <c r="C1067" s="24"/>
      <c r="D1067" s="1"/>
      <c r="E1067" s="25"/>
      <c r="F1067" s="26"/>
      <c r="G1067" s="26"/>
      <c r="L1067" s="25"/>
      <c r="M1067" s="24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6"/>
      <c r="AB1067" s="26"/>
      <c r="AC1067" s="27"/>
    </row>
    <row r="1068" spans="1:29" x14ac:dyDescent="0.25">
      <c r="A1068" s="1"/>
      <c r="B1068" s="19"/>
      <c r="C1068" s="24"/>
      <c r="D1068" s="1"/>
      <c r="E1068" s="25"/>
      <c r="F1068" s="26"/>
      <c r="G1068" s="26"/>
      <c r="L1068" s="25"/>
      <c r="M1068" s="24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6"/>
      <c r="AB1068" s="26"/>
      <c r="AC1068" s="27"/>
    </row>
    <row r="1069" spans="1:29" x14ac:dyDescent="0.25">
      <c r="A1069" s="1"/>
      <c r="B1069" s="19"/>
      <c r="C1069" s="24"/>
      <c r="D1069" s="1"/>
      <c r="E1069" s="25"/>
      <c r="F1069" s="26"/>
      <c r="G1069" s="26"/>
      <c r="L1069" s="25"/>
      <c r="M1069" s="24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6"/>
      <c r="AB1069" s="26"/>
      <c r="AC1069" s="27"/>
    </row>
    <row r="1070" spans="1:29" x14ac:dyDescent="0.25">
      <c r="A1070" s="1"/>
      <c r="B1070" s="19"/>
      <c r="C1070" s="24"/>
      <c r="D1070" s="1"/>
      <c r="E1070" s="25"/>
      <c r="F1070" s="26"/>
      <c r="G1070" s="26"/>
      <c r="L1070" s="25"/>
      <c r="M1070" s="24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6"/>
      <c r="AB1070" s="26"/>
      <c r="AC1070" s="27"/>
    </row>
    <row r="1071" spans="1:29" x14ac:dyDescent="0.25">
      <c r="A1071" s="1"/>
      <c r="B1071" s="19"/>
      <c r="C1071" s="24"/>
      <c r="D1071" s="1"/>
      <c r="E1071" s="25"/>
      <c r="F1071" s="26"/>
      <c r="G1071" s="26"/>
      <c r="L1071" s="25"/>
      <c r="M1071" s="24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6"/>
      <c r="AB1071" s="26"/>
      <c r="AC1071" s="27"/>
    </row>
    <row r="1072" spans="1:29" x14ac:dyDescent="0.25">
      <c r="A1072" s="1"/>
      <c r="B1072" s="19"/>
      <c r="C1072" s="24"/>
      <c r="D1072" s="1"/>
      <c r="E1072" s="25"/>
      <c r="F1072" s="26"/>
      <c r="G1072" s="26"/>
      <c r="L1072" s="25"/>
      <c r="M1072" s="24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6"/>
      <c r="AB1072" s="26"/>
      <c r="AC1072" s="27"/>
    </row>
    <row r="1073" spans="1:29" x14ac:dyDescent="0.25">
      <c r="A1073" s="1"/>
      <c r="B1073" s="19"/>
      <c r="C1073" s="24"/>
      <c r="D1073" s="1"/>
      <c r="E1073" s="25"/>
      <c r="F1073" s="26"/>
      <c r="G1073" s="26"/>
      <c r="L1073" s="25"/>
      <c r="M1073" s="24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6"/>
      <c r="AB1073" s="26"/>
      <c r="AC1073" s="27"/>
    </row>
    <row r="1074" spans="1:29" x14ac:dyDescent="0.25">
      <c r="A1074" s="1"/>
      <c r="B1074" s="19"/>
      <c r="C1074" s="24"/>
      <c r="D1074" s="1"/>
      <c r="E1074" s="25"/>
      <c r="F1074" s="26"/>
      <c r="G1074" s="26"/>
      <c r="L1074" s="25"/>
      <c r="M1074" s="24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6"/>
      <c r="AB1074" s="26"/>
      <c r="AC1074" s="27"/>
    </row>
    <row r="1075" spans="1:29" x14ac:dyDescent="0.25">
      <c r="A1075" s="1"/>
      <c r="B1075" s="19"/>
      <c r="C1075" s="24"/>
      <c r="D1075" s="1"/>
      <c r="E1075" s="25"/>
      <c r="F1075" s="26"/>
      <c r="G1075" s="26"/>
      <c r="L1075" s="25"/>
      <c r="M1075" s="24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6"/>
      <c r="AB1075" s="26"/>
      <c r="AC1075" s="27"/>
    </row>
    <row r="1076" spans="1:29" x14ac:dyDescent="0.25">
      <c r="A1076" s="1"/>
      <c r="B1076" s="19"/>
      <c r="C1076" s="24"/>
      <c r="D1076" s="1"/>
      <c r="E1076" s="25"/>
      <c r="F1076" s="26"/>
      <c r="G1076" s="26"/>
      <c r="L1076" s="25"/>
      <c r="M1076" s="24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6"/>
      <c r="AB1076" s="26"/>
      <c r="AC1076" s="27"/>
    </row>
    <row r="1077" spans="1:29" x14ac:dyDescent="0.25">
      <c r="A1077" s="1"/>
      <c r="B1077" s="19"/>
      <c r="C1077" s="24"/>
      <c r="D1077" s="1"/>
      <c r="E1077" s="25"/>
      <c r="F1077" s="26"/>
      <c r="G1077" s="26"/>
      <c r="L1077" s="25"/>
      <c r="M1077" s="24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6"/>
      <c r="AB1077" s="26"/>
      <c r="AC1077" s="27"/>
    </row>
    <row r="1078" spans="1:29" x14ac:dyDescent="0.25">
      <c r="A1078" s="1"/>
      <c r="B1078" s="19"/>
      <c r="C1078" s="24"/>
      <c r="D1078" s="1"/>
      <c r="E1078" s="25"/>
      <c r="F1078" s="26"/>
      <c r="G1078" s="26"/>
      <c r="L1078" s="25"/>
      <c r="M1078" s="24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6"/>
      <c r="AB1078" s="26"/>
      <c r="AC1078" s="27"/>
    </row>
    <row r="1079" spans="1:29" x14ac:dyDescent="0.25">
      <c r="A1079" s="1"/>
      <c r="B1079" s="19"/>
      <c r="C1079" s="24"/>
      <c r="D1079" s="1"/>
      <c r="E1079" s="25"/>
      <c r="F1079" s="26"/>
      <c r="G1079" s="26"/>
      <c r="L1079" s="25"/>
      <c r="M1079" s="24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6"/>
      <c r="AB1079" s="26"/>
      <c r="AC1079" s="27"/>
    </row>
    <row r="1080" spans="1:29" x14ac:dyDescent="0.25">
      <c r="A1080" s="1"/>
      <c r="B1080" s="19"/>
      <c r="C1080" s="24"/>
      <c r="D1080" s="1"/>
      <c r="E1080" s="25"/>
      <c r="F1080" s="26"/>
      <c r="G1080" s="26"/>
      <c r="L1080" s="25"/>
      <c r="M1080" s="24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6"/>
      <c r="AB1080" s="26"/>
      <c r="AC1080" s="27"/>
    </row>
    <row r="1081" spans="1:29" x14ac:dyDescent="0.25">
      <c r="A1081" s="1"/>
      <c r="B1081" s="19"/>
      <c r="C1081" s="24"/>
      <c r="D1081" s="1"/>
      <c r="E1081" s="25"/>
      <c r="F1081" s="26"/>
      <c r="G1081" s="26"/>
      <c r="L1081" s="25"/>
      <c r="M1081" s="24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6"/>
      <c r="AB1081" s="26"/>
      <c r="AC1081" s="27"/>
    </row>
    <row r="1082" spans="1:29" x14ac:dyDescent="0.25">
      <c r="A1082" s="1"/>
      <c r="B1082" s="19"/>
      <c r="C1082" s="24"/>
      <c r="D1082" s="1"/>
      <c r="E1082" s="25"/>
      <c r="F1082" s="26"/>
      <c r="G1082" s="26"/>
      <c r="L1082" s="25"/>
      <c r="M1082" s="24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6"/>
      <c r="AB1082" s="26"/>
      <c r="AC1082" s="27"/>
    </row>
    <row r="1083" spans="1:29" x14ac:dyDescent="0.25">
      <c r="A1083" s="1"/>
      <c r="B1083" s="19"/>
      <c r="C1083" s="24"/>
      <c r="D1083" s="1"/>
      <c r="E1083" s="25"/>
      <c r="F1083" s="26"/>
      <c r="G1083" s="26"/>
      <c r="L1083" s="25"/>
      <c r="M1083" s="24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6"/>
      <c r="AB1083" s="26"/>
      <c r="AC1083" s="27"/>
    </row>
    <row r="1084" spans="1:29" x14ac:dyDescent="0.25">
      <c r="A1084" s="1"/>
      <c r="B1084" s="19"/>
      <c r="C1084" s="24"/>
      <c r="D1084" s="1"/>
      <c r="E1084" s="25"/>
      <c r="F1084" s="26"/>
      <c r="G1084" s="26"/>
      <c r="L1084" s="25"/>
      <c r="M1084" s="24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6"/>
      <c r="AB1084" s="26"/>
      <c r="AC1084" s="27"/>
    </row>
    <row r="1085" spans="1:29" x14ac:dyDescent="0.25">
      <c r="A1085" s="1"/>
      <c r="B1085" s="19"/>
      <c r="C1085" s="24"/>
      <c r="D1085" s="1"/>
      <c r="E1085" s="25"/>
      <c r="F1085" s="26"/>
      <c r="G1085" s="26"/>
      <c r="L1085" s="25"/>
      <c r="M1085" s="24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6"/>
      <c r="AB1085" s="26"/>
      <c r="AC1085" s="27"/>
    </row>
    <row r="1086" spans="1:29" x14ac:dyDescent="0.25">
      <c r="A1086" s="1"/>
      <c r="B1086" s="19"/>
      <c r="C1086" s="24"/>
      <c r="D1086" s="1"/>
      <c r="E1086" s="25"/>
      <c r="F1086" s="26"/>
      <c r="G1086" s="26"/>
      <c r="L1086" s="25"/>
      <c r="M1086" s="24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6"/>
      <c r="AB1086" s="26"/>
      <c r="AC1086" s="27"/>
    </row>
    <row r="1087" spans="1:29" x14ac:dyDescent="0.25">
      <c r="A1087" s="1"/>
      <c r="B1087" s="19"/>
      <c r="C1087" s="24"/>
      <c r="D1087" s="1"/>
      <c r="E1087" s="25"/>
      <c r="F1087" s="26"/>
      <c r="G1087" s="26"/>
      <c r="L1087" s="25"/>
      <c r="M1087" s="24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6"/>
      <c r="AB1087" s="26"/>
      <c r="AC1087" s="27"/>
    </row>
    <row r="1088" spans="1:29" x14ac:dyDescent="0.25">
      <c r="A1088" s="1"/>
      <c r="B1088" s="19"/>
      <c r="C1088" s="24"/>
      <c r="D1088" s="1"/>
      <c r="E1088" s="25"/>
      <c r="F1088" s="26"/>
      <c r="G1088" s="26"/>
      <c r="L1088" s="25"/>
      <c r="M1088" s="24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6"/>
      <c r="AB1088" s="26"/>
      <c r="AC1088" s="27"/>
    </row>
    <row r="1089" spans="1:29" x14ac:dyDescent="0.25">
      <c r="A1089" s="1"/>
      <c r="B1089" s="19"/>
      <c r="C1089" s="24"/>
      <c r="D1089" s="1"/>
      <c r="E1089" s="25"/>
      <c r="F1089" s="26"/>
      <c r="G1089" s="26"/>
      <c r="L1089" s="25"/>
      <c r="M1089" s="24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6"/>
      <c r="AB1089" s="26"/>
      <c r="AC1089" s="27"/>
    </row>
    <row r="1090" spans="1:29" x14ac:dyDescent="0.25">
      <c r="A1090" s="1"/>
      <c r="B1090" s="19"/>
      <c r="C1090" s="24"/>
      <c r="D1090" s="1"/>
      <c r="E1090" s="25"/>
      <c r="F1090" s="26"/>
      <c r="G1090" s="26"/>
      <c r="L1090" s="25"/>
      <c r="M1090" s="24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6"/>
      <c r="AB1090" s="26"/>
      <c r="AC1090" s="27"/>
    </row>
    <row r="1091" spans="1:29" x14ac:dyDescent="0.25">
      <c r="A1091" s="1"/>
      <c r="B1091" s="19"/>
      <c r="C1091" s="24"/>
      <c r="D1091" s="1"/>
      <c r="E1091" s="25"/>
      <c r="F1091" s="26"/>
      <c r="G1091" s="26"/>
      <c r="L1091" s="25"/>
      <c r="M1091" s="24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6"/>
      <c r="AB1091" s="26"/>
      <c r="AC1091" s="27"/>
    </row>
    <row r="1092" spans="1:29" x14ac:dyDescent="0.25">
      <c r="A1092" s="1"/>
      <c r="B1092" s="19"/>
      <c r="C1092" s="24"/>
      <c r="D1092" s="1"/>
      <c r="E1092" s="25"/>
      <c r="F1092" s="26"/>
      <c r="G1092" s="26"/>
      <c r="L1092" s="25"/>
      <c r="M1092" s="24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6"/>
      <c r="AB1092" s="26"/>
      <c r="AC1092" s="27"/>
    </row>
    <row r="1093" spans="1:29" x14ac:dyDescent="0.25">
      <c r="A1093" s="1"/>
      <c r="B1093" s="19"/>
      <c r="C1093" s="24"/>
      <c r="D1093" s="1"/>
      <c r="E1093" s="25"/>
      <c r="F1093" s="26"/>
      <c r="G1093" s="26"/>
      <c r="L1093" s="25"/>
      <c r="M1093" s="24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6"/>
      <c r="AB1093" s="26"/>
      <c r="AC1093" s="27"/>
    </row>
    <row r="1094" spans="1:29" x14ac:dyDescent="0.25">
      <c r="A1094" s="1"/>
      <c r="B1094" s="19"/>
      <c r="C1094" s="24"/>
      <c r="D1094" s="1"/>
      <c r="E1094" s="25"/>
      <c r="F1094" s="26"/>
      <c r="G1094" s="26"/>
      <c r="L1094" s="25"/>
      <c r="M1094" s="24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6"/>
      <c r="AB1094" s="26"/>
      <c r="AC1094" s="27"/>
    </row>
    <row r="1095" spans="1:29" x14ac:dyDescent="0.25">
      <c r="A1095" s="1"/>
      <c r="B1095" s="19"/>
      <c r="C1095" s="24"/>
      <c r="D1095" s="1"/>
      <c r="E1095" s="25"/>
      <c r="F1095" s="26"/>
      <c r="G1095" s="26"/>
      <c r="L1095" s="25"/>
      <c r="M1095" s="24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6"/>
      <c r="AB1095" s="26"/>
      <c r="AC1095" s="27"/>
    </row>
    <row r="1096" spans="1:29" x14ac:dyDescent="0.25">
      <c r="A1096" s="1"/>
      <c r="B1096" s="19"/>
      <c r="C1096" s="24"/>
      <c r="D1096" s="1"/>
      <c r="E1096" s="25"/>
      <c r="F1096" s="26"/>
      <c r="G1096" s="26"/>
      <c r="L1096" s="25"/>
      <c r="M1096" s="24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6"/>
      <c r="AB1096" s="26"/>
      <c r="AC1096" s="27"/>
    </row>
    <row r="1097" spans="1:29" x14ac:dyDescent="0.25">
      <c r="A1097" s="1"/>
      <c r="B1097" s="19"/>
      <c r="C1097" s="24"/>
      <c r="D1097" s="1"/>
      <c r="E1097" s="25"/>
      <c r="F1097" s="26"/>
      <c r="G1097" s="26"/>
      <c r="L1097" s="25"/>
      <c r="M1097" s="24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6"/>
      <c r="AB1097" s="26"/>
      <c r="AC1097" s="27"/>
    </row>
    <row r="1098" spans="1:29" x14ac:dyDescent="0.25">
      <c r="A1098" s="1"/>
      <c r="B1098" s="19"/>
      <c r="C1098" s="24"/>
      <c r="D1098" s="1"/>
      <c r="E1098" s="25"/>
      <c r="F1098" s="26"/>
      <c r="G1098" s="26"/>
      <c r="L1098" s="25"/>
      <c r="M1098" s="24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6"/>
      <c r="AB1098" s="26"/>
      <c r="AC1098" s="27"/>
    </row>
    <row r="1099" spans="1:29" x14ac:dyDescent="0.25">
      <c r="A1099" s="1"/>
      <c r="B1099" s="19"/>
      <c r="C1099" s="24"/>
      <c r="D1099" s="1"/>
      <c r="E1099" s="25"/>
      <c r="F1099" s="26"/>
      <c r="G1099" s="26"/>
      <c r="L1099" s="25"/>
      <c r="M1099" s="24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6"/>
      <c r="AB1099" s="26"/>
      <c r="AC1099" s="27"/>
    </row>
    <row r="1100" spans="1:29" x14ac:dyDescent="0.25">
      <c r="A1100" s="1"/>
      <c r="B1100" s="19"/>
      <c r="C1100" s="24"/>
      <c r="D1100" s="1"/>
      <c r="E1100" s="25"/>
      <c r="F1100" s="26"/>
      <c r="G1100" s="26"/>
      <c r="L1100" s="25"/>
      <c r="M1100" s="24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6"/>
      <c r="AB1100" s="26"/>
      <c r="AC1100" s="27"/>
    </row>
    <row r="1101" spans="1:29" x14ac:dyDescent="0.25">
      <c r="A1101" s="1"/>
      <c r="B1101" s="19"/>
      <c r="C1101" s="24"/>
      <c r="D1101" s="1"/>
      <c r="E1101" s="25"/>
      <c r="F1101" s="26"/>
      <c r="G1101" s="26"/>
      <c r="L1101" s="25"/>
      <c r="M1101" s="24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6"/>
      <c r="AB1101" s="26"/>
      <c r="AC1101" s="27"/>
    </row>
    <row r="1102" spans="1:29" x14ac:dyDescent="0.25">
      <c r="A1102" s="1"/>
      <c r="B1102" s="19"/>
      <c r="C1102" s="24"/>
      <c r="D1102" s="1"/>
      <c r="E1102" s="25"/>
      <c r="F1102" s="26"/>
      <c r="G1102" s="26"/>
      <c r="L1102" s="25"/>
      <c r="M1102" s="24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6"/>
      <c r="AB1102" s="26"/>
      <c r="AC1102" s="27"/>
    </row>
    <row r="1103" spans="1:29" x14ac:dyDescent="0.25">
      <c r="A1103" s="1"/>
      <c r="B1103" s="19"/>
      <c r="C1103" s="24"/>
      <c r="D1103" s="1"/>
      <c r="E1103" s="25"/>
      <c r="F1103" s="26"/>
      <c r="G1103" s="26"/>
      <c r="L1103" s="25"/>
      <c r="M1103" s="24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6"/>
      <c r="AB1103" s="26"/>
      <c r="AC1103" s="27"/>
    </row>
    <row r="1104" spans="1:29" x14ac:dyDescent="0.25">
      <c r="A1104" s="1"/>
      <c r="B1104" s="19"/>
      <c r="C1104" s="24"/>
      <c r="D1104" s="1"/>
      <c r="E1104" s="25"/>
      <c r="F1104" s="26"/>
      <c r="G1104" s="26"/>
      <c r="L1104" s="25"/>
      <c r="M1104" s="24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6"/>
      <c r="AB1104" s="26"/>
      <c r="AC1104" s="27"/>
    </row>
    <row r="1105" spans="1:29" x14ac:dyDescent="0.25">
      <c r="A1105" s="1"/>
      <c r="B1105" s="19"/>
      <c r="C1105" s="24"/>
      <c r="D1105" s="1"/>
      <c r="E1105" s="25"/>
      <c r="F1105" s="26"/>
      <c r="G1105" s="26"/>
      <c r="L1105" s="25"/>
      <c r="M1105" s="24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6"/>
      <c r="AB1105" s="26"/>
      <c r="AC1105" s="27"/>
    </row>
    <row r="1106" spans="1:29" x14ac:dyDescent="0.25">
      <c r="A1106" s="1"/>
      <c r="B1106" s="19"/>
      <c r="C1106" s="24"/>
      <c r="D1106" s="1"/>
      <c r="E1106" s="25"/>
      <c r="F1106" s="26"/>
      <c r="G1106" s="26"/>
      <c r="L1106" s="25"/>
      <c r="M1106" s="24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6"/>
      <c r="AB1106" s="26"/>
      <c r="AC1106" s="27"/>
    </row>
    <row r="1107" spans="1:29" x14ac:dyDescent="0.25">
      <c r="A1107" s="1"/>
      <c r="B1107" s="19"/>
      <c r="C1107" s="24"/>
      <c r="D1107" s="1"/>
      <c r="E1107" s="25"/>
      <c r="F1107" s="26"/>
      <c r="G1107" s="26"/>
      <c r="L1107" s="25"/>
      <c r="M1107" s="24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6"/>
      <c r="AB1107" s="26"/>
      <c r="AC1107" s="27"/>
    </row>
    <row r="1108" spans="1:29" x14ac:dyDescent="0.25">
      <c r="A1108" s="1"/>
      <c r="B1108" s="19"/>
      <c r="C1108" s="24"/>
      <c r="D1108" s="1"/>
      <c r="E1108" s="25"/>
      <c r="F1108" s="26"/>
      <c r="G1108" s="26"/>
      <c r="L1108" s="25"/>
      <c r="M1108" s="24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6"/>
      <c r="AB1108" s="26"/>
      <c r="AC1108" s="27"/>
    </row>
    <row r="1109" spans="1:29" x14ac:dyDescent="0.25">
      <c r="A1109" s="1"/>
      <c r="B1109" s="19"/>
      <c r="C1109" s="24"/>
      <c r="D1109" s="1"/>
      <c r="E1109" s="25"/>
      <c r="F1109" s="26"/>
      <c r="G1109" s="26"/>
      <c r="L1109" s="25"/>
      <c r="M1109" s="24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6"/>
      <c r="AB1109" s="26"/>
      <c r="AC1109" s="27"/>
    </row>
    <row r="1110" spans="1:29" x14ac:dyDescent="0.25">
      <c r="A1110" s="1"/>
      <c r="B1110" s="19"/>
      <c r="C1110" s="24"/>
      <c r="D1110" s="1"/>
      <c r="E1110" s="25"/>
      <c r="F1110" s="26"/>
      <c r="G1110" s="26"/>
      <c r="L1110" s="25"/>
      <c r="M1110" s="24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6"/>
      <c r="AB1110" s="26"/>
      <c r="AC1110" s="27"/>
    </row>
    <row r="1111" spans="1:29" x14ac:dyDescent="0.25">
      <c r="A1111" s="1"/>
      <c r="B1111" s="19"/>
      <c r="C1111" s="24"/>
      <c r="D1111" s="1"/>
      <c r="E1111" s="25"/>
      <c r="F1111" s="26"/>
      <c r="G1111" s="26"/>
      <c r="L1111" s="25"/>
      <c r="M1111" s="24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6"/>
      <c r="AB1111" s="26"/>
      <c r="AC1111" s="27"/>
    </row>
    <row r="1112" spans="1:29" x14ac:dyDescent="0.25">
      <c r="A1112" s="1"/>
      <c r="B1112" s="19"/>
      <c r="C1112" s="24"/>
      <c r="D1112" s="1"/>
      <c r="E1112" s="25"/>
      <c r="F1112" s="26"/>
      <c r="G1112" s="26"/>
      <c r="L1112" s="25"/>
      <c r="M1112" s="24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6"/>
      <c r="AB1112" s="26"/>
      <c r="AC1112" s="27"/>
    </row>
    <row r="1113" spans="1:29" x14ac:dyDescent="0.25">
      <c r="A1113" s="1"/>
      <c r="B1113" s="19"/>
      <c r="C1113" s="24"/>
      <c r="D1113" s="1"/>
      <c r="E1113" s="25"/>
      <c r="F1113" s="26"/>
      <c r="G1113" s="26"/>
      <c r="L1113" s="25"/>
      <c r="M1113" s="24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6"/>
      <c r="AB1113" s="26"/>
      <c r="AC1113" s="27"/>
    </row>
    <row r="1114" spans="1:29" x14ac:dyDescent="0.25">
      <c r="A1114" s="1"/>
      <c r="B1114" s="19"/>
      <c r="C1114" s="24"/>
      <c r="D1114" s="1"/>
      <c r="E1114" s="25"/>
      <c r="F1114" s="26"/>
      <c r="G1114" s="26"/>
      <c r="L1114" s="25"/>
      <c r="M1114" s="24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6"/>
      <c r="AB1114" s="26"/>
      <c r="AC1114" s="27"/>
    </row>
    <row r="1115" spans="1:29" x14ac:dyDescent="0.25">
      <c r="A1115" s="1"/>
      <c r="B1115" s="19"/>
      <c r="C1115" s="24"/>
      <c r="D1115" s="1"/>
      <c r="E1115" s="25"/>
      <c r="F1115" s="26"/>
      <c r="G1115" s="26"/>
      <c r="L1115" s="25"/>
      <c r="M1115" s="24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6"/>
      <c r="AB1115" s="26"/>
      <c r="AC1115" s="27"/>
    </row>
    <row r="1116" spans="1:29" x14ac:dyDescent="0.25">
      <c r="A1116" s="1"/>
      <c r="B1116" s="19"/>
      <c r="C1116" s="24"/>
      <c r="D1116" s="1"/>
      <c r="E1116" s="25"/>
      <c r="F1116" s="26"/>
      <c r="G1116" s="26"/>
      <c r="L1116" s="25"/>
      <c r="M1116" s="24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6"/>
      <c r="AB1116" s="26"/>
      <c r="AC1116" s="27"/>
    </row>
    <row r="1117" spans="1:29" x14ac:dyDescent="0.25">
      <c r="A1117" s="1"/>
      <c r="B1117" s="19"/>
      <c r="C1117" s="24"/>
      <c r="D1117" s="1"/>
      <c r="E1117" s="25"/>
      <c r="F1117" s="26"/>
      <c r="G1117" s="26"/>
      <c r="L1117" s="25"/>
      <c r="M1117" s="24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6"/>
      <c r="AB1117" s="26"/>
      <c r="AC1117" s="27"/>
    </row>
    <row r="1118" spans="1:29" x14ac:dyDescent="0.25">
      <c r="A1118" s="1"/>
      <c r="B1118" s="19"/>
      <c r="C1118" s="24"/>
      <c r="D1118" s="1"/>
      <c r="E1118" s="25"/>
      <c r="F1118" s="26"/>
      <c r="G1118" s="26"/>
      <c r="L1118" s="25"/>
      <c r="M1118" s="24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6"/>
      <c r="AB1118" s="26"/>
      <c r="AC1118" s="27"/>
    </row>
    <row r="1119" spans="1:29" x14ac:dyDescent="0.25">
      <c r="A1119" s="1"/>
      <c r="B1119" s="19"/>
      <c r="C1119" s="24"/>
      <c r="D1119" s="1"/>
      <c r="E1119" s="25"/>
      <c r="F1119" s="26"/>
      <c r="G1119" s="26"/>
      <c r="L1119" s="25"/>
      <c r="M1119" s="24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6"/>
      <c r="AB1119" s="26"/>
      <c r="AC1119" s="27"/>
    </row>
    <row r="1120" spans="1:29" x14ac:dyDescent="0.25">
      <c r="A1120" s="1"/>
      <c r="B1120" s="19"/>
      <c r="C1120" s="24"/>
      <c r="D1120" s="1"/>
      <c r="E1120" s="25"/>
      <c r="F1120" s="26"/>
      <c r="G1120" s="26"/>
      <c r="L1120" s="25"/>
      <c r="M1120" s="24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6"/>
      <c r="AB1120" s="26"/>
      <c r="AC1120" s="27"/>
    </row>
    <row r="1121" spans="1:29" x14ac:dyDescent="0.25">
      <c r="A1121" s="1"/>
      <c r="B1121" s="19"/>
      <c r="C1121" s="24"/>
      <c r="D1121" s="1"/>
      <c r="E1121" s="25"/>
      <c r="F1121" s="26"/>
      <c r="G1121" s="26"/>
      <c r="L1121" s="25"/>
      <c r="M1121" s="24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6"/>
      <c r="AB1121" s="26"/>
      <c r="AC1121" s="27"/>
    </row>
    <row r="1122" spans="1:29" x14ac:dyDescent="0.25">
      <c r="A1122" s="1"/>
      <c r="B1122" s="19"/>
      <c r="C1122" s="24"/>
      <c r="D1122" s="1"/>
      <c r="E1122" s="25"/>
      <c r="F1122" s="26"/>
      <c r="G1122" s="26"/>
      <c r="L1122" s="25"/>
      <c r="M1122" s="24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6"/>
      <c r="AB1122" s="26"/>
      <c r="AC1122" s="27"/>
    </row>
    <row r="1123" spans="1:29" x14ac:dyDescent="0.25">
      <c r="A1123" s="1"/>
      <c r="B1123" s="19"/>
      <c r="C1123" s="24"/>
      <c r="D1123" s="1"/>
      <c r="E1123" s="25"/>
      <c r="F1123" s="26"/>
      <c r="G1123" s="26"/>
      <c r="L1123" s="25"/>
      <c r="M1123" s="24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6"/>
      <c r="AB1123" s="26"/>
      <c r="AC1123" s="27"/>
    </row>
    <row r="1124" spans="1:29" x14ac:dyDescent="0.25">
      <c r="A1124" s="1"/>
      <c r="B1124" s="19"/>
      <c r="C1124" s="24"/>
      <c r="D1124" s="1"/>
      <c r="E1124" s="25"/>
      <c r="F1124" s="26"/>
      <c r="G1124" s="26"/>
      <c r="L1124" s="25"/>
      <c r="M1124" s="24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6"/>
      <c r="AB1124" s="26"/>
      <c r="AC1124" s="27"/>
    </row>
    <row r="1125" spans="1:29" x14ac:dyDescent="0.25">
      <c r="A1125" s="1"/>
      <c r="B1125" s="19"/>
      <c r="C1125" s="24"/>
      <c r="D1125" s="1"/>
      <c r="E1125" s="25"/>
      <c r="F1125" s="26"/>
      <c r="G1125" s="26"/>
      <c r="L1125" s="25"/>
      <c r="M1125" s="24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6"/>
      <c r="AB1125" s="26"/>
      <c r="AC1125" s="27"/>
    </row>
    <row r="1126" spans="1:29" x14ac:dyDescent="0.25">
      <c r="A1126" s="1"/>
      <c r="B1126" s="19"/>
      <c r="C1126" s="24"/>
      <c r="D1126" s="1"/>
      <c r="E1126" s="25"/>
      <c r="F1126" s="26"/>
      <c r="G1126" s="26"/>
      <c r="L1126" s="25"/>
      <c r="M1126" s="24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6"/>
      <c r="AB1126" s="26"/>
      <c r="AC1126" s="27"/>
    </row>
    <row r="1127" spans="1:29" x14ac:dyDescent="0.25">
      <c r="A1127" s="1"/>
      <c r="B1127" s="19"/>
      <c r="C1127" s="24"/>
      <c r="D1127" s="1"/>
      <c r="E1127" s="25"/>
      <c r="F1127" s="26"/>
      <c r="G1127" s="26"/>
      <c r="L1127" s="25"/>
      <c r="M1127" s="24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6"/>
      <c r="AB1127" s="26"/>
      <c r="AC1127" s="27"/>
    </row>
    <row r="1128" spans="1:29" x14ac:dyDescent="0.25">
      <c r="A1128" s="1"/>
      <c r="B1128" s="19"/>
      <c r="C1128" s="24"/>
      <c r="D1128" s="1"/>
      <c r="E1128" s="25"/>
      <c r="F1128" s="26"/>
      <c r="G1128" s="26"/>
      <c r="L1128" s="25"/>
      <c r="M1128" s="24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6"/>
      <c r="AB1128" s="26"/>
      <c r="AC1128" s="27"/>
    </row>
    <row r="1129" spans="1:29" x14ac:dyDescent="0.25">
      <c r="A1129" s="1"/>
      <c r="B1129" s="19"/>
      <c r="C1129" s="24"/>
      <c r="D1129" s="1"/>
      <c r="E1129" s="25"/>
      <c r="F1129" s="26"/>
      <c r="G1129" s="26"/>
      <c r="L1129" s="25"/>
      <c r="M1129" s="24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6"/>
      <c r="AB1129" s="26"/>
      <c r="AC1129" s="27"/>
    </row>
    <row r="1130" spans="1:29" x14ac:dyDescent="0.25">
      <c r="A1130" s="1"/>
      <c r="B1130" s="19"/>
      <c r="C1130" s="24"/>
      <c r="D1130" s="1"/>
      <c r="E1130" s="25"/>
      <c r="F1130" s="26"/>
      <c r="G1130" s="26"/>
      <c r="L1130" s="25"/>
      <c r="M1130" s="24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6"/>
      <c r="AB1130" s="26"/>
      <c r="AC1130" s="27"/>
    </row>
    <row r="1131" spans="1:29" x14ac:dyDescent="0.25">
      <c r="A1131" s="1"/>
      <c r="B1131" s="19"/>
      <c r="C1131" s="24"/>
      <c r="D1131" s="1"/>
      <c r="E1131" s="25"/>
      <c r="F1131" s="26"/>
      <c r="G1131" s="26"/>
      <c r="L1131" s="25"/>
      <c r="M1131" s="24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6"/>
      <c r="AB1131" s="26"/>
      <c r="AC1131" s="27"/>
    </row>
    <row r="1132" spans="1:29" x14ac:dyDescent="0.25">
      <c r="A1132" s="1"/>
      <c r="B1132" s="19"/>
      <c r="C1132" s="24"/>
      <c r="D1132" s="1"/>
      <c r="E1132" s="25"/>
      <c r="F1132" s="26"/>
      <c r="G1132" s="26"/>
      <c r="L1132" s="25"/>
      <c r="M1132" s="24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6"/>
      <c r="AB1132" s="26"/>
      <c r="AC1132" s="27"/>
    </row>
    <row r="1133" spans="1:29" x14ac:dyDescent="0.25">
      <c r="A1133" s="1"/>
      <c r="B1133" s="19"/>
      <c r="C1133" s="24"/>
      <c r="D1133" s="1"/>
      <c r="E1133" s="25"/>
      <c r="F1133" s="26"/>
      <c r="G1133" s="26"/>
      <c r="L1133" s="25"/>
      <c r="M1133" s="24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6"/>
      <c r="AB1133" s="26"/>
      <c r="AC1133" s="27"/>
    </row>
    <row r="1134" spans="1:29" x14ac:dyDescent="0.25">
      <c r="A1134" s="1"/>
      <c r="B1134" s="19"/>
      <c r="C1134" s="24"/>
      <c r="D1134" s="1"/>
      <c r="E1134" s="25"/>
      <c r="F1134" s="26"/>
      <c r="G1134" s="26"/>
      <c r="L1134" s="25"/>
      <c r="M1134" s="24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6"/>
      <c r="AB1134" s="26"/>
      <c r="AC1134" s="27"/>
    </row>
    <row r="1135" spans="1:29" x14ac:dyDescent="0.25">
      <c r="A1135" s="1"/>
      <c r="B1135" s="19"/>
      <c r="C1135" s="24"/>
      <c r="D1135" s="1"/>
      <c r="E1135" s="25"/>
      <c r="F1135" s="26"/>
      <c r="G1135" s="26"/>
      <c r="L1135" s="25"/>
      <c r="M1135" s="24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6"/>
      <c r="AB1135" s="26"/>
      <c r="AC1135" s="27"/>
    </row>
    <row r="1136" spans="1:29" x14ac:dyDescent="0.25">
      <c r="A1136" s="1"/>
      <c r="B1136" s="19"/>
      <c r="C1136" s="24"/>
      <c r="D1136" s="1"/>
      <c r="E1136" s="25"/>
      <c r="F1136" s="26"/>
      <c r="G1136" s="26"/>
      <c r="L1136" s="25"/>
      <c r="M1136" s="24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6"/>
      <c r="AB1136" s="26"/>
      <c r="AC1136" s="27"/>
    </row>
    <row r="1137" spans="1:29" x14ac:dyDescent="0.25">
      <c r="A1137" s="1"/>
      <c r="B1137" s="19"/>
      <c r="C1137" s="24"/>
      <c r="D1137" s="1"/>
      <c r="E1137" s="25"/>
      <c r="F1137" s="26"/>
      <c r="G1137" s="26"/>
      <c r="L1137" s="25"/>
      <c r="M1137" s="24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6"/>
      <c r="AB1137" s="26"/>
      <c r="AC1137" s="27"/>
    </row>
    <row r="1138" spans="1:29" x14ac:dyDescent="0.25">
      <c r="A1138" s="1"/>
      <c r="B1138" s="19"/>
      <c r="C1138" s="24"/>
      <c r="D1138" s="1"/>
      <c r="E1138" s="25"/>
      <c r="F1138" s="26"/>
      <c r="G1138" s="26"/>
      <c r="L1138" s="25"/>
      <c r="M1138" s="24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6"/>
      <c r="AB1138" s="26"/>
      <c r="AC1138" s="27"/>
    </row>
    <row r="1139" spans="1:29" x14ac:dyDescent="0.25">
      <c r="A1139" s="1"/>
      <c r="B1139" s="19"/>
      <c r="C1139" s="24"/>
      <c r="D1139" s="1"/>
      <c r="E1139" s="25"/>
      <c r="F1139" s="26"/>
      <c r="G1139" s="26"/>
      <c r="L1139" s="25"/>
      <c r="M1139" s="24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6"/>
      <c r="AB1139" s="26"/>
      <c r="AC1139" s="27"/>
    </row>
    <row r="1140" spans="1:29" x14ac:dyDescent="0.25">
      <c r="A1140" s="1"/>
      <c r="B1140" s="19"/>
      <c r="C1140" s="24"/>
      <c r="D1140" s="1"/>
      <c r="E1140" s="25"/>
      <c r="F1140" s="26"/>
      <c r="G1140" s="26"/>
      <c r="L1140" s="25"/>
      <c r="M1140" s="24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6"/>
      <c r="AB1140" s="26"/>
      <c r="AC1140" s="27"/>
    </row>
    <row r="1141" spans="1:29" x14ac:dyDescent="0.25">
      <c r="A1141" s="1"/>
      <c r="B1141" s="19"/>
      <c r="C1141" s="24"/>
      <c r="D1141" s="1"/>
      <c r="E1141" s="25"/>
      <c r="F1141" s="26"/>
      <c r="G1141" s="26"/>
      <c r="L1141" s="25"/>
      <c r="M1141" s="24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6"/>
      <c r="AB1141" s="26"/>
      <c r="AC1141" s="27"/>
    </row>
    <row r="1142" spans="1:29" x14ac:dyDescent="0.25">
      <c r="A1142" s="1"/>
      <c r="B1142" s="19"/>
      <c r="C1142" s="24"/>
      <c r="D1142" s="1"/>
      <c r="E1142" s="25"/>
      <c r="F1142" s="26"/>
      <c r="G1142" s="26"/>
      <c r="L1142" s="25"/>
      <c r="M1142" s="24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6"/>
      <c r="AB1142" s="26"/>
      <c r="AC1142" s="27"/>
    </row>
    <row r="1143" spans="1:29" x14ac:dyDescent="0.25">
      <c r="A1143" s="1"/>
      <c r="B1143" s="19"/>
      <c r="C1143" s="24"/>
      <c r="D1143" s="1"/>
      <c r="E1143" s="25"/>
      <c r="F1143" s="26"/>
      <c r="G1143" s="26"/>
      <c r="L1143" s="25"/>
      <c r="M1143" s="24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6"/>
      <c r="AB1143" s="26"/>
      <c r="AC1143" s="27"/>
    </row>
    <row r="1144" spans="1:29" x14ac:dyDescent="0.25">
      <c r="A1144" s="1"/>
      <c r="B1144" s="19"/>
      <c r="C1144" s="24"/>
      <c r="D1144" s="1"/>
      <c r="E1144" s="25"/>
      <c r="F1144" s="26"/>
      <c r="G1144" s="26"/>
      <c r="L1144" s="25"/>
      <c r="M1144" s="24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6"/>
      <c r="AB1144" s="26"/>
      <c r="AC1144" s="27"/>
    </row>
    <row r="1145" spans="1:29" x14ac:dyDescent="0.25">
      <c r="A1145" s="1"/>
      <c r="B1145" s="19"/>
      <c r="C1145" s="24"/>
      <c r="D1145" s="1"/>
      <c r="E1145" s="25"/>
      <c r="F1145" s="26"/>
      <c r="G1145" s="26"/>
      <c r="L1145" s="25"/>
      <c r="M1145" s="24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6"/>
      <c r="AB1145" s="26"/>
      <c r="AC1145" s="27"/>
    </row>
    <row r="1146" spans="1:29" x14ac:dyDescent="0.25">
      <c r="A1146" s="1"/>
      <c r="B1146" s="19"/>
      <c r="C1146" s="24"/>
      <c r="D1146" s="1"/>
      <c r="E1146" s="25"/>
      <c r="F1146" s="26"/>
      <c r="G1146" s="26"/>
      <c r="L1146" s="25"/>
      <c r="M1146" s="24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6"/>
      <c r="AB1146" s="26"/>
      <c r="AC1146" s="27"/>
    </row>
    <row r="1147" spans="1:29" x14ac:dyDescent="0.25">
      <c r="A1147" s="1"/>
      <c r="B1147" s="19"/>
      <c r="C1147" s="24"/>
      <c r="D1147" s="1"/>
      <c r="E1147" s="25"/>
      <c r="F1147" s="26"/>
      <c r="G1147" s="26"/>
      <c r="L1147" s="25"/>
      <c r="M1147" s="24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6"/>
      <c r="AB1147" s="26"/>
      <c r="AC1147" s="27"/>
    </row>
    <row r="1148" spans="1:29" x14ac:dyDescent="0.25">
      <c r="A1148" s="1"/>
      <c r="B1148" s="19"/>
      <c r="C1148" s="24"/>
      <c r="D1148" s="1"/>
      <c r="E1148" s="25"/>
      <c r="F1148" s="26"/>
      <c r="G1148" s="26"/>
      <c r="L1148" s="25"/>
      <c r="M1148" s="24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6"/>
      <c r="AB1148" s="26"/>
      <c r="AC1148" s="27"/>
    </row>
    <row r="1149" spans="1:29" x14ac:dyDescent="0.25">
      <c r="A1149" s="1"/>
      <c r="B1149" s="19"/>
      <c r="C1149" s="24"/>
      <c r="D1149" s="1"/>
      <c r="E1149" s="25"/>
      <c r="F1149" s="26"/>
      <c r="G1149" s="26"/>
      <c r="L1149" s="25"/>
      <c r="M1149" s="24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6"/>
      <c r="AB1149" s="26"/>
      <c r="AC1149" s="27"/>
    </row>
    <row r="1150" spans="1:29" x14ac:dyDescent="0.25">
      <c r="A1150" s="1"/>
      <c r="B1150" s="19"/>
      <c r="C1150" s="24"/>
      <c r="D1150" s="1"/>
      <c r="E1150" s="25"/>
      <c r="F1150" s="26"/>
      <c r="G1150" s="26"/>
      <c r="L1150" s="25"/>
      <c r="M1150" s="24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6"/>
      <c r="AB1150" s="26"/>
      <c r="AC1150" s="27"/>
    </row>
    <row r="1151" spans="1:29" x14ac:dyDescent="0.25">
      <c r="A1151" s="1"/>
      <c r="B1151" s="19"/>
      <c r="C1151" s="24"/>
      <c r="D1151" s="1"/>
      <c r="E1151" s="25"/>
      <c r="F1151" s="26"/>
      <c r="G1151" s="26"/>
      <c r="L1151" s="25"/>
      <c r="M1151" s="24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6"/>
      <c r="AB1151" s="26"/>
      <c r="AC1151" s="27"/>
    </row>
    <row r="1152" spans="1:29" x14ac:dyDescent="0.25">
      <c r="A1152" s="1"/>
      <c r="B1152" s="19"/>
      <c r="C1152" s="24"/>
      <c r="D1152" s="1"/>
      <c r="E1152" s="25"/>
      <c r="F1152" s="26"/>
      <c r="G1152" s="26"/>
      <c r="L1152" s="25"/>
      <c r="M1152" s="24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6"/>
      <c r="AB1152" s="26"/>
      <c r="AC1152" s="27"/>
    </row>
    <row r="1153" spans="1:29" x14ac:dyDescent="0.25">
      <c r="A1153" s="1"/>
      <c r="B1153" s="19"/>
      <c r="C1153" s="24"/>
      <c r="D1153" s="1"/>
      <c r="E1153" s="25"/>
      <c r="F1153" s="26"/>
      <c r="G1153" s="26"/>
      <c r="L1153" s="25"/>
      <c r="M1153" s="24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6"/>
      <c r="AB1153" s="26"/>
      <c r="AC1153" s="27"/>
    </row>
    <row r="1154" spans="1:29" x14ac:dyDescent="0.25">
      <c r="A1154" s="1"/>
      <c r="B1154" s="19"/>
      <c r="C1154" s="24"/>
      <c r="D1154" s="1"/>
      <c r="E1154" s="25"/>
      <c r="F1154" s="26"/>
      <c r="G1154" s="26"/>
      <c r="L1154" s="25"/>
      <c r="M1154" s="24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6"/>
      <c r="AB1154" s="26"/>
      <c r="AC1154" s="27"/>
    </row>
    <row r="1155" spans="1:29" x14ac:dyDescent="0.25">
      <c r="A1155" s="1"/>
      <c r="B1155" s="19"/>
      <c r="C1155" s="24"/>
      <c r="D1155" s="1"/>
      <c r="E1155" s="25"/>
      <c r="F1155" s="26"/>
      <c r="G1155" s="26"/>
      <c r="L1155" s="25"/>
      <c r="M1155" s="24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6"/>
      <c r="AB1155" s="26"/>
      <c r="AC1155" s="27"/>
    </row>
    <row r="1156" spans="1:29" x14ac:dyDescent="0.25">
      <c r="A1156" s="1"/>
      <c r="B1156" s="19"/>
      <c r="C1156" s="24"/>
      <c r="D1156" s="1"/>
      <c r="E1156" s="25"/>
      <c r="F1156" s="26"/>
      <c r="G1156" s="26"/>
      <c r="L1156" s="25"/>
      <c r="M1156" s="24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6"/>
      <c r="AB1156" s="26"/>
      <c r="AC1156" s="27"/>
    </row>
    <row r="1157" spans="1:29" x14ac:dyDescent="0.25">
      <c r="A1157" s="1"/>
      <c r="B1157" s="19"/>
      <c r="C1157" s="24"/>
      <c r="D1157" s="1"/>
      <c r="E1157" s="25"/>
      <c r="F1157" s="26"/>
      <c r="G1157" s="26"/>
      <c r="L1157" s="25"/>
      <c r="M1157" s="24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6"/>
      <c r="AB1157" s="26"/>
      <c r="AC1157" s="27"/>
    </row>
    <row r="1158" spans="1:29" x14ac:dyDescent="0.25">
      <c r="A1158" s="1"/>
      <c r="B1158" s="19"/>
      <c r="C1158" s="24"/>
      <c r="D1158" s="1"/>
      <c r="E1158" s="25"/>
      <c r="F1158" s="26"/>
      <c r="G1158" s="26"/>
      <c r="L1158" s="25"/>
      <c r="M1158" s="24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6"/>
      <c r="AB1158" s="26"/>
      <c r="AC1158" s="27"/>
    </row>
    <row r="1159" spans="1:29" x14ac:dyDescent="0.25">
      <c r="A1159" s="1"/>
      <c r="B1159" s="19"/>
      <c r="C1159" s="24"/>
      <c r="D1159" s="1"/>
      <c r="E1159" s="25"/>
      <c r="F1159" s="26"/>
      <c r="G1159" s="26"/>
      <c r="L1159" s="25"/>
      <c r="M1159" s="24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6"/>
      <c r="AB1159" s="26"/>
      <c r="AC1159" s="27"/>
    </row>
    <row r="1160" spans="1:29" x14ac:dyDescent="0.25">
      <c r="A1160" s="1"/>
      <c r="B1160" s="19"/>
      <c r="C1160" s="24"/>
      <c r="D1160" s="1"/>
      <c r="E1160" s="25"/>
      <c r="F1160" s="26"/>
      <c r="G1160" s="26"/>
      <c r="L1160" s="25"/>
      <c r="M1160" s="24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6"/>
      <c r="AB1160" s="26"/>
      <c r="AC1160" s="27"/>
    </row>
    <row r="1161" spans="1:29" x14ac:dyDescent="0.25">
      <c r="A1161" s="1"/>
      <c r="B1161" s="19"/>
      <c r="C1161" s="24"/>
      <c r="D1161" s="1"/>
      <c r="E1161" s="25"/>
      <c r="F1161" s="26"/>
      <c r="G1161" s="26"/>
      <c r="L1161" s="25"/>
      <c r="M1161" s="24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6"/>
      <c r="AB1161" s="26"/>
      <c r="AC1161" s="27"/>
    </row>
    <row r="1162" spans="1:29" x14ac:dyDescent="0.25">
      <c r="A1162" s="1"/>
      <c r="B1162" s="19"/>
      <c r="C1162" s="24"/>
      <c r="D1162" s="1"/>
      <c r="E1162" s="25"/>
      <c r="F1162" s="26"/>
      <c r="G1162" s="26"/>
      <c r="L1162" s="25"/>
      <c r="M1162" s="24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6"/>
      <c r="AB1162" s="26"/>
      <c r="AC1162" s="27"/>
    </row>
    <row r="1163" spans="1:29" x14ac:dyDescent="0.25">
      <c r="A1163" s="1"/>
      <c r="B1163" s="19"/>
      <c r="C1163" s="24"/>
      <c r="D1163" s="1"/>
      <c r="E1163" s="25"/>
      <c r="F1163" s="26"/>
      <c r="G1163" s="26"/>
      <c r="L1163" s="25"/>
      <c r="M1163" s="24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6"/>
      <c r="AB1163" s="26"/>
      <c r="AC1163" s="27"/>
    </row>
    <row r="1164" spans="1:29" x14ac:dyDescent="0.25">
      <c r="A1164" s="1"/>
      <c r="B1164" s="19"/>
      <c r="C1164" s="24"/>
      <c r="D1164" s="1"/>
      <c r="E1164" s="25"/>
      <c r="F1164" s="26"/>
      <c r="G1164" s="26"/>
      <c r="L1164" s="25"/>
      <c r="M1164" s="24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6"/>
      <c r="AB1164" s="26"/>
      <c r="AC1164" s="27"/>
    </row>
    <row r="1165" spans="1:29" x14ac:dyDescent="0.25">
      <c r="A1165" s="1"/>
      <c r="B1165" s="19"/>
      <c r="C1165" s="24"/>
      <c r="D1165" s="1"/>
      <c r="E1165" s="25"/>
      <c r="F1165" s="26"/>
      <c r="G1165" s="26"/>
      <c r="L1165" s="25"/>
      <c r="M1165" s="24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6"/>
      <c r="AB1165" s="26"/>
      <c r="AC1165" s="27"/>
    </row>
    <row r="1166" spans="1:29" x14ac:dyDescent="0.25">
      <c r="A1166" s="1"/>
      <c r="B1166" s="19"/>
      <c r="C1166" s="24"/>
      <c r="D1166" s="1"/>
      <c r="E1166" s="25"/>
      <c r="F1166" s="26"/>
      <c r="G1166" s="26"/>
      <c r="L1166" s="25"/>
      <c r="M1166" s="24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6"/>
      <c r="AB1166" s="26"/>
      <c r="AC1166" s="27"/>
    </row>
    <row r="1167" spans="1:29" x14ac:dyDescent="0.25">
      <c r="A1167" s="1"/>
      <c r="B1167" s="19"/>
      <c r="C1167" s="24"/>
      <c r="D1167" s="1"/>
      <c r="E1167" s="25"/>
      <c r="F1167" s="26"/>
      <c r="G1167" s="26"/>
      <c r="L1167" s="25"/>
      <c r="M1167" s="24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6"/>
      <c r="AB1167" s="26"/>
      <c r="AC1167" s="27"/>
    </row>
    <row r="1168" spans="1:29" x14ac:dyDescent="0.25">
      <c r="A1168" s="1"/>
      <c r="B1168" s="19"/>
      <c r="C1168" s="24"/>
      <c r="D1168" s="1"/>
      <c r="E1168" s="25"/>
      <c r="F1168" s="26"/>
      <c r="G1168" s="26"/>
      <c r="L1168" s="25"/>
      <c r="M1168" s="24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6"/>
      <c r="AB1168" s="26"/>
      <c r="AC1168" s="27"/>
    </row>
    <row r="1169" spans="1:29" x14ac:dyDescent="0.25">
      <c r="A1169" s="1"/>
      <c r="B1169" s="19"/>
      <c r="C1169" s="24"/>
      <c r="D1169" s="1"/>
      <c r="E1169" s="25"/>
      <c r="F1169" s="26"/>
      <c r="G1169" s="26"/>
      <c r="L1169" s="25"/>
      <c r="M1169" s="24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6"/>
      <c r="AB1169" s="26"/>
      <c r="AC1169" s="27"/>
    </row>
    <row r="1170" spans="1:29" x14ac:dyDescent="0.25">
      <c r="A1170" s="1"/>
      <c r="B1170" s="19"/>
      <c r="C1170" s="24"/>
      <c r="D1170" s="1"/>
      <c r="E1170" s="25"/>
      <c r="F1170" s="26"/>
      <c r="G1170" s="26"/>
      <c r="L1170" s="25"/>
      <c r="M1170" s="24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6"/>
      <c r="AB1170" s="26"/>
      <c r="AC1170" s="27"/>
    </row>
    <row r="1171" spans="1:29" x14ac:dyDescent="0.25">
      <c r="A1171" s="1"/>
      <c r="B1171" s="19"/>
      <c r="C1171" s="24"/>
      <c r="D1171" s="1"/>
      <c r="E1171" s="25"/>
      <c r="F1171" s="26"/>
      <c r="G1171" s="26"/>
      <c r="L1171" s="25"/>
      <c r="M1171" s="24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6"/>
      <c r="AB1171" s="26"/>
      <c r="AC1171" s="27"/>
    </row>
    <row r="1172" spans="1:29" x14ac:dyDescent="0.25">
      <c r="A1172" s="1"/>
      <c r="B1172" s="19"/>
      <c r="C1172" s="24"/>
      <c r="D1172" s="1"/>
      <c r="E1172" s="25"/>
      <c r="F1172" s="26"/>
      <c r="G1172" s="26"/>
      <c r="L1172" s="25"/>
      <c r="M1172" s="24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6"/>
      <c r="AB1172" s="26"/>
      <c r="AC1172" s="27"/>
    </row>
    <row r="1173" spans="1:29" x14ac:dyDescent="0.25">
      <c r="A1173" s="1"/>
      <c r="B1173" s="19"/>
      <c r="C1173" s="24"/>
      <c r="D1173" s="1"/>
      <c r="E1173" s="25"/>
      <c r="F1173" s="26"/>
      <c r="G1173" s="26"/>
      <c r="L1173" s="25"/>
      <c r="M1173" s="24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6"/>
      <c r="AB1173" s="26"/>
      <c r="AC1173" s="27"/>
    </row>
    <row r="1174" spans="1:29" x14ac:dyDescent="0.25">
      <c r="A1174" s="1"/>
      <c r="B1174" s="19"/>
      <c r="C1174" s="24"/>
      <c r="D1174" s="1"/>
      <c r="E1174" s="25"/>
      <c r="F1174" s="26"/>
      <c r="G1174" s="26"/>
      <c r="L1174" s="25"/>
      <c r="M1174" s="24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6"/>
      <c r="AB1174" s="26"/>
      <c r="AC1174" s="27"/>
    </row>
    <row r="1175" spans="1:29" x14ac:dyDescent="0.25">
      <c r="A1175" s="1"/>
      <c r="B1175" s="19"/>
      <c r="C1175" s="24"/>
      <c r="D1175" s="1"/>
      <c r="E1175" s="25"/>
      <c r="F1175" s="26"/>
      <c r="G1175" s="26"/>
      <c r="L1175" s="25"/>
      <c r="M1175" s="24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6"/>
      <c r="AB1175" s="26"/>
      <c r="AC1175" s="27"/>
    </row>
    <row r="1176" spans="1:29" x14ac:dyDescent="0.25">
      <c r="A1176" s="1"/>
      <c r="B1176" s="19"/>
      <c r="C1176" s="24"/>
      <c r="D1176" s="1"/>
      <c r="E1176" s="25"/>
      <c r="F1176" s="26"/>
      <c r="G1176" s="26"/>
      <c r="L1176" s="25"/>
      <c r="M1176" s="24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6"/>
      <c r="AB1176" s="26"/>
      <c r="AC1176" s="27"/>
    </row>
    <row r="1177" spans="1:29" x14ac:dyDescent="0.25">
      <c r="A1177" s="1"/>
      <c r="B1177" s="19"/>
      <c r="C1177" s="24"/>
      <c r="D1177" s="1"/>
      <c r="E1177" s="25"/>
      <c r="F1177" s="26"/>
      <c r="G1177" s="26"/>
      <c r="L1177" s="25"/>
      <c r="M1177" s="24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6"/>
      <c r="AB1177" s="26"/>
      <c r="AC1177" s="27"/>
    </row>
    <row r="1178" spans="1:29" x14ac:dyDescent="0.25">
      <c r="A1178" s="1"/>
      <c r="B1178" s="19"/>
      <c r="C1178" s="24"/>
      <c r="D1178" s="1"/>
      <c r="E1178" s="25"/>
      <c r="F1178" s="26"/>
      <c r="G1178" s="26"/>
      <c r="L1178" s="25"/>
      <c r="M1178" s="24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6"/>
      <c r="AB1178" s="26"/>
      <c r="AC1178" s="27"/>
    </row>
    <row r="1179" spans="1:29" x14ac:dyDescent="0.25">
      <c r="A1179" s="1"/>
      <c r="B1179" s="19"/>
      <c r="C1179" s="24"/>
      <c r="D1179" s="1"/>
      <c r="E1179" s="25"/>
      <c r="F1179" s="26"/>
      <c r="G1179" s="26"/>
      <c r="L1179" s="25"/>
      <c r="M1179" s="24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6"/>
      <c r="AB1179" s="26"/>
      <c r="AC1179" s="27"/>
    </row>
    <row r="1180" spans="1:29" x14ac:dyDescent="0.25">
      <c r="A1180" s="1"/>
      <c r="B1180" s="19"/>
      <c r="C1180" s="24"/>
      <c r="D1180" s="1"/>
      <c r="E1180" s="25"/>
      <c r="F1180" s="26"/>
      <c r="G1180" s="26"/>
      <c r="L1180" s="25"/>
      <c r="M1180" s="24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6"/>
      <c r="AB1180" s="26"/>
      <c r="AC1180" s="27"/>
    </row>
    <row r="1181" spans="1:29" x14ac:dyDescent="0.25">
      <c r="A1181" s="1"/>
      <c r="B1181" s="19"/>
      <c r="C1181" s="24"/>
      <c r="D1181" s="1"/>
      <c r="E1181" s="25"/>
      <c r="F1181" s="26"/>
      <c r="G1181" s="26"/>
      <c r="L1181" s="25"/>
      <c r="M1181" s="24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6"/>
      <c r="AB1181" s="26"/>
      <c r="AC1181" s="27"/>
    </row>
    <row r="1182" spans="1:29" x14ac:dyDescent="0.25">
      <c r="A1182" s="1"/>
      <c r="B1182" s="19"/>
      <c r="C1182" s="24"/>
      <c r="D1182" s="1"/>
      <c r="E1182" s="25"/>
      <c r="F1182" s="26"/>
      <c r="G1182" s="26"/>
      <c r="L1182" s="25"/>
      <c r="M1182" s="24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6"/>
      <c r="AB1182" s="26"/>
      <c r="AC1182" s="27"/>
    </row>
    <row r="1183" spans="1:29" x14ac:dyDescent="0.25">
      <c r="A1183" s="1"/>
      <c r="B1183" s="19"/>
      <c r="C1183" s="24"/>
      <c r="D1183" s="1"/>
      <c r="E1183" s="25"/>
      <c r="F1183" s="26"/>
      <c r="G1183" s="26"/>
      <c r="L1183" s="25"/>
      <c r="M1183" s="24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6"/>
      <c r="AB1183" s="26"/>
      <c r="AC1183" s="27"/>
    </row>
    <row r="1184" spans="1:29" x14ac:dyDescent="0.25">
      <c r="A1184" s="1"/>
      <c r="B1184" s="19"/>
      <c r="C1184" s="24"/>
      <c r="D1184" s="1"/>
      <c r="E1184" s="25"/>
      <c r="F1184" s="26"/>
      <c r="G1184" s="26"/>
      <c r="L1184" s="25"/>
      <c r="M1184" s="24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6"/>
      <c r="AB1184" s="26"/>
      <c r="AC1184" s="27"/>
    </row>
    <row r="1185" spans="1:29" x14ac:dyDescent="0.25">
      <c r="A1185" s="1"/>
      <c r="B1185" s="19"/>
      <c r="C1185" s="24"/>
      <c r="D1185" s="1"/>
      <c r="E1185" s="25"/>
      <c r="F1185" s="26"/>
      <c r="G1185" s="26"/>
      <c r="L1185" s="25"/>
      <c r="M1185" s="24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6"/>
      <c r="AB1185" s="26"/>
      <c r="AC1185" s="27"/>
    </row>
    <row r="1186" spans="1:29" x14ac:dyDescent="0.25">
      <c r="A1186" s="1"/>
      <c r="B1186" s="19"/>
      <c r="C1186" s="24"/>
      <c r="D1186" s="1"/>
      <c r="E1186" s="25"/>
      <c r="F1186" s="26"/>
      <c r="G1186" s="26"/>
      <c r="L1186" s="25"/>
      <c r="M1186" s="24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6"/>
      <c r="AB1186" s="26"/>
      <c r="AC1186" s="27"/>
    </row>
    <row r="1187" spans="1:29" x14ac:dyDescent="0.25">
      <c r="A1187" s="1"/>
      <c r="B1187" s="19"/>
      <c r="C1187" s="24"/>
      <c r="D1187" s="1"/>
      <c r="E1187" s="25"/>
      <c r="F1187" s="26"/>
      <c r="G1187" s="26"/>
      <c r="L1187" s="25"/>
      <c r="M1187" s="24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6"/>
      <c r="AB1187" s="26"/>
      <c r="AC1187" s="27"/>
    </row>
    <row r="1188" spans="1:29" x14ac:dyDescent="0.25">
      <c r="A1188" s="1"/>
      <c r="B1188" s="19"/>
      <c r="C1188" s="24"/>
      <c r="D1188" s="1"/>
      <c r="E1188" s="25"/>
      <c r="F1188" s="26"/>
      <c r="G1188" s="26"/>
      <c r="L1188" s="25"/>
      <c r="M1188" s="24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6"/>
      <c r="AB1188" s="26"/>
      <c r="AC1188" s="27"/>
    </row>
    <row r="1189" spans="1:29" x14ac:dyDescent="0.25">
      <c r="A1189" s="1"/>
      <c r="B1189" s="19"/>
      <c r="C1189" s="24"/>
      <c r="D1189" s="1"/>
      <c r="E1189" s="25"/>
      <c r="F1189" s="26"/>
      <c r="G1189" s="26"/>
      <c r="L1189" s="25"/>
      <c r="M1189" s="24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6"/>
      <c r="AB1189" s="26"/>
      <c r="AC1189" s="27"/>
    </row>
    <row r="1190" spans="1:29" x14ac:dyDescent="0.25">
      <c r="A1190" s="1"/>
      <c r="B1190" s="19"/>
      <c r="C1190" s="24"/>
      <c r="D1190" s="1"/>
      <c r="E1190" s="25"/>
      <c r="F1190" s="26"/>
      <c r="G1190" s="26"/>
      <c r="L1190" s="25"/>
      <c r="M1190" s="24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6"/>
      <c r="AB1190" s="26"/>
      <c r="AC1190" s="27"/>
    </row>
    <row r="1191" spans="1:29" x14ac:dyDescent="0.25">
      <c r="A1191" s="1"/>
      <c r="B1191" s="19"/>
      <c r="C1191" s="24"/>
      <c r="D1191" s="1"/>
      <c r="E1191" s="25"/>
      <c r="F1191" s="26"/>
      <c r="G1191" s="26"/>
      <c r="L1191" s="25"/>
      <c r="M1191" s="24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6"/>
      <c r="AB1191" s="26"/>
      <c r="AC1191" s="27"/>
    </row>
    <row r="1192" spans="1:29" x14ac:dyDescent="0.25">
      <c r="A1192" s="1"/>
      <c r="B1192" s="19"/>
      <c r="C1192" s="24"/>
      <c r="D1192" s="1"/>
      <c r="E1192" s="25"/>
      <c r="F1192" s="26"/>
      <c r="G1192" s="26"/>
      <c r="L1192" s="25"/>
      <c r="M1192" s="24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6"/>
      <c r="AB1192" s="26"/>
      <c r="AC1192" s="27"/>
    </row>
    <row r="1193" spans="1:29" x14ac:dyDescent="0.25">
      <c r="A1193" s="1"/>
      <c r="B1193" s="19"/>
      <c r="C1193" s="24"/>
      <c r="D1193" s="1"/>
      <c r="E1193" s="25"/>
      <c r="F1193" s="26"/>
      <c r="G1193" s="26"/>
      <c r="L1193" s="25"/>
      <c r="M1193" s="24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6"/>
      <c r="AB1193" s="26"/>
      <c r="AC1193" s="27"/>
    </row>
    <row r="1194" spans="1:29" x14ac:dyDescent="0.25">
      <c r="A1194" s="1"/>
      <c r="B1194" s="19"/>
      <c r="C1194" s="24"/>
      <c r="D1194" s="1"/>
      <c r="E1194" s="25"/>
      <c r="F1194" s="26"/>
      <c r="G1194" s="26"/>
      <c r="L1194" s="25"/>
      <c r="M1194" s="24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6"/>
      <c r="AB1194" s="26"/>
      <c r="AC1194" s="27"/>
    </row>
    <row r="1195" spans="1:29" x14ac:dyDescent="0.25">
      <c r="A1195" s="1"/>
      <c r="B1195" s="19"/>
      <c r="C1195" s="24"/>
      <c r="D1195" s="1"/>
      <c r="E1195" s="25"/>
      <c r="F1195" s="26"/>
      <c r="G1195" s="26"/>
      <c r="L1195" s="25"/>
      <c r="M1195" s="24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6"/>
      <c r="AB1195" s="26"/>
      <c r="AC1195" s="27"/>
    </row>
    <row r="1196" spans="1:29" x14ac:dyDescent="0.25">
      <c r="A1196" s="1"/>
      <c r="B1196" s="19"/>
      <c r="C1196" s="24"/>
      <c r="D1196" s="1"/>
      <c r="E1196" s="25"/>
      <c r="F1196" s="26"/>
      <c r="G1196" s="26"/>
      <c r="L1196" s="25"/>
      <c r="M1196" s="24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6"/>
      <c r="AB1196" s="26"/>
      <c r="AC1196" s="27"/>
    </row>
    <row r="1197" spans="1:29" x14ac:dyDescent="0.25">
      <c r="A1197" s="1"/>
      <c r="B1197" s="19"/>
      <c r="C1197" s="24"/>
      <c r="D1197" s="1"/>
      <c r="E1197" s="25"/>
      <c r="F1197" s="26"/>
      <c r="G1197" s="26"/>
      <c r="L1197" s="25"/>
      <c r="M1197" s="24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6"/>
      <c r="AB1197" s="26"/>
      <c r="AC1197" s="27"/>
    </row>
    <row r="1198" spans="1:29" x14ac:dyDescent="0.25">
      <c r="A1198" s="1"/>
      <c r="B1198" s="19"/>
      <c r="C1198" s="24"/>
      <c r="D1198" s="1"/>
      <c r="E1198" s="25"/>
      <c r="F1198" s="26"/>
      <c r="G1198" s="26"/>
      <c r="L1198" s="25"/>
      <c r="M1198" s="24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6"/>
      <c r="AB1198" s="26"/>
      <c r="AC1198" s="27"/>
    </row>
    <row r="1199" spans="1:29" x14ac:dyDescent="0.25">
      <c r="A1199" s="1"/>
      <c r="B1199" s="19"/>
      <c r="C1199" s="24"/>
      <c r="D1199" s="1"/>
      <c r="E1199" s="25"/>
      <c r="F1199" s="26"/>
      <c r="G1199" s="26"/>
      <c r="L1199" s="25"/>
      <c r="M1199" s="24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6"/>
      <c r="AB1199" s="26"/>
      <c r="AC1199" s="27"/>
    </row>
    <row r="1200" spans="1:29" x14ac:dyDescent="0.25">
      <c r="A1200" s="1"/>
      <c r="B1200" s="19"/>
      <c r="C1200" s="24"/>
      <c r="D1200" s="1"/>
      <c r="E1200" s="25"/>
      <c r="F1200" s="26"/>
      <c r="G1200" s="26"/>
      <c r="L1200" s="25"/>
      <c r="M1200" s="24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6"/>
      <c r="AB1200" s="26"/>
      <c r="AC1200" s="27"/>
    </row>
    <row r="1201" spans="1:29" x14ac:dyDescent="0.25">
      <c r="A1201" s="1"/>
      <c r="B1201" s="19"/>
      <c r="C1201" s="24"/>
      <c r="D1201" s="1"/>
      <c r="E1201" s="25"/>
      <c r="F1201" s="26"/>
      <c r="G1201" s="26"/>
      <c r="L1201" s="25"/>
      <c r="M1201" s="24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6"/>
      <c r="AB1201" s="26"/>
      <c r="AC1201" s="27"/>
    </row>
    <row r="1202" spans="1:29" x14ac:dyDescent="0.25">
      <c r="A1202" s="1"/>
      <c r="B1202" s="19"/>
      <c r="C1202" s="24"/>
      <c r="D1202" s="1"/>
      <c r="E1202" s="25"/>
      <c r="F1202" s="26"/>
      <c r="G1202" s="26"/>
      <c r="L1202" s="25"/>
      <c r="M1202" s="24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6"/>
      <c r="AB1202" s="26"/>
      <c r="AC1202" s="27"/>
    </row>
    <row r="1203" spans="1:29" x14ac:dyDescent="0.25">
      <c r="A1203" s="1"/>
      <c r="B1203" s="19"/>
      <c r="C1203" s="24"/>
      <c r="D1203" s="1"/>
      <c r="E1203" s="25"/>
      <c r="F1203" s="26"/>
      <c r="G1203" s="26"/>
      <c r="L1203" s="25"/>
      <c r="M1203" s="24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6"/>
      <c r="AB1203" s="26"/>
      <c r="AC1203" s="27"/>
    </row>
    <row r="1204" spans="1:29" x14ac:dyDescent="0.25">
      <c r="A1204" s="1"/>
      <c r="B1204" s="19"/>
      <c r="C1204" s="24"/>
      <c r="D1204" s="1"/>
      <c r="E1204" s="25"/>
      <c r="F1204" s="26"/>
      <c r="G1204" s="26"/>
      <c r="L1204" s="25"/>
      <c r="M1204" s="24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6"/>
      <c r="AB1204" s="26"/>
      <c r="AC1204" s="27"/>
    </row>
    <row r="1205" spans="1:29" x14ac:dyDescent="0.25">
      <c r="A1205" s="1"/>
      <c r="B1205" s="19"/>
      <c r="C1205" s="24"/>
      <c r="D1205" s="1"/>
      <c r="E1205" s="25"/>
      <c r="F1205" s="26"/>
      <c r="G1205" s="26"/>
      <c r="L1205" s="25"/>
      <c r="M1205" s="24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6"/>
      <c r="AB1205" s="26"/>
      <c r="AC1205" s="27"/>
    </row>
    <row r="1206" spans="1:29" x14ac:dyDescent="0.25">
      <c r="A1206" s="1"/>
      <c r="B1206" s="19"/>
      <c r="C1206" s="24"/>
      <c r="D1206" s="1"/>
      <c r="E1206" s="25"/>
      <c r="F1206" s="26"/>
      <c r="G1206" s="26"/>
      <c r="L1206" s="25"/>
      <c r="M1206" s="24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6"/>
      <c r="AB1206" s="26"/>
      <c r="AC1206" s="27"/>
    </row>
    <row r="1207" spans="1:29" x14ac:dyDescent="0.25">
      <c r="A1207" s="1"/>
      <c r="B1207" s="19"/>
      <c r="C1207" s="24"/>
      <c r="D1207" s="1"/>
      <c r="E1207" s="25"/>
      <c r="F1207" s="26"/>
      <c r="G1207" s="26"/>
      <c r="L1207" s="25"/>
      <c r="M1207" s="24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6"/>
      <c r="AB1207" s="26"/>
      <c r="AC1207" s="27"/>
    </row>
    <row r="1208" spans="1:29" x14ac:dyDescent="0.25">
      <c r="A1208" s="1"/>
      <c r="B1208" s="19"/>
      <c r="C1208" s="24"/>
      <c r="D1208" s="1"/>
      <c r="E1208" s="25"/>
      <c r="F1208" s="26"/>
      <c r="G1208" s="26"/>
      <c r="L1208" s="25"/>
      <c r="M1208" s="24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6"/>
      <c r="AB1208" s="26"/>
      <c r="AC1208" s="27"/>
    </row>
    <row r="1209" spans="1:29" x14ac:dyDescent="0.25">
      <c r="A1209" s="1"/>
      <c r="B1209" s="19"/>
      <c r="C1209" s="24"/>
      <c r="D1209" s="1"/>
      <c r="E1209" s="25"/>
      <c r="F1209" s="26"/>
      <c r="G1209" s="26"/>
      <c r="L1209" s="25"/>
      <c r="M1209" s="24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6"/>
      <c r="AB1209" s="26"/>
      <c r="AC1209" s="27"/>
    </row>
    <row r="1210" spans="1:29" x14ac:dyDescent="0.25">
      <c r="A1210" s="1"/>
      <c r="B1210" s="19"/>
      <c r="C1210" s="24"/>
      <c r="D1210" s="1"/>
      <c r="E1210" s="25"/>
      <c r="F1210" s="26"/>
      <c r="G1210" s="26"/>
      <c r="L1210" s="25"/>
      <c r="M1210" s="24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6"/>
      <c r="AB1210" s="26"/>
      <c r="AC1210" s="27"/>
    </row>
    <row r="1211" spans="1:29" x14ac:dyDescent="0.25">
      <c r="A1211" s="1"/>
      <c r="B1211" s="19"/>
      <c r="C1211" s="24"/>
      <c r="D1211" s="1"/>
      <c r="E1211" s="25"/>
      <c r="F1211" s="26"/>
      <c r="G1211" s="26"/>
      <c r="L1211" s="25"/>
      <c r="M1211" s="24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6"/>
      <c r="AB1211" s="26"/>
      <c r="AC1211" s="27"/>
    </row>
    <row r="1212" spans="1:29" x14ac:dyDescent="0.25">
      <c r="A1212" s="1"/>
      <c r="B1212" s="19"/>
      <c r="C1212" s="24"/>
      <c r="D1212" s="1"/>
      <c r="E1212" s="25"/>
      <c r="F1212" s="26"/>
      <c r="G1212" s="26"/>
      <c r="L1212" s="25"/>
      <c r="M1212" s="24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6"/>
      <c r="AB1212" s="26"/>
      <c r="AC1212" s="27"/>
    </row>
    <row r="1213" spans="1:29" x14ac:dyDescent="0.25">
      <c r="A1213" s="1"/>
      <c r="B1213" s="19"/>
      <c r="C1213" s="24"/>
      <c r="D1213" s="1"/>
      <c r="E1213" s="25"/>
      <c r="F1213" s="26"/>
      <c r="G1213" s="26"/>
      <c r="L1213" s="25"/>
      <c r="M1213" s="24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6"/>
      <c r="AB1213" s="26"/>
      <c r="AC1213" s="27"/>
    </row>
    <row r="1214" spans="1:29" x14ac:dyDescent="0.25">
      <c r="A1214" s="1"/>
      <c r="B1214" s="19"/>
      <c r="C1214" s="24"/>
      <c r="D1214" s="1"/>
      <c r="E1214" s="25"/>
      <c r="F1214" s="26"/>
      <c r="G1214" s="26"/>
      <c r="L1214" s="25"/>
      <c r="M1214" s="24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6"/>
      <c r="AB1214" s="26"/>
      <c r="AC1214" s="27"/>
    </row>
    <row r="1215" spans="1:29" x14ac:dyDescent="0.25">
      <c r="A1215" s="1"/>
      <c r="B1215" s="19"/>
      <c r="C1215" s="24"/>
      <c r="D1215" s="1"/>
      <c r="E1215" s="25"/>
      <c r="F1215" s="26"/>
      <c r="G1215" s="26"/>
      <c r="L1215" s="25"/>
      <c r="M1215" s="24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6"/>
      <c r="AB1215" s="26"/>
      <c r="AC1215" s="27"/>
    </row>
    <row r="1216" spans="1:29" x14ac:dyDescent="0.25">
      <c r="A1216" s="1"/>
      <c r="B1216" s="19"/>
      <c r="C1216" s="24"/>
      <c r="D1216" s="1"/>
      <c r="E1216" s="25"/>
      <c r="F1216" s="26"/>
      <c r="G1216" s="26"/>
      <c r="L1216" s="25"/>
      <c r="M1216" s="24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6"/>
      <c r="AB1216" s="26"/>
      <c r="AC1216" s="27"/>
    </row>
    <row r="1217" spans="1:29" x14ac:dyDescent="0.25">
      <c r="A1217" s="1"/>
      <c r="B1217" s="19"/>
      <c r="C1217" s="24"/>
      <c r="D1217" s="1"/>
      <c r="E1217" s="25"/>
      <c r="F1217" s="26"/>
      <c r="G1217" s="26"/>
      <c r="L1217" s="25"/>
      <c r="M1217" s="24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6"/>
      <c r="AB1217" s="26"/>
      <c r="AC1217" s="27"/>
    </row>
    <row r="1218" spans="1:29" x14ac:dyDescent="0.25">
      <c r="A1218" s="1"/>
      <c r="B1218" s="19"/>
      <c r="C1218" s="24"/>
      <c r="D1218" s="1"/>
      <c r="E1218" s="25"/>
      <c r="F1218" s="26"/>
      <c r="G1218" s="26"/>
      <c r="L1218" s="25"/>
      <c r="M1218" s="24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6"/>
      <c r="AB1218" s="26"/>
      <c r="AC1218" s="27"/>
    </row>
    <row r="1219" spans="1:29" x14ac:dyDescent="0.25">
      <c r="A1219" s="1"/>
      <c r="B1219" s="19"/>
      <c r="C1219" s="24"/>
      <c r="D1219" s="1"/>
      <c r="E1219" s="25"/>
      <c r="F1219" s="26"/>
      <c r="G1219" s="26"/>
      <c r="L1219" s="25"/>
      <c r="M1219" s="24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6"/>
      <c r="AB1219" s="26"/>
      <c r="AC1219" s="27"/>
    </row>
    <row r="1220" spans="1:29" x14ac:dyDescent="0.25">
      <c r="A1220" s="1"/>
      <c r="B1220" s="19"/>
      <c r="C1220" s="24"/>
      <c r="D1220" s="1"/>
      <c r="E1220" s="25"/>
      <c r="F1220" s="26"/>
      <c r="G1220" s="26"/>
      <c r="L1220" s="25"/>
      <c r="M1220" s="24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6"/>
      <c r="AB1220" s="26"/>
      <c r="AC1220" s="27"/>
    </row>
    <row r="1221" spans="1:29" x14ac:dyDescent="0.25">
      <c r="A1221" s="1"/>
      <c r="B1221" s="19"/>
      <c r="C1221" s="24"/>
      <c r="D1221" s="1"/>
      <c r="E1221" s="25"/>
      <c r="F1221" s="26"/>
      <c r="G1221" s="26"/>
      <c r="L1221" s="25"/>
      <c r="M1221" s="24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6"/>
      <c r="AB1221" s="26"/>
      <c r="AC1221" s="27"/>
    </row>
    <row r="1222" spans="1:29" x14ac:dyDescent="0.25">
      <c r="A1222" s="1"/>
      <c r="B1222" s="19"/>
      <c r="C1222" s="24"/>
      <c r="D1222" s="1"/>
      <c r="E1222" s="25"/>
      <c r="F1222" s="26"/>
      <c r="G1222" s="26"/>
      <c r="L1222" s="25"/>
      <c r="M1222" s="24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6"/>
      <c r="AB1222" s="26"/>
      <c r="AC1222" s="27"/>
    </row>
    <row r="1223" spans="1:29" x14ac:dyDescent="0.25">
      <c r="A1223" s="1"/>
      <c r="B1223" s="19"/>
      <c r="C1223" s="24"/>
      <c r="D1223" s="1"/>
      <c r="E1223" s="25"/>
      <c r="F1223" s="26"/>
      <c r="G1223" s="26"/>
      <c r="L1223" s="25"/>
      <c r="M1223" s="24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6"/>
      <c r="AB1223" s="26"/>
      <c r="AC1223" s="27"/>
    </row>
    <row r="1224" spans="1:29" x14ac:dyDescent="0.25">
      <c r="A1224" s="1"/>
      <c r="B1224" s="19"/>
      <c r="C1224" s="24"/>
      <c r="D1224" s="1"/>
      <c r="E1224" s="25"/>
      <c r="F1224" s="26"/>
      <c r="G1224" s="26"/>
      <c r="L1224" s="25"/>
      <c r="M1224" s="24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6"/>
      <c r="AB1224" s="26"/>
      <c r="AC1224" s="27"/>
    </row>
    <row r="1225" spans="1:29" x14ac:dyDescent="0.25">
      <c r="A1225" s="1"/>
      <c r="B1225" s="19"/>
      <c r="C1225" s="24"/>
      <c r="D1225" s="1"/>
      <c r="E1225" s="25"/>
      <c r="F1225" s="26"/>
      <c r="G1225" s="26"/>
      <c r="L1225" s="25"/>
      <c r="M1225" s="24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6"/>
      <c r="AB1225" s="26"/>
      <c r="AC1225" s="27"/>
    </row>
    <row r="1226" spans="1:29" x14ac:dyDescent="0.25">
      <c r="A1226" s="1"/>
      <c r="B1226" s="19"/>
      <c r="C1226" s="24"/>
      <c r="D1226" s="1"/>
      <c r="E1226" s="25"/>
      <c r="F1226" s="26"/>
      <c r="G1226" s="26"/>
      <c r="L1226" s="25"/>
      <c r="M1226" s="24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6"/>
      <c r="AB1226" s="26"/>
      <c r="AC1226" s="27"/>
    </row>
    <row r="1227" spans="1:29" x14ac:dyDescent="0.25">
      <c r="A1227" s="1"/>
      <c r="B1227" s="19"/>
      <c r="C1227" s="24"/>
      <c r="D1227" s="1"/>
      <c r="E1227" s="25"/>
      <c r="F1227" s="26"/>
      <c r="G1227" s="26"/>
      <c r="L1227" s="25"/>
      <c r="M1227" s="24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6"/>
      <c r="AB1227" s="26"/>
      <c r="AC1227" s="27"/>
    </row>
    <row r="1228" spans="1:29" x14ac:dyDescent="0.25">
      <c r="A1228" s="1"/>
      <c r="B1228" s="19"/>
      <c r="C1228" s="24"/>
      <c r="D1228" s="1"/>
      <c r="E1228" s="25"/>
      <c r="F1228" s="26"/>
      <c r="G1228" s="26"/>
      <c r="L1228" s="25"/>
      <c r="M1228" s="24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6"/>
      <c r="AB1228" s="26"/>
      <c r="AC1228" s="27"/>
    </row>
    <row r="1229" spans="1:29" x14ac:dyDescent="0.25">
      <c r="A1229" s="1"/>
      <c r="B1229" s="19"/>
      <c r="C1229" s="24"/>
      <c r="D1229" s="1"/>
      <c r="E1229" s="25"/>
      <c r="F1229" s="26"/>
      <c r="G1229" s="26"/>
      <c r="L1229" s="25"/>
      <c r="M1229" s="24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6"/>
      <c r="AB1229" s="26"/>
      <c r="AC1229" s="27"/>
    </row>
    <row r="1230" spans="1:29" x14ac:dyDescent="0.25">
      <c r="A1230" s="1"/>
      <c r="B1230" s="19"/>
      <c r="C1230" s="24"/>
      <c r="D1230" s="1"/>
      <c r="E1230" s="25"/>
      <c r="F1230" s="26"/>
      <c r="G1230" s="26"/>
      <c r="L1230" s="25"/>
      <c r="M1230" s="24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6"/>
      <c r="AB1230" s="26"/>
      <c r="AC1230" s="27"/>
    </row>
    <row r="1231" spans="1:29" x14ac:dyDescent="0.25">
      <c r="A1231" s="1"/>
      <c r="B1231" s="19"/>
      <c r="C1231" s="24"/>
      <c r="D1231" s="1"/>
      <c r="E1231" s="25"/>
      <c r="F1231" s="26"/>
      <c r="G1231" s="26"/>
      <c r="L1231" s="25"/>
      <c r="M1231" s="24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6"/>
      <c r="AB1231" s="26"/>
      <c r="AC1231" s="27"/>
    </row>
    <row r="1232" spans="1:29" x14ac:dyDescent="0.25">
      <c r="A1232" s="1"/>
      <c r="B1232" s="19"/>
      <c r="C1232" s="24"/>
      <c r="D1232" s="1"/>
      <c r="E1232" s="25"/>
      <c r="F1232" s="26"/>
      <c r="G1232" s="26"/>
      <c r="L1232" s="25"/>
      <c r="M1232" s="24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6"/>
      <c r="AB1232" s="26"/>
      <c r="AC1232" s="27"/>
    </row>
    <row r="1233" spans="1:29" x14ac:dyDescent="0.25">
      <c r="A1233" s="1"/>
      <c r="B1233" s="19"/>
      <c r="C1233" s="24"/>
      <c r="D1233" s="1"/>
      <c r="E1233" s="25"/>
      <c r="F1233" s="26"/>
      <c r="G1233" s="26"/>
      <c r="L1233" s="25"/>
      <c r="M1233" s="24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6"/>
      <c r="AB1233" s="26"/>
      <c r="AC1233" s="27"/>
    </row>
    <row r="1234" spans="1:29" x14ac:dyDescent="0.25">
      <c r="A1234" s="1"/>
      <c r="B1234" s="19"/>
      <c r="C1234" s="24"/>
      <c r="D1234" s="1"/>
      <c r="E1234" s="25"/>
      <c r="F1234" s="26"/>
      <c r="G1234" s="26"/>
      <c r="L1234" s="25"/>
      <c r="M1234" s="24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6"/>
      <c r="AB1234" s="26"/>
      <c r="AC1234" s="27"/>
    </row>
    <row r="1235" spans="1:29" x14ac:dyDescent="0.25">
      <c r="A1235" s="1"/>
      <c r="B1235" s="19"/>
      <c r="C1235" s="24"/>
      <c r="D1235" s="1"/>
      <c r="E1235" s="25"/>
      <c r="F1235" s="26"/>
      <c r="G1235" s="26"/>
      <c r="L1235" s="25"/>
      <c r="M1235" s="24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6"/>
      <c r="AB1235" s="26"/>
      <c r="AC1235" s="27"/>
    </row>
    <row r="1236" spans="1:29" x14ac:dyDescent="0.25">
      <c r="A1236" s="1"/>
      <c r="B1236" s="19"/>
      <c r="C1236" s="24"/>
      <c r="D1236" s="1"/>
      <c r="E1236" s="25"/>
      <c r="F1236" s="26"/>
      <c r="G1236" s="26"/>
      <c r="L1236" s="25"/>
      <c r="M1236" s="24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6"/>
      <c r="AB1236" s="26"/>
      <c r="AC1236" s="27"/>
    </row>
    <row r="1237" spans="1:29" x14ac:dyDescent="0.25">
      <c r="A1237" s="1"/>
      <c r="B1237" s="19"/>
      <c r="C1237" s="24"/>
      <c r="D1237" s="1"/>
      <c r="E1237" s="25"/>
      <c r="F1237" s="26"/>
      <c r="G1237" s="26"/>
      <c r="L1237" s="25"/>
      <c r="M1237" s="24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6"/>
      <c r="AB1237" s="26"/>
      <c r="AC1237" s="27"/>
    </row>
    <row r="1238" spans="1:29" x14ac:dyDescent="0.25">
      <c r="A1238" s="1"/>
      <c r="B1238" s="19"/>
      <c r="C1238" s="24"/>
      <c r="D1238" s="1"/>
      <c r="E1238" s="25"/>
      <c r="F1238" s="26"/>
      <c r="G1238" s="26"/>
      <c r="L1238" s="25"/>
      <c r="M1238" s="24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6"/>
      <c r="AB1238" s="26"/>
      <c r="AC1238" s="27"/>
    </row>
    <row r="1239" spans="1:29" x14ac:dyDescent="0.25">
      <c r="A1239" s="1"/>
      <c r="B1239" s="19"/>
      <c r="C1239" s="24"/>
      <c r="D1239" s="1"/>
      <c r="E1239" s="25"/>
      <c r="F1239" s="26"/>
      <c r="G1239" s="26"/>
      <c r="L1239" s="25"/>
      <c r="M1239" s="24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6"/>
      <c r="AB1239" s="26"/>
      <c r="AC1239" s="27"/>
    </row>
    <row r="1240" spans="1:29" x14ac:dyDescent="0.25">
      <c r="A1240" s="1"/>
      <c r="B1240" s="19"/>
      <c r="C1240" s="24"/>
      <c r="D1240" s="1"/>
      <c r="E1240" s="25"/>
      <c r="F1240" s="26"/>
      <c r="G1240" s="26"/>
      <c r="L1240" s="25"/>
      <c r="M1240" s="24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6"/>
      <c r="AB1240" s="26"/>
      <c r="AC1240" s="27"/>
    </row>
    <row r="1241" spans="1:29" x14ac:dyDescent="0.25">
      <c r="A1241" s="1"/>
      <c r="B1241" s="19"/>
      <c r="C1241" s="24"/>
      <c r="D1241" s="1"/>
      <c r="E1241" s="25"/>
      <c r="F1241" s="26"/>
      <c r="G1241" s="26"/>
      <c r="L1241" s="25"/>
      <c r="M1241" s="24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6"/>
      <c r="AB1241" s="26"/>
      <c r="AC1241" s="27"/>
    </row>
    <row r="1242" spans="1:29" x14ac:dyDescent="0.25">
      <c r="A1242" s="1"/>
      <c r="B1242" s="19"/>
      <c r="C1242" s="24"/>
      <c r="D1242" s="1"/>
      <c r="E1242" s="25"/>
      <c r="F1242" s="26"/>
      <c r="G1242" s="26"/>
      <c r="L1242" s="25"/>
      <c r="M1242" s="24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6"/>
      <c r="AB1242" s="26"/>
      <c r="AC1242" s="27"/>
    </row>
    <row r="1243" spans="1:29" x14ac:dyDescent="0.25">
      <c r="A1243" s="1"/>
      <c r="B1243" s="19"/>
      <c r="C1243" s="24"/>
      <c r="D1243" s="1"/>
      <c r="E1243" s="25"/>
      <c r="F1243" s="26"/>
      <c r="G1243" s="26"/>
      <c r="L1243" s="25"/>
      <c r="M1243" s="24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6"/>
      <c r="AB1243" s="26"/>
      <c r="AC1243" s="27"/>
    </row>
    <row r="1244" spans="1:29" x14ac:dyDescent="0.25">
      <c r="A1244" s="1"/>
      <c r="B1244" s="19"/>
      <c r="C1244" s="24"/>
      <c r="D1244" s="1"/>
      <c r="E1244" s="25"/>
      <c r="F1244" s="26"/>
      <c r="G1244" s="26"/>
      <c r="L1244" s="25"/>
      <c r="M1244" s="24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6"/>
      <c r="AB1244" s="26"/>
      <c r="AC1244" s="27"/>
    </row>
    <row r="1245" spans="1:29" x14ac:dyDescent="0.25">
      <c r="A1245" s="1"/>
      <c r="B1245" s="19"/>
      <c r="C1245" s="24"/>
      <c r="D1245" s="1"/>
      <c r="E1245" s="25"/>
      <c r="F1245" s="26"/>
      <c r="G1245" s="26"/>
      <c r="L1245" s="25"/>
      <c r="M1245" s="24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6"/>
      <c r="AB1245" s="26"/>
      <c r="AC1245" s="27"/>
    </row>
    <row r="1246" spans="1:29" x14ac:dyDescent="0.25">
      <c r="A1246" s="1"/>
      <c r="B1246" s="19"/>
      <c r="C1246" s="24"/>
      <c r="D1246" s="1"/>
      <c r="E1246" s="25"/>
      <c r="F1246" s="26"/>
      <c r="G1246" s="26"/>
      <c r="L1246" s="25"/>
      <c r="M1246" s="24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6"/>
      <c r="AB1246" s="26"/>
      <c r="AC1246" s="27"/>
    </row>
    <row r="1247" spans="1:29" x14ac:dyDescent="0.25">
      <c r="A1247" s="1"/>
      <c r="B1247" s="19"/>
      <c r="C1247" s="24"/>
      <c r="D1247" s="1"/>
      <c r="E1247" s="25"/>
      <c r="F1247" s="26"/>
      <c r="G1247" s="26"/>
      <c r="L1247" s="25"/>
      <c r="M1247" s="24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6"/>
      <c r="AB1247" s="26"/>
      <c r="AC1247" s="27"/>
    </row>
    <row r="1248" spans="1:29" x14ac:dyDescent="0.25">
      <c r="A1248" s="1"/>
      <c r="B1248" s="19"/>
      <c r="C1248" s="24"/>
      <c r="D1248" s="1"/>
      <c r="E1248" s="25"/>
      <c r="F1248" s="26"/>
      <c r="G1248" s="26"/>
      <c r="L1248" s="25"/>
      <c r="M1248" s="24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6"/>
      <c r="AB1248" s="26"/>
      <c r="AC1248" s="27"/>
    </row>
    <row r="1249" spans="1:29" x14ac:dyDescent="0.25">
      <c r="A1249" s="1"/>
      <c r="B1249" s="19"/>
      <c r="C1249" s="24"/>
      <c r="D1249" s="1"/>
      <c r="E1249" s="25"/>
      <c r="F1249" s="26"/>
      <c r="G1249" s="26"/>
      <c r="L1249" s="25"/>
      <c r="M1249" s="24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6"/>
      <c r="AB1249" s="26"/>
      <c r="AC1249" s="27"/>
    </row>
    <row r="1250" spans="1:29" x14ac:dyDescent="0.25">
      <c r="A1250" s="1"/>
      <c r="B1250" s="19"/>
      <c r="C1250" s="24"/>
      <c r="D1250" s="1"/>
      <c r="E1250" s="25"/>
      <c r="F1250" s="26"/>
      <c r="G1250" s="26"/>
      <c r="L1250" s="25"/>
      <c r="M1250" s="24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6"/>
      <c r="AB1250" s="26"/>
      <c r="AC1250" s="27"/>
    </row>
    <row r="1251" spans="1:29" x14ac:dyDescent="0.25">
      <c r="A1251" s="1"/>
      <c r="B1251" s="19"/>
      <c r="C1251" s="24"/>
      <c r="D1251" s="1"/>
      <c r="E1251" s="25"/>
      <c r="F1251" s="26"/>
      <c r="G1251" s="26"/>
      <c r="L1251" s="25"/>
      <c r="M1251" s="24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6"/>
      <c r="AB1251" s="26"/>
      <c r="AC1251" s="27"/>
    </row>
    <row r="1252" spans="1:29" x14ac:dyDescent="0.25">
      <c r="A1252" s="1"/>
      <c r="B1252" s="19"/>
      <c r="C1252" s="24"/>
      <c r="D1252" s="1"/>
      <c r="E1252" s="25"/>
      <c r="F1252" s="26"/>
      <c r="G1252" s="26"/>
      <c r="L1252" s="25"/>
      <c r="M1252" s="24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6"/>
      <c r="AB1252" s="26"/>
      <c r="AC1252" s="27"/>
    </row>
    <row r="1253" spans="1:29" x14ac:dyDescent="0.25">
      <c r="A1253" s="1"/>
      <c r="B1253" s="19"/>
      <c r="C1253" s="24"/>
      <c r="D1253" s="1"/>
      <c r="E1253" s="25"/>
      <c r="F1253" s="26"/>
      <c r="G1253" s="26"/>
      <c r="L1253" s="25"/>
      <c r="M1253" s="24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6"/>
      <c r="AB1253" s="26"/>
      <c r="AC1253" s="27"/>
    </row>
    <row r="1254" spans="1:29" x14ac:dyDescent="0.25">
      <c r="A1254" s="1"/>
      <c r="B1254" s="19"/>
      <c r="C1254" s="24"/>
      <c r="D1254" s="1"/>
      <c r="E1254" s="25"/>
      <c r="F1254" s="26"/>
      <c r="G1254" s="26"/>
      <c r="L1254" s="25"/>
      <c r="M1254" s="24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6"/>
      <c r="AB1254" s="26"/>
      <c r="AC1254" s="27"/>
    </row>
    <row r="1255" spans="1:29" x14ac:dyDescent="0.25">
      <c r="A1255" s="1"/>
      <c r="B1255" s="19"/>
      <c r="C1255" s="24"/>
      <c r="D1255" s="1"/>
      <c r="E1255" s="25"/>
      <c r="F1255" s="26"/>
      <c r="G1255" s="26"/>
      <c r="L1255" s="25"/>
      <c r="M1255" s="24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6"/>
      <c r="AB1255" s="26"/>
      <c r="AC1255" s="27"/>
    </row>
    <row r="1256" spans="1:29" x14ac:dyDescent="0.25">
      <c r="A1256" s="1"/>
      <c r="B1256" s="19"/>
      <c r="C1256" s="24"/>
      <c r="D1256" s="1"/>
      <c r="E1256" s="25"/>
      <c r="F1256" s="26"/>
      <c r="G1256" s="26"/>
      <c r="L1256" s="25"/>
      <c r="M1256" s="24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6"/>
      <c r="AB1256" s="26"/>
      <c r="AC1256" s="27"/>
    </row>
    <row r="1257" spans="1:29" x14ac:dyDescent="0.25">
      <c r="A1257" s="1"/>
      <c r="B1257" s="19"/>
      <c r="C1257" s="24"/>
      <c r="D1257" s="1"/>
      <c r="E1257" s="25"/>
      <c r="F1257" s="26"/>
      <c r="G1257" s="26"/>
      <c r="L1257" s="25"/>
      <c r="M1257" s="24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6"/>
      <c r="AB1257" s="26"/>
      <c r="AC1257" s="27"/>
    </row>
    <row r="1258" spans="1:29" x14ac:dyDescent="0.25">
      <c r="A1258" s="1"/>
      <c r="B1258" s="19"/>
      <c r="C1258" s="24"/>
      <c r="D1258" s="1"/>
      <c r="E1258" s="25"/>
      <c r="F1258" s="26"/>
      <c r="G1258" s="26"/>
      <c r="L1258" s="25"/>
      <c r="M1258" s="24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6"/>
      <c r="AB1258" s="26"/>
      <c r="AC1258" s="27"/>
    </row>
    <row r="1259" spans="1:29" x14ac:dyDescent="0.25">
      <c r="A1259" s="1"/>
      <c r="B1259" s="19"/>
      <c r="C1259" s="24"/>
      <c r="D1259" s="1"/>
      <c r="E1259" s="25"/>
      <c r="F1259" s="26"/>
      <c r="G1259" s="26"/>
      <c r="L1259" s="25"/>
      <c r="M1259" s="24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6"/>
      <c r="AB1259" s="26"/>
      <c r="AC1259" s="27"/>
    </row>
    <row r="1260" spans="1:29" x14ac:dyDescent="0.25">
      <c r="A1260" s="1"/>
      <c r="B1260" s="19"/>
      <c r="C1260" s="24"/>
      <c r="D1260" s="1"/>
      <c r="E1260" s="25"/>
      <c r="F1260" s="26"/>
      <c r="G1260" s="26"/>
      <c r="L1260" s="25"/>
      <c r="M1260" s="24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6"/>
      <c r="AB1260" s="26"/>
      <c r="AC1260" s="27"/>
    </row>
    <row r="1261" spans="1:29" x14ac:dyDescent="0.25">
      <c r="A1261" s="1"/>
      <c r="B1261" s="19"/>
      <c r="C1261" s="24"/>
      <c r="D1261" s="1"/>
      <c r="E1261" s="25"/>
      <c r="F1261" s="26"/>
      <c r="G1261" s="26"/>
      <c r="L1261" s="25"/>
      <c r="M1261" s="24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6"/>
      <c r="AB1261" s="26"/>
      <c r="AC1261" s="27"/>
    </row>
    <row r="1262" spans="1:29" x14ac:dyDescent="0.25">
      <c r="A1262" s="1"/>
      <c r="B1262" s="19"/>
      <c r="C1262" s="24"/>
      <c r="D1262" s="1"/>
      <c r="E1262" s="25"/>
      <c r="F1262" s="26"/>
      <c r="G1262" s="26"/>
      <c r="L1262" s="25"/>
      <c r="M1262" s="24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6"/>
      <c r="AB1262" s="26"/>
      <c r="AC1262" s="27"/>
    </row>
    <row r="1263" spans="1:29" x14ac:dyDescent="0.25">
      <c r="A1263" s="1"/>
      <c r="B1263" s="19"/>
      <c r="C1263" s="24"/>
      <c r="D1263" s="1"/>
      <c r="E1263" s="25"/>
      <c r="F1263" s="26"/>
      <c r="G1263" s="26"/>
      <c r="L1263" s="25"/>
      <c r="M1263" s="24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6"/>
      <c r="AB1263" s="26"/>
      <c r="AC1263" s="27"/>
    </row>
    <row r="1264" spans="1:29" x14ac:dyDescent="0.25">
      <c r="A1264" s="1"/>
      <c r="B1264" s="19"/>
      <c r="C1264" s="24"/>
      <c r="D1264" s="1"/>
      <c r="E1264" s="25"/>
      <c r="F1264" s="26"/>
      <c r="G1264" s="26"/>
      <c r="L1264" s="25"/>
      <c r="M1264" s="24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6"/>
      <c r="AB1264" s="26"/>
      <c r="AC1264" s="27"/>
    </row>
    <row r="1265" spans="1:29" x14ac:dyDescent="0.25">
      <c r="A1265" s="1"/>
      <c r="B1265" s="19"/>
      <c r="C1265" s="24"/>
      <c r="D1265" s="1"/>
      <c r="E1265" s="25"/>
      <c r="F1265" s="26"/>
      <c r="G1265" s="26"/>
      <c r="L1265" s="25"/>
      <c r="M1265" s="24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6"/>
      <c r="AB1265" s="26"/>
      <c r="AC1265" s="27"/>
    </row>
    <row r="1266" spans="1:29" x14ac:dyDescent="0.25">
      <c r="A1266" s="1"/>
      <c r="B1266" s="19"/>
      <c r="C1266" s="24"/>
      <c r="D1266" s="1"/>
      <c r="E1266" s="25"/>
      <c r="F1266" s="26"/>
      <c r="G1266" s="26"/>
      <c r="L1266" s="25"/>
      <c r="M1266" s="24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6"/>
      <c r="AB1266" s="26"/>
      <c r="AC1266" s="27"/>
    </row>
    <row r="1267" spans="1:29" x14ac:dyDescent="0.25">
      <c r="A1267" s="1"/>
      <c r="B1267" s="19"/>
      <c r="C1267" s="24"/>
      <c r="D1267" s="1"/>
      <c r="E1267" s="25"/>
      <c r="F1267" s="26"/>
      <c r="G1267" s="26"/>
      <c r="L1267" s="25"/>
      <c r="M1267" s="24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6"/>
      <c r="AB1267" s="26"/>
      <c r="AC1267" s="27"/>
    </row>
    <row r="1268" spans="1:29" x14ac:dyDescent="0.25">
      <c r="A1268" s="1"/>
      <c r="B1268" s="19"/>
      <c r="C1268" s="24"/>
      <c r="D1268" s="1"/>
      <c r="E1268" s="25"/>
      <c r="F1268" s="26"/>
      <c r="G1268" s="26"/>
      <c r="L1268" s="25"/>
      <c r="M1268" s="24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6"/>
      <c r="AB1268" s="26"/>
      <c r="AC1268" s="27"/>
    </row>
    <row r="1269" spans="1:29" x14ac:dyDescent="0.25">
      <c r="A1269" s="1"/>
      <c r="B1269" s="19"/>
      <c r="C1269" s="24"/>
      <c r="D1269" s="1"/>
      <c r="E1269" s="25"/>
      <c r="F1269" s="26"/>
      <c r="G1269" s="26"/>
      <c r="L1269" s="25"/>
      <c r="M1269" s="24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6"/>
      <c r="AB1269" s="26"/>
      <c r="AC1269" s="27"/>
    </row>
    <row r="1270" spans="1:29" x14ac:dyDescent="0.25">
      <c r="A1270" s="1"/>
      <c r="B1270" s="19"/>
      <c r="C1270" s="24"/>
      <c r="D1270" s="1"/>
      <c r="E1270" s="25"/>
      <c r="F1270" s="26"/>
      <c r="G1270" s="26"/>
      <c r="L1270" s="25"/>
      <c r="M1270" s="24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6"/>
      <c r="AB1270" s="26"/>
      <c r="AC1270" s="27"/>
    </row>
    <row r="1271" spans="1:29" x14ac:dyDescent="0.25">
      <c r="A1271" s="1"/>
      <c r="B1271" s="19"/>
      <c r="C1271" s="24"/>
      <c r="D1271" s="1"/>
      <c r="E1271" s="25"/>
      <c r="F1271" s="26"/>
      <c r="G1271" s="26"/>
      <c r="L1271" s="25"/>
      <c r="M1271" s="24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6"/>
      <c r="AB1271" s="26"/>
      <c r="AC1271" s="27"/>
    </row>
    <row r="1272" spans="1:29" x14ac:dyDescent="0.25">
      <c r="A1272" s="1"/>
      <c r="B1272" s="19"/>
      <c r="C1272" s="24"/>
      <c r="D1272" s="1"/>
      <c r="E1272" s="25"/>
      <c r="F1272" s="26"/>
      <c r="G1272" s="26"/>
      <c r="L1272" s="25"/>
      <c r="M1272" s="24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6"/>
      <c r="AB1272" s="26"/>
      <c r="AC1272" s="27"/>
    </row>
    <row r="1273" spans="1:29" x14ac:dyDescent="0.25">
      <c r="A1273" s="1"/>
      <c r="B1273" s="19"/>
      <c r="C1273" s="24"/>
      <c r="D1273" s="1"/>
      <c r="E1273" s="25"/>
      <c r="F1273" s="26"/>
      <c r="G1273" s="26"/>
      <c r="L1273" s="25"/>
      <c r="M1273" s="24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6"/>
      <c r="AB1273" s="26"/>
      <c r="AC1273" s="27"/>
    </row>
    <row r="1274" spans="1:29" x14ac:dyDescent="0.25">
      <c r="A1274" s="1"/>
      <c r="B1274" s="19"/>
      <c r="C1274" s="24"/>
      <c r="D1274" s="1"/>
      <c r="E1274" s="25"/>
      <c r="F1274" s="26"/>
      <c r="G1274" s="26"/>
      <c r="L1274" s="25"/>
      <c r="M1274" s="24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6"/>
      <c r="AB1274" s="26"/>
      <c r="AC1274" s="27"/>
    </row>
    <row r="1275" spans="1:29" x14ac:dyDescent="0.25">
      <c r="A1275" s="1"/>
      <c r="B1275" s="19"/>
      <c r="C1275" s="24"/>
      <c r="D1275" s="1"/>
      <c r="E1275" s="25"/>
      <c r="F1275" s="26"/>
      <c r="G1275" s="26"/>
      <c r="L1275" s="25"/>
      <c r="M1275" s="24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6"/>
      <c r="AB1275" s="26"/>
      <c r="AC1275" s="27"/>
    </row>
    <row r="1276" spans="1:29" x14ac:dyDescent="0.25">
      <c r="A1276" s="1"/>
      <c r="B1276" s="19"/>
      <c r="C1276" s="24"/>
      <c r="D1276" s="1"/>
      <c r="E1276" s="25"/>
      <c r="F1276" s="26"/>
      <c r="G1276" s="26"/>
      <c r="L1276" s="25"/>
      <c r="M1276" s="24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6"/>
      <c r="AB1276" s="26"/>
      <c r="AC1276" s="27"/>
    </row>
    <row r="1277" spans="1:29" x14ac:dyDescent="0.25">
      <c r="A1277" s="1"/>
      <c r="B1277" s="19"/>
      <c r="C1277" s="24"/>
      <c r="D1277" s="1"/>
      <c r="E1277" s="25"/>
      <c r="F1277" s="26"/>
      <c r="G1277" s="26"/>
      <c r="L1277" s="25"/>
      <c r="M1277" s="24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6"/>
      <c r="AB1277" s="26"/>
      <c r="AC1277" s="27"/>
    </row>
    <row r="1278" spans="1:29" x14ac:dyDescent="0.25">
      <c r="A1278" s="1"/>
      <c r="B1278" s="19"/>
      <c r="C1278" s="24"/>
      <c r="D1278" s="1"/>
      <c r="E1278" s="25"/>
      <c r="F1278" s="26"/>
      <c r="G1278" s="26"/>
      <c r="L1278" s="25"/>
      <c r="M1278" s="24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6"/>
      <c r="AB1278" s="26"/>
      <c r="AC1278" s="27"/>
    </row>
    <row r="1279" spans="1:29" x14ac:dyDescent="0.25">
      <c r="A1279" s="1"/>
      <c r="B1279" s="19"/>
      <c r="C1279" s="24"/>
      <c r="D1279" s="1"/>
      <c r="E1279" s="25"/>
      <c r="F1279" s="26"/>
      <c r="G1279" s="26"/>
      <c r="L1279" s="25"/>
      <c r="M1279" s="24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6"/>
      <c r="AB1279" s="26"/>
      <c r="AC1279" s="27"/>
    </row>
    <row r="1280" spans="1:29" x14ac:dyDescent="0.25">
      <c r="A1280" s="1"/>
      <c r="B1280" s="19"/>
      <c r="C1280" s="24"/>
      <c r="D1280" s="1"/>
      <c r="E1280" s="25"/>
      <c r="F1280" s="26"/>
      <c r="G1280" s="26"/>
      <c r="L1280" s="25"/>
      <c r="M1280" s="24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6"/>
      <c r="AB1280" s="26"/>
      <c r="AC1280" s="27"/>
    </row>
    <row r="1281" spans="1:29" x14ac:dyDescent="0.25">
      <c r="A1281" s="1"/>
      <c r="B1281" s="19"/>
      <c r="C1281" s="24"/>
      <c r="D1281" s="1"/>
      <c r="E1281" s="25"/>
      <c r="F1281" s="26"/>
      <c r="G1281" s="26"/>
      <c r="L1281" s="25"/>
      <c r="M1281" s="24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6"/>
      <c r="AB1281" s="26"/>
      <c r="AC1281" s="27"/>
    </row>
    <row r="1282" spans="1:29" x14ac:dyDescent="0.25">
      <c r="A1282" s="1"/>
      <c r="B1282" s="19"/>
      <c r="C1282" s="24"/>
      <c r="D1282" s="1"/>
      <c r="E1282" s="25"/>
      <c r="F1282" s="26"/>
      <c r="G1282" s="26"/>
      <c r="L1282" s="25"/>
      <c r="M1282" s="24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6"/>
      <c r="AB1282" s="26"/>
      <c r="AC1282" s="27"/>
    </row>
    <row r="1283" spans="1:29" x14ac:dyDescent="0.25">
      <c r="A1283" s="1"/>
      <c r="B1283" s="19"/>
      <c r="C1283" s="24"/>
      <c r="D1283" s="1"/>
      <c r="E1283" s="25"/>
      <c r="F1283" s="26"/>
      <c r="G1283" s="26"/>
      <c r="L1283" s="25"/>
      <c r="M1283" s="24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6"/>
      <c r="AB1283" s="26"/>
      <c r="AC1283" s="27"/>
    </row>
    <row r="1284" spans="1:29" x14ac:dyDescent="0.25">
      <c r="A1284" s="1"/>
      <c r="B1284" s="19"/>
      <c r="C1284" s="24"/>
      <c r="D1284" s="1"/>
      <c r="E1284" s="25"/>
      <c r="F1284" s="26"/>
      <c r="G1284" s="26"/>
      <c r="L1284" s="25"/>
      <c r="M1284" s="24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6"/>
      <c r="AB1284" s="26"/>
      <c r="AC1284" s="27"/>
    </row>
    <row r="1285" spans="1:29" x14ac:dyDescent="0.25">
      <c r="A1285" s="1"/>
      <c r="B1285" s="19"/>
      <c r="C1285" s="24"/>
      <c r="D1285" s="1"/>
      <c r="E1285" s="25"/>
      <c r="F1285" s="26"/>
      <c r="G1285" s="26"/>
      <c r="L1285" s="25"/>
      <c r="M1285" s="24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6"/>
      <c r="AB1285" s="26"/>
      <c r="AC1285" s="27"/>
    </row>
    <row r="1286" spans="1:29" x14ac:dyDescent="0.25">
      <c r="A1286" s="1"/>
      <c r="B1286" s="19"/>
      <c r="C1286" s="24"/>
      <c r="D1286" s="1"/>
      <c r="E1286" s="25"/>
      <c r="F1286" s="26"/>
      <c r="G1286" s="26"/>
      <c r="L1286" s="25"/>
      <c r="M1286" s="24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6"/>
      <c r="AB1286" s="26"/>
      <c r="AC1286" s="27"/>
    </row>
    <row r="1287" spans="1:29" x14ac:dyDescent="0.25">
      <c r="A1287" s="1"/>
      <c r="B1287" s="19"/>
      <c r="C1287" s="24"/>
      <c r="D1287" s="1"/>
      <c r="E1287" s="25"/>
      <c r="F1287" s="26"/>
      <c r="G1287" s="26"/>
      <c r="L1287" s="25"/>
      <c r="M1287" s="24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6"/>
      <c r="AB1287" s="26"/>
      <c r="AC1287" s="27"/>
    </row>
    <row r="1288" spans="1:29" x14ac:dyDescent="0.25">
      <c r="A1288" s="1"/>
      <c r="B1288" s="19"/>
      <c r="C1288" s="24"/>
      <c r="D1288" s="1"/>
      <c r="E1288" s="25"/>
      <c r="F1288" s="26"/>
      <c r="G1288" s="26"/>
      <c r="L1288" s="25"/>
      <c r="M1288" s="24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6"/>
      <c r="AB1288" s="26"/>
      <c r="AC1288" s="27"/>
    </row>
    <row r="1289" spans="1:29" x14ac:dyDescent="0.25">
      <c r="A1289" s="1"/>
      <c r="B1289" s="19"/>
      <c r="C1289" s="24"/>
      <c r="D1289" s="1"/>
      <c r="E1289" s="25"/>
      <c r="F1289" s="26"/>
      <c r="G1289" s="26"/>
      <c r="L1289" s="25"/>
      <c r="M1289" s="24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6"/>
      <c r="AB1289" s="26"/>
      <c r="AC1289" s="27"/>
    </row>
    <row r="1290" spans="1:29" x14ac:dyDescent="0.25">
      <c r="A1290" s="1"/>
      <c r="B1290" s="19"/>
      <c r="C1290" s="24"/>
      <c r="D1290" s="1"/>
      <c r="E1290" s="25"/>
      <c r="F1290" s="26"/>
      <c r="G1290" s="26"/>
      <c r="L1290" s="25"/>
      <c r="M1290" s="24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6"/>
      <c r="AB1290" s="26"/>
      <c r="AC1290" s="27"/>
    </row>
    <row r="1291" spans="1:29" x14ac:dyDescent="0.25">
      <c r="A1291" s="1"/>
      <c r="B1291" s="19"/>
      <c r="C1291" s="24"/>
      <c r="D1291" s="1"/>
      <c r="E1291" s="25"/>
      <c r="F1291" s="26"/>
      <c r="G1291" s="26"/>
      <c r="L1291" s="25"/>
      <c r="M1291" s="24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6"/>
      <c r="AB1291" s="26"/>
      <c r="AC1291" s="27"/>
    </row>
    <row r="1292" spans="1:29" x14ac:dyDescent="0.25">
      <c r="A1292" s="1"/>
      <c r="B1292" s="19"/>
      <c r="C1292" s="24"/>
      <c r="D1292" s="1"/>
      <c r="E1292" s="25"/>
      <c r="F1292" s="26"/>
      <c r="G1292" s="26"/>
      <c r="L1292" s="25"/>
      <c r="M1292" s="24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6"/>
      <c r="AB1292" s="26"/>
      <c r="AC1292" s="27"/>
    </row>
    <row r="1293" spans="1:29" x14ac:dyDescent="0.25">
      <c r="A1293" s="1"/>
      <c r="B1293" s="19"/>
      <c r="C1293" s="24"/>
      <c r="D1293" s="1"/>
      <c r="E1293" s="25"/>
      <c r="F1293" s="26"/>
      <c r="G1293" s="26"/>
      <c r="L1293" s="25"/>
      <c r="M1293" s="24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6"/>
      <c r="AB1293" s="26"/>
      <c r="AC1293" s="27"/>
    </row>
    <row r="1294" spans="1:29" x14ac:dyDescent="0.25">
      <c r="A1294" s="1"/>
      <c r="B1294" s="19"/>
      <c r="C1294" s="24"/>
      <c r="D1294" s="1"/>
      <c r="E1294" s="25"/>
      <c r="F1294" s="26"/>
      <c r="G1294" s="26"/>
      <c r="L1294" s="25"/>
      <c r="M1294" s="24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6"/>
      <c r="AB1294" s="26"/>
      <c r="AC1294" s="27"/>
    </row>
    <row r="1295" spans="1:29" x14ac:dyDescent="0.25">
      <c r="A1295" s="1"/>
      <c r="B1295" s="19"/>
      <c r="C1295" s="24"/>
      <c r="D1295" s="1"/>
      <c r="E1295" s="25"/>
      <c r="F1295" s="26"/>
      <c r="G1295" s="26"/>
      <c r="L1295" s="25"/>
      <c r="M1295" s="24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6"/>
      <c r="AB1295" s="26"/>
      <c r="AC1295" s="27"/>
    </row>
    <row r="1296" spans="1:29" x14ac:dyDescent="0.25">
      <c r="A1296" s="1"/>
      <c r="B1296" s="19"/>
      <c r="C1296" s="24"/>
      <c r="D1296" s="1"/>
      <c r="E1296" s="25"/>
      <c r="F1296" s="26"/>
      <c r="G1296" s="26"/>
      <c r="L1296" s="25"/>
      <c r="M1296" s="24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6"/>
      <c r="AB1296" s="26"/>
      <c r="AC1296" s="27"/>
    </row>
    <row r="1297" spans="1:29" x14ac:dyDescent="0.25">
      <c r="A1297" s="1"/>
      <c r="B1297" s="19"/>
      <c r="C1297" s="24"/>
      <c r="D1297" s="1"/>
      <c r="E1297" s="25"/>
      <c r="F1297" s="26"/>
      <c r="G1297" s="26"/>
      <c r="L1297" s="25"/>
      <c r="M1297" s="24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6"/>
      <c r="AB1297" s="26"/>
      <c r="AC1297" s="27"/>
    </row>
    <row r="1298" spans="1:29" x14ac:dyDescent="0.25">
      <c r="A1298" s="1"/>
      <c r="B1298" s="19"/>
      <c r="C1298" s="24"/>
      <c r="D1298" s="1"/>
      <c r="E1298" s="25"/>
      <c r="F1298" s="26"/>
      <c r="G1298" s="26"/>
      <c r="L1298" s="25"/>
      <c r="M1298" s="24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6"/>
      <c r="AB1298" s="26"/>
      <c r="AC1298" s="27"/>
    </row>
    <row r="1299" spans="1:29" x14ac:dyDescent="0.25">
      <c r="A1299" s="1"/>
      <c r="B1299" s="19"/>
      <c r="C1299" s="24"/>
      <c r="D1299" s="1"/>
      <c r="E1299" s="25"/>
      <c r="F1299" s="26"/>
      <c r="G1299" s="26"/>
      <c r="L1299" s="25"/>
      <c r="M1299" s="24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6"/>
      <c r="AB1299" s="26"/>
      <c r="AC1299" s="27"/>
    </row>
    <row r="1300" spans="1:29" x14ac:dyDescent="0.25">
      <c r="A1300" s="1"/>
      <c r="B1300" s="19"/>
      <c r="C1300" s="24"/>
      <c r="D1300" s="1"/>
      <c r="E1300" s="25"/>
      <c r="F1300" s="26"/>
      <c r="G1300" s="26"/>
      <c r="L1300" s="25"/>
      <c r="M1300" s="24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6"/>
      <c r="AB1300" s="26"/>
      <c r="AC1300" s="27"/>
    </row>
    <row r="1301" spans="1:29" x14ac:dyDescent="0.25">
      <c r="A1301" s="1"/>
      <c r="B1301" s="19"/>
      <c r="C1301" s="24"/>
      <c r="D1301" s="1"/>
      <c r="E1301" s="25"/>
      <c r="F1301" s="26"/>
      <c r="G1301" s="26"/>
      <c r="L1301" s="25"/>
      <c r="M1301" s="24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6"/>
      <c r="AB1301" s="26"/>
      <c r="AC1301" s="27"/>
    </row>
    <row r="1302" spans="1:29" x14ac:dyDescent="0.25">
      <c r="A1302" s="1"/>
      <c r="B1302" s="19"/>
      <c r="C1302" s="24"/>
      <c r="D1302" s="1"/>
      <c r="E1302" s="25"/>
      <c r="F1302" s="26"/>
      <c r="G1302" s="26"/>
      <c r="L1302" s="25"/>
      <c r="M1302" s="24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6"/>
      <c r="AB1302" s="26"/>
      <c r="AC1302" s="27"/>
    </row>
    <row r="1303" spans="1:29" x14ac:dyDescent="0.25">
      <c r="A1303" s="1"/>
      <c r="B1303" s="19"/>
      <c r="C1303" s="24"/>
      <c r="D1303" s="1"/>
      <c r="E1303" s="25"/>
      <c r="F1303" s="26"/>
      <c r="G1303" s="26"/>
      <c r="L1303" s="25"/>
      <c r="M1303" s="24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6"/>
      <c r="AB1303" s="26"/>
      <c r="AC1303" s="27"/>
    </row>
    <row r="1304" spans="1:29" x14ac:dyDescent="0.25">
      <c r="A1304" s="1"/>
      <c r="B1304" s="19"/>
      <c r="C1304" s="24"/>
      <c r="D1304" s="1"/>
      <c r="E1304" s="25"/>
      <c r="F1304" s="26"/>
      <c r="G1304" s="26"/>
      <c r="L1304" s="25"/>
      <c r="M1304" s="24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6"/>
      <c r="AB1304" s="26"/>
      <c r="AC1304" s="27"/>
    </row>
    <row r="1305" spans="1:29" x14ac:dyDescent="0.25">
      <c r="A1305" s="1"/>
      <c r="B1305" s="19"/>
      <c r="C1305" s="24"/>
      <c r="D1305" s="1"/>
      <c r="E1305" s="25"/>
      <c r="F1305" s="26"/>
      <c r="G1305" s="26"/>
      <c r="L1305" s="25"/>
      <c r="M1305" s="24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6"/>
      <c r="AB1305" s="26"/>
      <c r="AC1305" s="27"/>
    </row>
    <row r="1306" spans="1:29" x14ac:dyDescent="0.25">
      <c r="A1306" s="1"/>
      <c r="B1306" s="19"/>
      <c r="C1306" s="24"/>
      <c r="D1306" s="1"/>
      <c r="E1306" s="25"/>
      <c r="F1306" s="26"/>
      <c r="G1306" s="26"/>
      <c r="L1306" s="25"/>
      <c r="M1306" s="24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6"/>
      <c r="AB1306" s="26"/>
      <c r="AC1306" s="27"/>
    </row>
    <row r="1307" spans="1:29" x14ac:dyDescent="0.25">
      <c r="A1307" s="1"/>
      <c r="B1307" s="19"/>
      <c r="C1307" s="24"/>
      <c r="D1307" s="1"/>
      <c r="E1307" s="25"/>
      <c r="F1307" s="26"/>
      <c r="G1307" s="26"/>
      <c r="L1307" s="25"/>
      <c r="M1307" s="24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6"/>
      <c r="AB1307" s="26"/>
      <c r="AC1307" s="27"/>
    </row>
    <row r="1308" spans="1:29" x14ac:dyDescent="0.25">
      <c r="A1308" s="1"/>
      <c r="B1308" s="19"/>
      <c r="C1308" s="24"/>
      <c r="D1308" s="1"/>
      <c r="E1308" s="25"/>
      <c r="F1308" s="26"/>
      <c r="G1308" s="26"/>
      <c r="L1308" s="25"/>
      <c r="M1308" s="24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6"/>
      <c r="AB1308" s="26"/>
      <c r="AC1308" s="27"/>
    </row>
    <row r="1309" spans="1:29" x14ac:dyDescent="0.25">
      <c r="A1309" s="1"/>
      <c r="B1309" s="19"/>
      <c r="C1309" s="24"/>
      <c r="D1309" s="1"/>
      <c r="E1309" s="25"/>
      <c r="F1309" s="26"/>
      <c r="G1309" s="26"/>
      <c r="L1309" s="25"/>
      <c r="M1309" s="24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6"/>
      <c r="AB1309" s="26"/>
      <c r="AC1309" s="27"/>
    </row>
    <row r="1310" spans="1:29" x14ac:dyDescent="0.25">
      <c r="A1310" s="1"/>
      <c r="B1310" s="19"/>
      <c r="C1310" s="24"/>
      <c r="D1310" s="1"/>
      <c r="E1310" s="25"/>
      <c r="F1310" s="26"/>
      <c r="G1310" s="26"/>
      <c r="L1310" s="25"/>
      <c r="M1310" s="24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6"/>
      <c r="AB1310" s="26"/>
      <c r="AC1310" s="27"/>
    </row>
    <row r="1311" spans="1:29" x14ac:dyDescent="0.25">
      <c r="A1311" s="1"/>
      <c r="B1311" s="19"/>
      <c r="C1311" s="24"/>
      <c r="D1311" s="1"/>
      <c r="E1311" s="25"/>
      <c r="F1311" s="26"/>
      <c r="G1311" s="26"/>
      <c r="L1311" s="25"/>
      <c r="M1311" s="24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6"/>
      <c r="AB1311" s="26"/>
      <c r="AC1311" s="27"/>
    </row>
    <row r="1312" spans="1:29" x14ac:dyDescent="0.25">
      <c r="A1312" s="1"/>
      <c r="B1312" s="19"/>
      <c r="C1312" s="24"/>
      <c r="D1312" s="1"/>
      <c r="E1312" s="25"/>
      <c r="F1312" s="26"/>
      <c r="G1312" s="26"/>
      <c r="L1312" s="25"/>
      <c r="M1312" s="24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6"/>
      <c r="AB1312" s="26"/>
      <c r="AC1312" s="27"/>
    </row>
    <row r="1313" spans="1:29" x14ac:dyDescent="0.25">
      <c r="A1313" s="1"/>
      <c r="B1313" s="19"/>
      <c r="C1313" s="24"/>
      <c r="D1313" s="1"/>
      <c r="E1313" s="25"/>
      <c r="F1313" s="26"/>
      <c r="G1313" s="26"/>
      <c r="L1313" s="25"/>
      <c r="M1313" s="24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6"/>
      <c r="AB1313" s="26"/>
      <c r="AC1313" s="27"/>
    </row>
    <row r="1314" spans="1:29" x14ac:dyDescent="0.25">
      <c r="A1314" s="1"/>
      <c r="B1314" s="19"/>
      <c r="C1314" s="24"/>
      <c r="D1314" s="1"/>
      <c r="E1314" s="25"/>
      <c r="F1314" s="26"/>
      <c r="G1314" s="26"/>
      <c r="L1314" s="25"/>
      <c r="M1314" s="24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6"/>
      <c r="AB1314" s="26"/>
      <c r="AC1314" s="27"/>
    </row>
    <row r="1315" spans="1:29" x14ac:dyDescent="0.25">
      <c r="A1315" s="1"/>
      <c r="B1315" s="19"/>
      <c r="C1315" s="24"/>
      <c r="D1315" s="1"/>
      <c r="E1315" s="25"/>
      <c r="F1315" s="26"/>
      <c r="G1315" s="26"/>
      <c r="L1315" s="25"/>
      <c r="M1315" s="24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6"/>
      <c r="AB1315" s="26"/>
      <c r="AC1315" s="27"/>
    </row>
    <row r="1316" spans="1:29" x14ac:dyDescent="0.25">
      <c r="A1316" s="1"/>
      <c r="B1316" s="19"/>
      <c r="C1316" s="24"/>
      <c r="D1316" s="1"/>
      <c r="E1316" s="25"/>
      <c r="F1316" s="26"/>
      <c r="G1316" s="26"/>
      <c r="L1316" s="25"/>
      <c r="M1316" s="24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6"/>
      <c r="AB1316" s="26"/>
      <c r="AC1316" s="27"/>
    </row>
    <row r="1317" spans="1:29" x14ac:dyDescent="0.25">
      <c r="A1317" s="1"/>
      <c r="B1317" s="19"/>
      <c r="C1317" s="24"/>
      <c r="D1317" s="1"/>
      <c r="E1317" s="25"/>
      <c r="F1317" s="26"/>
      <c r="G1317" s="26"/>
      <c r="L1317" s="25"/>
      <c r="M1317" s="24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6"/>
      <c r="AB1317" s="26"/>
      <c r="AC1317" s="27"/>
    </row>
    <row r="1318" spans="1:29" x14ac:dyDescent="0.25">
      <c r="A1318" s="1"/>
      <c r="B1318" s="19"/>
      <c r="C1318" s="24"/>
      <c r="D1318" s="1"/>
      <c r="E1318" s="25"/>
      <c r="F1318" s="26"/>
      <c r="G1318" s="26"/>
      <c r="L1318" s="25"/>
      <c r="M1318" s="24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6"/>
      <c r="AB1318" s="26"/>
      <c r="AC1318" s="27"/>
    </row>
    <row r="1319" spans="1:29" x14ac:dyDescent="0.25">
      <c r="A1319" s="1"/>
      <c r="B1319" s="19"/>
      <c r="C1319" s="24"/>
      <c r="D1319" s="1"/>
      <c r="E1319" s="25"/>
      <c r="F1319" s="26"/>
      <c r="G1319" s="26"/>
      <c r="L1319" s="25"/>
      <c r="M1319" s="24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6"/>
      <c r="AB1319" s="26"/>
      <c r="AC1319" s="27"/>
    </row>
    <row r="1320" spans="1:29" x14ac:dyDescent="0.25">
      <c r="A1320" s="1"/>
      <c r="B1320" s="19"/>
      <c r="C1320" s="24"/>
      <c r="D1320" s="1"/>
      <c r="E1320" s="25"/>
      <c r="F1320" s="26"/>
      <c r="G1320" s="26"/>
      <c r="L1320" s="25"/>
      <c r="M1320" s="24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6"/>
      <c r="AB1320" s="26"/>
      <c r="AC1320" s="27"/>
    </row>
    <row r="1321" spans="1:29" x14ac:dyDescent="0.25">
      <c r="A1321" s="1"/>
      <c r="B1321" s="19"/>
      <c r="C1321" s="24"/>
      <c r="D1321" s="1"/>
      <c r="E1321" s="25"/>
      <c r="F1321" s="26"/>
      <c r="G1321" s="26"/>
      <c r="L1321" s="25"/>
      <c r="M1321" s="24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6"/>
      <c r="AB1321" s="26"/>
      <c r="AC1321" s="27"/>
    </row>
    <row r="1322" spans="1:29" x14ac:dyDescent="0.25">
      <c r="A1322" s="1"/>
      <c r="B1322" s="19"/>
      <c r="C1322" s="24"/>
      <c r="D1322" s="1"/>
      <c r="E1322" s="25"/>
      <c r="F1322" s="26"/>
      <c r="G1322" s="26"/>
      <c r="L1322" s="25"/>
      <c r="M1322" s="24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6"/>
      <c r="AB1322" s="26"/>
      <c r="AC1322" s="27"/>
    </row>
    <row r="1323" spans="1:29" x14ac:dyDescent="0.25">
      <c r="A1323" s="1"/>
      <c r="B1323" s="19"/>
      <c r="C1323" s="24"/>
      <c r="D1323" s="1"/>
      <c r="E1323" s="25"/>
      <c r="F1323" s="26"/>
      <c r="G1323" s="26"/>
      <c r="L1323" s="25"/>
      <c r="M1323" s="24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6"/>
      <c r="AB1323" s="26"/>
      <c r="AC1323" s="27"/>
    </row>
    <row r="1324" spans="1:29" x14ac:dyDescent="0.25">
      <c r="A1324" s="1"/>
      <c r="B1324" s="19"/>
      <c r="C1324" s="24"/>
      <c r="D1324" s="1"/>
      <c r="E1324" s="25"/>
      <c r="F1324" s="26"/>
      <c r="G1324" s="26"/>
      <c r="L1324" s="25"/>
      <c r="M1324" s="24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6"/>
      <c r="AB1324" s="26"/>
      <c r="AC1324" s="27"/>
    </row>
    <row r="1325" spans="1:29" x14ac:dyDescent="0.25">
      <c r="A1325" s="1"/>
      <c r="B1325" s="19"/>
      <c r="C1325" s="24"/>
      <c r="D1325" s="1"/>
      <c r="E1325" s="25"/>
      <c r="F1325" s="26"/>
      <c r="G1325" s="26"/>
      <c r="L1325" s="25"/>
      <c r="M1325" s="24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6"/>
      <c r="AB1325" s="26"/>
      <c r="AC1325" s="27"/>
    </row>
    <row r="1326" spans="1:29" x14ac:dyDescent="0.25">
      <c r="A1326" s="1"/>
      <c r="B1326" s="19"/>
      <c r="C1326" s="24"/>
      <c r="D1326" s="1"/>
      <c r="E1326" s="25"/>
      <c r="F1326" s="26"/>
      <c r="G1326" s="26"/>
      <c r="L1326" s="25"/>
      <c r="M1326" s="24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6"/>
      <c r="AB1326" s="26"/>
      <c r="AC1326" s="27"/>
    </row>
    <row r="1327" spans="1:29" x14ac:dyDescent="0.25">
      <c r="A1327" s="1"/>
      <c r="B1327" s="19"/>
      <c r="C1327" s="24"/>
      <c r="D1327" s="1"/>
      <c r="E1327" s="25"/>
      <c r="F1327" s="26"/>
      <c r="G1327" s="26"/>
      <c r="L1327" s="25"/>
      <c r="M1327" s="24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6"/>
      <c r="AB1327" s="26"/>
      <c r="AC1327" s="27"/>
    </row>
    <row r="1328" spans="1:29" x14ac:dyDescent="0.25">
      <c r="A1328" s="1"/>
      <c r="B1328" s="19"/>
      <c r="C1328" s="24"/>
      <c r="D1328" s="1"/>
      <c r="E1328" s="25"/>
      <c r="F1328" s="26"/>
      <c r="G1328" s="26"/>
      <c r="L1328" s="25"/>
      <c r="M1328" s="24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6"/>
      <c r="AB1328" s="26"/>
      <c r="AC1328" s="27"/>
    </row>
    <row r="1329" spans="1:29" x14ac:dyDescent="0.25">
      <c r="A1329" s="1"/>
      <c r="B1329" s="19"/>
      <c r="C1329" s="24"/>
      <c r="D1329" s="1"/>
      <c r="E1329" s="25"/>
      <c r="F1329" s="26"/>
      <c r="G1329" s="26"/>
      <c r="L1329" s="25"/>
      <c r="M1329" s="24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6"/>
      <c r="AB1329" s="26"/>
      <c r="AC1329" s="27"/>
    </row>
    <row r="1330" spans="1:29" x14ac:dyDescent="0.25">
      <c r="A1330" s="1"/>
      <c r="B1330" s="19"/>
      <c r="C1330" s="24"/>
      <c r="D1330" s="1"/>
      <c r="E1330" s="25"/>
      <c r="F1330" s="26"/>
      <c r="G1330" s="26"/>
      <c r="L1330" s="25"/>
      <c r="M1330" s="24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6"/>
      <c r="AB1330" s="26"/>
      <c r="AC1330" s="27"/>
    </row>
    <row r="1331" spans="1:29" x14ac:dyDescent="0.25">
      <c r="A1331" s="1"/>
      <c r="B1331" s="19"/>
      <c r="C1331" s="24"/>
      <c r="D1331" s="1"/>
      <c r="E1331" s="25"/>
      <c r="F1331" s="26"/>
      <c r="G1331" s="26"/>
      <c r="L1331" s="25"/>
      <c r="M1331" s="24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6"/>
      <c r="AB1331" s="26"/>
      <c r="AC1331" s="27"/>
    </row>
    <row r="1332" spans="1:29" x14ac:dyDescent="0.25">
      <c r="A1332" s="1"/>
      <c r="B1332" s="19"/>
      <c r="C1332" s="24"/>
      <c r="D1332" s="1"/>
      <c r="E1332" s="25"/>
      <c r="F1332" s="26"/>
      <c r="G1332" s="26"/>
      <c r="L1332" s="25"/>
      <c r="M1332" s="24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6"/>
      <c r="AB1332" s="26"/>
      <c r="AC1332" s="27"/>
    </row>
    <row r="1333" spans="1:29" x14ac:dyDescent="0.25">
      <c r="A1333" s="1"/>
      <c r="B1333" s="19"/>
      <c r="C1333" s="24"/>
      <c r="D1333" s="1"/>
      <c r="E1333" s="25"/>
      <c r="F1333" s="26"/>
      <c r="G1333" s="26"/>
      <c r="L1333" s="25"/>
      <c r="M1333" s="24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6"/>
      <c r="AB1333" s="26"/>
      <c r="AC1333" s="27"/>
    </row>
    <row r="1334" spans="1:29" x14ac:dyDescent="0.25">
      <c r="A1334" s="1"/>
      <c r="B1334" s="19"/>
      <c r="C1334" s="24"/>
      <c r="D1334" s="1"/>
      <c r="E1334" s="25"/>
      <c r="F1334" s="26"/>
      <c r="G1334" s="26"/>
      <c r="L1334" s="25"/>
      <c r="M1334" s="24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6"/>
      <c r="AB1334" s="26"/>
      <c r="AC1334" s="27"/>
    </row>
    <row r="1335" spans="1:29" x14ac:dyDescent="0.25">
      <c r="A1335" s="1"/>
      <c r="B1335" s="19"/>
      <c r="C1335" s="24"/>
      <c r="D1335" s="1"/>
      <c r="E1335" s="25"/>
      <c r="F1335" s="26"/>
      <c r="G1335" s="26"/>
      <c r="L1335" s="25"/>
      <c r="M1335" s="24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6"/>
      <c r="AB1335" s="26"/>
      <c r="AC1335" s="27"/>
    </row>
    <row r="1336" spans="1:29" x14ac:dyDescent="0.25">
      <c r="A1336" s="1"/>
      <c r="B1336" s="19"/>
      <c r="C1336" s="24"/>
      <c r="D1336" s="1"/>
      <c r="E1336" s="25"/>
      <c r="F1336" s="26"/>
      <c r="G1336" s="26"/>
      <c r="L1336" s="25"/>
      <c r="M1336" s="24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6"/>
      <c r="AB1336" s="26"/>
      <c r="AC1336" s="27"/>
    </row>
    <row r="1337" spans="1:29" x14ac:dyDescent="0.25">
      <c r="A1337" s="1"/>
      <c r="B1337" s="19"/>
      <c r="C1337" s="24"/>
      <c r="D1337" s="1"/>
      <c r="E1337" s="25"/>
      <c r="F1337" s="26"/>
      <c r="G1337" s="26"/>
      <c r="L1337" s="25"/>
      <c r="M1337" s="24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6"/>
      <c r="AB1337" s="26"/>
      <c r="AC1337" s="27"/>
    </row>
    <row r="1338" spans="1:29" x14ac:dyDescent="0.25">
      <c r="A1338" s="1"/>
      <c r="B1338" s="19"/>
      <c r="C1338" s="24"/>
      <c r="D1338" s="1"/>
      <c r="E1338" s="25"/>
      <c r="F1338" s="26"/>
      <c r="G1338" s="26"/>
      <c r="L1338" s="25"/>
      <c r="M1338" s="24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6"/>
      <c r="AB1338" s="26"/>
      <c r="AC1338" s="27"/>
    </row>
    <row r="1339" spans="1:29" x14ac:dyDescent="0.25">
      <c r="A1339" s="1"/>
      <c r="B1339" s="19"/>
      <c r="C1339" s="24"/>
      <c r="D1339" s="1"/>
      <c r="E1339" s="25"/>
      <c r="F1339" s="26"/>
      <c r="G1339" s="26"/>
      <c r="L1339" s="25"/>
      <c r="M1339" s="24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6"/>
      <c r="AB1339" s="26"/>
      <c r="AC1339" s="27"/>
    </row>
    <row r="1340" spans="1:29" x14ac:dyDescent="0.25">
      <c r="A1340" s="1"/>
      <c r="B1340" s="19"/>
      <c r="C1340" s="24"/>
      <c r="D1340" s="1"/>
      <c r="E1340" s="25"/>
      <c r="F1340" s="26"/>
      <c r="G1340" s="26"/>
      <c r="L1340" s="25"/>
      <c r="M1340" s="24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6"/>
      <c r="AB1340" s="26"/>
      <c r="AC1340" s="27"/>
    </row>
    <row r="1341" spans="1:29" x14ac:dyDescent="0.25">
      <c r="A1341" s="1"/>
      <c r="B1341" s="19"/>
      <c r="C1341" s="24"/>
      <c r="D1341" s="1"/>
      <c r="E1341" s="25"/>
      <c r="F1341" s="26"/>
      <c r="G1341" s="26"/>
      <c r="L1341" s="25"/>
      <c r="M1341" s="24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6"/>
      <c r="AB1341" s="26"/>
      <c r="AC1341" s="27"/>
    </row>
    <row r="1342" spans="1:29" x14ac:dyDescent="0.25">
      <c r="A1342" s="1"/>
      <c r="B1342" s="19"/>
      <c r="C1342" s="24"/>
      <c r="D1342" s="1"/>
      <c r="E1342" s="25"/>
      <c r="F1342" s="26"/>
      <c r="G1342" s="26"/>
      <c r="L1342" s="25"/>
      <c r="M1342" s="24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6"/>
      <c r="AB1342" s="26"/>
      <c r="AC1342" s="27"/>
    </row>
    <row r="1343" spans="1:29" x14ac:dyDescent="0.25">
      <c r="A1343" s="1"/>
      <c r="B1343" s="19"/>
      <c r="C1343" s="24"/>
      <c r="D1343" s="1"/>
      <c r="E1343" s="25"/>
      <c r="F1343" s="26"/>
      <c r="G1343" s="26"/>
      <c r="L1343" s="25"/>
      <c r="M1343" s="24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6"/>
      <c r="AB1343" s="26"/>
      <c r="AC1343" s="27"/>
    </row>
    <row r="1344" spans="1:29" x14ac:dyDescent="0.25">
      <c r="A1344" s="1"/>
      <c r="B1344" s="19"/>
      <c r="C1344" s="24"/>
      <c r="D1344" s="1"/>
      <c r="E1344" s="25"/>
      <c r="F1344" s="26"/>
      <c r="G1344" s="26"/>
      <c r="L1344" s="25"/>
      <c r="M1344" s="24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6"/>
      <c r="AB1344" s="26"/>
      <c r="AC1344" s="27"/>
    </row>
    <row r="1345" spans="1:29" x14ac:dyDescent="0.25">
      <c r="A1345" s="1"/>
      <c r="B1345" s="19"/>
      <c r="C1345" s="24"/>
      <c r="D1345" s="1"/>
      <c r="E1345" s="25"/>
      <c r="F1345" s="26"/>
      <c r="G1345" s="26"/>
      <c r="L1345" s="25"/>
      <c r="M1345" s="24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6"/>
      <c r="AB1345" s="26"/>
      <c r="AC1345" s="27"/>
    </row>
    <row r="1346" spans="1:29" x14ac:dyDescent="0.25">
      <c r="A1346" s="1"/>
      <c r="B1346" s="19"/>
      <c r="C1346" s="24"/>
      <c r="D1346" s="1"/>
      <c r="E1346" s="25"/>
      <c r="F1346" s="26"/>
      <c r="G1346" s="26"/>
      <c r="L1346" s="25"/>
      <c r="M1346" s="24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6"/>
      <c r="AB1346" s="26"/>
      <c r="AC1346" s="27"/>
    </row>
    <row r="1347" spans="1:29" x14ac:dyDescent="0.25">
      <c r="A1347" s="1"/>
      <c r="B1347" s="19"/>
      <c r="C1347" s="24"/>
      <c r="D1347" s="1"/>
      <c r="E1347" s="25"/>
      <c r="F1347" s="26"/>
      <c r="G1347" s="26"/>
      <c r="L1347" s="25"/>
      <c r="M1347" s="24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6"/>
      <c r="AB1347" s="26"/>
      <c r="AC1347" s="27"/>
    </row>
    <row r="1348" spans="1:29" x14ac:dyDescent="0.25">
      <c r="A1348" s="1"/>
      <c r="B1348" s="19"/>
      <c r="C1348" s="24"/>
      <c r="D1348" s="1"/>
      <c r="E1348" s="25"/>
      <c r="F1348" s="26"/>
      <c r="G1348" s="26"/>
      <c r="L1348" s="25"/>
      <c r="M1348" s="24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6"/>
      <c r="AB1348" s="26"/>
      <c r="AC1348" s="27"/>
    </row>
    <row r="1349" spans="1:29" x14ac:dyDescent="0.25">
      <c r="A1349" s="1"/>
      <c r="B1349" s="19"/>
      <c r="C1349" s="24"/>
      <c r="D1349" s="1"/>
      <c r="E1349" s="25"/>
      <c r="F1349" s="26"/>
      <c r="G1349" s="26"/>
      <c r="L1349" s="25"/>
      <c r="M1349" s="24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6"/>
      <c r="AB1349" s="26"/>
      <c r="AC1349" s="27"/>
    </row>
    <row r="1350" spans="1:29" x14ac:dyDescent="0.25">
      <c r="A1350" s="1"/>
      <c r="B1350" s="19"/>
      <c r="C1350" s="24"/>
      <c r="D1350" s="1"/>
      <c r="E1350" s="25"/>
      <c r="F1350" s="26"/>
      <c r="G1350" s="26"/>
      <c r="L1350" s="25"/>
      <c r="M1350" s="24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6"/>
      <c r="AB1350" s="26"/>
      <c r="AC1350" s="27"/>
    </row>
    <row r="1351" spans="1:29" x14ac:dyDescent="0.25">
      <c r="A1351" s="1"/>
      <c r="B1351" s="19"/>
      <c r="C1351" s="24"/>
      <c r="D1351" s="1"/>
      <c r="E1351" s="25"/>
      <c r="F1351" s="26"/>
      <c r="G1351" s="26"/>
      <c r="L1351" s="25"/>
      <c r="M1351" s="24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6"/>
      <c r="AB1351" s="26"/>
      <c r="AC1351" s="27"/>
    </row>
    <row r="1352" spans="1:29" x14ac:dyDescent="0.25">
      <c r="A1352" s="1"/>
      <c r="B1352" s="19"/>
      <c r="C1352" s="24"/>
      <c r="D1352" s="1"/>
      <c r="E1352" s="25"/>
      <c r="F1352" s="26"/>
      <c r="G1352" s="26"/>
      <c r="L1352" s="25"/>
      <c r="M1352" s="24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6"/>
      <c r="AB1352" s="26"/>
      <c r="AC1352" s="27"/>
    </row>
    <row r="1353" spans="1:29" x14ac:dyDescent="0.25">
      <c r="A1353" s="1"/>
      <c r="B1353" s="19"/>
      <c r="C1353" s="24"/>
      <c r="D1353" s="1"/>
      <c r="E1353" s="25"/>
      <c r="F1353" s="26"/>
      <c r="G1353" s="26"/>
      <c r="L1353" s="25"/>
      <c r="M1353" s="24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6"/>
      <c r="AB1353" s="26"/>
      <c r="AC1353" s="27"/>
    </row>
    <row r="1354" spans="1:29" x14ac:dyDescent="0.25">
      <c r="A1354" s="1"/>
      <c r="B1354" s="19"/>
      <c r="C1354" s="24"/>
      <c r="D1354" s="1"/>
      <c r="E1354" s="25"/>
      <c r="F1354" s="26"/>
      <c r="G1354" s="26"/>
      <c r="L1354" s="25"/>
      <c r="M1354" s="24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6"/>
      <c r="AB1354" s="26"/>
      <c r="AC1354" s="27"/>
    </row>
    <row r="1355" spans="1:29" x14ac:dyDescent="0.25">
      <c r="A1355" s="1"/>
      <c r="B1355" s="19"/>
      <c r="C1355" s="24"/>
      <c r="D1355" s="1"/>
      <c r="E1355" s="25"/>
      <c r="F1355" s="26"/>
      <c r="G1355" s="26"/>
      <c r="L1355" s="25"/>
      <c r="M1355" s="24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6"/>
      <c r="AB1355" s="26"/>
      <c r="AC1355" s="27"/>
    </row>
    <row r="1356" spans="1:29" x14ac:dyDescent="0.25">
      <c r="A1356" s="1"/>
      <c r="B1356" s="19"/>
      <c r="C1356" s="24"/>
      <c r="D1356" s="1"/>
      <c r="E1356" s="25"/>
      <c r="F1356" s="26"/>
      <c r="G1356" s="26"/>
      <c r="L1356" s="25"/>
      <c r="M1356" s="24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6"/>
      <c r="AB1356" s="26"/>
      <c r="AC1356" s="27"/>
    </row>
    <row r="1357" spans="1:29" x14ac:dyDescent="0.25">
      <c r="A1357" s="1"/>
      <c r="B1357" s="19"/>
      <c r="C1357" s="24"/>
      <c r="D1357" s="1"/>
      <c r="E1357" s="25"/>
      <c r="F1357" s="26"/>
      <c r="G1357" s="26"/>
      <c r="L1357" s="25"/>
      <c r="M1357" s="24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6"/>
      <c r="AB1357" s="26"/>
      <c r="AC1357" s="27"/>
    </row>
    <row r="1358" spans="1:29" x14ac:dyDescent="0.25">
      <c r="A1358" s="1"/>
      <c r="B1358" s="19"/>
      <c r="C1358" s="24"/>
      <c r="D1358" s="1"/>
      <c r="E1358" s="25"/>
      <c r="F1358" s="26"/>
      <c r="G1358" s="26"/>
      <c r="L1358" s="25"/>
      <c r="M1358" s="24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6"/>
      <c r="AB1358" s="26"/>
      <c r="AC1358" s="27"/>
    </row>
    <row r="1359" spans="1:29" x14ac:dyDescent="0.25">
      <c r="A1359" s="1"/>
      <c r="B1359" s="19"/>
      <c r="C1359" s="24"/>
      <c r="D1359" s="1"/>
      <c r="E1359" s="25"/>
      <c r="F1359" s="26"/>
      <c r="G1359" s="26"/>
      <c r="L1359" s="25"/>
      <c r="M1359" s="24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6"/>
      <c r="AB1359" s="26"/>
      <c r="AC1359" s="27"/>
    </row>
    <row r="1360" spans="1:29" x14ac:dyDescent="0.25">
      <c r="A1360" s="1"/>
      <c r="B1360" s="19"/>
      <c r="C1360" s="24"/>
      <c r="D1360" s="1"/>
      <c r="E1360" s="25"/>
      <c r="F1360" s="26"/>
      <c r="G1360" s="26"/>
      <c r="L1360" s="25"/>
      <c r="M1360" s="24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6"/>
      <c r="AB1360" s="26"/>
      <c r="AC1360" s="27"/>
    </row>
    <row r="1361" spans="1:29" x14ac:dyDescent="0.25">
      <c r="A1361" s="1"/>
      <c r="B1361" s="19"/>
      <c r="C1361" s="24"/>
      <c r="D1361" s="1"/>
      <c r="E1361" s="25"/>
      <c r="F1361" s="26"/>
      <c r="G1361" s="26"/>
      <c r="L1361" s="25"/>
      <c r="M1361" s="24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6"/>
      <c r="AB1361" s="26"/>
      <c r="AC1361" s="27"/>
    </row>
    <row r="1362" spans="1:29" x14ac:dyDescent="0.25">
      <c r="A1362" s="1"/>
      <c r="B1362" s="19"/>
      <c r="C1362" s="24"/>
      <c r="D1362" s="1"/>
      <c r="E1362" s="25"/>
      <c r="F1362" s="26"/>
      <c r="G1362" s="26"/>
      <c r="L1362" s="25"/>
      <c r="M1362" s="24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6"/>
      <c r="AB1362" s="26"/>
      <c r="AC1362" s="27"/>
    </row>
    <row r="1363" spans="1:29" x14ac:dyDescent="0.25">
      <c r="A1363" s="1"/>
      <c r="B1363" s="19"/>
      <c r="C1363" s="24"/>
      <c r="D1363" s="1"/>
      <c r="E1363" s="25"/>
      <c r="F1363" s="26"/>
      <c r="G1363" s="26"/>
      <c r="L1363" s="25"/>
      <c r="M1363" s="24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6"/>
      <c r="AB1363" s="26"/>
      <c r="AC1363" s="27"/>
    </row>
    <row r="1364" spans="1:29" x14ac:dyDescent="0.25">
      <c r="A1364" s="1"/>
      <c r="B1364" s="19"/>
      <c r="C1364" s="24"/>
      <c r="D1364" s="1"/>
      <c r="E1364" s="25"/>
      <c r="F1364" s="26"/>
      <c r="G1364" s="26"/>
      <c r="L1364" s="25"/>
      <c r="M1364" s="24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6"/>
      <c r="AB1364" s="26"/>
      <c r="AC1364" s="27"/>
    </row>
    <row r="1365" spans="1:29" x14ac:dyDescent="0.25">
      <c r="A1365" s="1"/>
      <c r="B1365" s="19"/>
      <c r="C1365" s="24"/>
      <c r="D1365" s="1"/>
      <c r="E1365" s="25"/>
      <c r="F1365" s="26"/>
      <c r="G1365" s="26"/>
      <c r="L1365" s="25"/>
      <c r="M1365" s="24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6"/>
      <c r="AB1365" s="26"/>
      <c r="AC1365" s="27"/>
    </row>
    <row r="1366" spans="1:29" x14ac:dyDescent="0.25">
      <c r="A1366" s="1"/>
      <c r="B1366" s="19"/>
      <c r="C1366" s="24"/>
      <c r="D1366" s="1"/>
      <c r="E1366" s="25"/>
      <c r="F1366" s="26"/>
      <c r="G1366" s="26"/>
      <c r="L1366" s="25"/>
      <c r="M1366" s="24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6"/>
      <c r="AB1366" s="26"/>
      <c r="AC1366" s="27"/>
    </row>
    <row r="1367" spans="1:29" x14ac:dyDescent="0.25">
      <c r="A1367" s="1"/>
      <c r="B1367" s="19"/>
      <c r="C1367" s="24"/>
      <c r="D1367" s="1"/>
      <c r="E1367" s="25"/>
      <c r="F1367" s="26"/>
      <c r="G1367" s="26"/>
      <c r="L1367" s="25"/>
      <c r="M1367" s="24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6"/>
      <c r="AB1367" s="26"/>
      <c r="AC1367" s="27"/>
    </row>
    <row r="1368" spans="1:29" x14ac:dyDescent="0.25">
      <c r="A1368" s="1"/>
      <c r="B1368" s="19"/>
      <c r="C1368" s="24"/>
      <c r="D1368" s="1"/>
      <c r="E1368" s="25"/>
      <c r="F1368" s="26"/>
      <c r="G1368" s="26"/>
      <c r="L1368" s="25"/>
      <c r="M1368" s="24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6"/>
      <c r="AB1368" s="26"/>
      <c r="AC1368" s="27"/>
    </row>
    <row r="1369" spans="1:29" x14ac:dyDescent="0.25">
      <c r="A1369" s="1"/>
      <c r="B1369" s="19"/>
      <c r="C1369" s="24"/>
      <c r="D1369" s="1"/>
      <c r="E1369" s="25"/>
      <c r="F1369" s="26"/>
      <c r="G1369" s="26"/>
      <c r="L1369" s="25"/>
      <c r="M1369" s="24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6"/>
      <c r="AB1369" s="26"/>
      <c r="AC1369" s="27"/>
    </row>
    <row r="1370" spans="1:29" x14ac:dyDescent="0.25">
      <c r="A1370" s="1"/>
      <c r="B1370" s="19"/>
      <c r="C1370" s="24"/>
      <c r="D1370" s="1"/>
      <c r="E1370" s="25"/>
      <c r="F1370" s="26"/>
      <c r="G1370" s="26"/>
      <c r="L1370" s="25"/>
      <c r="M1370" s="24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6"/>
      <c r="AB1370" s="26"/>
      <c r="AC1370" s="27"/>
    </row>
    <row r="1371" spans="1:29" x14ac:dyDescent="0.25">
      <c r="A1371" s="1"/>
      <c r="B1371" s="19"/>
      <c r="C1371" s="24"/>
      <c r="D1371" s="1"/>
      <c r="E1371" s="25"/>
      <c r="F1371" s="26"/>
      <c r="G1371" s="26"/>
      <c r="L1371" s="25"/>
      <c r="M1371" s="24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6"/>
      <c r="AB1371" s="26"/>
      <c r="AC1371" s="27"/>
    </row>
    <row r="1372" spans="1:29" x14ac:dyDescent="0.25">
      <c r="A1372" s="1"/>
      <c r="B1372" s="19"/>
      <c r="C1372" s="24"/>
      <c r="D1372" s="1"/>
      <c r="E1372" s="25"/>
      <c r="F1372" s="26"/>
      <c r="G1372" s="26"/>
      <c r="L1372" s="25"/>
      <c r="M1372" s="24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6"/>
      <c r="AB1372" s="26"/>
      <c r="AC1372" s="27"/>
    </row>
    <row r="1373" spans="1:29" x14ac:dyDescent="0.25">
      <c r="A1373" s="1"/>
      <c r="B1373" s="19"/>
      <c r="C1373" s="24"/>
      <c r="D1373" s="1"/>
      <c r="E1373" s="25"/>
      <c r="F1373" s="26"/>
      <c r="G1373" s="26"/>
      <c r="L1373" s="25"/>
      <c r="M1373" s="24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6"/>
      <c r="AB1373" s="26"/>
      <c r="AC1373" s="27"/>
    </row>
    <row r="1374" spans="1:29" x14ac:dyDescent="0.25">
      <c r="A1374" s="1"/>
      <c r="B1374" s="19"/>
      <c r="C1374" s="24"/>
      <c r="D1374" s="1"/>
      <c r="E1374" s="25"/>
      <c r="F1374" s="26"/>
      <c r="G1374" s="26"/>
      <c r="L1374" s="25"/>
      <c r="M1374" s="24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6"/>
      <c r="AB1374" s="26"/>
      <c r="AC1374" s="27"/>
    </row>
    <row r="1375" spans="1:29" x14ac:dyDescent="0.25">
      <c r="A1375" s="1"/>
      <c r="B1375" s="19"/>
      <c r="C1375" s="24"/>
      <c r="D1375" s="1"/>
      <c r="E1375" s="25"/>
      <c r="F1375" s="26"/>
      <c r="G1375" s="26"/>
      <c r="L1375" s="25"/>
      <c r="M1375" s="24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6"/>
      <c r="AB1375" s="26"/>
      <c r="AC1375" s="27"/>
    </row>
    <row r="1376" spans="1:29" x14ac:dyDescent="0.25">
      <c r="A1376" s="1"/>
      <c r="B1376" s="19"/>
      <c r="C1376" s="24"/>
      <c r="D1376" s="1"/>
      <c r="E1376" s="25"/>
      <c r="F1376" s="26"/>
      <c r="G1376" s="26"/>
      <c r="L1376" s="25"/>
      <c r="M1376" s="24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6"/>
      <c r="AB1376" s="26"/>
      <c r="AC1376" s="27"/>
    </row>
    <row r="1377" spans="1:29" x14ac:dyDescent="0.25">
      <c r="A1377" s="1"/>
      <c r="B1377" s="19"/>
      <c r="C1377" s="24"/>
      <c r="D1377" s="1"/>
      <c r="E1377" s="25"/>
      <c r="F1377" s="26"/>
      <c r="G1377" s="26"/>
      <c r="L1377" s="25"/>
      <c r="M1377" s="24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6"/>
      <c r="AB1377" s="26"/>
      <c r="AC1377" s="27"/>
    </row>
    <row r="1378" spans="1:29" x14ac:dyDescent="0.25">
      <c r="A1378" s="1"/>
      <c r="B1378" s="19"/>
      <c r="C1378" s="24"/>
      <c r="D1378" s="1"/>
      <c r="E1378" s="25"/>
      <c r="F1378" s="26"/>
      <c r="G1378" s="26"/>
      <c r="L1378" s="25"/>
      <c r="M1378" s="24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6"/>
      <c r="AB1378" s="26"/>
      <c r="AC1378" s="27"/>
    </row>
    <row r="1379" spans="1:29" x14ac:dyDescent="0.25">
      <c r="A1379" s="1"/>
      <c r="B1379" s="19"/>
      <c r="C1379" s="24"/>
      <c r="D1379" s="1"/>
      <c r="E1379" s="25"/>
      <c r="F1379" s="26"/>
      <c r="G1379" s="26"/>
      <c r="L1379" s="25"/>
      <c r="M1379" s="24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6"/>
      <c r="AB1379" s="26"/>
      <c r="AC1379" s="27"/>
    </row>
    <row r="1380" spans="1:29" x14ac:dyDescent="0.25">
      <c r="A1380" s="1"/>
      <c r="B1380" s="19"/>
      <c r="C1380" s="24"/>
      <c r="D1380" s="1"/>
      <c r="E1380" s="25"/>
      <c r="F1380" s="26"/>
      <c r="G1380" s="26"/>
      <c r="L1380" s="25"/>
      <c r="M1380" s="24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6"/>
      <c r="AB1380" s="26"/>
      <c r="AC1380" s="27"/>
    </row>
    <row r="1381" spans="1:29" x14ac:dyDescent="0.25">
      <c r="A1381" s="1"/>
      <c r="B1381" s="19"/>
      <c r="C1381" s="24"/>
      <c r="D1381" s="1"/>
      <c r="E1381" s="25"/>
      <c r="F1381" s="26"/>
      <c r="G1381" s="26"/>
      <c r="L1381" s="25"/>
      <c r="M1381" s="24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6"/>
      <c r="AB1381" s="26"/>
      <c r="AC1381" s="27"/>
    </row>
    <row r="1382" spans="1:29" x14ac:dyDescent="0.25">
      <c r="A1382" s="1"/>
      <c r="B1382" s="19"/>
      <c r="C1382" s="24"/>
      <c r="D1382" s="1"/>
      <c r="E1382" s="25"/>
      <c r="F1382" s="26"/>
      <c r="G1382" s="26"/>
      <c r="L1382" s="25"/>
      <c r="M1382" s="24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6"/>
      <c r="AB1382" s="26"/>
      <c r="AC1382" s="27"/>
    </row>
    <row r="1383" spans="1:29" x14ac:dyDescent="0.25">
      <c r="A1383" s="1"/>
      <c r="B1383" s="19"/>
      <c r="C1383" s="24"/>
      <c r="D1383" s="1"/>
      <c r="E1383" s="25"/>
      <c r="F1383" s="26"/>
      <c r="G1383" s="26"/>
      <c r="L1383" s="25"/>
      <c r="M1383" s="24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6"/>
      <c r="AB1383" s="26"/>
      <c r="AC1383" s="27"/>
    </row>
    <row r="1384" spans="1:29" x14ac:dyDescent="0.25">
      <c r="A1384" s="1"/>
      <c r="B1384" s="19"/>
      <c r="C1384" s="24"/>
      <c r="D1384" s="1"/>
      <c r="E1384" s="25"/>
      <c r="F1384" s="26"/>
      <c r="G1384" s="26"/>
      <c r="L1384" s="25"/>
      <c r="M1384" s="24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6"/>
      <c r="AB1384" s="26"/>
      <c r="AC1384" s="27"/>
    </row>
    <row r="1385" spans="1:29" x14ac:dyDescent="0.25">
      <c r="A1385" s="1"/>
      <c r="B1385" s="19"/>
      <c r="C1385" s="24"/>
      <c r="D1385" s="1"/>
      <c r="E1385" s="25"/>
      <c r="F1385" s="26"/>
      <c r="G1385" s="26"/>
      <c r="L1385" s="25"/>
      <c r="M1385" s="24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6"/>
      <c r="AB1385" s="26"/>
      <c r="AC1385" s="27"/>
    </row>
    <row r="1386" spans="1:29" x14ac:dyDescent="0.25">
      <c r="A1386" s="1"/>
      <c r="B1386" s="19"/>
      <c r="C1386" s="24"/>
      <c r="D1386" s="1"/>
      <c r="E1386" s="25"/>
      <c r="F1386" s="26"/>
      <c r="G1386" s="26"/>
      <c r="L1386" s="25"/>
      <c r="M1386" s="24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6"/>
      <c r="AB1386" s="26"/>
      <c r="AC1386" s="27"/>
    </row>
    <row r="1387" spans="1:29" x14ac:dyDescent="0.25">
      <c r="A1387" s="1"/>
      <c r="B1387" s="19"/>
      <c r="C1387" s="24"/>
      <c r="D1387" s="1"/>
      <c r="E1387" s="25"/>
      <c r="F1387" s="26"/>
      <c r="G1387" s="26"/>
      <c r="L1387" s="25"/>
      <c r="M1387" s="24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6"/>
      <c r="AB1387" s="26"/>
      <c r="AC1387" s="27"/>
    </row>
    <row r="1388" spans="1:29" x14ac:dyDescent="0.25">
      <c r="A1388" s="1"/>
      <c r="B1388" s="19"/>
      <c r="C1388" s="24"/>
      <c r="D1388" s="1"/>
      <c r="E1388" s="25"/>
      <c r="F1388" s="26"/>
      <c r="G1388" s="26"/>
      <c r="L1388" s="25"/>
      <c r="M1388" s="24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6"/>
      <c r="AB1388" s="26"/>
      <c r="AC1388" s="27"/>
    </row>
    <row r="1389" spans="1:29" x14ac:dyDescent="0.25">
      <c r="A1389" s="1"/>
      <c r="B1389" s="19"/>
      <c r="C1389" s="24"/>
      <c r="D1389" s="1"/>
      <c r="E1389" s="25"/>
      <c r="F1389" s="26"/>
      <c r="G1389" s="26"/>
      <c r="L1389" s="25"/>
      <c r="M1389" s="24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6"/>
      <c r="AB1389" s="26"/>
      <c r="AC1389" s="27"/>
    </row>
    <row r="1390" spans="1:29" x14ac:dyDescent="0.25">
      <c r="A1390" s="1"/>
      <c r="B1390" s="19"/>
      <c r="C1390" s="24"/>
      <c r="D1390" s="1"/>
      <c r="E1390" s="25"/>
      <c r="F1390" s="26"/>
      <c r="G1390" s="26"/>
      <c r="L1390" s="25"/>
      <c r="M1390" s="24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6"/>
      <c r="AB1390" s="26"/>
      <c r="AC1390" s="27"/>
    </row>
    <row r="1391" spans="1:29" x14ac:dyDescent="0.25">
      <c r="A1391" s="1"/>
      <c r="B1391" s="19"/>
      <c r="C1391" s="24"/>
      <c r="D1391" s="1"/>
      <c r="E1391" s="25"/>
      <c r="F1391" s="26"/>
      <c r="G1391" s="26"/>
      <c r="L1391" s="25"/>
      <c r="M1391" s="24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6"/>
      <c r="AB1391" s="26"/>
      <c r="AC1391" s="27"/>
    </row>
    <row r="1392" spans="1:29" x14ac:dyDescent="0.25">
      <c r="A1392" s="1"/>
      <c r="B1392" s="19"/>
      <c r="C1392" s="24"/>
      <c r="D1392" s="1"/>
      <c r="E1392" s="25"/>
      <c r="F1392" s="26"/>
      <c r="G1392" s="26"/>
      <c r="L1392" s="25"/>
      <c r="M1392" s="24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6"/>
      <c r="AB1392" s="26"/>
      <c r="AC1392" s="27"/>
    </row>
    <row r="1393" spans="1:29" x14ac:dyDescent="0.25">
      <c r="A1393" s="1"/>
      <c r="B1393" s="19"/>
      <c r="C1393" s="24"/>
      <c r="D1393" s="1"/>
      <c r="E1393" s="25"/>
      <c r="F1393" s="26"/>
      <c r="G1393" s="26"/>
      <c r="L1393" s="25"/>
      <c r="M1393" s="24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6"/>
      <c r="AB1393" s="26"/>
      <c r="AC1393" s="27"/>
    </row>
    <row r="1394" spans="1:29" x14ac:dyDescent="0.25">
      <c r="A1394" s="1"/>
      <c r="B1394" s="19"/>
      <c r="C1394" s="24"/>
      <c r="D1394" s="1"/>
      <c r="E1394" s="25"/>
      <c r="F1394" s="26"/>
      <c r="G1394" s="26"/>
      <c r="L1394" s="25"/>
      <c r="M1394" s="24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6"/>
      <c r="AB1394" s="26"/>
      <c r="AC1394" s="27"/>
    </row>
    <row r="1395" spans="1:29" x14ac:dyDescent="0.25">
      <c r="A1395" s="1"/>
      <c r="B1395" s="19"/>
      <c r="C1395" s="24"/>
      <c r="D1395" s="1"/>
      <c r="E1395" s="25"/>
      <c r="F1395" s="26"/>
      <c r="G1395" s="26"/>
      <c r="L1395" s="25"/>
      <c r="M1395" s="24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6"/>
      <c r="AB1395" s="26"/>
      <c r="AC1395" s="27"/>
    </row>
    <row r="1396" spans="1:29" x14ac:dyDescent="0.25">
      <c r="A1396" s="1"/>
      <c r="B1396" s="19"/>
      <c r="C1396" s="24"/>
      <c r="D1396" s="1"/>
      <c r="E1396" s="25"/>
      <c r="F1396" s="26"/>
      <c r="G1396" s="26"/>
      <c r="L1396" s="25"/>
      <c r="M1396" s="24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6"/>
      <c r="AB1396" s="26"/>
      <c r="AC1396" s="27"/>
    </row>
    <row r="1397" spans="1:29" x14ac:dyDescent="0.25">
      <c r="A1397" s="1"/>
      <c r="B1397" s="19"/>
      <c r="C1397" s="24"/>
      <c r="D1397" s="1"/>
      <c r="E1397" s="25"/>
      <c r="F1397" s="26"/>
      <c r="G1397" s="26"/>
      <c r="L1397" s="25"/>
      <c r="M1397" s="24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6"/>
      <c r="AB1397" s="26"/>
      <c r="AC1397" s="27"/>
    </row>
    <row r="1398" spans="1:29" x14ac:dyDescent="0.25">
      <c r="A1398" s="1"/>
      <c r="B1398" s="19"/>
      <c r="C1398" s="24"/>
      <c r="D1398" s="1"/>
      <c r="E1398" s="25"/>
      <c r="F1398" s="26"/>
      <c r="G1398" s="26"/>
      <c r="L1398" s="25"/>
      <c r="M1398" s="24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6"/>
      <c r="AB1398" s="26"/>
      <c r="AC1398" s="27"/>
    </row>
    <row r="1399" spans="1:29" x14ac:dyDescent="0.25">
      <c r="A1399" s="1"/>
      <c r="B1399" s="19"/>
      <c r="C1399" s="24"/>
      <c r="D1399" s="1"/>
      <c r="E1399" s="25"/>
      <c r="F1399" s="26"/>
      <c r="G1399" s="26"/>
      <c r="L1399" s="25"/>
      <c r="M1399" s="24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6"/>
      <c r="AB1399" s="26"/>
      <c r="AC1399" s="27"/>
    </row>
    <row r="1400" spans="1:29" x14ac:dyDescent="0.25">
      <c r="A1400" s="1"/>
      <c r="B1400" s="19"/>
      <c r="C1400" s="24"/>
      <c r="D1400" s="1"/>
      <c r="E1400" s="25"/>
      <c r="F1400" s="26"/>
      <c r="G1400" s="26"/>
      <c r="L1400" s="25"/>
      <c r="M1400" s="24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6"/>
      <c r="AB1400" s="26"/>
      <c r="AC1400" s="27"/>
    </row>
    <row r="1401" spans="1:29" x14ac:dyDescent="0.25">
      <c r="A1401" s="1"/>
      <c r="B1401" s="19"/>
      <c r="C1401" s="24"/>
      <c r="D1401" s="1"/>
      <c r="E1401" s="25"/>
      <c r="F1401" s="26"/>
      <c r="G1401" s="26"/>
      <c r="L1401" s="25"/>
      <c r="M1401" s="24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6"/>
      <c r="AB1401" s="26"/>
      <c r="AC1401" s="27"/>
    </row>
    <row r="1402" spans="1:29" x14ac:dyDescent="0.25">
      <c r="A1402" s="1"/>
      <c r="B1402" s="19"/>
      <c r="C1402" s="24"/>
      <c r="D1402" s="1"/>
      <c r="E1402" s="25"/>
      <c r="F1402" s="26"/>
      <c r="G1402" s="26"/>
      <c r="L1402" s="25"/>
      <c r="M1402" s="24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6"/>
      <c r="AB1402" s="26"/>
      <c r="AC1402" s="27"/>
    </row>
    <row r="1403" spans="1:29" x14ac:dyDescent="0.25">
      <c r="A1403" s="1"/>
      <c r="B1403" s="19"/>
      <c r="C1403" s="24"/>
      <c r="D1403" s="1"/>
      <c r="E1403" s="25"/>
      <c r="F1403" s="26"/>
      <c r="G1403" s="26"/>
      <c r="L1403" s="25"/>
      <c r="M1403" s="24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6"/>
      <c r="AB1403" s="26"/>
      <c r="AC1403" s="27"/>
    </row>
    <row r="1404" spans="1:29" x14ac:dyDescent="0.25">
      <c r="A1404" s="1"/>
      <c r="B1404" s="19"/>
      <c r="C1404" s="24"/>
      <c r="D1404" s="1"/>
      <c r="E1404" s="25"/>
      <c r="F1404" s="26"/>
      <c r="G1404" s="26"/>
      <c r="L1404" s="25"/>
      <c r="M1404" s="24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6"/>
      <c r="AB1404" s="26"/>
      <c r="AC1404" s="27"/>
    </row>
    <row r="1405" spans="1:29" x14ac:dyDescent="0.25">
      <c r="A1405" s="1"/>
      <c r="B1405" s="19"/>
      <c r="C1405" s="24"/>
      <c r="D1405" s="1"/>
      <c r="E1405" s="25"/>
      <c r="F1405" s="26"/>
      <c r="G1405" s="26"/>
      <c r="L1405" s="25"/>
      <c r="M1405" s="24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6"/>
      <c r="AB1405" s="26"/>
      <c r="AC1405" s="27"/>
    </row>
    <row r="1406" spans="1:29" x14ac:dyDescent="0.25">
      <c r="A1406" s="1"/>
      <c r="B1406" s="19"/>
      <c r="C1406" s="24"/>
      <c r="D1406" s="1"/>
      <c r="E1406" s="25"/>
      <c r="F1406" s="26"/>
      <c r="G1406" s="26"/>
      <c r="L1406" s="25"/>
      <c r="M1406" s="24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6"/>
      <c r="AB1406" s="26"/>
      <c r="AC1406" s="27"/>
    </row>
    <row r="1407" spans="1:29" x14ac:dyDescent="0.25">
      <c r="A1407" s="1"/>
      <c r="B1407" s="19"/>
      <c r="C1407" s="24"/>
      <c r="D1407" s="1"/>
      <c r="E1407" s="25"/>
      <c r="F1407" s="26"/>
      <c r="G1407" s="26"/>
      <c r="L1407" s="25"/>
      <c r="M1407" s="24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6"/>
      <c r="AB1407" s="26"/>
      <c r="AC1407" s="27"/>
    </row>
    <row r="1408" spans="1:29" x14ac:dyDescent="0.25">
      <c r="A1408" s="1"/>
      <c r="B1408" s="19"/>
      <c r="C1408" s="24"/>
      <c r="D1408" s="1"/>
      <c r="E1408" s="25"/>
      <c r="F1408" s="26"/>
      <c r="G1408" s="26"/>
      <c r="L1408" s="25"/>
      <c r="M1408" s="24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6"/>
      <c r="AB1408" s="26"/>
      <c r="AC1408" s="27"/>
    </row>
    <row r="1409" spans="1:29" x14ac:dyDescent="0.25">
      <c r="A1409" s="1"/>
      <c r="B1409" s="19"/>
      <c r="C1409" s="24"/>
      <c r="D1409" s="1"/>
      <c r="E1409" s="25"/>
      <c r="F1409" s="26"/>
      <c r="G1409" s="26"/>
      <c r="L1409" s="25"/>
      <c r="M1409" s="24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6"/>
      <c r="AB1409" s="26"/>
      <c r="AC1409" s="27"/>
    </row>
    <row r="1410" spans="1:29" x14ac:dyDescent="0.25">
      <c r="A1410" s="1"/>
      <c r="B1410" s="19"/>
      <c r="C1410" s="24"/>
      <c r="D1410" s="1"/>
      <c r="E1410" s="25"/>
      <c r="F1410" s="26"/>
      <c r="G1410" s="26"/>
      <c r="L1410" s="25"/>
      <c r="M1410" s="24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6"/>
      <c r="AB1410" s="26"/>
      <c r="AC1410" s="27"/>
    </row>
    <row r="1411" spans="1:29" x14ac:dyDescent="0.25">
      <c r="A1411" s="1"/>
      <c r="B1411" s="19"/>
      <c r="C1411" s="24"/>
      <c r="D1411" s="1"/>
      <c r="E1411" s="25"/>
      <c r="F1411" s="26"/>
      <c r="G1411" s="26"/>
      <c r="L1411" s="25"/>
      <c r="M1411" s="24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6"/>
      <c r="AB1411" s="26"/>
      <c r="AC1411" s="27"/>
    </row>
    <row r="1412" spans="1:29" x14ac:dyDescent="0.25">
      <c r="A1412" s="1"/>
      <c r="B1412" s="19"/>
      <c r="C1412" s="24"/>
      <c r="D1412" s="1"/>
      <c r="E1412" s="25"/>
      <c r="F1412" s="26"/>
      <c r="G1412" s="26"/>
      <c r="L1412" s="25"/>
      <c r="M1412" s="24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6"/>
      <c r="AB1412" s="26"/>
      <c r="AC1412" s="27"/>
    </row>
    <row r="1413" spans="1:29" x14ac:dyDescent="0.25">
      <c r="A1413" s="1"/>
      <c r="B1413" s="19"/>
      <c r="C1413" s="24"/>
      <c r="D1413" s="1"/>
      <c r="E1413" s="25"/>
      <c r="F1413" s="26"/>
      <c r="G1413" s="26"/>
      <c r="L1413" s="25"/>
      <c r="M1413" s="24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6"/>
      <c r="AB1413" s="26"/>
      <c r="AC1413" s="27"/>
    </row>
    <row r="1414" spans="1:29" x14ac:dyDescent="0.25">
      <c r="A1414" s="1"/>
      <c r="B1414" s="19"/>
      <c r="C1414" s="24"/>
      <c r="D1414" s="1"/>
      <c r="E1414" s="25"/>
      <c r="F1414" s="26"/>
      <c r="G1414" s="26"/>
      <c r="L1414" s="25"/>
      <c r="M1414" s="24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6"/>
      <c r="AB1414" s="26"/>
      <c r="AC1414" s="27"/>
    </row>
    <row r="1415" spans="1:29" x14ac:dyDescent="0.25">
      <c r="A1415" s="1"/>
      <c r="B1415" s="19"/>
      <c r="C1415" s="24"/>
      <c r="D1415" s="1"/>
      <c r="E1415" s="25"/>
      <c r="F1415" s="26"/>
      <c r="G1415" s="26"/>
      <c r="L1415" s="25"/>
      <c r="M1415" s="24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6"/>
      <c r="AB1415" s="26"/>
      <c r="AC1415" s="27"/>
    </row>
    <row r="1416" spans="1:29" x14ac:dyDescent="0.25">
      <c r="A1416" s="1"/>
      <c r="B1416" s="19"/>
      <c r="C1416" s="24"/>
      <c r="D1416" s="1"/>
      <c r="E1416" s="25"/>
      <c r="F1416" s="26"/>
      <c r="G1416" s="26"/>
      <c r="L1416" s="25"/>
      <c r="M1416" s="24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6"/>
      <c r="AB1416" s="26"/>
      <c r="AC1416" s="27"/>
    </row>
    <row r="1417" spans="1:29" x14ac:dyDescent="0.25">
      <c r="A1417" s="1"/>
      <c r="B1417" s="19"/>
      <c r="C1417" s="24"/>
      <c r="D1417" s="1"/>
      <c r="E1417" s="25"/>
      <c r="F1417" s="26"/>
      <c r="G1417" s="26"/>
      <c r="L1417" s="25"/>
      <c r="M1417" s="24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6"/>
      <c r="AB1417" s="26"/>
      <c r="AC1417" s="27"/>
    </row>
    <row r="1418" spans="1:29" x14ac:dyDescent="0.25">
      <c r="A1418" s="1"/>
      <c r="B1418" s="19"/>
      <c r="C1418" s="24"/>
      <c r="D1418" s="1"/>
      <c r="E1418" s="25"/>
      <c r="F1418" s="26"/>
      <c r="G1418" s="26"/>
      <c r="L1418" s="25"/>
      <c r="M1418" s="24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6"/>
      <c r="AB1418" s="26"/>
      <c r="AC1418" s="27"/>
    </row>
    <row r="1419" spans="1:29" x14ac:dyDescent="0.25">
      <c r="A1419" s="1"/>
      <c r="B1419" s="19"/>
      <c r="C1419" s="24"/>
      <c r="D1419" s="1"/>
      <c r="E1419" s="25"/>
      <c r="F1419" s="26"/>
      <c r="G1419" s="26"/>
      <c r="L1419" s="25"/>
      <c r="M1419" s="24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6"/>
      <c r="AB1419" s="26"/>
      <c r="AC1419" s="27"/>
    </row>
    <row r="1420" spans="1:29" x14ac:dyDescent="0.25">
      <c r="A1420" s="1"/>
      <c r="B1420" s="19"/>
      <c r="C1420" s="24"/>
      <c r="D1420" s="1"/>
      <c r="E1420" s="25"/>
      <c r="F1420" s="26"/>
      <c r="G1420" s="26"/>
      <c r="L1420" s="25"/>
      <c r="M1420" s="24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6"/>
      <c r="AB1420" s="26"/>
      <c r="AC1420" s="27"/>
    </row>
    <row r="1421" spans="1:29" x14ac:dyDescent="0.25">
      <c r="A1421" s="1"/>
      <c r="B1421" s="19"/>
      <c r="C1421" s="24"/>
      <c r="D1421" s="1"/>
      <c r="E1421" s="25"/>
      <c r="F1421" s="26"/>
      <c r="G1421" s="26"/>
      <c r="L1421" s="25"/>
      <c r="M1421" s="24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6"/>
      <c r="AB1421" s="26"/>
      <c r="AC1421" s="27"/>
    </row>
    <row r="1422" spans="1:29" x14ac:dyDescent="0.25">
      <c r="A1422" s="1"/>
      <c r="B1422" s="19"/>
      <c r="C1422" s="24"/>
      <c r="D1422" s="1"/>
      <c r="E1422" s="25"/>
      <c r="F1422" s="26"/>
      <c r="G1422" s="26"/>
      <c r="L1422" s="25"/>
      <c r="M1422" s="24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6"/>
      <c r="AB1422" s="26"/>
      <c r="AC1422" s="27"/>
    </row>
    <row r="1423" spans="1:29" x14ac:dyDescent="0.25">
      <c r="A1423" s="1"/>
      <c r="B1423" s="19"/>
      <c r="C1423" s="24"/>
      <c r="D1423" s="1"/>
      <c r="E1423" s="25"/>
      <c r="F1423" s="26"/>
      <c r="G1423" s="26"/>
      <c r="L1423" s="25"/>
      <c r="M1423" s="24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6"/>
      <c r="AB1423" s="26"/>
      <c r="AC1423" s="27"/>
    </row>
    <row r="1424" spans="1:29" x14ac:dyDescent="0.25">
      <c r="A1424" s="1"/>
      <c r="B1424" s="19"/>
      <c r="C1424" s="24"/>
      <c r="D1424" s="1"/>
      <c r="E1424" s="25"/>
      <c r="F1424" s="26"/>
      <c r="G1424" s="26"/>
      <c r="L1424" s="25"/>
      <c r="M1424" s="24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6"/>
      <c r="AB1424" s="26"/>
      <c r="AC1424" s="27"/>
    </row>
    <row r="1425" spans="1:29" x14ac:dyDescent="0.25">
      <c r="A1425" s="1"/>
      <c r="B1425" s="19"/>
      <c r="C1425" s="24"/>
      <c r="D1425" s="1"/>
      <c r="E1425" s="25"/>
      <c r="F1425" s="26"/>
      <c r="G1425" s="26"/>
      <c r="L1425" s="25"/>
      <c r="M1425" s="24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6"/>
      <c r="AB1425" s="26"/>
      <c r="AC1425" s="27"/>
    </row>
    <row r="1426" spans="1:29" x14ac:dyDescent="0.25">
      <c r="A1426" s="1"/>
      <c r="B1426" s="19"/>
      <c r="C1426" s="24"/>
      <c r="D1426" s="1"/>
      <c r="E1426" s="25"/>
      <c r="F1426" s="26"/>
      <c r="G1426" s="26"/>
      <c r="L1426" s="25"/>
      <c r="M1426" s="24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6"/>
      <c r="AB1426" s="26"/>
      <c r="AC1426" s="27"/>
    </row>
    <row r="1427" spans="1:29" x14ac:dyDescent="0.25">
      <c r="A1427" s="1"/>
      <c r="B1427" s="19"/>
      <c r="C1427" s="24"/>
      <c r="D1427" s="1"/>
      <c r="E1427" s="25"/>
      <c r="F1427" s="26"/>
      <c r="G1427" s="26"/>
      <c r="L1427" s="25"/>
      <c r="M1427" s="24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6"/>
      <c r="AB1427" s="26"/>
      <c r="AC1427" s="27"/>
    </row>
    <row r="1428" spans="1:29" x14ac:dyDescent="0.25">
      <c r="A1428" s="1"/>
      <c r="B1428" s="19"/>
      <c r="C1428" s="24"/>
      <c r="D1428" s="1"/>
      <c r="E1428" s="25"/>
      <c r="F1428" s="26"/>
      <c r="G1428" s="26"/>
      <c r="L1428" s="25"/>
      <c r="M1428" s="24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6"/>
      <c r="AB1428" s="26"/>
      <c r="AC1428" s="27"/>
    </row>
    <row r="1429" spans="1:29" x14ac:dyDescent="0.25">
      <c r="A1429" s="1"/>
      <c r="B1429" s="19"/>
      <c r="C1429" s="24"/>
      <c r="D1429" s="1"/>
      <c r="E1429" s="25"/>
      <c r="F1429" s="26"/>
      <c r="G1429" s="26"/>
      <c r="L1429" s="25"/>
      <c r="M1429" s="24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6"/>
      <c r="AB1429" s="26"/>
      <c r="AC1429" s="27"/>
    </row>
    <row r="1430" spans="1:29" x14ac:dyDescent="0.25">
      <c r="A1430" s="1"/>
      <c r="B1430" s="19"/>
      <c r="C1430" s="24"/>
      <c r="D1430" s="1"/>
      <c r="E1430" s="25"/>
      <c r="F1430" s="26"/>
      <c r="G1430" s="26"/>
      <c r="L1430" s="25"/>
      <c r="M1430" s="24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6"/>
      <c r="AB1430" s="26"/>
      <c r="AC1430" s="27"/>
    </row>
    <row r="1431" spans="1:29" x14ac:dyDescent="0.25">
      <c r="A1431" s="1"/>
      <c r="B1431" s="19"/>
      <c r="C1431" s="24"/>
      <c r="D1431" s="1"/>
      <c r="E1431" s="25"/>
      <c r="F1431" s="26"/>
      <c r="G1431" s="26"/>
      <c r="L1431" s="25"/>
      <c r="M1431" s="24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6"/>
      <c r="AB1431" s="26"/>
      <c r="AC1431" s="27"/>
    </row>
    <row r="1432" spans="1:29" x14ac:dyDescent="0.25">
      <c r="A1432" s="1"/>
      <c r="B1432" s="19"/>
      <c r="C1432" s="24"/>
      <c r="D1432" s="1"/>
      <c r="E1432" s="25"/>
      <c r="F1432" s="26"/>
      <c r="G1432" s="26"/>
      <c r="L1432" s="25"/>
      <c r="M1432" s="24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6"/>
      <c r="AB1432" s="26"/>
      <c r="AC1432" s="27"/>
    </row>
    <row r="1433" spans="1:29" x14ac:dyDescent="0.25">
      <c r="A1433" s="1"/>
      <c r="B1433" s="19"/>
      <c r="C1433" s="24"/>
      <c r="D1433" s="1"/>
      <c r="E1433" s="25"/>
      <c r="F1433" s="26"/>
      <c r="G1433" s="26"/>
      <c r="L1433" s="25"/>
      <c r="M1433" s="24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6"/>
      <c r="AB1433" s="26"/>
      <c r="AC1433" s="27"/>
    </row>
    <row r="1434" spans="1:29" x14ac:dyDescent="0.25">
      <c r="A1434" s="1"/>
      <c r="B1434" s="19"/>
      <c r="C1434" s="24"/>
      <c r="D1434" s="1"/>
      <c r="E1434" s="25"/>
      <c r="F1434" s="26"/>
      <c r="G1434" s="26"/>
      <c r="L1434" s="25"/>
      <c r="M1434" s="24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6"/>
      <c r="AB1434" s="26"/>
      <c r="AC1434" s="27"/>
    </row>
    <row r="1435" spans="1:29" x14ac:dyDescent="0.25">
      <c r="A1435" s="1"/>
      <c r="B1435" s="19"/>
      <c r="C1435" s="24"/>
      <c r="D1435" s="1"/>
      <c r="E1435" s="25"/>
      <c r="F1435" s="26"/>
      <c r="G1435" s="26"/>
      <c r="L1435" s="25"/>
      <c r="M1435" s="24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6"/>
      <c r="AB1435" s="26"/>
      <c r="AC1435" s="27"/>
    </row>
    <row r="1436" spans="1:29" x14ac:dyDescent="0.25">
      <c r="A1436" s="1"/>
      <c r="B1436" s="19"/>
      <c r="C1436" s="24"/>
      <c r="D1436" s="1"/>
      <c r="E1436" s="25"/>
      <c r="F1436" s="26"/>
      <c r="G1436" s="26"/>
      <c r="L1436" s="25"/>
      <c r="M1436" s="24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6"/>
      <c r="AB1436" s="26"/>
      <c r="AC1436" s="27"/>
    </row>
    <row r="1437" spans="1:29" x14ac:dyDescent="0.25">
      <c r="A1437" s="1"/>
      <c r="B1437" s="19"/>
      <c r="C1437" s="24"/>
      <c r="D1437" s="1"/>
      <c r="E1437" s="25"/>
      <c r="F1437" s="26"/>
      <c r="G1437" s="26"/>
      <c r="L1437" s="25"/>
      <c r="M1437" s="24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6"/>
      <c r="AB1437" s="26"/>
      <c r="AC1437" s="27"/>
    </row>
    <row r="1438" spans="1:29" x14ac:dyDescent="0.25">
      <c r="A1438" s="1"/>
      <c r="B1438" s="19"/>
      <c r="C1438" s="24"/>
      <c r="D1438" s="1"/>
      <c r="E1438" s="25"/>
      <c r="F1438" s="26"/>
      <c r="G1438" s="26"/>
      <c r="L1438" s="25"/>
      <c r="M1438" s="24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6"/>
      <c r="AB1438" s="26"/>
      <c r="AC1438" s="27"/>
    </row>
    <row r="1439" spans="1:29" x14ac:dyDescent="0.25">
      <c r="A1439" s="1"/>
      <c r="B1439" s="19"/>
      <c r="C1439" s="24"/>
      <c r="D1439" s="1"/>
      <c r="E1439" s="25"/>
      <c r="F1439" s="26"/>
      <c r="G1439" s="26"/>
      <c r="L1439" s="25"/>
      <c r="M1439" s="24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6"/>
      <c r="AB1439" s="26"/>
      <c r="AC1439" s="27"/>
    </row>
    <row r="1440" spans="1:29" x14ac:dyDescent="0.25">
      <c r="A1440" s="1"/>
      <c r="B1440" s="19"/>
      <c r="C1440" s="24"/>
      <c r="D1440" s="1"/>
      <c r="E1440" s="25"/>
      <c r="F1440" s="26"/>
      <c r="G1440" s="26"/>
      <c r="L1440" s="25"/>
      <c r="M1440" s="24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6"/>
      <c r="AB1440" s="26"/>
      <c r="AC1440" s="27"/>
    </row>
    <row r="1441" spans="1:29" x14ac:dyDescent="0.25">
      <c r="A1441" s="1"/>
      <c r="B1441" s="19"/>
      <c r="C1441" s="24"/>
      <c r="D1441" s="1"/>
      <c r="E1441" s="25"/>
      <c r="F1441" s="26"/>
      <c r="G1441" s="26"/>
      <c r="L1441" s="25"/>
      <c r="M1441" s="24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6"/>
      <c r="AB1441" s="26"/>
      <c r="AC1441" s="27"/>
    </row>
    <row r="1442" spans="1:29" x14ac:dyDescent="0.25">
      <c r="A1442" s="1"/>
      <c r="B1442" s="19"/>
      <c r="C1442" s="24"/>
      <c r="D1442" s="1"/>
      <c r="E1442" s="25"/>
      <c r="F1442" s="26"/>
      <c r="G1442" s="26"/>
      <c r="L1442" s="25"/>
      <c r="M1442" s="24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6"/>
      <c r="AB1442" s="26"/>
      <c r="AC1442" s="27"/>
    </row>
    <row r="1443" spans="1:29" x14ac:dyDescent="0.25">
      <c r="A1443" s="1"/>
      <c r="B1443" s="19"/>
      <c r="C1443" s="24"/>
      <c r="D1443" s="1"/>
      <c r="E1443" s="25"/>
      <c r="F1443" s="26"/>
      <c r="G1443" s="26"/>
      <c r="L1443" s="25"/>
      <c r="M1443" s="24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6"/>
      <c r="AB1443" s="26"/>
      <c r="AC1443" s="27"/>
    </row>
    <row r="1444" spans="1:29" x14ac:dyDescent="0.25">
      <c r="A1444" s="1"/>
      <c r="B1444" s="19"/>
      <c r="C1444" s="24"/>
      <c r="D1444" s="1"/>
      <c r="E1444" s="25"/>
      <c r="F1444" s="26"/>
      <c r="G1444" s="26"/>
      <c r="L1444" s="25"/>
      <c r="M1444" s="24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6"/>
      <c r="AB1444" s="26"/>
      <c r="AC1444" s="27"/>
    </row>
    <row r="1445" spans="1:29" x14ac:dyDescent="0.25">
      <c r="A1445" s="1"/>
      <c r="B1445" s="19"/>
      <c r="C1445" s="24"/>
      <c r="D1445" s="1"/>
      <c r="E1445" s="25"/>
      <c r="F1445" s="26"/>
      <c r="G1445" s="26"/>
      <c r="L1445" s="25"/>
      <c r="M1445" s="24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6"/>
      <c r="AB1445" s="26"/>
      <c r="AC1445" s="27"/>
    </row>
    <row r="1446" spans="1:29" x14ac:dyDescent="0.25">
      <c r="A1446" s="1"/>
      <c r="B1446" s="19"/>
      <c r="C1446" s="24"/>
      <c r="D1446" s="1"/>
      <c r="E1446" s="25"/>
      <c r="F1446" s="26"/>
      <c r="G1446" s="26"/>
      <c r="L1446" s="25"/>
      <c r="M1446" s="24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6"/>
      <c r="AB1446" s="26"/>
      <c r="AC1446" s="27"/>
    </row>
    <row r="1447" spans="1:29" x14ac:dyDescent="0.25">
      <c r="A1447" s="1"/>
      <c r="B1447" s="19"/>
      <c r="C1447" s="24"/>
      <c r="D1447" s="1"/>
      <c r="E1447" s="25"/>
      <c r="F1447" s="26"/>
      <c r="G1447" s="26"/>
      <c r="L1447" s="25"/>
      <c r="M1447" s="24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6"/>
      <c r="AB1447" s="26"/>
      <c r="AC1447" s="27"/>
    </row>
    <row r="1448" spans="1:29" x14ac:dyDescent="0.25">
      <c r="A1448" s="1"/>
      <c r="B1448" s="19"/>
      <c r="C1448" s="24"/>
      <c r="D1448" s="1"/>
      <c r="E1448" s="25"/>
      <c r="F1448" s="26"/>
      <c r="G1448" s="26"/>
      <c r="L1448" s="25"/>
      <c r="M1448" s="24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6"/>
      <c r="AB1448" s="26"/>
      <c r="AC1448" s="27"/>
    </row>
    <row r="1449" spans="1:29" x14ac:dyDescent="0.25">
      <c r="A1449" s="1"/>
      <c r="B1449" s="19"/>
      <c r="C1449" s="24"/>
      <c r="D1449" s="1"/>
      <c r="E1449" s="25"/>
      <c r="F1449" s="26"/>
      <c r="G1449" s="26"/>
      <c r="L1449" s="25"/>
      <c r="M1449" s="24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6"/>
      <c r="AB1449" s="26"/>
      <c r="AC1449" s="27"/>
    </row>
    <row r="1450" spans="1:29" x14ac:dyDescent="0.25">
      <c r="A1450" s="1"/>
      <c r="B1450" s="19"/>
      <c r="C1450" s="24"/>
      <c r="D1450" s="1"/>
      <c r="E1450" s="25"/>
      <c r="F1450" s="26"/>
      <c r="G1450" s="26"/>
      <c r="L1450" s="25"/>
      <c r="M1450" s="24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6"/>
      <c r="AB1450" s="26"/>
      <c r="AC1450" s="27"/>
    </row>
    <row r="1451" spans="1:29" x14ac:dyDescent="0.25">
      <c r="A1451" s="1"/>
      <c r="B1451" s="19"/>
      <c r="C1451" s="24"/>
      <c r="D1451" s="1"/>
      <c r="E1451" s="25"/>
      <c r="F1451" s="26"/>
      <c r="G1451" s="26"/>
      <c r="L1451" s="25"/>
      <c r="M1451" s="24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6"/>
      <c r="AB1451" s="26"/>
      <c r="AC1451" s="27"/>
    </row>
    <row r="1452" spans="1:29" x14ac:dyDescent="0.25">
      <c r="A1452" s="1"/>
      <c r="B1452" s="19"/>
      <c r="C1452" s="24"/>
      <c r="D1452" s="1"/>
      <c r="E1452" s="25"/>
      <c r="F1452" s="26"/>
      <c r="G1452" s="26"/>
      <c r="L1452" s="25"/>
      <c r="M1452" s="24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6"/>
      <c r="AB1452" s="26"/>
      <c r="AC1452" s="27"/>
    </row>
    <row r="1453" spans="1:29" x14ac:dyDescent="0.25">
      <c r="A1453" s="1"/>
      <c r="B1453" s="19"/>
      <c r="C1453" s="24"/>
      <c r="D1453" s="1"/>
      <c r="E1453" s="25"/>
      <c r="F1453" s="26"/>
      <c r="G1453" s="26"/>
      <c r="L1453" s="25"/>
      <c r="M1453" s="24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6"/>
      <c r="AB1453" s="26"/>
      <c r="AC1453" s="27"/>
    </row>
    <row r="1454" spans="1:29" x14ac:dyDescent="0.25">
      <c r="A1454" s="1"/>
      <c r="B1454" s="19"/>
      <c r="C1454" s="24"/>
      <c r="D1454" s="1"/>
      <c r="E1454" s="25"/>
      <c r="F1454" s="26"/>
      <c r="G1454" s="26"/>
      <c r="L1454" s="25"/>
      <c r="M1454" s="24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6"/>
      <c r="AB1454" s="26"/>
      <c r="AC1454" s="27"/>
    </row>
    <row r="1455" spans="1:29" x14ac:dyDescent="0.25">
      <c r="A1455" s="1"/>
      <c r="B1455" s="19"/>
      <c r="C1455" s="24"/>
      <c r="D1455" s="1"/>
      <c r="E1455" s="25"/>
      <c r="F1455" s="26"/>
      <c r="G1455" s="26"/>
      <c r="L1455" s="25"/>
      <c r="M1455" s="24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6"/>
      <c r="AB1455" s="26"/>
      <c r="AC1455" s="27"/>
    </row>
    <row r="1456" spans="1:29" x14ac:dyDescent="0.25">
      <c r="A1456" s="1"/>
      <c r="B1456" s="19"/>
      <c r="C1456" s="24"/>
      <c r="D1456" s="1"/>
      <c r="E1456" s="25"/>
      <c r="F1456" s="26"/>
      <c r="G1456" s="26"/>
      <c r="L1456" s="25"/>
      <c r="M1456" s="24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6"/>
      <c r="AB1456" s="26"/>
      <c r="AC1456" s="27"/>
    </row>
    <row r="1457" spans="1:29" x14ac:dyDescent="0.25">
      <c r="A1457" s="1"/>
      <c r="B1457" s="19"/>
      <c r="C1457" s="24"/>
      <c r="D1457" s="1"/>
      <c r="E1457" s="25"/>
      <c r="F1457" s="26"/>
      <c r="G1457" s="26"/>
      <c r="L1457" s="25"/>
      <c r="M1457" s="24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6"/>
      <c r="AB1457" s="26"/>
      <c r="AC1457" s="27"/>
    </row>
    <row r="1458" spans="1:29" x14ac:dyDescent="0.25">
      <c r="A1458" s="1"/>
      <c r="B1458" s="19"/>
      <c r="C1458" s="24"/>
      <c r="D1458" s="1"/>
      <c r="E1458" s="25"/>
      <c r="F1458" s="26"/>
      <c r="G1458" s="26"/>
      <c r="L1458" s="25"/>
      <c r="M1458" s="24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6"/>
      <c r="AB1458" s="26"/>
      <c r="AC1458" s="27"/>
    </row>
    <row r="1459" spans="1:29" x14ac:dyDescent="0.25">
      <c r="A1459" s="1"/>
      <c r="B1459" s="19"/>
      <c r="C1459" s="24"/>
      <c r="D1459" s="1"/>
      <c r="E1459" s="25"/>
      <c r="F1459" s="26"/>
      <c r="G1459" s="26"/>
      <c r="L1459" s="25"/>
      <c r="M1459" s="24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6"/>
      <c r="AB1459" s="26"/>
      <c r="AC1459" s="27"/>
    </row>
    <row r="1460" spans="1:29" x14ac:dyDescent="0.25">
      <c r="A1460" s="1"/>
      <c r="B1460" s="19"/>
      <c r="C1460" s="24"/>
      <c r="D1460" s="1"/>
      <c r="E1460" s="25"/>
      <c r="F1460" s="26"/>
      <c r="G1460" s="26"/>
      <c r="L1460" s="25"/>
      <c r="M1460" s="24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6"/>
      <c r="AB1460" s="26"/>
      <c r="AC1460" s="27"/>
    </row>
    <row r="1461" spans="1:29" x14ac:dyDescent="0.25">
      <c r="A1461" s="1"/>
      <c r="B1461" s="19"/>
      <c r="C1461" s="24"/>
      <c r="D1461" s="1"/>
      <c r="E1461" s="25"/>
      <c r="F1461" s="26"/>
      <c r="G1461" s="26"/>
      <c r="L1461" s="25"/>
      <c r="M1461" s="24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6"/>
      <c r="AB1461" s="26"/>
      <c r="AC1461" s="27"/>
    </row>
    <row r="1462" spans="1:29" x14ac:dyDescent="0.25">
      <c r="A1462" s="1"/>
      <c r="B1462" s="19"/>
      <c r="C1462" s="24"/>
      <c r="D1462" s="1"/>
      <c r="E1462" s="25"/>
      <c r="F1462" s="26"/>
      <c r="G1462" s="26"/>
      <c r="L1462" s="25"/>
      <c r="M1462" s="24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6"/>
      <c r="AB1462" s="26"/>
      <c r="AC1462" s="27"/>
    </row>
    <row r="1463" spans="1:29" x14ac:dyDescent="0.25">
      <c r="A1463" s="1"/>
      <c r="B1463" s="19"/>
      <c r="C1463" s="24"/>
      <c r="D1463" s="1"/>
      <c r="E1463" s="25"/>
      <c r="F1463" s="26"/>
      <c r="G1463" s="26"/>
      <c r="L1463" s="25"/>
      <c r="M1463" s="24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6"/>
      <c r="AB1463" s="26"/>
      <c r="AC1463" s="27"/>
    </row>
    <row r="1464" spans="1:29" x14ac:dyDescent="0.25">
      <c r="A1464" s="1"/>
      <c r="B1464" s="19"/>
      <c r="C1464" s="24"/>
      <c r="D1464" s="1"/>
      <c r="E1464" s="25"/>
      <c r="F1464" s="26"/>
      <c r="G1464" s="26"/>
      <c r="L1464" s="25"/>
      <c r="M1464" s="24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6"/>
      <c r="AB1464" s="26"/>
      <c r="AC1464" s="27"/>
    </row>
    <row r="1465" spans="1:29" x14ac:dyDescent="0.25">
      <c r="A1465" s="1"/>
      <c r="B1465" s="19"/>
      <c r="C1465" s="24"/>
      <c r="D1465" s="1"/>
      <c r="E1465" s="25"/>
      <c r="F1465" s="26"/>
      <c r="G1465" s="26"/>
      <c r="L1465" s="25"/>
      <c r="M1465" s="24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6"/>
      <c r="AB1465" s="26"/>
      <c r="AC1465" s="27"/>
    </row>
    <row r="1466" spans="1:29" x14ac:dyDescent="0.25">
      <c r="A1466" s="1"/>
      <c r="B1466" s="19"/>
      <c r="C1466" s="24"/>
      <c r="D1466" s="1"/>
      <c r="E1466" s="25"/>
      <c r="F1466" s="26"/>
      <c r="G1466" s="26"/>
      <c r="L1466" s="25"/>
      <c r="M1466" s="24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6"/>
      <c r="AB1466" s="26"/>
      <c r="AC1466" s="27"/>
    </row>
    <row r="1467" spans="1:29" x14ac:dyDescent="0.25">
      <c r="A1467" s="1"/>
      <c r="B1467" s="19"/>
      <c r="C1467" s="24"/>
      <c r="D1467" s="1"/>
      <c r="E1467" s="25"/>
      <c r="F1467" s="26"/>
      <c r="G1467" s="26"/>
      <c r="L1467" s="25"/>
      <c r="M1467" s="24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6"/>
      <c r="AB1467" s="26"/>
      <c r="AC1467" s="27"/>
    </row>
    <row r="1468" spans="1:29" x14ac:dyDescent="0.25">
      <c r="A1468" s="1"/>
      <c r="B1468" s="19"/>
      <c r="C1468" s="24"/>
      <c r="D1468" s="1"/>
      <c r="E1468" s="25"/>
      <c r="F1468" s="26"/>
      <c r="G1468" s="26"/>
      <c r="L1468" s="25"/>
      <c r="M1468" s="24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6"/>
      <c r="AB1468" s="26"/>
      <c r="AC1468" s="27"/>
    </row>
    <row r="1469" spans="1:29" x14ac:dyDescent="0.25">
      <c r="A1469" s="1"/>
      <c r="B1469" s="19"/>
      <c r="C1469" s="24"/>
      <c r="D1469" s="1"/>
      <c r="E1469" s="25"/>
      <c r="F1469" s="26"/>
      <c r="G1469" s="26"/>
      <c r="L1469" s="25"/>
      <c r="M1469" s="24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6"/>
      <c r="AB1469" s="26"/>
      <c r="AC1469" s="27"/>
    </row>
    <row r="1470" spans="1:29" x14ac:dyDescent="0.25">
      <c r="A1470" s="1"/>
      <c r="B1470" s="19"/>
      <c r="C1470" s="24"/>
      <c r="D1470" s="1"/>
      <c r="E1470" s="25"/>
      <c r="F1470" s="26"/>
      <c r="G1470" s="26"/>
      <c r="L1470" s="25"/>
      <c r="M1470" s="24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6"/>
      <c r="AB1470" s="26"/>
      <c r="AC1470" s="27"/>
    </row>
    <row r="1471" spans="1:29" x14ac:dyDescent="0.25">
      <c r="A1471" s="1"/>
      <c r="B1471" s="19"/>
      <c r="C1471" s="24"/>
      <c r="D1471" s="1"/>
      <c r="E1471" s="25"/>
      <c r="F1471" s="26"/>
      <c r="G1471" s="26"/>
      <c r="L1471" s="25"/>
      <c r="M1471" s="24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6"/>
      <c r="AB1471" s="26"/>
      <c r="AC1471" s="27"/>
    </row>
    <row r="1472" spans="1:29" x14ac:dyDescent="0.25">
      <c r="A1472" s="1"/>
      <c r="B1472" s="19"/>
      <c r="C1472" s="24"/>
      <c r="D1472" s="1"/>
      <c r="E1472" s="25"/>
      <c r="F1472" s="26"/>
      <c r="G1472" s="26"/>
      <c r="L1472" s="25"/>
      <c r="M1472" s="24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6"/>
      <c r="AB1472" s="26"/>
      <c r="AC1472" s="27"/>
    </row>
    <row r="1473" spans="1:29" x14ac:dyDescent="0.25">
      <c r="A1473" s="1"/>
      <c r="B1473" s="19"/>
      <c r="C1473" s="24"/>
      <c r="D1473" s="1"/>
      <c r="E1473" s="25"/>
      <c r="F1473" s="26"/>
      <c r="G1473" s="26"/>
      <c r="L1473" s="25"/>
      <c r="M1473" s="24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6"/>
      <c r="AB1473" s="26"/>
      <c r="AC1473" s="27"/>
    </row>
    <row r="1474" spans="1:29" x14ac:dyDescent="0.25">
      <c r="A1474" s="1"/>
      <c r="B1474" s="19"/>
      <c r="C1474" s="24"/>
      <c r="D1474" s="1"/>
      <c r="E1474" s="25"/>
      <c r="F1474" s="26"/>
      <c r="G1474" s="26"/>
      <c r="L1474" s="25"/>
      <c r="M1474" s="24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6"/>
      <c r="AB1474" s="26"/>
      <c r="AC1474" s="27"/>
    </row>
    <row r="1475" spans="1:29" x14ac:dyDescent="0.25">
      <c r="A1475" s="1"/>
      <c r="B1475" s="19"/>
      <c r="C1475" s="24"/>
      <c r="D1475" s="1"/>
      <c r="E1475" s="25"/>
      <c r="F1475" s="26"/>
      <c r="G1475" s="26"/>
      <c r="L1475" s="25"/>
      <c r="M1475" s="24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6"/>
      <c r="AB1475" s="26"/>
      <c r="AC1475" s="27"/>
    </row>
    <row r="1476" spans="1:29" x14ac:dyDescent="0.25">
      <c r="A1476" s="1"/>
      <c r="B1476" s="19"/>
      <c r="C1476" s="24"/>
      <c r="D1476" s="1"/>
      <c r="E1476" s="25"/>
      <c r="F1476" s="26"/>
      <c r="G1476" s="26"/>
      <c r="L1476" s="25"/>
      <c r="M1476" s="24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6"/>
      <c r="AB1476" s="26"/>
      <c r="AC1476" s="27"/>
    </row>
    <row r="1477" spans="1:29" x14ac:dyDescent="0.25">
      <c r="A1477" s="1"/>
      <c r="B1477" s="19"/>
      <c r="C1477" s="24"/>
      <c r="D1477" s="1"/>
      <c r="E1477" s="25"/>
      <c r="F1477" s="26"/>
      <c r="G1477" s="26"/>
      <c r="L1477" s="25"/>
      <c r="M1477" s="24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6"/>
      <c r="AB1477" s="26"/>
      <c r="AC1477" s="27"/>
    </row>
    <row r="1478" spans="1:29" x14ac:dyDescent="0.25">
      <c r="A1478" s="1"/>
      <c r="B1478" s="19"/>
      <c r="C1478" s="24"/>
      <c r="D1478" s="1"/>
      <c r="E1478" s="25"/>
      <c r="F1478" s="26"/>
      <c r="G1478" s="26"/>
      <c r="L1478" s="25"/>
      <c r="M1478" s="24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6"/>
      <c r="AB1478" s="26"/>
      <c r="AC1478" s="27"/>
    </row>
    <row r="1479" spans="1:29" x14ac:dyDescent="0.25">
      <c r="A1479" s="1"/>
      <c r="B1479" s="19"/>
      <c r="C1479" s="24"/>
      <c r="D1479" s="1"/>
      <c r="E1479" s="25"/>
      <c r="F1479" s="26"/>
      <c r="G1479" s="26"/>
      <c r="L1479" s="25"/>
      <c r="M1479" s="24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6"/>
      <c r="AB1479" s="26"/>
      <c r="AC1479" s="27"/>
    </row>
    <row r="1480" spans="1:29" x14ac:dyDescent="0.25">
      <c r="A1480" s="1"/>
      <c r="B1480" s="19"/>
      <c r="C1480" s="24"/>
      <c r="D1480" s="1"/>
      <c r="E1480" s="25"/>
      <c r="F1480" s="26"/>
      <c r="G1480" s="26"/>
      <c r="L1480" s="25"/>
      <c r="M1480" s="24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6"/>
      <c r="AB1480" s="26"/>
      <c r="AC1480" s="27"/>
    </row>
    <row r="1481" spans="1:29" x14ac:dyDescent="0.25">
      <c r="A1481" s="1"/>
      <c r="B1481" s="19"/>
      <c r="C1481" s="24"/>
      <c r="D1481" s="1"/>
      <c r="E1481" s="25"/>
      <c r="F1481" s="26"/>
      <c r="G1481" s="26"/>
      <c r="L1481" s="25"/>
      <c r="M1481" s="24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6"/>
      <c r="AB1481" s="26"/>
      <c r="AC1481" s="27"/>
    </row>
    <row r="1482" spans="1:29" x14ac:dyDescent="0.25">
      <c r="A1482" s="1"/>
      <c r="B1482" s="19"/>
      <c r="C1482" s="24"/>
      <c r="D1482" s="1"/>
      <c r="E1482" s="25"/>
      <c r="F1482" s="26"/>
      <c r="G1482" s="26"/>
      <c r="L1482" s="25"/>
      <c r="M1482" s="24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6"/>
      <c r="AB1482" s="26"/>
      <c r="AC1482" s="27"/>
    </row>
    <row r="1483" spans="1:29" x14ac:dyDescent="0.25">
      <c r="A1483" s="1"/>
      <c r="B1483" s="19"/>
      <c r="C1483" s="24"/>
      <c r="D1483" s="1"/>
      <c r="E1483" s="25"/>
      <c r="F1483" s="26"/>
      <c r="G1483" s="26"/>
      <c r="L1483" s="25"/>
      <c r="M1483" s="24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6"/>
      <c r="AB1483" s="26"/>
      <c r="AC1483" s="27"/>
    </row>
    <row r="1484" spans="1:29" x14ac:dyDescent="0.25">
      <c r="A1484" s="1"/>
      <c r="B1484" s="19"/>
      <c r="C1484" s="24"/>
      <c r="D1484" s="1"/>
      <c r="E1484" s="25"/>
      <c r="F1484" s="26"/>
      <c r="G1484" s="26"/>
      <c r="L1484" s="25"/>
      <c r="M1484" s="24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6"/>
      <c r="AB1484" s="26"/>
      <c r="AC1484" s="27"/>
    </row>
    <row r="1485" spans="1:29" x14ac:dyDescent="0.25">
      <c r="A1485" s="1"/>
      <c r="B1485" s="19"/>
      <c r="C1485" s="24"/>
      <c r="D1485" s="1"/>
      <c r="E1485" s="25"/>
      <c r="F1485" s="26"/>
      <c r="G1485" s="26"/>
      <c r="L1485" s="25"/>
      <c r="M1485" s="24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6"/>
      <c r="AB1485" s="26"/>
      <c r="AC1485" s="27"/>
    </row>
    <row r="1486" spans="1:29" x14ac:dyDescent="0.25">
      <c r="A1486" s="1"/>
      <c r="B1486" s="19"/>
      <c r="C1486" s="24"/>
      <c r="D1486" s="1"/>
      <c r="E1486" s="25"/>
      <c r="F1486" s="26"/>
      <c r="G1486" s="26"/>
      <c r="L1486" s="25"/>
      <c r="M1486" s="24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6"/>
      <c r="AB1486" s="26"/>
      <c r="AC1486" s="27"/>
    </row>
    <row r="1487" spans="1:29" x14ac:dyDescent="0.25">
      <c r="A1487" s="1"/>
      <c r="B1487" s="19"/>
      <c r="C1487" s="24"/>
      <c r="D1487" s="1"/>
      <c r="E1487" s="25"/>
      <c r="F1487" s="26"/>
      <c r="G1487" s="26"/>
      <c r="L1487" s="25"/>
      <c r="M1487" s="24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6"/>
      <c r="AB1487" s="26"/>
      <c r="AC1487" s="27"/>
    </row>
    <row r="1488" spans="1:29" x14ac:dyDescent="0.25">
      <c r="A1488" s="1"/>
      <c r="B1488" s="19"/>
      <c r="C1488" s="24"/>
      <c r="D1488" s="1"/>
      <c r="E1488" s="25"/>
      <c r="F1488" s="26"/>
      <c r="G1488" s="26"/>
      <c r="L1488" s="25"/>
      <c r="M1488" s="24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6"/>
      <c r="AB1488" s="26"/>
      <c r="AC1488" s="27"/>
    </row>
    <row r="1489" spans="1:29" x14ac:dyDescent="0.25">
      <c r="A1489" s="1"/>
      <c r="B1489" s="19"/>
      <c r="C1489" s="24"/>
      <c r="D1489" s="1"/>
      <c r="E1489" s="25"/>
      <c r="F1489" s="26"/>
      <c r="G1489" s="26"/>
      <c r="L1489" s="25"/>
      <c r="M1489" s="24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6"/>
      <c r="AB1489" s="26"/>
      <c r="AC1489" s="27"/>
    </row>
    <row r="1490" spans="1:29" x14ac:dyDescent="0.25">
      <c r="A1490" s="1"/>
      <c r="B1490" s="19"/>
      <c r="C1490" s="24"/>
      <c r="D1490" s="1"/>
      <c r="E1490" s="25"/>
      <c r="F1490" s="26"/>
      <c r="G1490" s="26"/>
      <c r="L1490" s="25"/>
      <c r="M1490" s="24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6"/>
      <c r="AB1490" s="26"/>
      <c r="AC1490" s="27"/>
    </row>
    <row r="1491" spans="1:29" x14ac:dyDescent="0.25">
      <c r="A1491" s="1"/>
      <c r="B1491" s="19"/>
      <c r="C1491" s="24"/>
      <c r="D1491" s="1"/>
      <c r="E1491" s="25"/>
      <c r="F1491" s="26"/>
      <c r="G1491" s="26"/>
      <c r="L1491" s="25"/>
      <c r="M1491" s="24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6"/>
      <c r="AB1491" s="26"/>
      <c r="AC1491" s="27"/>
    </row>
    <row r="1492" spans="1:29" x14ac:dyDescent="0.25">
      <c r="A1492" s="1"/>
      <c r="B1492" s="19"/>
      <c r="C1492" s="24"/>
      <c r="D1492" s="1"/>
      <c r="E1492" s="25"/>
      <c r="F1492" s="26"/>
      <c r="G1492" s="26"/>
      <c r="L1492" s="25"/>
      <c r="M1492" s="24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6"/>
      <c r="AB1492" s="26"/>
      <c r="AC1492" s="27"/>
    </row>
    <row r="1493" spans="1:29" x14ac:dyDescent="0.25">
      <c r="A1493" s="1"/>
      <c r="B1493" s="19"/>
      <c r="C1493" s="24"/>
      <c r="D1493" s="1"/>
      <c r="E1493" s="25"/>
      <c r="F1493" s="26"/>
      <c r="G1493" s="26"/>
      <c r="L1493" s="25"/>
      <c r="M1493" s="24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6"/>
      <c r="AB1493" s="26"/>
      <c r="AC1493" s="27"/>
    </row>
    <row r="1494" spans="1:29" x14ac:dyDescent="0.25">
      <c r="A1494" s="1"/>
      <c r="B1494" s="19"/>
      <c r="C1494" s="24"/>
      <c r="D1494" s="1"/>
      <c r="E1494" s="25"/>
      <c r="F1494" s="26"/>
      <c r="G1494" s="26"/>
      <c r="L1494" s="25"/>
      <c r="M1494" s="24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6"/>
      <c r="AB1494" s="26"/>
      <c r="AC1494" s="27"/>
    </row>
    <row r="1495" spans="1:29" x14ac:dyDescent="0.25">
      <c r="A1495" s="1"/>
      <c r="B1495" s="19"/>
      <c r="C1495" s="24"/>
      <c r="D1495" s="1"/>
      <c r="E1495" s="25"/>
      <c r="F1495" s="26"/>
      <c r="G1495" s="26"/>
      <c r="L1495" s="25"/>
      <c r="M1495" s="24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6"/>
      <c r="AB1495" s="26"/>
      <c r="AC1495" s="27"/>
    </row>
    <row r="1496" spans="1:29" x14ac:dyDescent="0.25">
      <c r="A1496" s="1"/>
      <c r="B1496" s="19"/>
      <c r="C1496" s="24"/>
      <c r="D1496" s="1"/>
      <c r="E1496" s="25"/>
      <c r="F1496" s="26"/>
      <c r="G1496" s="26"/>
      <c r="L1496" s="25"/>
      <c r="M1496" s="24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6"/>
      <c r="AB1496" s="26"/>
      <c r="AC1496" s="27"/>
    </row>
    <row r="1497" spans="1:29" x14ac:dyDescent="0.25">
      <c r="A1497" s="1"/>
      <c r="B1497" s="19"/>
      <c r="C1497" s="24"/>
      <c r="D1497" s="1"/>
      <c r="E1497" s="25"/>
      <c r="F1497" s="26"/>
      <c r="G1497" s="26"/>
      <c r="L1497" s="25"/>
      <c r="M1497" s="24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6"/>
      <c r="AB1497" s="26"/>
      <c r="AC1497" s="27"/>
    </row>
    <row r="1498" spans="1:29" x14ac:dyDescent="0.25">
      <c r="A1498" s="1"/>
      <c r="B1498" s="19"/>
      <c r="C1498" s="24"/>
      <c r="D1498" s="1"/>
      <c r="E1498" s="25"/>
      <c r="F1498" s="26"/>
      <c r="G1498" s="26"/>
      <c r="L1498" s="25"/>
      <c r="M1498" s="24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6"/>
      <c r="AB1498" s="26"/>
      <c r="AC1498" s="27"/>
    </row>
    <row r="1499" spans="1:29" x14ac:dyDescent="0.25">
      <c r="A1499" s="1"/>
      <c r="B1499" s="19"/>
      <c r="C1499" s="24"/>
      <c r="D1499" s="1"/>
      <c r="E1499" s="25"/>
      <c r="F1499" s="26"/>
      <c r="G1499" s="26"/>
      <c r="L1499" s="25"/>
      <c r="M1499" s="24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6"/>
      <c r="AB1499" s="26"/>
      <c r="AC1499" s="27"/>
    </row>
    <row r="1500" spans="1:29" x14ac:dyDescent="0.25">
      <c r="A1500" s="1"/>
      <c r="B1500" s="19"/>
      <c r="C1500" s="24"/>
      <c r="D1500" s="1"/>
      <c r="E1500" s="25"/>
      <c r="F1500" s="26"/>
      <c r="G1500" s="26"/>
      <c r="L1500" s="25"/>
      <c r="M1500" s="24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6"/>
      <c r="AB1500" s="26"/>
      <c r="AC1500" s="27"/>
    </row>
    <row r="1501" spans="1:29" x14ac:dyDescent="0.25">
      <c r="A1501" s="1"/>
      <c r="B1501" s="19"/>
      <c r="C1501" s="24"/>
      <c r="D1501" s="1"/>
      <c r="E1501" s="25"/>
      <c r="F1501" s="26"/>
      <c r="G1501" s="26"/>
      <c r="L1501" s="25"/>
      <c r="M1501" s="24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6"/>
      <c r="AB1501" s="26"/>
      <c r="AC1501" s="27"/>
    </row>
    <row r="1502" spans="1:29" x14ac:dyDescent="0.25">
      <c r="A1502" s="1"/>
      <c r="B1502" s="19"/>
      <c r="C1502" s="24"/>
      <c r="D1502" s="1"/>
      <c r="E1502" s="25"/>
      <c r="F1502" s="26"/>
      <c r="G1502" s="26"/>
      <c r="L1502" s="25"/>
      <c r="M1502" s="24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6"/>
      <c r="AB1502" s="26"/>
      <c r="AC1502" s="27"/>
    </row>
    <row r="1503" spans="1:29" x14ac:dyDescent="0.25">
      <c r="A1503" s="1"/>
      <c r="B1503" s="19"/>
      <c r="C1503" s="24"/>
      <c r="D1503" s="1"/>
      <c r="E1503" s="25"/>
      <c r="F1503" s="26"/>
      <c r="G1503" s="26"/>
      <c r="L1503" s="25"/>
      <c r="M1503" s="24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6"/>
      <c r="AB1503" s="26"/>
      <c r="AC1503" s="27"/>
    </row>
    <row r="1504" spans="1:29" x14ac:dyDescent="0.25">
      <c r="A1504" s="1"/>
      <c r="B1504" s="19"/>
      <c r="C1504" s="24"/>
      <c r="D1504" s="1"/>
      <c r="E1504" s="25"/>
      <c r="F1504" s="26"/>
      <c r="G1504" s="26"/>
      <c r="L1504" s="25"/>
      <c r="M1504" s="24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6"/>
      <c r="AB1504" s="26"/>
      <c r="AC1504" s="27"/>
    </row>
    <row r="1505" spans="1:29" x14ac:dyDescent="0.25">
      <c r="A1505" s="1"/>
      <c r="B1505" s="19"/>
      <c r="C1505" s="24"/>
      <c r="D1505" s="1"/>
      <c r="E1505" s="25"/>
      <c r="F1505" s="26"/>
      <c r="G1505" s="26"/>
      <c r="L1505" s="25"/>
      <c r="M1505" s="24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6"/>
      <c r="AB1505" s="26"/>
      <c r="AC1505" s="27"/>
    </row>
    <row r="1506" spans="1:29" x14ac:dyDescent="0.25">
      <c r="A1506" s="1"/>
      <c r="B1506" s="19"/>
      <c r="C1506" s="24"/>
      <c r="D1506" s="1"/>
      <c r="E1506" s="25"/>
      <c r="F1506" s="26"/>
      <c r="G1506" s="26"/>
      <c r="L1506" s="25"/>
      <c r="M1506" s="24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6"/>
      <c r="AB1506" s="26"/>
      <c r="AC1506" s="27"/>
    </row>
    <row r="1507" spans="1:29" x14ac:dyDescent="0.25">
      <c r="A1507" s="1"/>
      <c r="B1507" s="19"/>
      <c r="C1507" s="24"/>
      <c r="D1507" s="1"/>
      <c r="E1507" s="25"/>
      <c r="F1507" s="26"/>
      <c r="G1507" s="26"/>
      <c r="L1507" s="25"/>
      <c r="M1507" s="24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6"/>
      <c r="AB1507" s="26"/>
      <c r="AC1507" s="27"/>
    </row>
    <row r="1508" spans="1:29" x14ac:dyDescent="0.25">
      <c r="A1508" s="1"/>
      <c r="B1508" s="19"/>
      <c r="C1508" s="24"/>
      <c r="D1508" s="1"/>
      <c r="E1508" s="25"/>
      <c r="F1508" s="26"/>
      <c r="G1508" s="26"/>
      <c r="L1508" s="25"/>
      <c r="M1508" s="24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6"/>
      <c r="AB1508" s="26"/>
      <c r="AC1508" s="27"/>
    </row>
    <row r="1509" spans="1:29" x14ac:dyDescent="0.25">
      <c r="A1509" s="1"/>
      <c r="B1509" s="19"/>
      <c r="C1509" s="24"/>
      <c r="D1509" s="1"/>
      <c r="E1509" s="25"/>
      <c r="F1509" s="26"/>
      <c r="G1509" s="26"/>
      <c r="L1509" s="25"/>
      <c r="M1509" s="24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6"/>
      <c r="AB1509" s="26"/>
      <c r="AC1509" s="27"/>
    </row>
    <row r="1510" spans="1:29" x14ac:dyDescent="0.25">
      <c r="A1510" s="1"/>
      <c r="B1510" s="19"/>
      <c r="C1510" s="24"/>
      <c r="D1510" s="1"/>
      <c r="E1510" s="25"/>
      <c r="F1510" s="26"/>
      <c r="G1510" s="26"/>
      <c r="L1510" s="25"/>
      <c r="M1510" s="24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6"/>
      <c r="AB1510" s="26"/>
      <c r="AC1510" s="27"/>
    </row>
    <row r="1511" spans="1:29" x14ac:dyDescent="0.25">
      <c r="A1511" s="1"/>
      <c r="B1511" s="19"/>
      <c r="C1511" s="24"/>
      <c r="D1511" s="1"/>
      <c r="E1511" s="25"/>
      <c r="F1511" s="26"/>
      <c r="G1511" s="26"/>
      <c r="L1511" s="25"/>
      <c r="M1511" s="24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6"/>
      <c r="AB1511" s="26"/>
      <c r="AC1511" s="27"/>
    </row>
    <row r="1512" spans="1:29" x14ac:dyDescent="0.25">
      <c r="A1512" s="1"/>
      <c r="B1512" s="19"/>
      <c r="C1512" s="24"/>
      <c r="D1512" s="1"/>
      <c r="E1512" s="25"/>
      <c r="F1512" s="26"/>
      <c r="G1512" s="26"/>
      <c r="L1512" s="25"/>
      <c r="M1512" s="24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6"/>
      <c r="AB1512" s="26"/>
      <c r="AC1512" s="27"/>
    </row>
    <row r="1513" spans="1:29" x14ac:dyDescent="0.25">
      <c r="A1513" s="1"/>
      <c r="B1513" s="19"/>
      <c r="C1513" s="24"/>
      <c r="D1513" s="1"/>
      <c r="E1513" s="25"/>
      <c r="F1513" s="26"/>
      <c r="G1513" s="26"/>
      <c r="L1513" s="25"/>
      <c r="M1513" s="24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6"/>
      <c r="AB1513" s="26"/>
      <c r="AC1513" s="27"/>
    </row>
    <row r="1514" spans="1:29" x14ac:dyDescent="0.25">
      <c r="A1514" s="1"/>
      <c r="B1514" s="19"/>
      <c r="C1514" s="24"/>
      <c r="D1514" s="1"/>
      <c r="E1514" s="25"/>
      <c r="F1514" s="26"/>
      <c r="G1514" s="26"/>
      <c r="L1514" s="25"/>
      <c r="M1514" s="24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6"/>
      <c r="AB1514" s="26"/>
      <c r="AC1514" s="27"/>
    </row>
    <row r="1515" spans="1:29" x14ac:dyDescent="0.25">
      <c r="A1515" s="1"/>
      <c r="B1515" s="19"/>
      <c r="C1515" s="24"/>
      <c r="D1515" s="1"/>
      <c r="E1515" s="25"/>
      <c r="F1515" s="26"/>
      <c r="G1515" s="26"/>
      <c r="L1515" s="25"/>
      <c r="M1515" s="24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6"/>
      <c r="AB1515" s="26"/>
      <c r="AC1515" s="27"/>
    </row>
    <row r="1516" spans="1:29" x14ac:dyDescent="0.25">
      <c r="A1516" s="1"/>
      <c r="B1516" s="19"/>
      <c r="C1516" s="24"/>
      <c r="D1516" s="1"/>
      <c r="E1516" s="25"/>
      <c r="F1516" s="26"/>
      <c r="G1516" s="26"/>
      <c r="L1516" s="25"/>
      <c r="M1516" s="24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6"/>
      <c r="AB1516" s="26"/>
      <c r="AC1516" s="27"/>
    </row>
    <row r="1517" spans="1:29" x14ac:dyDescent="0.25">
      <c r="A1517" s="1"/>
      <c r="B1517" s="19"/>
      <c r="C1517" s="24"/>
      <c r="D1517" s="1"/>
      <c r="E1517" s="25"/>
      <c r="F1517" s="26"/>
      <c r="G1517" s="26"/>
      <c r="L1517" s="25"/>
      <c r="M1517" s="24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6"/>
      <c r="AB1517" s="26"/>
      <c r="AC1517" s="27"/>
    </row>
    <row r="1518" spans="1:29" x14ac:dyDescent="0.25">
      <c r="A1518" s="1"/>
      <c r="B1518" s="19"/>
      <c r="C1518" s="24"/>
      <c r="D1518" s="1"/>
      <c r="E1518" s="25"/>
      <c r="F1518" s="26"/>
      <c r="G1518" s="26"/>
      <c r="L1518" s="25"/>
      <c r="M1518" s="24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6"/>
      <c r="AB1518" s="26"/>
      <c r="AC1518" s="27"/>
    </row>
    <row r="1519" spans="1:29" x14ac:dyDescent="0.25">
      <c r="A1519" s="1"/>
      <c r="B1519" s="19"/>
      <c r="C1519" s="24"/>
      <c r="D1519" s="1"/>
      <c r="E1519" s="25"/>
      <c r="F1519" s="26"/>
      <c r="G1519" s="26"/>
      <c r="L1519" s="25"/>
      <c r="M1519" s="24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6"/>
      <c r="AB1519" s="26"/>
      <c r="AC1519" s="27"/>
    </row>
    <row r="1520" spans="1:29" x14ac:dyDescent="0.25">
      <c r="A1520" s="1"/>
      <c r="B1520" s="19"/>
      <c r="C1520" s="24"/>
      <c r="D1520" s="1"/>
      <c r="E1520" s="25"/>
      <c r="F1520" s="26"/>
      <c r="G1520" s="26"/>
      <c r="L1520" s="25"/>
      <c r="M1520" s="24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6"/>
      <c r="AB1520" s="26"/>
      <c r="AC1520" s="27"/>
    </row>
    <row r="1521" spans="1:29" x14ac:dyDescent="0.25">
      <c r="A1521" s="1"/>
      <c r="B1521" s="19"/>
      <c r="C1521" s="24"/>
      <c r="D1521" s="1"/>
      <c r="E1521" s="25"/>
      <c r="F1521" s="26"/>
      <c r="G1521" s="26"/>
      <c r="L1521" s="25"/>
      <c r="M1521" s="24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6"/>
      <c r="AB1521" s="26"/>
      <c r="AC1521" s="27"/>
    </row>
    <row r="1522" spans="1:29" x14ac:dyDescent="0.25">
      <c r="A1522" s="1"/>
      <c r="B1522" s="19"/>
      <c r="C1522" s="24"/>
      <c r="D1522" s="1"/>
      <c r="E1522" s="25"/>
      <c r="F1522" s="26"/>
      <c r="G1522" s="26"/>
      <c r="L1522" s="25"/>
      <c r="M1522" s="24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6"/>
      <c r="AB1522" s="26"/>
      <c r="AC1522" s="27"/>
    </row>
    <row r="1523" spans="1:29" x14ac:dyDescent="0.25">
      <c r="A1523" s="1"/>
      <c r="B1523" s="19"/>
      <c r="C1523" s="24"/>
      <c r="D1523" s="1"/>
      <c r="E1523" s="25"/>
      <c r="F1523" s="26"/>
      <c r="G1523" s="26"/>
      <c r="L1523" s="25"/>
      <c r="M1523" s="24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6"/>
      <c r="AB1523" s="26"/>
      <c r="AC1523" s="27"/>
    </row>
    <row r="1524" spans="1:29" x14ac:dyDescent="0.25">
      <c r="A1524" s="1"/>
      <c r="B1524" s="19"/>
      <c r="C1524" s="24"/>
      <c r="D1524" s="1"/>
      <c r="E1524" s="25"/>
      <c r="F1524" s="26"/>
      <c r="G1524" s="26"/>
      <c r="L1524" s="25"/>
      <c r="M1524" s="24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6"/>
      <c r="AB1524" s="26"/>
      <c r="AC1524" s="27"/>
    </row>
    <row r="1525" spans="1:29" x14ac:dyDescent="0.25">
      <c r="A1525" s="1"/>
      <c r="B1525" s="19"/>
      <c r="C1525" s="24"/>
      <c r="D1525" s="1"/>
      <c r="E1525" s="25"/>
      <c r="F1525" s="26"/>
      <c r="G1525" s="26"/>
      <c r="L1525" s="25"/>
      <c r="M1525" s="24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6"/>
      <c r="AB1525" s="26"/>
      <c r="AC1525" s="27"/>
    </row>
    <row r="1526" spans="1:29" x14ac:dyDescent="0.25">
      <c r="A1526" s="1"/>
      <c r="B1526" s="19"/>
      <c r="C1526" s="24"/>
      <c r="D1526" s="1"/>
      <c r="E1526" s="25"/>
      <c r="F1526" s="26"/>
      <c r="G1526" s="26"/>
      <c r="L1526" s="25"/>
      <c r="M1526" s="24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6"/>
      <c r="AB1526" s="26"/>
      <c r="AC1526" s="27"/>
    </row>
    <row r="1527" spans="1:29" x14ac:dyDescent="0.25">
      <c r="A1527" s="1"/>
      <c r="B1527" s="19"/>
      <c r="C1527" s="24"/>
      <c r="D1527" s="1"/>
      <c r="E1527" s="25"/>
      <c r="F1527" s="26"/>
      <c r="G1527" s="26"/>
      <c r="L1527" s="25"/>
      <c r="M1527" s="24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6"/>
      <c r="AB1527" s="26"/>
      <c r="AC1527" s="27"/>
    </row>
    <row r="1528" spans="1:29" x14ac:dyDescent="0.25">
      <c r="A1528" s="1"/>
      <c r="B1528" s="19"/>
      <c r="C1528" s="24"/>
      <c r="D1528" s="1"/>
      <c r="E1528" s="25"/>
      <c r="F1528" s="26"/>
      <c r="G1528" s="26"/>
      <c r="L1528" s="25"/>
      <c r="M1528" s="24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6"/>
      <c r="AB1528" s="26"/>
      <c r="AC1528" s="27"/>
    </row>
    <row r="1529" spans="1:29" x14ac:dyDescent="0.25">
      <c r="A1529" s="1"/>
      <c r="B1529" s="19"/>
      <c r="C1529" s="24"/>
      <c r="D1529" s="1"/>
      <c r="E1529" s="25"/>
      <c r="F1529" s="26"/>
      <c r="G1529" s="26"/>
      <c r="L1529" s="25"/>
      <c r="M1529" s="24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6"/>
      <c r="AB1529" s="26"/>
      <c r="AC1529" s="27"/>
    </row>
    <row r="1530" spans="1:29" x14ac:dyDescent="0.25">
      <c r="A1530" s="1"/>
      <c r="B1530" s="19"/>
      <c r="C1530" s="24"/>
      <c r="D1530" s="1"/>
      <c r="E1530" s="25"/>
      <c r="F1530" s="26"/>
      <c r="G1530" s="26"/>
      <c r="L1530" s="25"/>
      <c r="M1530" s="24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6"/>
      <c r="AB1530" s="26"/>
      <c r="AC1530" s="27"/>
    </row>
    <row r="1531" spans="1:29" x14ac:dyDescent="0.25">
      <c r="A1531" s="1"/>
      <c r="B1531" s="19"/>
      <c r="C1531" s="24"/>
      <c r="D1531" s="1"/>
      <c r="E1531" s="25"/>
      <c r="F1531" s="26"/>
      <c r="G1531" s="26"/>
      <c r="L1531" s="25"/>
      <c r="M1531" s="24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6"/>
      <c r="AB1531" s="26"/>
      <c r="AC1531" s="27"/>
    </row>
    <row r="1532" spans="1:29" x14ac:dyDescent="0.25">
      <c r="A1532" s="1"/>
      <c r="B1532" s="19"/>
      <c r="C1532" s="24"/>
      <c r="D1532" s="1"/>
      <c r="E1532" s="25"/>
      <c r="F1532" s="26"/>
      <c r="G1532" s="26"/>
      <c r="L1532" s="25"/>
      <c r="M1532" s="24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6"/>
      <c r="AB1532" s="26"/>
      <c r="AC1532" s="27"/>
    </row>
    <row r="1533" spans="1:29" x14ac:dyDescent="0.25">
      <c r="A1533" s="1"/>
      <c r="B1533" s="19"/>
      <c r="C1533" s="24"/>
      <c r="D1533" s="1"/>
      <c r="E1533" s="25"/>
      <c r="F1533" s="26"/>
      <c r="G1533" s="26"/>
      <c r="L1533" s="25"/>
      <c r="M1533" s="24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6"/>
      <c r="AB1533" s="26"/>
      <c r="AC1533" s="27"/>
    </row>
    <row r="1534" spans="1:29" x14ac:dyDescent="0.25">
      <c r="A1534" s="1"/>
      <c r="B1534" s="19"/>
      <c r="C1534" s="24"/>
      <c r="D1534" s="1"/>
      <c r="E1534" s="25"/>
      <c r="F1534" s="26"/>
      <c r="G1534" s="26"/>
      <c r="L1534" s="25"/>
      <c r="M1534" s="24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6"/>
      <c r="AB1534" s="26"/>
      <c r="AC1534" s="27"/>
    </row>
    <row r="1535" spans="1:29" x14ac:dyDescent="0.25">
      <c r="A1535" s="1"/>
      <c r="B1535" s="19"/>
      <c r="C1535" s="24"/>
      <c r="D1535" s="1"/>
      <c r="E1535" s="25"/>
      <c r="F1535" s="26"/>
      <c r="G1535" s="26"/>
      <c r="L1535" s="25"/>
      <c r="M1535" s="24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6"/>
      <c r="AB1535" s="26"/>
      <c r="AC1535" s="27"/>
    </row>
    <row r="1536" spans="1:29" x14ac:dyDescent="0.25">
      <c r="A1536" s="1"/>
      <c r="B1536" s="19"/>
      <c r="C1536" s="24"/>
      <c r="D1536" s="1"/>
      <c r="E1536" s="25"/>
      <c r="F1536" s="26"/>
      <c r="G1536" s="26"/>
      <c r="L1536" s="25"/>
      <c r="M1536" s="24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6"/>
      <c r="AB1536" s="26"/>
      <c r="AC1536" s="27"/>
    </row>
    <row r="1537" spans="1:29" x14ac:dyDescent="0.25">
      <c r="A1537" s="1"/>
      <c r="B1537" s="19"/>
      <c r="C1537" s="24"/>
      <c r="D1537" s="1"/>
      <c r="E1537" s="25"/>
      <c r="F1537" s="26"/>
      <c r="G1537" s="26"/>
      <c r="L1537" s="25"/>
      <c r="M1537" s="24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6"/>
      <c r="AB1537" s="26"/>
      <c r="AC1537" s="27"/>
    </row>
    <row r="1538" spans="1:29" x14ac:dyDescent="0.25">
      <c r="A1538" s="1"/>
      <c r="B1538" s="19"/>
      <c r="C1538" s="24"/>
      <c r="D1538" s="1"/>
      <c r="E1538" s="25"/>
      <c r="F1538" s="26"/>
      <c r="G1538" s="26"/>
      <c r="L1538" s="25"/>
      <c r="M1538" s="24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6"/>
      <c r="AB1538" s="26"/>
      <c r="AC1538" s="27"/>
    </row>
    <row r="1539" spans="1:29" x14ac:dyDescent="0.25">
      <c r="A1539" s="1"/>
      <c r="B1539" s="19"/>
      <c r="C1539" s="24"/>
      <c r="D1539" s="1"/>
      <c r="E1539" s="25"/>
      <c r="F1539" s="26"/>
      <c r="G1539" s="26"/>
      <c r="L1539" s="25"/>
      <c r="M1539" s="24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6"/>
      <c r="AB1539" s="26"/>
      <c r="AC1539" s="27"/>
    </row>
    <row r="1540" spans="1:29" x14ac:dyDescent="0.25">
      <c r="A1540" s="1"/>
      <c r="B1540" s="19"/>
      <c r="C1540" s="24"/>
      <c r="D1540" s="1"/>
      <c r="E1540" s="25"/>
      <c r="F1540" s="26"/>
      <c r="G1540" s="26"/>
      <c r="L1540" s="25"/>
      <c r="M1540" s="24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6"/>
      <c r="AB1540" s="26"/>
      <c r="AC1540" s="27"/>
    </row>
    <row r="1541" spans="1:29" x14ac:dyDescent="0.25">
      <c r="A1541" s="1"/>
      <c r="B1541" s="19"/>
      <c r="C1541" s="24"/>
      <c r="D1541" s="1"/>
      <c r="E1541" s="25"/>
      <c r="F1541" s="26"/>
      <c r="G1541" s="26"/>
      <c r="L1541" s="25"/>
      <c r="M1541" s="24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6"/>
      <c r="AB1541" s="26"/>
      <c r="AC1541" s="27"/>
    </row>
    <row r="1542" spans="1:29" x14ac:dyDescent="0.25">
      <c r="A1542" s="1"/>
      <c r="B1542" s="19"/>
      <c r="C1542" s="24"/>
      <c r="D1542" s="1"/>
      <c r="E1542" s="25"/>
      <c r="F1542" s="26"/>
      <c r="G1542" s="26"/>
      <c r="L1542" s="25"/>
      <c r="M1542" s="24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6"/>
      <c r="AB1542" s="26"/>
      <c r="AC1542" s="27"/>
    </row>
    <row r="1543" spans="1:29" x14ac:dyDescent="0.25">
      <c r="A1543" s="1"/>
      <c r="B1543" s="19"/>
      <c r="C1543" s="24"/>
      <c r="D1543" s="1"/>
      <c r="E1543" s="25"/>
      <c r="F1543" s="26"/>
      <c r="G1543" s="26"/>
      <c r="L1543" s="25"/>
      <c r="M1543" s="24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6"/>
      <c r="AB1543" s="26"/>
      <c r="AC1543" s="27"/>
    </row>
    <row r="1544" spans="1:29" x14ac:dyDescent="0.25">
      <c r="A1544" s="1"/>
      <c r="B1544" s="19"/>
      <c r="C1544" s="24"/>
      <c r="D1544" s="1"/>
      <c r="E1544" s="25"/>
      <c r="F1544" s="26"/>
      <c r="G1544" s="26"/>
      <c r="L1544" s="25"/>
      <c r="M1544" s="24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6"/>
      <c r="AB1544" s="26"/>
      <c r="AC1544" s="27"/>
    </row>
    <row r="1545" spans="1:29" x14ac:dyDescent="0.25">
      <c r="A1545" s="1"/>
      <c r="B1545" s="19"/>
      <c r="C1545" s="24"/>
      <c r="D1545" s="1"/>
      <c r="E1545" s="25"/>
      <c r="F1545" s="26"/>
      <c r="G1545" s="26"/>
      <c r="L1545" s="25"/>
      <c r="M1545" s="24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6"/>
      <c r="AB1545" s="26"/>
      <c r="AC1545" s="27"/>
    </row>
    <row r="1546" spans="1:29" x14ac:dyDescent="0.25">
      <c r="A1546" s="1"/>
      <c r="B1546" s="19"/>
      <c r="C1546" s="24"/>
      <c r="D1546" s="1"/>
      <c r="E1546" s="25"/>
      <c r="F1546" s="26"/>
      <c r="G1546" s="26"/>
      <c r="L1546" s="25"/>
      <c r="M1546" s="24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6"/>
      <c r="AB1546" s="26"/>
      <c r="AC1546" s="27"/>
    </row>
    <row r="1547" spans="1:29" x14ac:dyDescent="0.25">
      <c r="A1547" s="1"/>
      <c r="B1547" s="19"/>
      <c r="C1547" s="24"/>
      <c r="D1547" s="1"/>
      <c r="E1547" s="25"/>
      <c r="F1547" s="26"/>
      <c r="G1547" s="26"/>
      <c r="L1547" s="25"/>
      <c r="M1547" s="24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6"/>
      <c r="AB1547" s="26"/>
      <c r="AC1547" s="27"/>
    </row>
    <row r="1548" spans="1:29" x14ac:dyDescent="0.25">
      <c r="A1548" s="1"/>
      <c r="B1548" s="19"/>
      <c r="C1548" s="24"/>
      <c r="D1548" s="1"/>
      <c r="E1548" s="25"/>
      <c r="F1548" s="26"/>
      <c r="G1548" s="26"/>
      <c r="L1548" s="25"/>
      <c r="M1548" s="24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6"/>
      <c r="AB1548" s="26"/>
      <c r="AC1548" s="27"/>
    </row>
    <row r="1549" spans="1:29" x14ac:dyDescent="0.25">
      <c r="A1549" s="1"/>
      <c r="B1549" s="19"/>
      <c r="C1549" s="24"/>
      <c r="D1549" s="1"/>
      <c r="E1549" s="25"/>
      <c r="F1549" s="26"/>
      <c r="G1549" s="26"/>
      <c r="L1549" s="25"/>
      <c r="M1549" s="24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6"/>
      <c r="AB1549" s="26"/>
      <c r="AC1549" s="27"/>
    </row>
    <row r="1550" spans="1:29" x14ac:dyDescent="0.25">
      <c r="A1550" s="1"/>
      <c r="B1550" s="19"/>
      <c r="C1550" s="24"/>
      <c r="D1550" s="1"/>
      <c r="E1550" s="25"/>
      <c r="F1550" s="26"/>
      <c r="G1550" s="26"/>
      <c r="L1550" s="25"/>
      <c r="M1550" s="24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6"/>
      <c r="AB1550" s="26"/>
      <c r="AC1550" s="27"/>
    </row>
    <row r="1551" spans="1:29" x14ac:dyDescent="0.25">
      <c r="A1551" s="1"/>
      <c r="B1551" s="19"/>
      <c r="C1551" s="24"/>
      <c r="D1551" s="1"/>
      <c r="E1551" s="25"/>
      <c r="F1551" s="26"/>
      <c r="G1551" s="26"/>
      <c r="L1551" s="25"/>
      <c r="M1551" s="24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6"/>
      <c r="AB1551" s="26"/>
      <c r="AC1551" s="27"/>
    </row>
    <row r="1552" spans="1:29" x14ac:dyDescent="0.25">
      <c r="A1552" s="1"/>
      <c r="B1552" s="19"/>
      <c r="C1552" s="24"/>
      <c r="D1552" s="1"/>
      <c r="E1552" s="25"/>
      <c r="F1552" s="26"/>
      <c r="G1552" s="26"/>
      <c r="L1552" s="25"/>
      <c r="M1552" s="24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6"/>
      <c r="AB1552" s="26"/>
      <c r="AC1552" s="27"/>
    </row>
    <row r="1553" spans="1:29" x14ac:dyDescent="0.25">
      <c r="A1553" s="1"/>
      <c r="B1553" s="19"/>
      <c r="C1553" s="24"/>
      <c r="D1553" s="1"/>
      <c r="E1553" s="25"/>
      <c r="F1553" s="26"/>
      <c r="G1553" s="26"/>
      <c r="L1553" s="25"/>
      <c r="M1553" s="24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6"/>
      <c r="AB1553" s="26"/>
      <c r="AC1553" s="27"/>
    </row>
    <row r="1554" spans="1:29" x14ac:dyDescent="0.25">
      <c r="A1554" s="1"/>
      <c r="B1554" s="19"/>
      <c r="C1554" s="24"/>
      <c r="D1554" s="1"/>
      <c r="E1554" s="25"/>
      <c r="F1554" s="26"/>
      <c r="G1554" s="26"/>
      <c r="L1554" s="25"/>
      <c r="M1554" s="24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6"/>
      <c r="AB1554" s="26"/>
      <c r="AC1554" s="27"/>
    </row>
    <row r="1555" spans="1:29" x14ac:dyDescent="0.25">
      <c r="A1555" s="1"/>
      <c r="B1555" s="19"/>
      <c r="C1555" s="24"/>
      <c r="D1555" s="1"/>
      <c r="E1555" s="25"/>
      <c r="F1555" s="26"/>
      <c r="G1555" s="26"/>
      <c r="L1555" s="25"/>
      <c r="M1555" s="24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6"/>
      <c r="AB1555" s="26"/>
      <c r="AC1555" s="27"/>
    </row>
    <row r="1556" spans="1:29" x14ac:dyDescent="0.25">
      <c r="A1556" s="1"/>
      <c r="B1556" s="19"/>
      <c r="C1556" s="24"/>
      <c r="D1556" s="1"/>
      <c r="E1556" s="25"/>
      <c r="F1556" s="26"/>
      <c r="G1556" s="26"/>
      <c r="L1556" s="25"/>
      <c r="M1556" s="24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6"/>
      <c r="AB1556" s="26"/>
      <c r="AC1556" s="27"/>
    </row>
    <row r="1557" spans="1:29" x14ac:dyDescent="0.25">
      <c r="A1557" s="1"/>
      <c r="B1557" s="19"/>
      <c r="C1557" s="24"/>
      <c r="D1557" s="1"/>
      <c r="E1557" s="25"/>
      <c r="F1557" s="26"/>
      <c r="G1557" s="26"/>
      <c r="L1557" s="25"/>
      <c r="M1557" s="24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6"/>
      <c r="AB1557" s="26"/>
      <c r="AC1557" s="27"/>
    </row>
    <row r="1558" spans="1:29" x14ac:dyDescent="0.25">
      <c r="A1558" s="1"/>
      <c r="B1558" s="19"/>
      <c r="C1558" s="24"/>
      <c r="D1558" s="1"/>
      <c r="E1558" s="25"/>
      <c r="F1558" s="26"/>
      <c r="G1558" s="26"/>
      <c r="L1558" s="25"/>
      <c r="M1558" s="24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6"/>
      <c r="AB1558" s="26"/>
      <c r="AC1558" s="27"/>
    </row>
    <row r="1559" spans="1:29" x14ac:dyDescent="0.25">
      <c r="A1559" s="1"/>
      <c r="B1559" s="19"/>
      <c r="C1559" s="24"/>
      <c r="D1559" s="1"/>
      <c r="E1559" s="25"/>
      <c r="F1559" s="26"/>
      <c r="G1559" s="26"/>
      <c r="L1559" s="25"/>
      <c r="M1559" s="24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6"/>
      <c r="AB1559" s="26"/>
      <c r="AC1559" s="27"/>
    </row>
    <row r="1560" spans="1:29" x14ac:dyDescent="0.25">
      <c r="A1560" s="1"/>
      <c r="B1560" s="19"/>
      <c r="C1560" s="24"/>
      <c r="D1560" s="1"/>
      <c r="E1560" s="25"/>
      <c r="F1560" s="26"/>
      <c r="G1560" s="26"/>
      <c r="L1560" s="25"/>
      <c r="M1560" s="24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6"/>
      <c r="AB1560" s="26"/>
      <c r="AC1560" s="27"/>
    </row>
    <row r="1561" spans="1:29" x14ac:dyDescent="0.25">
      <c r="A1561" s="1"/>
      <c r="B1561" s="19"/>
      <c r="C1561" s="24"/>
      <c r="D1561" s="1"/>
      <c r="E1561" s="25"/>
      <c r="F1561" s="26"/>
      <c r="G1561" s="26"/>
      <c r="L1561" s="25"/>
      <c r="M1561" s="24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6"/>
      <c r="AB1561" s="26"/>
      <c r="AC1561" s="27"/>
    </row>
    <row r="1562" spans="1:29" x14ac:dyDescent="0.25">
      <c r="A1562" s="1"/>
      <c r="B1562" s="19"/>
      <c r="C1562" s="24"/>
      <c r="D1562" s="1"/>
      <c r="E1562" s="25"/>
      <c r="F1562" s="26"/>
      <c r="G1562" s="26"/>
      <c r="L1562" s="25"/>
      <c r="M1562" s="24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6"/>
      <c r="AB1562" s="26"/>
      <c r="AC1562" s="27"/>
    </row>
    <row r="1563" spans="1:29" x14ac:dyDescent="0.25">
      <c r="A1563" s="1"/>
      <c r="B1563" s="19"/>
      <c r="C1563" s="24"/>
      <c r="D1563" s="1"/>
      <c r="E1563" s="25"/>
      <c r="F1563" s="26"/>
      <c r="G1563" s="26"/>
      <c r="L1563" s="25"/>
      <c r="M1563" s="24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6"/>
      <c r="AB1563" s="26"/>
      <c r="AC1563" s="27"/>
    </row>
    <row r="1564" spans="1:29" x14ac:dyDescent="0.25">
      <c r="A1564" s="1"/>
      <c r="B1564" s="19"/>
      <c r="C1564" s="24"/>
      <c r="D1564" s="1"/>
      <c r="E1564" s="25"/>
      <c r="F1564" s="26"/>
      <c r="G1564" s="26"/>
      <c r="L1564" s="25"/>
      <c r="M1564" s="24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6"/>
      <c r="AB1564" s="26"/>
      <c r="AC1564" s="27"/>
    </row>
    <row r="1565" spans="1:29" x14ac:dyDescent="0.25">
      <c r="A1565" s="1"/>
      <c r="B1565" s="19"/>
      <c r="C1565" s="24"/>
      <c r="D1565" s="1"/>
      <c r="E1565" s="25"/>
      <c r="F1565" s="26"/>
      <c r="G1565" s="26"/>
      <c r="L1565" s="25"/>
      <c r="M1565" s="24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6"/>
      <c r="AB1565" s="26"/>
      <c r="AC1565" s="27"/>
    </row>
    <row r="1566" spans="1:29" x14ac:dyDescent="0.25">
      <c r="A1566" s="1"/>
      <c r="B1566" s="19"/>
      <c r="C1566" s="24"/>
      <c r="D1566" s="1"/>
      <c r="E1566" s="25"/>
      <c r="F1566" s="26"/>
      <c r="G1566" s="26"/>
      <c r="L1566" s="25"/>
      <c r="M1566" s="24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6"/>
      <c r="AB1566" s="26"/>
      <c r="AC1566" s="27"/>
    </row>
    <row r="1567" spans="1:29" x14ac:dyDescent="0.25">
      <c r="A1567" s="1"/>
      <c r="B1567" s="19"/>
      <c r="C1567" s="24"/>
      <c r="D1567" s="1"/>
      <c r="E1567" s="25"/>
      <c r="F1567" s="26"/>
      <c r="G1567" s="26"/>
      <c r="L1567" s="25"/>
      <c r="M1567" s="24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6"/>
      <c r="AB1567" s="26"/>
      <c r="AC1567" s="27"/>
    </row>
    <row r="1568" spans="1:29" x14ac:dyDescent="0.25">
      <c r="A1568" s="1"/>
      <c r="B1568" s="19"/>
      <c r="C1568" s="24"/>
      <c r="D1568" s="1"/>
      <c r="E1568" s="25"/>
      <c r="F1568" s="26"/>
      <c r="G1568" s="26"/>
      <c r="L1568" s="25"/>
      <c r="M1568" s="24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6"/>
      <c r="AB1568" s="26"/>
      <c r="AC1568" s="27"/>
    </row>
    <row r="1569" spans="1:29" x14ac:dyDescent="0.25">
      <c r="A1569" s="1"/>
      <c r="B1569" s="19"/>
      <c r="C1569" s="24"/>
      <c r="D1569" s="1"/>
      <c r="E1569" s="25"/>
      <c r="F1569" s="26"/>
      <c r="G1569" s="26"/>
      <c r="L1569" s="25"/>
      <c r="M1569" s="24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6"/>
      <c r="AB1569" s="26"/>
      <c r="AC1569" s="27"/>
    </row>
    <row r="1570" spans="1:29" x14ac:dyDescent="0.25">
      <c r="A1570" s="1"/>
      <c r="B1570" s="19"/>
      <c r="C1570" s="24"/>
      <c r="D1570" s="1"/>
      <c r="E1570" s="25"/>
      <c r="F1570" s="26"/>
      <c r="G1570" s="26"/>
      <c r="L1570" s="25"/>
      <c r="M1570" s="24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6"/>
      <c r="AB1570" s="26"/>
      <c r="AC1570" s="27"/>
    </row>
    <row r="1571" spans="1:29" x14ac:dyDescent="0.25">
      <c r="A1571" s="1"/>
      <c r="B1571" s="19"/>
      <c r="C1571" s="24"/>
      <c r="D1571" s="1"/>
      <c r="E1571" s="25"/>
      <c r="F1571" s="26"/>
      <c r="G1571" s="26"/>
      <c r="L1571" s="25"/>
      <c r="M1571" s="24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6"/>
      <c r="AB1571" s="26"/>
      <c r="AC1571" s="27"/>
    </row>
    <row r="1572" spans="1:29" x14ac:dyDescent="0.25">
      <c r="A1572" s="1"/>
      <c r="B1572" s="19"/>
      <c r="C1572" s="24"/>
      <c r="D1572" s="1"/>
      <c r="E1572" s="25"/>
      <c r="F1572" s="26"/>
      <c r="G1572" s="26"/>
      <c r="L1572" s="25"/>
      <c r="M1572" s="24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6"/>
      <c r="AB1572" s="26"/>
      <c r="AC1572" s="27"/>
    </row>
    <row r="1573" spans="1:29" x14ac:dyDescent="0.25">
      <c r="A1573" s="1"/>
      <c r="B1573" s="19"/>
      <c r="C1573" s="24"/>
      <c r="D1573" s="1"/>
      <c r="E1573" s="25"/>
      <c r="F1573" s="26"/>
      <c r="G1573" s="26"/>
      <c r="L1573" s="25"/>
      <c r="M1573" s="24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6"/>
      <c r="AB1573" s="26"/>
      <c r="AC1573" s="27"/>
    </row>
    <row r="1574" spans="1:29" x14ac:dyDescent="0.25">
      <c r="A1574" s="1"/>
      <c r="B1574" s="19"/>
      <c r="C1574" s="24"/>
      <c r="D1574" s="1"/>
      <c r="E1574" s="25"/>
      <c r="F1574" s="26"/>
      <c r="G1574" s="26"/>
      <c r="L1574" s="25"/>
      <c r="M1574" s="24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6"/>
      <c r="AB1574" s="26"/>
      <c r="AC1574" s="27"/>
    </row>
    <row r="1575" spans="1:29" x14ac:dyDescent="0.25">
      <c r="A1575" s="1"/>
      <c r="B1575" s="19"/>
      <c r="C1575" s="24"/>
      <c r="D1575" s="1"/>
      <c r="E1575" s="25"/>
      <c r="F1575" s="26"/>
      <c r="G1575" s="26"/>
      <c r="L1575" s="25"/>
      <c r="M1575" s="24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6"/>
      <c r="AB1575" s="26"/>
      <c r="AC1575" s="27"/>
    </row>
    <row r="1576" spans="1:29" x14ac:dyDescent="0.25">
      <c r="A1576" s="1"/>
      <c r="B1576" s="19"/>
      <c r="C1576" s="24"/>
      <c r="D1576" s="1"/>
      <c r="E1576" s="25"/>
      <c r="F1576" s="26"/>
      <c r="G1576" s="26"/>
      <c r="L1576" s="25"/>
      <c r="M1576" s="24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6"/>
      <c r="AB1576" s="26"/>
      <c r="AC1576" s="27"/>
    </row>
    <row r="1577" spans="1:29" x14ac:dyDescent="0.25">
      <c r="A1577" s="1"/>
      <c r="B1577" s="19"/>
      <c r="C1577" s="24"/>
      <c r="D1577" s="1"/>
      <c r="E1577" s="25"/>
      <c r="F1577" s="26"/>
      <c r="G1577" s="26"/>
      <c r="L1577" s="25"/>
      <c r="M1577" s="24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6"/>
      <c r="AB1577" s="26"/>
      <c r="AC1577" s="27"/>
    </row>
    <row r="1578" spans="1:29" x14ac:dyDescent="0.25">
      <c r="A1578" s="1"/>
      <c r="B1578" s="19"/>
      <c r="C1578" s="24"/>
      <c r="D1578" s="1"/>
      <c r="E1578" s="25"/>
      <c r="F1578" s="26"/>
      <c r="G1578" s="26"/>
      <c r="L1578" s="25"/>
      <c r="M1578" s="24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6"/>
      <c r="AB1578" s="26"/>
      <c r="AC1578" s="27"/>
    </row>
    <row r="1579" spans="1:29" x14ac:dyDescent="0.25">
      <c r="A1579" s="1"/>
      <c r="B1579" s="19"/>
      <c r="C1579" s="24"/>
      <c r="D1579" s="1"/>
      <c r="E1579" s="25"/>
      <c r="F1579" s="26"/>
      <c r="G1579" s="26"/>
      <c r="L1579" s="25"/>
      <c r="M1579" s="24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6"/>
      <c r="AB1579" s="26"/>
      <c r="AC1579" s="27"/>
    </row>
    <row r="1580" spans="1:29" x14ac:dyDescent="0.25">
      <c r="A1580" s="1"/>
      <c r="B1580" s="19"/>
      <c r="C1580" s="24"/>
      <c r="D1580" s="1"/>
      <c r="E1580" s="25"/>
      <c r="F1580" s="26"/>
      <c r="G1580" s="26"/>
      <c r="L1580" s="25"/>
      <c r="M1580" s="24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6"/>
      <c r="AB1580" s="26"/>
      <c r="AC1580" s="27"/>
    </row>
    <row r="1581" spans="1:29" x14ac:dyDescent="0.25">
      <c r="A1581" s="1"/>
      <c r="B1581" s="19"/>
      <c r="C1581" s="24"/>
      <c r="D1581" s="1"/>
      <c r="E1581" s="25"/>
      <c r="F1581" s="26"/>
      <c r="G1581" s="26"/>
      <c r="L1581" s="25"/>
      <c r="M1581" s="24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6"/>
      <c r="AB1581" s="26"/>
      <c r="AC1581" s="27"/>
    </row>
    <row r="1582" spans="1:29" x14ac:dyDescent="0.25">
      <c r="A1582" s="1"/>
      <c r="B1582" s="19"/>
      <c r="C1582" s="24"/>
      <c r="D1582" s="1"/>
      <c r="E1582" s="25"/>
      <c r="F1582" s="26"/>
      <c r="G1582" s="26"/>
      <c r="L1582" s="25"/>
      <c r="M1582" s="24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6"/>
      <c r="AB1582" s="26"/>
      <c r="AC1582" s="27"/>
    </row>
    <row r="1583" spans="1:29" x14ac:dyDescent="0.25">
      <c r="A1583" s="1"/>
      <c r="B1583" s="19"/>
      <c r="C1583" s="24"/>
      <c r="D1583" s="1"/>
      <c r="E1583" s="25"/>
      <c r="F1583" s="26"/>
      <c r="G1583" s="26"/>
      <c r="L1583" s="25"/>
      <c r="M1583" s="24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6"/>
      <c r="AB1583" s="26"/>
      <c r="AC1583" s="27"/>
    </row>
    <row r="1584" spans="1:29" x14ac:dyDescent="0.25">
      <c r="A1584" s="1"/>
      <c r="B1584" s="19"/>
      <c r="C1584" s="24"/>
      <c r="D1584" s="1"/>
      <c r="E1584" s="25"/>
      <c r="F1584" s="26"/>
      <c r="G1584" s="26"/>
      <c r="L1584" s="25"/>
      <c r="M1584" s="24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6"/>
      <c r="AB1584" s="26"/>
      <c r="AC1584" s="27"/>
    </row>
    <row r="1585" spans="1:29" x14ac:dyDescent="0.25">
      <c r="A1585" s="1"/>
      <c r="B1585" s="19"/>
      <c r="C1585" s="24"/>
      <c r="D1585" s="1"/>
      <c r="E1585" s="25"/>
      <c r="F1585" s="26"/>
      <c r="G1585" s="26"/>
      <c r="L1585" s="25"/>
      <c r="M1585" s="24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6"/>
      <c r="AB1585" s="26"/>
      <c r="AC1585" s="27"/>
    </row>
    <row r="1586" spans="1:29" x14ac:dyDescent="0.25">
      <c r="A1586" s="1"/>
      <c r="B1586" s="19"/>
      <c r="C1586" s="24"/>
      <c r="D1586" s="1"/>
      <c r="E1586" s="25"/>
      <c r="F1586" s="26"/>
      <c r="G1586" s="26"/>
      <c r="L1586" s="25"/>
      <c r="M1586" s="24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6"/>
      <c r="AB1586" s="26"/>
      <c r="AC1586" s="27"/>
    </row>
    <row r="1587" spans="1:29" x14ac:dyDescent="0.25">
      <c r="A1587" s="1"/>
      <c r="B1587" s="19"/>
      <c r="C1587" s="24"/>
      <c r="D1587" s="1"/>
      <c r="E1587" s="25"/>
      <c r="F1587" s="26"/>
      <c r="G1587" s="26"/>
      <c r="L1587" s="25"/>
      <c r="M1587" s="24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6"/>
      <c r="AB1587" s="26"/>
      <c r="AC1587" s="27"/>
    </row>
    <row r="1588" spans="1:29" x14ac:dyDescent="0.25">
      <c r="A1588" s="1"/>
      <c r="B1588" s="19"/>
      <c r="C1588" s="24"/>
      <c r="D1588" s="1"/>
      <c r="E1588" s="25"/>
      <c r="F1588" s="26"/>
      <c r="G1588" s="26"/>
      <c r="L1588" s="25"/>
      <c r="M1588" s="24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6"/>
      <c r="AB1588" s="26"/>
      <c r="AC1588" s="27"/>
    </row>
    <row r="1589" spans="1:29" x14ac:dyDescent="0.25">
      <c r="A1589" s="1"/>
      <c r="B1589" s="19"/>
      <c r="C1589" s="24"/>
      <c r="D1589" s="1"/>
      <c r="E1589" s="25"/>
      <c r="F1589" s="26"/>
      <c r="G1589" s="26"/>
      <c r="L1589" s="25"/>
      <c r="M1589" s="24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6"/>
      <c r="AB1589" s="26"/>
      <c r="AC1589" s="27"/>
    </row>
    <row r="1590" spans="1:29" x14ac:dyDescent="0.25">
      <c r="A1590" s="1"/>
      <c r="B1590" s="19"/>
      <c r="C1590" s="24"/>
      <c r="D1590" s="1"/>
      <c r="E1590" s="25"/>
      <c r="F1590" s="26"/>
      <c r="G1590" s="26"/>
      <c r="L1590" s="25"/>
      <c r="M1590" s="24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6"/>
      <c r="AB1590" s="26"/>
      <c r="AC1590" s="27"/>
    </row>
    <row r="1591" spans="1:29" x14ac:dyDescent="0.25">
      <c r="A1591" s="1"/>
      <c r="B1591" s="19"/>
      <c r="C1591" s="24"/>
      <c r="D1591" s="1"/>
      <c r="E1591" s="25"/>
      <c r="F1591" s="26"/>
      <c r="G1591" s="26"/>
      <c r="L1591" s="25"/>
      <c r="M1591" s="24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6"/>
      <c r="AB1591" s="26"/>
      <c r="AC1591" s="27"/>
    </row>
    <row r="1592" spans="1:29" x14ac:dyDescent="0.25">
      <c r="A1592" s="1"/>
      <c r="B1592" s="19"/>
      <c r="C1592" s="24"/>
      <c r="D1592" s="1"/>
      <c r="E1592" s="25"/>
      <c r="F1592" s="26"/>
      <c r="G1592" s="26"/>
      <c r="L1592" s="25"/>
      <c r="M1592" s="24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6"/>
      <c r="AB1592" s="26"/>
      <c r="AC1592" s="27"/>
    </row>
    <row r="1593" spans="1:29" x14ac:dyDescent="0.25">
      <c r="A1593" s="1"/>
      <c r="B1593" s="19"/>
      <c r="C1593" s="24"/>
      <c r="D1593" s="1"/>
      <c r="E1593" s="25"/>
      <c r="F1593" s="26"/>
      <c r="G1593" s="26"/>
      <c r="L1593" s="25"/>
      <c r="M1593" s="24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6"/>
      <c r="AB1593" s="26"/>
      <c r="AC1593" s="27"/>
    </row>
    <row r="1594" spans="1:29" x14ac:dyDescent="0.25">
      <c r="A1594" s="1"/>
      <c r="B1594" s="19"/>
      <c r="C1594" s="24"/>
      <c r="D1594" s="1"/>
      <c r="E1594" s="25"/>
      <c r="F1594" s="26"/>
      <c r="G1594" s="26"/>
      <c r="L1594" s="25"/>
      <c r="M1594" s="24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6"/>
      <c r="AB1594" s="26"/>
      <c r="AC1594" s="27"/>
    </row>
    <row r="1595" spans="1:29" x14ac:dyDescent="0.25">
      <c r="A1595" s="1"/>
      <c r="B1595" s="19"/>
      <c r="C1595" s="24"/>
      <c r="D1595" s="1"/>
      <c r="E1595" s="25"/>
      <c r="F1595" s="26"/>
      <c r="G1595" s="26"/>
      <c r="L1595" s="25"/>
      <c r="M1595" s="24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6"/>
      <c r="AB1595" s="26"/>
      <c r="AC1595" s="27"/>
    </row>
    <row r="1596" spans="1:29" x14ac:dyDescent="0.25">
      <c r="A1596" s="1"/>
      <c r="B1596" s="19"/>
      <c r="C1596" s="24"/>
      <c r="D1596" s="1"/>
      <c r="E1596" s="25"/>
      <c r="F1596" s="26"/>
      <c r="G1596" s="26"/>
      <c r="L1596" s="25"/>
      <c r="M1596" s="24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6"/>
      <c r="AB1596" s="26"/>
      <c r="AC1596" s="27"/>
    </row>
    <row r="1597" spans="1:29" x14ac:dyDescent="0.25">
      <c r="A1597" s="1"/>
      <c r="B1597" s="19"/>
      <c r="C1597" s="24"/>
      <c r="D1597" s="1"/>
      <c r="E1597" s="25"/>
      <c r="F1597" s="26"/>
      <c r="G1597" s="26"/>
      <c r="L1597" s="25"/>
      <c r="M1597" s="24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6"/>
      <c r="AB1597" s="26"/>
      <c r="AC1597" s="27"/>
    </row>
    <row r="1598" spans="1:29" x14ac:dyDescent="0.25">
      <c r="A1598" s="1"/>
      <c r="B1598" s="19"/>
      <c r="C1598" s="24"/>
      <c r="D1598" s="1"/>
      <c r="E1598" s="25"/>
      <c r="F1598" s="26"/>
      <c r="G1598" s="26"/>
      <c r="L1598" s="25"/>
      <c r="M1598" s="24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6"/>
      <c r="AB1598" s="26"/>
      <c r="AC1598" s="27"/>
    </row>
    <row r="1599" spans="1:29" x14ac:dyDescent="0.25">
      <c r="A1599" s="1"/>
      <c r="B1599" s="19"/>
      <c r="C1599" s="24"/>
      <c r="D1599" s="1"/>
      <c r="E1599" s="25"/>
      <c r="F1599" s="26"/>
      <c r="G1599" s="26"/>
      <c r="L1599" s="25"/>
      <c r="M1599" s="24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6"/>
      <c r="AB1599" s="26"/>
      <c r="AC1599" s="27"/>
    </row>
    <row r="1600" spans="1:29" x14ac:dyDescent="0.25">
      <c r="A1600" s="1"/>
      <c r="B1600" s="19"/>
      <c r="C1600" s="24"/>
      <c r="D1600" s="1"/>
      <c r="E1600" s="25"/>
      <c r="F1600" s="26"/>
      <c r="G1600" s="26"/>
      <c r="L1600" s="25"/>
      <c r="M1600" s="24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6"/>
      <c r="AB1600" s="26"/>
      <c r="AC1600" s="27"/>
    </row>
    <row r="1601" spans="1:29" x14ac:dyDescent="0.25">
      <c r="A1601" s="1"/>
      <c r="B1601" s="19"/>
      <c r="C1601" s="24"/>
      <c r="D1601" s="1"/>
      <c r="E1601" s="25"/>
      <c r="F1601" s="26"/>
      <c r="G1601" s="26"/>
      <c r="L1601" s="25"/>
      <c r="M1601" s="24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6"/>
      <c r="AB1601" s="26"/>
      <c r="AC1601" s="27"/>
    </row>
    <row r="1602" spans="1:29" x14ac:dyDescent="0.25">
      <c r="A1602" s="1"/>
      <c r="B1602" s="19"/>
      <c r="C1602" s="24"/>
      <c r="D1602" s="1"/>
      <c r="E1602" s="25"/>
      <c r="F1602" s="26"/>
      <c r="G1602" s="26"/>
      <c r="L1602" s="25"/>
      <c r="M1602" s="24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6"/>
      <c r="AB1602" s="26"/>
      <c r="AC1602" s="27"/>
    </row>
    <row r="1603" spans="1:29" x14ac:dyDescent="0.25">
      <c r="A1603" s="1"/>
      <c r="B1603" s="19"/>
      <c r="C1603" s="24"/>
      <c r="D1603" s="1"/>
      <c r="E1603" s="25"/>
      <c r="F1603" s="26"/>
      <c r="G1603" s="26"/>
      <c r="L1603" s="25"/>
      <c r="M1603" s="24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6"/>
      <c r="AB1603" s="26"/>
      <c r="AC1603" s="27"/>
    </row>
    <row r="1604" spans="1:29" x14ac:dyDescent="0.25">
      <c r="A1604" s="1"/>
      <c r="B1604" s="19"/>
      <c r="C1604" s="24"/>
      <c r="D1604" s="1"/>
      <c r="E1604" s="25"/>
      <c r="F1604" s="26"/>
      <c r="G1604" s="26"/>
      <c r="L1604" s="25"/>
      <c r="M1604" s="24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6"/>
      <c r="AB1604" s="26"/>
      <c r="AC1604" s="27"/>
    </row>
    <row r="1605" spans="1:29" x14ac:dyDescent="0.25">
      <c r="A1605" s="1"/>
      <c r="B1605" s="19"/>
      <c r="C1605" s="24"/>
      <c r="D1605" s="1"/>
      <c r="E1605" s="25"/>
      <c r="F1605" s="26"/>
      <c r="G1605" s="26"/>
      <c r="L1605" s="25"/>
      <c r="M1605" s="24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6"/>
      <c r="AB1605" s="26"/>
      <c r="AC1605" s="27"/>
    </row>
    <row r="1606" spans="1:29" x14ac:dyDescent="0.25">
      <c r="A1606" s="1"/>
      <c r="B1606" s="19"/>
      <c r="C1606" s="24"/>
      <c r="D1606" s="1"/>
      <c r="E1606" s="25"/>
      <c r="F1606" s="26"/>
      <c r="G1606" s="26"/>
      <c r="L1606" s="25"/>
      <c r="M1606" s="24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6"/>
      <c r="AB1606" s="26"/>
      <c r="AC1606" s="27"/>
    </row>
    <row r="1607" spans="1:29" x14ac:dyDescent="0.25">
      <c r="A1607" s="1"/>
      <c r="B1607" s="19"/>
      <c r="C1607" s="24"/>
      <c r="D1607" s="1"/>
      <c r="E1607" s="25"/>
      <c r="F1607" s="26"/>
      <c r="G1607" s="26"/>
      <c r="L1607" s="25"/>
      <c r="M1607" s="24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6"/>
      <c r="AB1607" s="26"/>
      <c r="AC1607" s="27"/>
    </row>
    <row r="1608" spans="1:29" x14ac:dyDescent="0.25">
      <c r="A1608" s="1"/>
      <c r="B1608" s="19"/>
      <c r="C1608" s="24"/>
      <c r="D1608" s="1"/>
      <c r="E1608" s="25"/>
      <c r="F1608" s="26"/>
      <c r="G1608" s="26"/>
      <c r="L1608" s="25"/>
      <c r="M1608" s="24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6"/>
      <c r="AB1608" s="26"/>
      <c r="AC1608" s="27"/>
    </row>
    <row r="1609" spans="1:29" x14ac:dyDescent="0.25">
      <c r="A1609" s="1"/>
      <c r="B1609" s="19"/>
      <c r="C1609" s="24"/>
      <c r="D1609" s="1"/>
      <c r="E1609" s="25"/>
      <c r="F1609" s="26"/>
      <c r="G1609" s="26"/>
      <c r="L1609" s="25"/>
      <c r="M1609" s="24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6"/>
      <c r="AB1609" s="26"/>
      <c r="AC1609" s="27"/>
    </row>
    <row r="1610" spans="1:29" x14ac:dyDescent="0.25">
      <c r="A1610" s="1"/>
      <c r="B1610" s="19"/>
      <c r="C1610" s="24"/>
      <c r="D1610" s="1"/>
      <c r="E1610" s="25"/>
      <c r="F1610" s="26"/>
      <c r="G1610" s="26"/>
      <c r="L1610" s="25"/>
      <c r="M1610" s="24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6"/>
      <c r="AB1610" s="26"/>
      <c r="AC1610" s="27"/>
    </row>
    <row r="1611" spans="1:29" x14ac:dyDescent="0.25">
      <c r="A1611" s="1"/>
      <c r="B1611" s="19"/>
      <c r="C1611" s="24"/>
      <c r="D1611" s="1"/>
      <c r="E1611" s="25"/>
      <c r="F1611" s="26"/>
      <c r="G1611" s="26"/>
      <c r="L1611" s="25"/>
      <c r="M1611" s="24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6"/>
      <c r="AB1611" s="26"/>
      <c r="AC1611" s="27"/>
    </row>
    <row r="1612" spans="1:29" x14ac:dyDescent="0.25">
      <c r="A1612" s="1"/>
      <c r="B1612" s="19"/>
      <c r="C1612" s="24"/>
      <c r="D1612" s="1"/>
      <c r="E1612" s="25"/>
      <c r="F1612" s="26"/>
      <c r="G1612" s="26"/>
      <c r="L1612" s="25"/>
      <c r="M1612" s="24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6"/>
      <c r="AB1612" s="26"/>
      <c r="AC1612" s="27"/>
    </row>
    <row r="1613" spans="1:29" x14ac:dyDescent="0.25">
      <c r="A1613" s="1"/>
      <c r="B1613" s="19"/>
      <c r="C1613" s="24"/>
      <c r="D1613" s="1"/>
      <c r="E1613" s="25"/>
      <c r="F1613" s="26"/>
      <c r="G1613" s="26"/>
      <c r="L1613" s="25"/>
      <c r="M1613" s="24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6"/>
      <c r="AB1613" s="26"/>
      <c r="AC1613" s="27"/>
    </row>
    <row r="1614" spans="1:29" x14ac:dyDescent="0.25">
      <c r="A1614" s="1"/>
      <c r="B1614" s="19"/>
      <c r="C1614" s="24"/>
      <c r="D1614" s="1"/>
      <c r="E1614" s="25"/>
      <c r="F1614" s="26"/>
      <c r="G1614" s="26"/>
      <c r="L1614" s="25"/>
      <c r="M1614" s="24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6"/>
      <c r="AB1614" s="26"/>
      <c r="AC1614" s="27"/>
    </row>
    <row r="1615" spans="1:29" x14ac:dyDescent="0.25">
      <c r="A1615" s="1"/>
      <c r="B1615" s="19"/>
      <c r="C1615" s="24"/>
      <c r="D1615" s="1"/>
      <c r="E1615" s="25"/>
      <c r="F1615" s="26"/>
      <c r="G1615" s="26"/>
      <c r="L1615" s="25"/>
      <c r="M1615" s="24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6"/>
      <c r="AB1615" s="26"/>
      <c r="AC1615" s="27"/>
    </row>
    <row r="1616" spans="1:29" x14ac:dyDescent="0.25">
      <c r="A1616" s="1"/>
      <c r="B1616" s="19"/>
      <c r="C1616" s="24"/>
      <c r="D1616" s="1"/>
      <c r="E1616" s="25"/>
      <c r="F1616" s="26"/>
      <c r="G1616" s="26"/>
      <c r="L1616" s="25"/>
      <c r="M1616" s="24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6"/>
      <c r="AB1616" s="26"/>
      <c r="AC1616" s="27"/>
    </row>
    <row r="1617" spans="1:29" x14ac:dyDescent="0.25">
      <c r="A1617" s="1"/>
      <c r="B1617" s="19"/>
      <c r="C1617" s="24"/>
      <c r="D1617" s="1"/>
      <c r="E1617" s="25"/>
      <c r="F1617" s="26"/>
      <c r="G1617" s="26"/>
      <c r="L1617" s="25"/>
      <c r="M1617" s="24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6"/>
      <c r="AB1617" s="26"/>
      <c r="AC1617" s="27"/>
    </row>
    <row r="1618" spans="1:29" x14ac:dyDescent="0.25">
      <c r="A1618" s="1"/>
      <c r="B1618" s="19"/>
      <c r="C1618" s="24"/>
      <c r="D1618" s="1"/>
      <c r="E1618" s="25"/>
      <c r="F1618" s="26"/>
      <c r="G1618" s="26"/>
      <c r="L1618" s="25"/>
      <c r="M1618" s="24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6"/>
      <c r="AB1618" s="26"/>
      <c r="AC1618" s="27"/>
    </row>
    <row r="1619" spans="1:29" x14ac:dyDescent="0.25">
      <c r="A1619" s="1"/>
      <c r="B1619" s="19"/>
      <c r="C1619" s="24"/>
      <c r="D1619" s="1"/>
      <c r="E1619" s="25"/>
      <c r="F1619" s="26"/>
      <c r="G1619" s="26"/>
      <c r="L1619" s="25"/>
      <c r="M1619" s="24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6"/>
      <c r="AB1619" s="26"/>
      <c r="AC1619" s="27"/>
    </row>
    <row r="1620" spans="1:29" x14ac:dyDescent="0.25">
      <c r="A1620" s="1"/>
      <c r="B1620" s="19"/>
      <c r="C1620" s="24"/>
      <c r="D1620" s="1"/>
      <c r="E1620" s="25"/>
      <c r="F1620" s="26"/>
      <c r="G1620" s="26"/>
      <c r="L1620" s="25"/>
      <c r="M1620" s="24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6"/>
      <c r="AB1620" s="26"/>
      <c r="AC1620" s="27"/>
    </row>
    <row r="1621" spans="1:29" x14ac:dyDescent="0.25">
      <c r="A1621" s="1"/>
      <c r="B1621" s="19"/>
      <c r="C1621" s="24"/>
      <c r="D1621" s="1"/>
      <c r="E1621" s="25"/>
      <c r="F1621" s="26"/>
      <c r="G1621" s="26"/>
      <c r="L1621" s="25"/>
      <c r="M1621" s="24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6"/>
      <c r="AB1621" s="26"/>
      <c r="AC1621" s="27"/>
    </row>
    <row r="1622" spans="1:29" x14ac:dyDescent="0.25">
      <c r="A1622" s="1"/>
      <c r="B1622" s="19"/>
      <c r="C1622" s="24"/>
      <c r="D1622" s="1"/>
      <c r="E1622" s="25"/>
      <c r="F1622" s="26"/>
      <c r="G1622" s="26"/>
      <c r="L1622" s="25"/>
      <c r="M1622" s="24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6"/>
      <c r="AB1622" s="26"/>
      <c r="AC1622" s="27"/>
    </row>
    <row r="1623" spans="1:29" x14ac:dyDescent="0.25">
      <c r="A1623" s="1"/>
      <c r="B1623" s="19"/>
      <c r="C1623" s="24"/>
      <c r="D1623" s="1"/>
      <c r="E1623" s="25"/>
      <c r="F1623" s="26"/>
      <c r="G1623" s="26"/>
      <c r="L1623" s="25"/>
      <c r="M1623" s="24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6"/>
      <c r="AB1623" s="26"/>
      <c r="AC1623" s="27"/>
    </row>
    <row r="1624" spans="1:29" x14ac:dyDescent="0.25">
      <c r="A1624" s="1"/>
      <c r="B1624" s="19"/>
      <c r="C1624" s="24"/>
      <c r="D1624" s="1"/>
      <c r="E1624" s="25"/>
      <c r="F1624" s="26"/>
      <c r="G1624" s="26"/>
      <c r="L1624" s="25"/>
      <c r="M1624" s="24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6"/>
      <c r="AB1624" s="26"/>
      <c r="AC1624" s="27"/>
    </row>
    <row r="1625" spans="1:29" x14ac:dyDescent="0.25">
      <c r="A1625" s="1"/>
      <c r="B1625" s="19"/>
      <c r="C1625" s="24"/>
      <c r="D1625" s="1"/>
      <c r="E1625" s="25"/>
      <c r="F1625" s="26"/>
      <c r="G1625" s="26"/>
      <c r="L1625" s="25"/>
      <c r="M1625" s="24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6"/>
      <c r="AB1625" s="26"/>
      <c r="AC1625" s="27"/>
    </row>
    <row r="1626" spans="1:29" x14ac:dyDescent="0.25">
      <c r="A1626" s="1"/>
      <c r="B1626" s="19"/>
      <c r="C1626" s="24"/>
      <c r="D1626" s="1"/>
      <c r="E1626" s="25"/>
      <c r="F1626" s="26"/>
      <c r="G1626" s="26"/>
      <c r="L1626" s="25"/>
      <c r="M1626" s="24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6"/>
      <c r="AB1626" s="26"/>
      <c r="AC1626" s="27"/>
    </row>
    <row r="1627" spans="1:29" x14ac:dyDescent="0.25">
      <c r="A1627" s="1"/>
      <c r="B1627" s="19"/>
      <c r="C1627" s="24"/>
      <c r="D1627" s="1"/>
      <c r="E1627" s="25"/>
      <c r="F1627" s="26"/>
      <c r="G1627" s="26"/>
      <c r="L1627" s="25"/>
      <c r="M1627" s="24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6"/>
      <c r="AB1627" s="26"/>
      <c r="AC1627" s="27"/>
    </row>
    <row r="1628" spans="1:29" x14ac:dyDescent="0.25">
      <c r="A1628" s="1"/>
      <c r="B1628" s="19"/>
      <c r="C1628" s="24"/>
      <c r="D1628" s="1"/>
      <c r="E1628" s="25"/>
      <c r="F1628" s="26"/>
      <c r="G1628" s="26"/>
      <c r="L1628" s="25"/>
      <c r="M1628" s="24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6"/>
      <c r="AB1628" s="26"/>
      <c r="AC1628" s="27"/>
    </row>
    <row r="1629" spans="1:29" x14ac:dyDescent="0.25">
      <c r="A1629" s="1"/>
      <c r="B1629" s="19"/>
      <c r="C1629" s="24"/>
      <c r="D1629" s="1"/>
      <c r="E1629" s="25"/>
      <c r="F1629" s="26"/>
      <c r="G1629" s="26"/>
      <c r="L1629" s="25"/>
      <c r="M1629" s="24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6"/>
      <c r="AB1629" s="26"/>
      <c r="AC1629" s="27"/>
    </row>
    <row r="1630" spans="1:29" x14ac:dyDescent="0.25">
      <c r="A1630" s="1"/>
      <c r="B1630" s="19"/>
      <c r="C1630" s="24"/>
      <c r="D1630" s="1"/>
      <c r="E1630" s="25"/>
      <c r="F1630" s="26"/>
      <c r="G1630" s="26"/>
      <c r="L1630" s="25"/>
      <c r="M1630" s="24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6"/>
      <c r="AB1630" s="26"/>
      <c r="AC1630" s="27"/>
    </row>
    <row r="1631" spans="1:29" x14ac:dyDescent="0.25">
      <c r="A1631" s="1"/>
      <c r="B1631" s="19"/>
      <c r="C1631" s="24"/>
      <c r="D1631" s="1"/>
      <c r="E1631" s="25"/>
      <c r="F1631" s="26"/>
      <c r="G1631" s="26"/>
      <c r="L1631" s="25"/>
      <c r="M1631" s="24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6"/>
      <c r="AB1631" s="26"/>
      <c r="AC1631" s="27"/>
    </row>
    <row r="1632" spans="1:29" x14ac:dyDescent="0.25">
      <c r="A1632" s="1"/>
      <c r="B1632" s="19"/>
      <c r="C1632" s="24"/>
      <c r="D1632" s="1"/>
      <c r="E1632" s="25"/>
      <c r="F1632" s="26"/>
      <c r="G1632" s="26"/>
      <c r="L1632" s="25"/>
      <c r="M1632" s="24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6"/>
      <c r="AB1632" s="26"/>
      <c r="AC1632" s="27"/>
    </row>
    <row r="1633" spans="1:29" x14ac:dyDescent="0.25">
      <c r="A1633" s="1"/>
      <c r="B1633" s="19"/>
      <c r="C1633" s="24"/>
      <c r="D1633" s="1"/>
      <c r="E1633" s="25"/>
      <c r="F1633" s="26"/>
      <c r="G1633" s="26"/>
      <c r="L1633" s="25"/>
      <c r="M1633" s="24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6"/>
      <c r="AB1633" s="26"/>
      <c r="AC1633" s="27"/>
    </row>
    <row r="1634" spans="1:29" x14ac:dyDescent="0.25">
      <c r="A1634" s="1"/>
      <c r="B1634" s="19"/>
      <c r="C1634" s="24"/>
      <c r="D1634" s="1"/>
      <c r="E1634" s="25"/>
      <c r="F1634" s="26"/>
      <c r="G1634" s="26"/>
      <c r="L1634" s="25"/>
      <c r="M1634" s="24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6"/>
      <c r="AB1634" s="26"/>
      <c r="AC1634" s="27"/>
    </row>
    <row r="1635" spans="1:29" x14ac:dyDescent="0.25">
      <c r="A1635" s="1"/>
      <c r="B1635" s="19"/>
      <c r="C1635" s="24"/>
      <c r="D1635" s="1"/>
      <c r="E1635" s="25"/>
      <c r="F1635" s="26"/>
      <c r="G1635" s="26"/>
      <c r="L1635" s="25"/>
      <c r="M1635" s="24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6"/>
      <c r="AB1635" s="26"/>
      <c r="AC1635" s="27"/>
    </row>
    <row r="1636" spans="1:29" x14ac:dyDescent="0.25">
      <c r="A1636" s="1"/>
      <c r="B1636" s="19"/>
      <c r="C1636" s="24"/>
      <c r="D1636" s="1"/>
      <c r="E1636" s="25"/>
      <c r="F1636" s="26"/>
      <c r="G1636" s="26"/>
      <c r="L1636" s="25"/>
      <c r="M1636" s="24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6"/>
      <c r="AB1636" s="26"/>
      <c r="AC1636" s="27"/>
    </row>
    <row r="1637" spans="1:29" x14ac:dyDescent="0.25">
      <c r="A1637" s="1"/>
      <c r="B1637" s="19"/>
      <c r="C1637" s="24"/>
      <c r="D1637" s="1"/>
      <c r="E1637" s="25"/>
      <c r="F1637" s="26"/>
      <c r="G1637" s="26"/>
      <c r="L1637" s="25"/>
      <c r="M1637" s="24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6"/>
      <c r="AB1637" s="26"/>
      <c r="AC1637" s="27"/>
    </row>
    <row r="1638" spans="1:29" x14ac:dyDescent="0.25">
      <c r="A1638" s="1"/>
      <c r="B1638" s="19"/>
      <c r="C1638" s="24"/>
      <c r="D1638" s="1"/>
      <c r="E1638" s="25"/>
      <c r="F1638" s="26"/>
      <c r="G1638" s="26"/>
      <c r="L1638" s="25"/>
      <c r="M1638" s="24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6"/>
      <c r="AB1638" s="26"/>
      <c r="AC1638" s="27"/>
    </row>
    <row r="1639" spans="1:29" x14ac:dyDescent="0.25">
      <c r="A1639" s="1"/>
      <c r="B1639" s="19"/>
      <c r="C1639" s="24"/>
      <c r="D1639" s="1"/>
      <c r="E1639" s="25"/>
      <c r="F1639" s="26"/>
      <c r="G1639" s="26"/>
      <c r="L1639" s="25"/>
      <c r="M1639" s="24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6"/>
      <c r="AB1639" s="26"/>
      <c r="AC1639" s="27"/>
    </row>
    <row r="1640" spans="1:29" x14ac:dyDescent="0.25">
      <c r="A1640" s="1"/>
      <c r="B1640" s="19"/>
      <c r="C1640" s="24"/>
      <c r="D1640" s="1"/>
      <c r="E1640" s="25"/>
      <c r="F1640" s="26"/>
      <c r="G1640" s="26"/>
      <c r="L1640" s="25"/>
      <c r="M1640" s="24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6"/>
      <c r="AB1640" s="26"/>
      <c r="AC1640" s="27"/>
    </row>
    <row r="1641" spans="1:29" x14ac:dyDescent="0.25">
      <c r="A1641" s="1"/>
      <c r="B1641" s="19"/>
      <c r="C1641" s="24"/>
      <c r="D1641" s="1"/>
      <c r="E1641" s="25"/>
      <c r="F1641" s="26"/>
      <c r="G1641" s="26"/>
      <c r="L1641" s="25"/>
      <c r="M1641" s="24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6"/>
      <c r="AB1641" s="26"/>
      <c r="AC1641" s="27"/>
    </row>
    <row r="1642" spans="1:29" x14ac:dyDescent="0.25">
      <c r="A1642" s="1"/>
      <c r="B1642" s="19"/>
      <c r="C1642" s="24"/>
      <c r="D1642" s="1"/>
      <c r="E1642" s="25"/>
      <c r="F1642" s="26"/>
      <c r="G1642" s="26"/>
      <c r="L1642" s="25"/>
      <c r="M1642" s="24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6"/>
      <c r="AB1642" s="26"/>
      <c r="AC1642" s="27"/>
    </row>
    <row r="1643" spans="1:29" x14ac:dyDescent="0.25">
      <c r="A1643" s="1"/>
      <c r="B1643" s="19"/>
      <c r="C1643" s="24"/>
      <c r="D1643" s="1"/>
      <c r="E1643" s="25"/>
      <c r="F1643" s="26"/>
      <c r="G1643" s="26"/>
      <c r="L1643" s="25"/>
      <c r="M1643" s="24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6"/>
      <c r="AB1643" s="26"/>
      <c r="AC1643" s="27"/>
    </row>
    <row r="1644" spans="1:29" x14ac:dyDescent="0.25">
      <c r="A1644" s="1"/>
      <c r="B1644" s="19"/>
      <c r="C1644" s="24"/>
      <c r="D1644" s="1"/>
      <c r="E1644" s="25"/>
      <c r="F1644" s="26"/>
      <c r="G1644" s="26"/>
      <c r="L1644" s="25"/>
      <c r="M1644" s="24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6"/>
      <c r="AB1644" s="26"/>
      <c r="AC1644" s="27"/>
    </row>
    <row r="1645" spans="1:29" x14ac:dyDescent="0.25">
      <c r="A1645" s="1"/>
      <c r="B1645" s="19"/>
      <c r="C1645" s="24"/>
      <c r="D1645" s="1"/>
      <c r="E1645" s="25"/>
      <c r="F1645" s="26"/>
      <c r="G1645" s="26"/>
      <c r="L1645" s="25"/>
      <c r="M1645" s="24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6"/>
      <c r="AB1645" s="26"/>
      <c r="AC1645" s="27"/>
    </row>
    <row r="1646" spans="1:29" x14ac:dyDescent="0.25">
      <c r="A1646" s="1"/>
      <c r="B1646" s="19"/>
      <c r="C1646" s="24"/>
      <c r="D1646" s="1"/>
      <c r="E1646" s="25"/>
      <c r="F1646" s="26"/>
      <c r="G1646" s="26"/>
      <c r="L1646" s="25"/>
      <c r="M1646" s="24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6"/>
      <c r="AB1646" s="26"/>
      <c r="AC1646" s="27"/>
    </row>
    <row r="1647" spans="1:29" x14ac:dyDescent="0.25">
      <c r="A1647" s="1"/>
      <c r="B1647" s="19"/>
      <c r="C1647" s="24"/>
      <c r="D1647" s="1"/>
      <c r="E1647" s="25"/>
      <c r="F1647" s="26"/>
      <c r="G1647" s="26"/>
      <c r="L1647" s="25"/>
      <c r="M1647" s="24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6"/>
      <c r="AB1647" s="26"/>
      <c r="AC1647" s="27"/>
    </row>
    <row r="1648" spans="1:29" x14ac:dyDescent="0.25">
      <c r="A1648" s="1"/>
      <c r="B1648" s="19"/>
      <c r="C1648" s="24"/>
      <c r="D1648" s="1"/>
      <c r="E1648" s="25"/>
      <c r="F1648" s="26"/>
      <c r="G1648" s="26"/>
      <c r="L1648" s="25"/>
      <c r="M1648" s="24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6"/>
      <c r="AB1648" s="26"/>
      <c r="AC1648" s="27"/>
    </row>
    <row r="1649" spans="1:29" x14ac:dyDescent="0.25">
      <c r="A1649" s="1"/>
      <c r="B1649" s="19"/>
      <c r="C1649" s="24"/>
      <c r="D1649" s="1"/>
      <c r="E1649" s="25"/>
      <c r="F1649" s="26"/>
      <c r="G1649" s="26"/>
      <c r="L1649" s="25"/>
      <c r="M1649" s="24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6"/>
      <c r="AB1649" s="26"/>
      <c r="AC1649" s="27"/>
    </row>
    <row r="1650" spans="1:29" x14ac:dyDescent="0.25">
      <c r="A1650" s="1"/>
      <c r="B1650" s="19"/>
      <c r="C1650" s="24"/>
      <c r="D1650" s="1"/>
      <c r="E1650" s="25"/>
      <c r="F1650" s="26"/>
      <c r="G1650" s="26"/>
      <c r="L1650" s="25"/>
      <c r="M1650" s="24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6"/>
      <c r="AB1650" s="26"/>
      <c r="AC1650" s="27"/>
    </row>
    <row r="1651" spans="1:29" x14ac:dyDescent="0.25">
      <c r="A1651" s="1"/>
      <c r="B1651" s="19"/>
      <c r="C1651" s="24"/>
      <c r="D1651" s="1"/>
      <c r="E1651" s="25"/>
      <c r="F1651" s="26"/>
      <c r="G1651" s="26"/>
      <c r="L1651" s="25"/>
      <c r="M1651" s="24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6"/>
      <c r="AB1651" s="26"/>
      <c r="AC1651" s="27"/>
    </row>
    <row r="1652" spans="1:29" x14ac:dyDescent="0.25">
      <c r="A1652" s="1"/>
      <c r="B1652" s="19"/>
      <c r="C1652" s="24"/>
      <c r="D1652" s="1"/>
      <c r="E1652" s="25"/>
      <c r="F1652" s="26"/>
      <c r="G1652" s="26"/>
      <c r="L1652" s="25"/>
      <c r="M1652" s="24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6"/>
      <c r="AB1652" s="26"/>
      <c r="AC1652" s="27"/>
    </row>
    <row r="1653" spans="1:29" x14ac:dyDescent="0.25">
      <c r="A1653" s="1"/>
      <c r="B1653" s="19"/>
      <c r="C1653" s="24"/>
      <c r="D1653" s="1"/>
      <c r="E1653" s="25"/>
      <c r="F1653" s="26"/>
      <c r="G1653" s="26"/>
      <c r="L1653" s="25"/>
      <c r="M1653" s="24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6"/>
      <c r="AB1653" s="26"/>
      <c r="AC1653" s="27"/>
    </row>
    <row r="1654" spans="1:29" x14ac:dyDescent="0.25">
      <c r="A1654" s="1"/>
      <c r="B1654" s="19"/>
      <c r="C1654" s="24"/>
      <c r="D1654" s="1"/>
      <c r="E1654" s="25"/>
      <c r="F1654" s="26"/>
      <c r="G1654" s="26"/>
      <c r="L1654" s="25"/>
      <c r="M1654" s="24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6"/>
      <c r="AB1654" s="26"/>
      <c r="AC1654" s="27"/>
    </row>
    <row r="1655" spans="1:29" x14ac:dyDescent="0.25">
      <c r="A1655" s="1"/>
      <c r="B1655" s="19"/>
      <c r="C1655" s="24"/>
      <c r="D1655" s="1"/>
      <c r="E1655" s="25"/>
      <c r="F1655" s="26"/>
      <c r="G1655" s="26"/>
      <c r="L1655" s="25"/>
      <c r="M1655" s="24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6"/>
      <c r="AB1655" s="26"/>
      <c r="AC1655" s="27"/>
    </row>
    <row r="1656" spans="1:29" x14ac:dyDescent="0.25">
      <c r="A1656" s="1"/>
      <c r="B1656" s="19"/>
      <c r="C1656" s="24"/>
      <c r="D1656" s="1"/>
      <c r="E1656" s="25"/>
      <c r="F1656" s="26"/>
      <c r="G1656" s="26"/>
      <c r="L1656" s="25"/>
      <c r="M1656" s="24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6"/>
      <c r="AB1656" s="26"/>
      <c r="AC1656" s="27"/>
    </row>
    <row r="1657" spans="1:29" x14ac:dyDescent="0.25">
      <c r="A1657" s="1"/>
      <c r="B1657" s="19"/>
      <c r="C1657" s="24"/>
      <c r="D1657" s="1"/>
      <c r="E1657" s="25"/>
      <c r="F1657" s="26"/>
      <c r="G1657" s="26"/>
      <c r="L1657" s="25"/>
      <c r="M1657" s="24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6"/>
      <c r="AB1657" s="26"/>
      <c r="AC1657" s="27"/>
    </row>
    <row r="1658" spans="1:29" x14ac:dyDescent="0.25">
      <c r="A1658" s="1"/>
      <c r="B1658" s="19"/>
      <c r="C1658" s="24"/>
      <c r="D1658" s="1"/>
      <c r="E1658" s="25"/>
      <c r="F1658" s="26"/>
      <c r="G1658" s="26"/>
      <c r="L1658" s="25"/>
      <c r="M1658" s="24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6"/>
      <c r="AB1658" s="26"/>
      <c r="AC1658" s="27"/>
    </row>
    <row r="1659" spans="1:29" x14ac:dyDescent="0.25">
      <c r="A1659" s="1"/>
      <c r="B1659" s="19"/>
      <c r="C1659" s="24"/>
      <c r="D1659" s="1"/>
      <c r="E1659" s="25"/>
      <c r="F1659" s="26"/>
      <c r="G1659" s="26"/>
      <c r="L1659" s="25"/>
      <c r="M1659" s="24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6"/>
      <c r="AB1659" s="26"/>
      <c r="AC1659" s="27"/>
    </row>
    <row r="1660" spans="1:29" x14ac:dyDescent="0.25">
      <c r="A1660" s="1"/>
      <c r="B1660" s="19"/>
      <c r="C1660" s="24"/>
      <c r="D1660" s="1"/>
      <c r="E1660" s="25"/>
      <c r="F1660" s="26"/>
      <c r="G1660" s="26"/>
      <c r="L1660" s="25"/>
      <c r="M1660" s="24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6"/>
      <c r="AB1660" s="26"/>
      <c r="AC1660" s="27"/>
    </row>
    <row r="1661" spans="1:29" x14ac:dyDescent="0.25">
      <c r="A1661" s="1"/>
      <c r="B1661" s="19"/>
      <c r="C1661" s="24"/>
      <c r="D1661" s="1"/>
      <c r="E1661" s="25"/>
      <c r="F1661" s="26"/>
      <c r="G1661" s="26"/>
      <c r="L1661" s="25"/>
      <c r="M1661" s="24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6"/>
      <c r="AB1661" s="26"/>
      <c r="AC1661" s="27"/>
    </row>
    <row r="1662" spans="1:29" x14ac:dyDescent="0.25">
      <c r="A1662" s="1"/>
      <c r="B1662" s="19"/>
      <c r="C1662" s="24"/>
      <c r="D1662" s="1"/>
      <c r="E1662" s="25"/>
      <c r="F1662" s="26"/>
      <c r="G1662" s="26"/>
      <c r="L1662" s="25"/>
      <c r="M1662" s="24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6"/>
      <c r="AB1662" s="26"/>
      <c r="AC1662" s="27"/>
    </row>
    <row r="1663" spans="1:29" x14ac:dyDescent="0.25">
      <c r="A1663" s="1"/>
      <c r="B1663" s="19"/>
      <c r="C1663" s="24"/>
      <c r="D1663" s="1"/>
      <c r="E1663" s="25"/>
      <c r="F1663" s="26"/>
      <c r="G1663" s="26"/>
      <c r="L1663" s="25"/>
      <c r="M1663" s="24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6"/>
      <c r="AB1663" s="26"/>
      <c r="AC1663" s="27"/>
    </row>
    <row r="1664" spans="1:29" x14ac:dyDescent="0.25">
      <c r="A1664" s="1"/>
      <c r="B1664" s="19"/>
      <c r="C1664" s="24"/>
      <c r="D1664" s="1"/>
      <c r="E1664" s="25"/>
      <c r="F1664" s="26"/>
      <c r="G1664" s="26"/>
      <c r="L1664" s="25"/>
      <c r="M1664" s="24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6"/>
      <c r="AB1664" s="26"/>
      <c r="AC1664" s="27"/>
    </row>
    <row r="1665" spans="1:29" x14ac:dyDescent="0.25">
      <c r="A1665" s="1"/>
      <c r="B1665" s="19"/>
      <c r="C1665" s="24"/>
      <c r="D1665" s="1"/>
      <c r="E1665" s="25"/>
      <c r="F1665" s="26"/>
      <c r="G1665" s="26"/>
      <c r="L1665" s="25"/>
      <c r="M1665" s="24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6"/>
      <c r="AB1665" s="26"/>
      <c r="AC1665" s="27"/>
    </row>
    <row r="1666" spans="1:29" x14ac:dyDescent="0.25">
      <c r="A1666" s="1"/>
      <c r="B1666" s="19"/>
      <c r="C1666" s="24"/>
      <c r="D1666" s="1"/>
      <c r="E1666" s="25"/>
      <c r="F1666" s="26"/>
      <c r="G1666" s="26"/>
      <c r="L1666" s="25"/>
      <c r="M1666" s="24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6"/>
      <c r="AB1666" s="26"/>
      <c r="AC1666" s="27"/>
    </row>
    <row r="1667" spans="1:29" x14ac:dyDescent="0.25">
      <c r="A1667" s="1"/>
      <c r="B1667" s="19"/>
      <c r="C1667" s="24"/>
      <c r="D1667" s="1"/>
      <c r="E1667" s="25"/>
      <c r="F1667" s="26"/>
      <c r="G1667" s="26"/>
      <c r="L1667" s="25"/>
      <c r="M1667" s="24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6"/>
      <c r="AB1667" s="26"/>
      <c r="AC1667" s="27"/>
    </row>
    <row r="1668" spans="1:29" x14ac:dyDescent="0.25">
      <c r="A1668" s="1"/>
      <c r="B1668" s="19"/>
      <c r="C1668" s="24"/>
      <c r="D1668" s="1"/>
      <c r="E1668" s="25"/>
      <c r="F1668" s="26"/>
      <c r="G1668" s="26"/>
      <c r="L1668" s="25"/>
      <c r="M1668" s="24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6"/>
      <c r="AB1668" s="26"/>
      <c r="AC1668" s="27"/>
    </row>
    <row r="1669" spans="1:29" x14ac:dyDescent="0.25">
      <c r="A1669" s="1"/>
      <c r="B1669" s="19"/>
      <c r="C1669" s="24"/>
      <c r="D1669" s="1"/>
      <c r="E1669" s="25"/>
      <c r="F1669" s="26"/>
      <c r="G1669" s="26"/>
      <c r="L1669" s="25"/>
      <c r="M1669" s="24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6"/>
      <c r="AB1669" s="26"/>
      <c r="AC1669" s="27"/>
    </row>
    <row r="1670" spans="1:29" x14ac:dyDescent="0.25">
      <c r="A1670" s="1"/>
      <c r="B1670" s="19"/>
      <c r="C1670" s="24"/>
      <c r="D1670" s="1"/>
      <c r="E1670" s="25"/>
      <c r="F1670" s="26"/>
      <c r="G1670" s="26"/>
      <c r="L1670" s="25"/>
      <c r="M1670" s="24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6"/>
      <c r="AB1670" s="26"/>
      <c r="AC1670" s="27"/>
    </row>
    <row r="1671" spans="1:29" x14ac:dyDescent="0.25">
      <c r="A1671" s="1"/>
      <c r="B1671" s="19"/>
      <c r="C1671" s="24"/>
      <c r="D1671" s="1"/>
      <c r="E1671" s="25"/>
      <c r="F1671" s="26"/>
      <c r="G1671" s="26"/>
      <c r="L1671" s="25"/>
      <c r="M1671" s="24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6"/>
      <c r="AB1671" s="26"/>
      <c r="AC1671" s="27"/>
    </row>
    <row r="1672" spans="1:29" x14ac:dyDescent="0.25">
      <c r="A1672" s="1"/>
      <c r="B1672" s="19"/>
      <c r="C1672" s="24"/>
      <c r="D1672" s="1"/>
      <c r="E1672" s="25"/>
      <c r="F1672" s="26"/>
      <c r="G1672" s="26"/>
      <c r="L1672" s="25"/>
      <c r="M1672" s="24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6"/>
      <c r="AB1672" s="26"/>
      <c r="AC1672" s="27"/>
    </row>
    <row r="1673" spans="1:29" x14ac:dyDescent="0.25">
      <c r="A1673" s="1"/>
      <c r="B1673" s="19"/>
      <c r="C1673" s="24"/>
      <c r="D1673" s="1"/>
      <c r="E1673" s="25"/>
      <c r="F1673" s="26"/>
      <c r="G1673" s="26"/>
      <c r="L1673" s="25"/>
      <c r="M1673" s="24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6"/>
      <c r="AB1673" s="26"/>
      <c r="AC1673" s="27"/>
    </row>
    <row r="1674" spans="1:29" x14ac:dyDescent="0.25">
      <c r="A1674" s="1"/>
      <c r="B1674" s="19"/>
      <c r="C1674" s="24"/>
      <c r="D1674" s="1"/>
      <c r="E1674" s="25"/>
      <c r="F1674" s="26"/>
      <c r="G1674" s="26"/>
      <c r="L1674" s="25"/>
      <c r="M1674" s="24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6"/>
      <c r="AB1674" s="26"/>
      <c r="AC1674" s="27"/>
    </row>
    <row r="1675" spans="1:29" x14ac:dyDescent="0.25">
      <c r="A1675" s="1"/>
      <c r="B1675" s="19"/>
      <c r="C1675" s="24"/>
      <c r="D1675" s="1"/>
      <c r="E1675" s="25"/>
      <c r="F1675" s="26"/>
      <c r="G1675" s="26"/>
      <c r="L1675" s="25"/>
      <c r="M1675" s="24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6"/>
      <c r="AB1675" s="26"/>
      <c r="AC1675" s="27"/>
    </row>
    <row r="1676" spans="1:29" x14ac:dyDescent="0.25">
      <c r="A1676" s="1"/>
      <c r="B1676" s="19"/>
      <c r="C1676" s="24"/>
      <c r="D1676" s="1"/>
      <c r="E1676" s="25"/>
      <c r="F1676" s="26"/>
      <c r="G1676" s="26"/>
      <c r="L1676" s="25"/>
      <c r="M1676" s="24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6"/>
      <c r="AB1676" s="26"/>
      <c r="AC1676" s="27"/>
    </row>
    <row r="1677" spans="1:29" x14ac:dyDescent="0.25">
      <c r="A1677" s="1"/>
      <c r="B1677" s="19"/>
      <c r="C1677" s="24"/>
      <c r="D1677" s="1"/>
      <c r="E1677" s="25"/>
      <c r="F1677" s="26"/>
      <c r="G1677" s="26"/>
      <c r="L1677" s="25"/>
      <c r="M1677" s="24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6"/>
      <c r="AB1677" s="26"/>
      <c r="AC1677" s="27"/>
    </row>
    <row r="1678" spans="1:29" x14ac:dyDescent="0.25">
      <c r="A1678" s="1"/>
      <c r="B1678" s="19"/>
      <c r="C1678" s="24"/>
      <c r="D1678" s="1"/>
      <c r="E1678" s="25"/>
      <c r="F1678" s="26"/>
      <c r="G1678" s="26"/>
      <c r="L1678" s="25"/>
      <c r="M1678" s="24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6"/>
      <c r="AB1678" s="26"/>
      <c r="AC1678" s="27"/>
    </row>
    <row r="1679" spans="1:29" x14ac:dyDescent="0.25">
      <c r="A1679" s="1"/>
      <c r="B1679" s="19"/>
      <c r="C1679" s="24"/>
      <c r="D1679" s="1"/>
      <c r="E1679" s="25"/>
      <c r="F1679" s="26"/>
      <c r="G1679" s="26"/>
      <c r="L1679" s="25"/>
      <c r="M1679" s="24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6"/>
      <c r="AB1679" s="26"/>
      <c r="AC1679" s="27"/>
    </row>
    <row r="1680" spans="1:29" x14ac:dyDescent="0.25">
      <c r="A1680" s="1"/>
      <c r="B1680" s="19"/>
      <c r="C1680" s="24"/>
      <c r="D1680" s="1"/>
      <c r="E1680" s="25"/>
      <c r="F1680" s="26"/>
      <c r="G1680" s="26"/>
      <c r="L1680" s="25"/>
      <c r="M1680" s="24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6"/>
      <c r="AB1680" s="26"/>
      <c r="AC1680" s="27"/>
    </row>
    <row r="1681" spans="1:29" x14ac:dyDescent="0.25">
      <c r="A1681" s="1"/>
      <c r="B1681" s="19"/>
      <c r="C1681" s="24"/>
      <c r="D1681" s="1"/>
      <c r="E1681" s="25"/>
      <c r="F1681" s="26"/>
      <c r="G1681" s="26"/>
      <c r="L1681" s="25"/>
      <c r="M1681" s="24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6"/>
      <c r="AB1681" s="26"/>
      <c r="AC1681" s="27"/>
    </row>
    <row r="1682" spans="1:29" x14ac:dyDescent="0.25">
      <c r="A1682" s="1"/>
      <c r="B1682" s="19"/>
      <c r="C1682" s="24"/>
      <c r="D1682" s="1"/>
      <c r="E1682" s="25"/>
      <c r="F1682" s="26"/>
      <c r="G1682" s="26"/>
      <c r="L1682" s="25"/>
      <c r="M1682" s="24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6"/>
      <c r="AB1682" s="26"/>
      <c r="AC1682" s="27"/>
    </row>
    <row r="1683" spans="1:29" x14ac:dyDescent="0.25">
      <c r="A1683" s="1"/>
      <c r="B1683" s="19"/>
      <c r="C1683" s="24"/>
      <c r="D1683" s="1"/>
      <c r="E1683" s="25"/>
      <c r="F1683" s="26"/>
      <c r="G1683" s="26"/>
      <c r="L1683" s="25"/>
      <c r="M1683" s="24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6"/>
      <c r="AB1683" s="26"/>
      <c r="AC1683" s="27"/>
    </row>
    <row r="1684" spans="1:29" x14ac:dyDescent="0.25">
      <c r="A1684" s="1"/>
      <c r="B1684" s="19"/>
      <c r="C1684" s="24"/>
      <c r="D1684" s="1"/>
      <c r="E1684" s="25"/>
      <c r="F1684" s="26"/>
      <c r="G1684" s="26"/>
      <c r="L1684" s="25"/>
      <c r="M1684" s="24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6"/>
      <c r="AB1684" s="26"/>
      <c r="AC1684" s="27"/>
    </row>
    <row r="1685" spans="1:29" x14ac:dyDescent="0.25">
      <c r="A1685" s="1"/>
      <c r="B1685" s="19"/>
      <c r="C1685" s="24"/>
      <c r="D1685" s="1"/>
      <c r="E1685" s="25"/>
      <c r="F1685" s="26"/>
      <c r="G1685" s="26"/>
      <c r="L1685" s="25"/>
      <c r="M1685" s="24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6"/>
      <c r="AB1685" s="26"/>
      <c r="AC1685" s="27"/>
    </row>
    <row r="1686" spans="1:29" x14ac:dyDescent="0.25">
      <c r="A1686" s="1"/>
      <c r="B1686" s="19"/>
      <c r="C1686" s="24"/>
      <c r="D1686" s="1"/>
      <c r="E1686" s="25"/>
      <c r="F1686" s="26"/>
      <c r="G1686" s="26"/>
      <c r="L1686" s="25"/>
      <c r="M1686" s="24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6"/>
      <c r="AB1686" s="26"/>
      <c r="AC1686" s="27"/>
    </row>
    <row r="1687" spans="1:29" x14ac:dyDescent="0.25">
      <c r="A1687" s="1"/>
      <c r="B1687" s="19"/>
      <c r="C1687" s="24"/>
      <c r="D1687" s="1"/>
      <c r="E1687" s="25"/>
      <c r="F1687" s="26"/>
      <c r="G1687" s="26"/>
      <c r="L1687" s="25"/>
      <c r="M1687" s="24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6"/>
      <c r="AB1687" s="26"/>
      <c r="AC1687" s="27"/>
    </row>
    <row r="1688" spans="1:29" x14ac:dyDescent="0.25">
      <c r="A1688" s="1"/>
      <c r="B1688" s="19"/>
      <c r="C1688" s="24"/>
      <c r="D1688" s="1"/>
      <c r="E1688" s="25"/>
      <c r="F1688" s="26"/>
      <c r="G1688" s="26"/>
      <c r="L1688" s="25"/>
      <c r="M1688" s="24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6"/>
      <c r="AB1688" s="26"/>
      <c r="AC1688" s="27"/>
    </row>
    <row r="1689" spans="1:29" x14ac:dyDescent="0.25">
      <c r="A1689" s="1"/>
      <c r="B1689" s="19"/>
      <c r="C1689" s="24"/>
      <c r="D1689" s="1"/>
      <c r="E1689" s="25"/>
      <c r="F1689" s="26"/>
      <c r="G1689" s="26"/>
      <c r="L1689" s="25"/>
      <c r="M1689" s="24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6"/>
      <c r="AB1689" s="26"/>
      <c r="AC1689" s="27"/>
    </row>
    <row r="1690" spans="1:29" x14ac:dyDescent="0.25">
      <c r="A1690" s="1"/>
      <c r="B1690" s="19"/>
      <c r="C1690" s="24"/>
      <c r="D1690" s="1"/>
      <c r="E1690" s="25"/>
      <c r="F1690" s="26"/>
      <c r="G1690" s="26"/>
      <c r="L1690" s="25"/>
      <c r="M1690" s="24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6"/>
      <c r="AB1690" s="26"/>
      <c r="AC1690" s="27"/>
    </row>
    <row r="1691" spans="1:29" x14ac:dyDescent="0.25">
      <c r="A1691" s="1"/>
      <c r="B1691" s="19"/>
      <c r="C1691" s="24"/>
      <c r="D1691" s="1"/>
      <c r="E1691" s="25"/>
      <c r="F1691" s="26"/>
      <c r="G1691" s="26"/>
      <c r="L1691" s="25"/>
      <c r="M1691" s="24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6"/>
      <c r="AB1691" s="26"/>
      <c r="AC1691" s="27"/>
    </row>
    <row r="1692" spans="1:29" x14ac:dyDescent="0.25">
      <c r="A1692" s="1"/>
      <c r="B1692" s="19"/>
      <c r="C1692" s="24"/>
      <c r="D1692" s="1"/>
      <c r="E1692" s="25"/>
      <c r="F1692" s="26"/>
      <c r="G1692" s="26"/>
      <c r="L1692" s="25"/>
      <c r="M1692" s="24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6"/>
      <c r="AB1692" s="26"/>
      <c r="AC1692" s="27"/>
    </row>
    <row r="1693" spans="1:29" x14ac:dyDescent="0.25">
      <c r="A1693" s="1"/>
      <c r="B1693" s="19"/>
      <c r="C1693" s="24"/>
      <c r="D1693" s="1"/>
      <c r="E1693" s="25"/>
      <c r="F1693" s="26"/>
      <c r="G1693" s="26"/>
      <c r="L1693" s="25"/>
      <c r="M1693" s="24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6"/>
      <c r="AB1693" s="26"/>
      <c r="AC1693" s="27"/>
    </row>
    <row r="1694" spans="1:29" x14ac:dyDescent="0.25">
      <c r="A1694" s="1"/>
      <c r="B1694" s="19"/>
      <c r="C1694" s="24"/>
      <c r="D1694" s="1"/>
      <c r="E1694" s="25"/>
      <c r="F1694" s="26"/>
      <c r="G1694" s="26"/>
      <c r="L1694" s="25"/>
      <c r="M1694" s="24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6"/>
      <c r="AB1694" s="26"/>
      <c r="AC1694" s="27"/>
    </row>
    <row r="1695" spans="1:29" x14ac:dyDescent="0.25">
      <c r="A1695" s="1"/>
      <c r="B1695" s="19"/>
      <c r="C1695" s="24"/>
      <c r="D1695" s="1"/>
      <c r="E1695" s="25"/>
      <c r="F1695" s="26"/>
      <c r="G1695" s="26"/>
      <c r="L1695" s="25"/>
      <c r="M1695" s="24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6"/>
      <c r="AB1695" s="26"/>
      <c r="AC1695" s="27"/>
    </row>
    <row r="1696" spans="1:29" x14ac:dyDescent="0.25">
      <c r="A1696" s="1"/>
      <c r="B1696" s="19"/>
      <c r="C1696" s="24"/>
      <c r="D1696" s="1"/>
      <c r="E1696" s="25"/>
      <c r="F1696" s="26"/>
      <c r="G1696" s="26"/>
      <c r="L1696" s="25"/>
      <c r="M1696" s="24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6"/>
      <c r="AB1696" s="26"/>
      <c r="AC1696" s="27"/>
    </row>
    <row r="1697" spans="1:29" x14ac:dyDescent="0.25">
      <c r="A1697" s="1"/>
      <c r="B1697" s="19"/>
      <c r="C1697" s="24"/>
      <c r="D1697" s="1"/>
      <c r="E1697" s="25"/>
      <c r="F1697" s="26"/>
      <c r="G1697" s="26"/>
      <c r="L1697" s="25"/>
      <c r="M1697" s="24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6"/>
      <c r="AB1697" s="26"/>
      <c r="AC1697" s="27"/>
    </row>
    <row r="1698" spans="1:29" x14ac:dyDescent="0.25">
      <c r="A1698" s="1"/>
      <c r="B1698" s="19"/>
      <c r="C1698" s="24"/>
      <c r="D1698" s="1"/>
      <c r="E1698" s="25"/>
      <c r="F1698" s="26"/>
      <c r="G1698" s="26"/>
      <c r="L1698" s="25"/>
      <c r="M1698" s="24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6"/>
      <c r="AB1698" s="26"/>
      <c r="AC1698" s="27"/>
    </row>
    <row r="1699" spans="1:29" x14ac:dyDescent="0.25">
      <c r="A1699" s="1"/>
      <c r="B1699" s="19"/>
      <c r="C1699" s="24"/>
      <c r="D1699" s="1"/>
      <c r="E1699" s="25"/>
      <c r="F1699" s="26"/>
      <c r="G1699" s="26"/>
      <c r="L1699" s="25"/>
      <c r="M1699" s="24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6"/>
      <c r="AB1699" s="26"/>
      <c r="AC1699" s="27"/>
    </row>
    <row r="1700" spans="1:29" x14ac:dyDescent="0.25">
      <c r="A1700" s="1"/>
      <c r="B1700" s="19"/>
      <c r="C1700" s="24"/>
      <c r="D1700" s="1"/>
      <c r="E1700" s="25"/>
      <c r="F1700" s="26"/>
      <c r="G1700" s="26"/>
      <c r="L1700" s="25"/>
      <c r="M1700" s="24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6"/>
      <c r="AB1700" s="26"/>
      <c r="AC1700" s="27"/>
    </row>
    <row r="1701" spans="1:29" x14ac:dyDescent="0.25">
      <c r="A1701" s="1"/>
      <c r="B1701" s="19"/>
      <c r="C1701" s="24"/>
      <c r="D1701" s="1"/>
      <c r="E1701" s="25"/>
      <c r="F1701" s="26"/>
      <c r="G1701" s="26"/>
      <c r="L1701" s="25"/>
      <c r="M1701" s="24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6"/>
      <c r="AB1701" s="26"/>
      <c r="AC1701" s="27"/>
    </row>
    <row r="1702" spans="1:29" x14ac:dyDescent="0.25">
      <c r="A1702" s="1"/>
      <c r="B1702" s="19"/>
      <c r="C1702" s="24"/>
      <c r="D1702" s="1"/>
      <c r="E1702" s="25"/>
      <c r="F1702" s="26"/>
      <c r="G1702" s="26"/>
      <c r="L1702" s="25"/>
      <c r="M1702" s="24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6"/>
      <c r="AB1702" s="26"/>
      <c r="AC1702" s="27"/>
    </row>
    <row r="1703" spans="1:29" x14ac:dyDescent="0.25">
      <c r="A1703" s="1"/>
      <c r="B1703" s="19"/>
      <c r="C1703" s="24"/>
      <c r="D1703" s="1"/>
      <c r="E1703" s="25"/>
      <c r="F1703" s="26"/>
      <c r="G1703" s="26"/>
      <c r="L1703" s="25"/>
      <c r="M1703" s="24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6"/>
      <c r="AB1703" s="26"/>
      <c r="AC1703" s="27"/>
    </row>
    <row r="1704" spans="1:29" x14ac:dyDescent="0.25">
      <c r="A1704" s="1"/>
      <c r="B1704" s="19"/>
      <c r="C1704" s="24"/>
      <c r="D1704" s="1"/>
      <c r="E1704" s="25"/>
      <c r="F1704" s="26"/>
      <c r="G1704" s="26"/>
      <c r="L1704" s="25"/>
      <c r="M1704" s="24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6"/>
      <c r="AB1704" s="26"/>
      <c r="AC1704" s="27"/>
    </row>
    <row r="1705" spans="1:29" x14ac:dyDescent="0.25">
      <c r="A1705" s="1"/>
      <c r="B1705" s="19"/>
      <c r="C1705" s="24"/>
      <c r="D1705" s="1"/>
      <c r="E1705" s="25"/>
      <c r="F1705" s="26"/>
      <c r="G1705" s="26"/>
      <c r="L1705" s="25"/>
      <c r="M1705" s="24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6"/>
      <c r="AB1705" s="26"/>
      <c r="AC1705" s="27"/>
    </row>
    <row r="1706" spans="1:29" x14ac:dyDescent="0.25">
      <c r="A1706" s="1"/>
      <c r="B1706" s="19"/>
      <c r="C1706" s="24"/>
      <c r="D1706" s="1"/>
      <c r="E1706" s="25"/>
      <c r="F1706" s="26"/>
      <c r="G1706" s="26"/>
      <c r="L1706" s="25"/>
      <c r="M1706" s="24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6"/>
      <c r="AB1706" s="26"/>
      <c r="AC1706" s="27"/>
    </row>
    <row r="1707" spans="1:29" x14ac:dyDescent="0.25">
      <c r="A1707" s="1"/>
      <c r="B1707" s="19"/>
      <c r="C1707" s="24"/>
      <c r="D1707" s="1"/>
      <c r="E1707" s="25"/>
      <c r="F1707" s="26"/>
      <c r="G1707" s="26"/>
      <c r="L1707" s="25"/>
      <c r="M1707" s="24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6"/>
      <c r="AB1707" s="26"/>
      <c r="AC1707" s="27"/>
    </row>
    <row r="1708" spans="1:29" x14ac:dyDescent="0.25">
      <c r="A1708" s="1"/>
      <c r="B1708" s="19"/>
      <c r="C1708" s="24"/>
      <c r="D1708" s="1"/>
      <c r="E1708" s="25"/>
      <c r="F1708" s="26"/>
      <c r="G1708" s="26"/>
      <c r="L1708" s="25"/>
      <c r="M1708" s="24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6"/>
      <c r="AB1708" s="26"/>
      <c r="AC1708" s="27"/>
    </row>
    <row r="1709" spans="1:29" x14ac:dyDescent="0.25">
      <c r="A1709" s="1"/>
      <c r="B1709" s="19"/>
      <c r="C1709" s="24"/>
      <c r="D1709" s="1"/>
      <c r="E1709" s="25"/>
      <c r="F1709" s="26"/>
      <c r="G1709" s="26"/>
      <c r="L1709" s="25"/>
      <c r="M1709" s="24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6"/>
      <c r="AB1709" s="26"/>
      <c r="AC1709" s="27"/>
    </row>
    <row r="1710" spans="1:29" x14ac:dyDescent="0.25">
      <c r="A1710" s="1"/>
      <c r="B1710" s="19"/>
      <c r="C1710" s="24"/>
      <c r="D1710" s="1"/>
      <c r="E1710" s="25"/>
      <c r="F1710" s="26"/>
      <c r="G1710" s="26"/>
      <c r="L1710" s="25"/>
      <c r="M1710" s="24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6"/>
      <c r="AB1710" s="26"/>
      <c r="AC1710" s="27"/>
    </row>
    <row r="1711" spans="1:29" x14ac:dyDescent="0.25">
      <c r="A1711" s="1"/>
      <c r="B1711" s="19"/>
      <c r="C1711" s="24"/>
      <c r="D1711" s="1"/>
      <c r="E1711" s="25"/>
      <c r="F1711" s="26"/>
      <c r="G1711" s="26"/>
      <c r="L1711" s="25"/>
      <c r="M1711" s="24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6"/>
      <c r="AB1711" s="26"/>
      <c r="AC1711" s="27"/>
    </row>
    <row r="1712" spans="1:29" x14ac:dyDescent="0.25">
      <c r="A1712" s="1"/>
      <c r="B1712" s="19"/>
      <c r="C1712" s="24"/>
      <c r="D1712" s="1"/>
      <c r="E1712" s="25"/>
      <c r="F1712" s="26"/>
      <c r="G1712" s="26"/>
      <c r="L1712" s="25"/>
      <c r="M1712" s="24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6"/>
      <c r="AB1712" s="26"/>
      <c r="AC1712" s="27"/>
    </row>
    <row r="1713" spans="1:29" x14ac:dyDescent="0.25">
      <c r="A1713" s="1"/>
      <c r="B1713" s="19"/>
      <c r="C1713" s="24"/>
      <c r="D1713" s="1"/>
      <c r="E1713" s="25"/>
      <c r="F1713" s="26"/>
      <c r="G1713" s="26"/>
      <c r="L1713" s="25"/>
      <c r="M1713" s="24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6"/>
      <c r="AB1713" s="26"/>
      <c r="AC1713" s="27"/>
    </row>
    <row r="1714" spans="1:29" x14ac:dyDescent="0.25">
      <c r="A1714" s="1"/>
      <c r="B1714" s="19"/>
      <c r="C1714" s="24"/>
      <c r="D1714" s="1"/>
      <c r="E1714" s="25"/>
      <c r="F1714" s="26"/>
      <c r="G1714" s="26"/>
      <c r="L1714" s="25"/>
      <c r="M1714" s="24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6"/>
      <c r="AB1714" s="26"/>
      <c r="AC1714" s="27"/>
    </row>
    <row r="1715" spans="1:29" x14ac:dyDescent="0.25">
      <c r="A1715" s="1"/>
      <c r="B1715" s="19"/>
      <c r="C1715" s="24"/>
      <c r="D1715" s="1"/>
      <c r="E1715" s="25"/>
      <c r="F1715" s="26"/>
      <c r="G1715" s="26"/>
      <c r="L1715" s="25"/>
      <c r="M1715" s="24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6"/>
      <c r="AB1715" s="26"/>
      <c r="AC1715" s="27"/>
    </row>
    <row r="1716" spans="1:29" x14ac:dyDescent="0.25">
      <c r="A1716" s="1"/>
      <c r="B1716" s="19"/>
      <c r="C1716" s="24"/>
      <c r="D1716" s="1"/>
      <c r="E1716" s="25"/>
      <c r="F1716" s="26"/>
      <c r="G1716" s="26"/>
      <c r="L1716" s="25"/>
      <c r="M1716" s="24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6"/>
      <c r="AB1716" s="26"/>
      <c r="AC1716" s="27"/>
    </row>
    <row r="1717" spans="1:29" x14ac:dyDescent="0.25">
      <c r="A1717" s="1"/>
      <c r="B1717" s="19"/>
      <c r="C1717" s="24"/>
      <c r="D1717" s="1"/>
      <c r="E1717" s="25"/>
      <c r="F1717" s="26"/>
      <c r="G1717" s="26"/>
      <c r="L1717" s="25"/>
      <c r="M1717" s="24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6"/>
      <c r="AB1717" s="26"/>
      <c r="AC1717" s="27"/>
    </row>
    <row r="1718" spans="1:29" x14ac:dyDescent="0.25">
      <c r="A1718" s="1"/>
      <c r="B1718" s="19"/>
      <c r="C1718" s="24"/>
      <c r="D1718" s="1"/>
      <c r="E1718" s="25"/>
      <c r="F1718" s="26"/>
      <c r="G1718" s="26"/>
      <c r="L1718" s="25"/>
      <c r="M1718" s="24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6"/>
      <c r="AB1718" s="26"/>
      <c r="AC1718" s="27"/>
    </row>
    <row r="1719" spans="1:29" x14ac:dyDescent="0.25">
      <c r="A1719" s="1"/>
      <c r="B1719" s="19"/>
      <c r="C1719" s="24"/>
      <c r="D1719" s="1"/>
      <c r="E1719" s="25"/>
      <c r="F1719" s="26"/>
      <c r="G1719" s="26"/>
      <c r="L1719" s="25"/>
      <c r="M1719" s="24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6"/>
      <c r="AB1719" s="26"/>
      <c r="AC1719" s="27"/>
    </row>
    <row r="1720" spans="1:29" x14ac:dyDescent="0.25">
      <c r="A1720" s="1"/>
      <c r="B1720" s="19"/>
      <c r="C1720" s="24"/>
      <c r="D1720" s="1"/>
      <c r="E1720" s="25"/>
      <c r="F1720" s="26"/>
      <c r="G1720" s="26"/>
      <c r="L1720" s="25"/>
      <c r="M1720" s="24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6"/>
      <c r="AB1720" s="26"/>
      <c r="AC1720" s="27"/>
    </row>
    <row r="1721" spans="1:29" x14ac:dyDescent="0.25">
      <c r="A1721" s="1"/>
      <c r="B1721" s="19"/>
      <c r="C1721" s="24"/>
      <c r="D1721" s="1"/>
      <c r="E1721" s="25"/>
      <c r="F1721" s="26"/>
      <c r="G1721" s="26"/>
      <c r="L1721" s="25"/>
      <c r="M1721" s="24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6"/>
      <c r="AB1721" s="26"/>
      <c r="AC1721" s="27"/>
    </row>
    <row r="1722" spans="1:29" x14ac:dyDescent="0.25">
      <c r="A1722" s="1"/>
      <c r="B1722" s="19"/>
      <c r="C1722" s="24"/>
      <c r="D1722" s="1"/>
      <c r="E1722" s="25"/>
      <c r="F1722" s="26"/>
      <c r="G1722" s="26"/>
      <c r="L1722" s="25"/>
      <c r="M1722" s="24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6"/>
      <c r="AB1722" s="26"/>
      <c r="AC1722" s="27"/>
    </row>
    <row r="1723" spans="1:29" x14ac:dyDescent="0.25">
      <c r="A1723" s="1"/>
      <c r="B1723" s="19"/>
      <c r="C1723" s="24"/>
      <c r="D1723" s="1"/>
      <c r="E1723" s="25"/>
      <c r="F1723" s="26"/>
      <c r="G1723" s="26"/>
      <c r="L1723" s="25"/>
      <c r="M1723" s="24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6"/>
      <c r="AB1723" s="26"/>
      <c r="AC1723" s="27"/>
    </row>
    <row r="1724" spans="1:29" x14ac:dyDescent="0.25">
      <c r="A1724" s="1"/>
      <c r="B1724" s="19"/>
      <c r="C1724" s="24"/>
      <c r="D1724" s="1"/>
      <c r="E1724" s="25"/>
      <c r="F1724" s="26"/>
      <c r="G1724" s="26"/>
      <c r="L1724" s="25"/>
      <c r="M1724" s="24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6"/>
      <c r="AB1724" s="26"/>
      <c r="AC1724" s="27"/>
    </row>
    <row r="1725" spans="1:29" x14ac:dyDescent="0.25">
      <c r="A1725" s="1"/>
      <c r="B1725" s="19"/>
      <c r="C1725" s="24"/>
      <c r="D1725" s="1"/>
      <c r="E1725" s="25"/>
      <c r="F1725" s="26"/>
      <c r="G1725" s="26"/>
      <c r="L1725" s="25"/>
      <c r="M1725" s="24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6"/>
      <c r="AB1725" s="26"/>
      <c r="AC1725" s="27"/>
    </row>
    <row r="1726" spans="1:29" x14ac:dyDescent="0.25">
      <c r="A1726" s="1"/>
      <c r="B1726" s="19"/>
      <c r="C1726" s="24"/>
      <c r="D1726" s="1"/>
      <c r="E1726" s="25"/>
      <c r="F1726" s="26"/>
      <c r="G1726" s="26"/>
      <c r="L1726" s="25"/>
      <c r="M1726" s="24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6"/>
      <c r="AB1726" s="26"/>
      <c r="AC1726" s="27"/>
    </row>
    <row r="1727" spans="1:29" x14ac:dyDescent="0.25">
      <c r="A1727" s="1"/>
      <c r="B1727" s="19"/>
      <c r="C1727" s="24"/>
      <c r="D1727" s="1"/>
      <c r="E1727" s="25"/>
      <c r="F1727" s="26"/>
      <c r="G1727" s="26"/>
      <c r="L1727" s="25"/>
      <c r="M1727" s="24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6"/>
      <c r="AB1727" s="26"/>
      <c r="AC1727" s="27"/>
    </row>
    <row r="1728" spans="1:29" x14ac:dyDescent="0.25">
      <c r="A1728" s="1"/>
      <c r="B1728" s="19"/>
      <c r="C1728" s="24"/>
      <c r="D1728" s="1"/>
      <c r="E1728" s="25"/>
      <c r="F1728" s="26"/>
      <c r="G1728" s="26"/>
      <c r="L1728" s="25"/>
      <c r="M1728" s="24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6"/>
      <c r="AB1728" s="26"/>
      <c r="AC1728" s="27"/>
    </row>
    <row r="1729" spans="1:29" x14ac:dyDescent="0.25">
      <c r="A1729" s="1"/>
      <c r="B1729" s="19"/>
      <c r="C1729" s="24"/>
      <c r="D1729" s="1"/>
      <c r="E1729" s="25"/>
      <c r="F1729" s="26"/>
      <c r="G1729" s="26"/>
      <c r="L1729" s="25"/>
      <c r="M1729" s="24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6"/>
      <c r="AB1729" s="26"/>
      <c r="AC1729" s="27"/>
    </row>
    <row r="1730" spans="1:29" x14ac:dyDescent="0.25">
      <c r="A1730" s="1"/>
      <c r="B1730" s="19"/>
      <c r="C1730" s="24"/>
      <c r="D1730" s="1"/>
      <c r="E1730" s="25"/>
      <c r="F1730" s="26"/>
      <c r="G1730" s="26"/>
      <c r="L1730" s="25"/>
      <c r="M1730" s="24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6"/>
      <c r="AB1730" s="26"/>
      <c r="AC1730" s="27"/>
    </row>
    <row r="1731" spans="1:29" x14ac:dyDescent="0.25">
      <c r="A1731" s="1"/>
      <c r="B1731" s="19"/>
      <c r="C1731" s="24"/>
      <c r="D1731" s="1"/>
      <c r="E1731" s="25"/>
      <c r="F1731" s="26"/>
      <c r="G1731" s="26"/>
      <c r="L1731" s="25"/>
      <c r="M1731" s="24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6"/>
      <c r="AB1731" s="26"/>
      <c r="AC1731" s="27"/>
    </row>
    <row r="1732" spans="1:29" x14ac:dyDescent="0.25">
      <c r="A1732" s="1"/>
      <c r="B1732" s="19"/>
      <c r="C1732" s="24"/>
      <c r="D1732" s="1"/>
      <c r="E1732" s="25"/>
      <c r="F1732" s="26"/>
      <c r="G1732" s="26"/>
      <c r="L1732" s="25"/>
      <c r="M1732" s="24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6"/>
      <c r="AB1732" s="26"/>
      <c r="AC1732" s="27"/>
    </row>
    <row r="1733" spans="1:29" x14ac:dyDescent="0.25">
      <c r="A1733" s="1"/>
      <c r="B1733" s="19"/>
      <c r="C1733" s="24"/>
      <c r="D1733" s="1"/>
      <c r="E1733" s="25"/>
      <c r="F1733" s="26"/>
      <c r="G1733" s="26"/>
      <c r="L1733" s="25"/>
      <c r="M1733" s="24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6"/>
      <c r="AB1733" s="26"/>
      <c r="AC1733" s="27"/>
    </row>
    <row r="1734" spans="1:29" x14ac:dyDescent="0.25">
      <c r="A1734" s="1"/>
      <c r="B1734" s="19"/>
      <c r="C1734" s="24"/>
      <c r="D1734" s="1"/>
      <c r="E1734" s="25"/>
      <c r="F1734" s="26"/>
      <c r="G1734" s="26"/>
      <c r="L1734" s="25"/>
      <c r="M1734" s="24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6"/>
      <c r="AB1734" s="26"/>
      <c r="AC1734" s="27"/>
    </row>
    <row r="1735" spans="1:29" x14ac:dyDescent="0.25">
      <c r="A1735" s="1"/>
      <c r="B1735" s="19"/>
      <c r="C1735" s="24"/>
      <c r="D1735" s="1"/>
      <c r="E1735" s="25"/>
      <c r="F1735" s="26"/>
      <c r="G1735" s="26"/>
      <c r="L1735" s="25"/>
      <c r="M1735" s="24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6"/>
      <c r="AB1735" s="26"/>
      <c r="AC1735" s="27"/>
    </row>
    <row r="1736" spans="1:29" x14ac:dyDescent="0.25">
      <c r="A1736" s="1"/>
      <c r="B1736" s="19"/>
      <c r="C1736" s="24"/>
      <c r="D1736" s="1"/>
      <c r="E1736" s="25"/>
      <c r="F1736" s="26"/>
      <c r="G1736" s="26"/>
      <c r="L1736" s="25"/>
      <c r="M1736" s="24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6"/>
      <c r="AB1736" s="26"/>
      <c r="AC1736" s="27"/>
    </row>
    <row r="1737" spans="1:29" x14ac:dyDescent="0.25">
      <c r="A1737" s="1"/>
      <c r="B1737" s="19"/>
      <c r="C1737" s="24"/>
      <c r="D1737" s="1"/>
      <c r="E1737" s="25"/>
      <c r="F1737" s="26"/>
      <c r="G1737" s="26"/>
      <c r="L1737" s="25"/>
      <c r="M1737" s="24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6"/>
      <c r="AB1737" s="26"/>
      <c r="AC1737" s="27"/>
    </row>
    <row r="1738" spans="1:29" x14ac:dyDescent="0.25">
      <c r="A1738" s="1"/>
      <c r="B1738" s="19"/>
      <c r="C1738" s="24"/>
      <c r="D1738" s="1"/>
      <c r="E1738" s="25"/>
      <c r="F1738" s="26"/>
      <c r="G1738" s="26"/>
      <c r="L1738" s="25"/>
      <c r="M1738" s="24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6"/>
      <c r="AB1738" s="26"/>
      <c r="AC1738" s="27"/>
    </row>
    <row r="1739" spans="1:29" x14ac:dyDescent="0.25">
      <c r="A1739" s="1"/>
      <c r="B1739" s="19"/>
      <c r="C1739" s="24"/>
      <c r="D1739" s="1"/>
      <c r="E1739" s="25"/>
      <c r="F1739" s="26"/>
      <c r="G1739" s="26"/>
      <c r="L1739" s="25"/>
      <c r="M1739" s="24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6"/>
      <c r="AB1739" s="26"/>
      <c r="AC1739" s="27"/>
    </row>
    <row r="1740" spans="1:29" x14ac:dyDescent="0.25">
      <c r="A1740" s="1"/>
      <c r="B1740" s="19"/>
      <c r="C1740" s="24"/>
      <c r="D1740" s="1"/>
      <c r="E1740" s="25"/>
      <c r="F1740" s="26"/>
      <c r="G1740" s="26"/>
      <c r="L1740" s="25"/>
      <c r="M1740" s="24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6"/>
      <c r="AB1740" s="26"/>
      <c r="AC1740" s="27"/>
    </row>
    <row r="1741" spans="1:29" x14ac:dyDescent="0.25">
      <c r="A1741" s="1"/>
      <c r="B1741" s="19"/>
      <c r="C1741" s="24"/>
      <c r="D1741" s="1"/>
      <c r="E1741" s="25"/>
      <c r="F1741" s="26"/>
      <c r="G1741" s="26"/>
      <c r="L1741" s="25"/>
      <c r="M1741" s="24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6"/>
      <c r="AB1741" s="26"/>
      <c r="AC1741" s="27"/>
    </row>
    <row r="1742" spans="1:29" x14ac:dyDescent="0.25">
      <c r="A1742" s="1"/>
      <c r="B1742" s="19"/>
      <c r="C1742" s="24"/>
      <c r="D1742" s="1"/>
      <c r="E1742" s="25"/>
      <c r="F1742" s="26"/>
      <c r="G1742" s="26"/>
      <c r="L1742" s="25"/>
      <c r="M1742" s="24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6"/>
      <c r="AB1742" s="26"/>
      <c r="AC1742" s="27"/>
    </row>
    <row r="1743" spans="1:29" x14ac:dyDescent="0.25">
      <c r="A1743" s="1"/>
      <c r="B1743" s="19"/>
      <c r="C1743" s="24"/>
      <c r="D1743" s="1"/>
      <c r="E1743" s="25"/>
      <c r="F1743" s="26"/>
      <c r="G1743" s="26"/>
      <c r="L1743" s="25"/>
      <c r="M1743" s="24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6"/>
      <c r="AB1743" s="26"/>
      <c r="AC1743" s="27"/>
    </row>
    <row r="1744" spans="1:29" x14ac:dyDescent="0.25">
      <c r="A1744" s="1"/>
      <c r="B1744" s="19"/>
      <c r="C1744" s="24"/>
      <c r="D1744" s="1"/>
      <c r="E1744" s="25"/>
      <c r="F1744" s="26"/>
      <c r="G1744" s="26"/>
      <c r="L1744" s="25"/>
      <c r="M1744" s="24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6"/>
      <c r="AB1744" s="26"/>
      <c r="AC1744" s="27"/>
    </row>
    <row r="1745" spans="1:29" x14ac:dyDescent="0.25">
      <c r="A1745" s="1"/>
      <c r="B1745" s="19"/>
      <c r="C1745" s="24"/>
      <c r="D1745" s="1"/>
      <c r="E1745" s="25"/>
      <c r="F1745" s="26"/>
      <c r="G1745" s="26"/>
      <c r="L1745" s="25"/>
      <c r="M1745" s="24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6"/>
      <c r="AB1745" s="26"/>
      <c r="AC1745" s="27"/>
    </row>
    <row r="1746" spans="1:29" x14ac:dyDescent="0.25">
      <c r="A1746" s="1"/>
      <c r="B1746" s="19"/>
      <c r="C1746" s="24"/>
      <c r="D1746" s="1"/>
      <c r="E1746" s="25"/>
      <c r="F1746" s="26"/>
      <c r="G1746" s="26"/>
      <c r="L1746" s="25"/>
      <c r="M1746" s="24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6"/>
      <c r="AB1746" s="26"/>
      <c r="AC1746" s="27"/>
    </row>
    <row r="1747" spans="1:29" x14ac:dyDescent="0.25">
      <c r="A1747" s="1"/>
      <c r="B1747" s="19"/>
      <c r="C1747" s="24"/>
      <c r="D1747" s="1"/>
      <c r="E1747" s="25"/>
      <c r="F1747" s="26"/>
      <c r="G1747" s="26"/>
      <c r="L1747" s="25"/>
      <c r="M1747" s="24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6"/>
      <c r="AB1747" s="26"/>
      <c r="AC1747" s="27"/>
    </row>
    <row r="1748" spans="1:29" x14ac:dyDescent="0.25">
      <c r="A1748" s="1"/>
      <c r="B1748" s="19"/>
      <c r="C1748" s="24"/>
      <c r="D1748" s="1"/>
      <c r="E1748" s="25"/>
      <c r="F1748" s="26"/>
      <c r="G1748" s="26"/>
      <c r="L1748" s="25"/>
      <c r="M1748" s="24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6"/>
      <c r="AB1748" s="26"/>
      <c r="AC1748" s="27"/>
    </row>
    <row r="1749" spans="1:29" x14ac:dyDescent="0.25">
      <c r="A1749" s="1"/>
      <c r="B1749" s="19"/>
      <c r="C1749" s="24"/>
      <c r="D1749" s="1"/>
      <c r="E1749" s="25"/>
      <c r="F1749" s="26"/>
      <c r="G1749" s="26"/>
      <c r="L1749" s="25"/>
      <c r="M1749" s="24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6"/>
      <c r="AB1749" s="26"/>
      <c r="AC1749" s="27"/>
    </row>
    <row r="1750" spans="1:29" x14ac:dyDescent="0.25">
      <c r="A1750" s="1"/>
      <c r="B1750" s="19"/>
      <c r="C1750" s="24"/>
      <c r="D1750" s="1"/>
      <c r="E1750" s="25"/>
      <c r="F1750" s="26"/>
      <c r="G1750" s="26"/>
      <c r="L1750" s="25"/>
      <c r="M1750" s="24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6"/>
      <c r="AB1750" s="26"/>
      <c r="AC1750" s="27"/>
    </row>
    <row r="1751" spans="1:29" x14ac:dyDescent="0.25">
      <c r="A1751" s="1"/>
      <c r="B1751" s="19"/>
      <c r="C1751" s="24"/>
      <c r="D1751" s="1"/>
      <c r="E1751" s="25"/>
      <c r="F1751" s="26"/>
      <c r="G1751" s="26"/>
      <c r="L1751" s="25"/>
      <c r="M1751" s="24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6"/>
      <c r="AB1751" s="26"/>
      <c r="AC1751" s="27"/>
    </row>
    <row r="1752" spans="1:29" x14ac:dyDescent="0.25">
      <c r="A1752" s="1"/>
      <c r="B1752" s="19"/>
      <c r="C1752" s="24"/>
      <c r="D1752" s="1"/>
      <c r="E1752" s="25"/>
      <c r="F1752" s="26"/>
      <c r="G1752" s="26"/>
      <c r="L1752" s="25"/>
      <c r="M1752" s="24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6"/>
      <c r="AB1752" s="26"/>
      <c r="AC1752" s="27"/>
    </row>
    <row r="1753" spans="1:29" x14ac:dyDescent="0.25">
      <c r="A1753" s="1"/>
      <c r="B1753" s="19"/>
      <c r="C1753" s="24"/>
      <c r="D1753" s="1"/>
      <c r="E1753" s="25"/>
      <c r="F1753" s="26"/>
      <c r="G1753" s="26"/>
      <c r="L1753" s="25"/>
      <c r="M1753" s="24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6"/>
      <c r="AB1753" s="26"/>
      <c r="AC1753" s="27"/>
    </row>
    <row r="1754" spans="1:29" x14ac:dyDescent="0.25">
      <c r="A1754" s="1"/>
      <c r="B1754" s="19"/>
      <c r="C1754" s="24"/>
      <c r="D1754" s="1"/>
      <c r="E1754" s="25"/>
      <c r="F1754" s="26"/>
      <c r="G1754" s="26"/>
      <c r="L1754" s="25"/>
      <c r="M1754" s="24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6"/>
      <c r="AB1754" s="26"/>
      <c r="AC1754" s="27"/>
    </row>
    <row r="1755" spans="1:29" x14ac:dyDescent="0.25">
      <c r="A1755" s="1"/>
      <c r="B1755" s="19"/>
      <c r="C1755" s="24"/>
      <c r="D1755" s="1"/>
      <c r="E1755" s="25"/>
      <c r="F1755" s="26"/>
      <c r="G1755" s="26"/>
      <c r="L1755" s="25"/>
      <c r="M1755" s="24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6"/>
      <c r="AB1755" s="26"/>
      <c r="AC1755" s="27"/>
    </row>
    <row r="1756" spans="1:29" x14ac:dyDescent="0.25">
      <c r="A1756" s="1"/>
      <c r="B1756" s="19"/>
      <c r="C1756" s="24"/>
      <c r="D1756" s="1"/>
      <c r="E1756" s="25"/>
      <c r="F1756" s="26"/>
      <c r="G1756" s="26"/>
      <c r="L1756" s="25"/>
      <c r="M1756" s="24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6"/>
      <c r="AB1756" s="26"/>
      <c r="AC1756" s="27"/>
    </row>
    <row r="1757" spans="1:29" x14ac:dyDescent="0.25">
      <c r="A1757" s="1"/>
      <c r="B1757" s="19"/>
      <c r="C1757" s="24"/>
      <c r="D1757" s="1"/>
      <c r="E1757" s="25"/>
      <c r="F1757" s="26"/>
      <c r="G1757" s="26"/>
      <c r="L1757" s="25"/>
      <c r="M1757" s="24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6"/>
      <c r="AB1757" s="26"/>
      <c r="AC1757" s="27"/>
    </row>
    <row r="1758" spans="1:29" x14ac:dyDescent="0.25">
      <c r="A1758" s="1"/>
      <c r="B1758" s="19"/>
      <c r="C1758" s="24"/>
      <c r="D1758" s="1"/>
      <c r="E1758" s="25"/>
      <c r="F1758" s="26"/>
      <c r="G1758" s="26"/>
      <c r="L1758" s="25"/>
      <c r="M1758" s="24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6"/>
      <c r="AB1758" s="26"/>
      <c r="AC1758" s="27"/>
    </row>
    <row r="1759" spans="1:29" x14ac:dyDescent="0.25">
      <c r="A1759" s="1"/>
      <c r="B1759" s="19"/>
      <c r="C1759" s="24"/>
      <c r="D1759" s="1"/>
      <c r="E1759" s="25"/>
      <c r="F1759" s="26"/>
      <c r="G1759" s="26"/>
      <c r="L1759" s="25"/>
      <c r="M1759" s="24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6"/>
      <c r="AB1759" s="26"/>
      <c r="AC1759" s="27"/>
    </row>
    <row r="1760" spans="1:29" x14ac:dyDescent="0.25">
      <c r="A1760" s="1"/>
      <c r="B1760" s="19"/>
      <c r="C1760" s="24"/>
      <c r="D1760" s="1"/>
      <c r="E1760" s="25"/>
      <c r="F1760" s="26"/>
      <c r="G1760" s="26"/>
      <c r="L1760" s="25"/>
      <c r="M1760" s="24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6"/>
      <c r="AB1760" s="26"/>
      <c r="AC1760" s="27"/>
    </row>
    <row r="1761" spans="1:29" x14ac:dyDescent="0.25">
      <c r="A1761" s="1"/>
      <c r="B1761" s="19"/>
      <c r="C1761" s="24"/>
      <c r="D1761" s="1"/>
      <c r="E1761" s="25"/>
      <c r="F1761" s="26"/>
      <c r="G1761" s="26"/>
      <c r="L1761" s="25"/>
      <c r="M1761" s="24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6"/>
      <c r="AB1761" s="26"/>
      <c r="AC1761" s="27"/>
    </row>
    <row r="1762" spans="1:29" x14ac:dyDescent="0.25">
      <c r="A1762" s="1"/>
      <c r="B1762" s="19"/>
      <c r="C1762" s="24"/>
      <c r="D1762" s="1"/>
      <c r="E1762" s="25"/>
      <c r="F1762" s="26"/>
      <c r="G1762" s="26"/>
      <c r="L1762" s="25"/>
      <c r="M1762" s="24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6"/>
      <c r="AB1762" s="26"/>
      <c r="AC1762" s="27"/>
    </row>
    <row r="1763" spans="1:29" x14ac:dyDescent="0.25">
      <c r="A1763" s="1"/>
      <c r="B1763" s="19"/>
      <c r="C1763" s="24"/>
      <c r="D1763" s="1"/>
      <c r="E1763" s="25"/>
      <c r="F1763" s="26"/>
      <c r="G1763" s="26"/>
      <c r="L1763" s="25"/>
      <c r="M1763" s="24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6"/>
      <c r="AB1763" s="26"/>
      <c r="AC1763" s="27"/>
    </row>
    <row r="1764" spans="1:29" x14ac:dyDescent="0.25">
      <c r="A1764" s="1"/>
      <c r="B1764" s="19"/>
      <c r="C1764" s="24"/>
      <c r="D1764" s="1"/>
      <c r="E1764" s="25"/>
      <c r="F1764" s="26"/>
      <c r="G1764" s="26"/>
      <c r="L1764" s="25"/>
      <c r="M1764" s="24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6"/>
      <c r="AB1764" s="26"/>
      <c r="AC1764" s="27"/>
    </row>
    <row r="1765" spans="1:29" x14ac:dyDescent="0.25">
      <c r="A1765" s="1"/>
      <c r="B1765" s="19"/>
      <c r="C1765" s="24"/>
      <c r="D1765" s="1"/>
      <c r="E1765" s="25"/>
      <c r="F1765" s="26"/>
      <c r="G1765" s="26"/>
      <c r="L1765" s="25"/>
      <c r="M1765" s="24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6"/>
      <c r="AB1765" s="26"/>
      <c r="AC1765" s="27"/>
    </row>
    <row r="1766" spans="1:29" x14ac:dyDescent="0.25">
      <c r="A1766" s="1"/>
      <c r="B1766" s="19"/>
      <c r="C1766" s="24"/>
      <c r="D1766" s="1"/>
      <c r="E1766" s="25"/>
      <c r="F1766" s="26"/>
      <c r="G1766" s="26"/>
      <c r="L1766" s="25"/>
      <c r="M1766" s="24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6"/>
      <c r="AB1766" s="26"/>
      <c r="AC1766" s="27"/>
    </row>
    <row r="1767" spans="1:29" x14ac:dyDescent="0.25">
      <c r="A1767" s="1"/>
      <c r="B1767" s="19"/>
      <c r="C1767" s="24"/>
      <c r="D1767" s="1"/>
      <c r="E1767" s="25"/>
      <c r="F1767" s="26"/>
      <c r="G1767" s="26"/>
      <c r="L1767" s="25"/>
      <c r="M1767" s="24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6"/>
      <c r="AB1767" s="26"/>
      <c r="AC1767" s="27"/>
    </row>
    <row r="1768" spans="1:29" x14ac:dyDescent="0.25">
      <c r="A1768" s="1"/>
      <c r="B1768" s="19"/>
      <c r="C1768" s="24"/>
      <c r="D1768" s="1"/>
      <c r="E1768" s="25"/>
      <c r="F1768" s="26"/>
      <c r="G1768" s="26"/>
      <c r="L1768" s="25"/>
      <c r="M1768" s="24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6"/>
      <c r="AB1768" s="26"/>
      <c r="AC1768" s="27"/>
    </row>
    <row r="1769" spans="1:29" x14ac:dyDescent="0.25">
      <c r="A1769" s="1"/>
      <c r="B1769" s="19"/>
      <c r="C1769" s="24"/>
      <c r="D1769" s="1"/>
      <c r="E1769" s="25"/>
      <c r="F1769" s="26"/>
      <c r="G1769" s="26"/>
      <c r="L1769" s="25"/>
      <c r="M1769" s="24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6"/>
      <c r="AB1769" s="26"/>
      <c r="AC1769" s="27"/>
    </row>
    <row r="1770" spans="1:29" x14ac:dyDescent="0.25">
      <c r="A1770" s="1"/>
      <c r="B1770" s="19"/>
      <c r="C1770" s="24"/>
      <c r="D1770" s="1"/>
      <c r="E1770" s="25"/>
      <c r="F1770" s="26"/>
      <c r="G1770" s="26"/>
      <c r="L1770" s="25"/>
      <c r="M1770" s="24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6"/>
      <c r="AB1770" s="26"/>
      <c r="AC1770" s="27"/>
    </row>
    <row r="1771" spans="1:29" x14ac:dyDescent="0.25">
      <c r="A1771" s="1"/>
      <c r="B1771" s="19"/>
      <c r="C1771" s="24"/>
      <c r="D1771" s="1"/>
      <c r="E1771" s="25"/>
      <c r="F1771" s="26"/>
      <c r="G1771" s="26"/>
      <c r="L1771" s="25"/>
      <c r="M1771" s="24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6"/>
      <c r="AB1771" s="26"/>
      <c r="AC1771" s="27"/>
    </row>
    <row r="1772" spans="1:29" x14ac:dyDescent="0.25">
      <c r="A1772" s="1"/>
      <c r="B1772" s="19"/>
      <c r="C1772" s="24"/>
      <c r="D1772" s="1"/>
      <c r="E1772" s="25"/>
      <c r="F1772" s="26"/>
      <c r="G1772" s="26"/>
      <c r="L1772" s="25"/>
      <c r="M1772" s="24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6"/>
      <c r="AB1772" s="26"/>
      <c r="AC1772" s="27"/>
    </row>
    <row r="1773" spans="1:29" x14ac:dyDescent="0.25">
      <c r="A1773" s="1"/>
      <c r="B1773" s="19"/>
      <c r="C1773" s="24"/>
      <c r="D1773" s="1"/>
      <c r="E1773" s="25"/>
      <c r="F1773" s="26"/>
      <c r="G1773" s="26"/>
      <c r="L1773" s="25"/>
      <c r="M1773" s="24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6"/>
      <c r="AB1773" s="26"/>
      <c r="AC1773" s="27"/>
    </row>
    <row r="1774" spans="1:29" x14ac:dyDescent="0.25">
      <c r="A1774" s="1"/>
      <c r="B1774" s="19"/>
      <c r="C1774" s="24"/>
      <c r="D1774" s="1"/>
      <c r="E1774" s="25"/>
      <c r="F1774" s="26"/>
      <c r="G1774" s="26"/>
      <c r="L1774" s="25"/>
      <c r="M1774" s="24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6"/>
      <c r="AB1774" s="26"/>
      <c r="AC1774" s="27"/>
    </row>
    <row r="1775" spans="1:29" x14ac:dyDescent="0.25">
      <c r="A1775" s="1"/>
      <c r="B1775" s="19"/>
      <c r="C1775" s="24"/>
      <c r="D1775" s="1"/>
      <c r="E1775" s="25"/>
      <c r="F1775" s="26"/>
      <c r="G1775" s="26"/>
      <c r="L1775" s="25"/>
      <c r="M1775" s="24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6"/>
      <c r="AB1775" s="26"/>
      <c r="AC1775" s="27"/>
    </row>
    <row r="1776" spans="1:29" x14ac:dyDescent="0.25">
      <c r="A1776" s="1"/>
      <c r="B1776" s="19"/>
      <c r="C1776" s="24"/>
      <c r="D1776" s="1"/>
      <c r="E1776" s="25"/>
      <c r="F1776" s="26"/>
      <c r="G1776" s="26"/>
      <c r="L1776" s="25"/>
      <c r="M1776" s="24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6"/>
      <c r="AB1776" s="26"/>
      <c r="AC1776" s="27"/>
    </row>
    <row r="1777" spans="1:29" x14ac:dyDescent="0.25">
      <c r="A1777" s="1"/>
      <c r="B1777" s="19"/>
      <c r="C1777" s="24"/>
      <c r="D1777" s="1"/>
      <c r="E1777" s="25"/>
      <c r="F1777" s="26"/>
      <c r="G1777" s="26"/>
      <c r="L1777" s="25"/>
      <c r="M1777" s="24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6"/>
      <c r="AB1777" s="26"/>
      <c r="AC1777" s="27"/>
    </row>
    <row r="1778" spans="1:29" x14ac:dyDescent="0.25">
      <c r="A1778" s="1"/>
      <c r="B1778" s="19"/>
      <c r="C1778" s="24"/>
      <c r="D1778" s="1"/>
      <c r="E1778" s="25"/>
      <c r="F1778" s="26"/>
      <c r="G1778" s="26"/>
      <c r="L1778" s="25"/>
      <c r="M1778" s="24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6"/>
      <c r="AB1778" s="26"/>
      <c r="AC1778" s="27"/>
    </row>
    <row r="1779" spans="1:29" x14ac:dyDescent="0.25">
      <c r="A1779" s="1"/>
      <c r="B1779" s="19"/>
      <c r="C1779" s="24"/>
      <c r="D1779" s="1"/>
      <c r="E1779" s="25"/>
      <c r="F1779" s="26"/>
      <c r="G1779" s="26"/>
      <c r="L1779" s="25"/>
      <c r="M1779" s="24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6"/>
      <c r="AB1779" s="26"/>
      <c r="AC1779" s="27"/>
    </row>
    <row r="1780" spans="1:29" x14ac:dyDescent="0.25">
      <c r="A1780" s="1"/>
      <c r="B1780" s="19"/>
      <c r="C1780" s="24"/>
      <c r="D1780" s="1"/>
      <c r="E1780" s="25"/>
      <c r="F1780" s="26"/>
      <c r="G1780" s="26"/>
      <c r="L1780" s="25"/>
      <c r="M1780" s="24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6"/>
      <c r="AB1780" s="26"/>
      <c r="AC1780" s="27"/>
    </row>
    <row r="1781" spans="1:29" x14ac:dyDescent="0.25">
      <c r="A1781" s="1"/>
      <c r="B1781" s="19"/>
      <c r="C1781" s="24"/>
      <c r="D1781" s="1"/>
      <c r="E1781" s="25"/>
      <c r="F1781" s="26"/>
      <c r="G1781" s="26"/>
      <c r="L1781" s="25"/>
      <c r="M1781" s="24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6"/>
      <c r="AB1781" s="26"/>
      <c r="AC1781" s="27"/>
    </row>
    <row r="1782" spans="1:29" x14ac:dyDescent="0.25">
      <c r="A1782" s="1"/>
      <c r="B1782" s="19"/>
      <c r="C1782" s="24"/>
      <c r="D1782" s="1"/>
      <c r="E1782" s="25"/>
      <c r="F1782" s="26"/>
      <c r="G1782" s="26"/>
      <c r="L1782" s="25"/>
      <c r="M1782" s="24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6"/>
      <c r="AB1782" s="26"/>
      <c r="AC1782" s="27"/>
    </row>
    <row r="1783" spans="1:29" x14ac:dyDescent="0.25">
      <c r="A1783" s="1"/>
      <c r="B1783" s="19"/>
      <c r="C1783" s="24"/>
      <c r="D1783" s="1"/>
      <c r="E1783" s="25"/>
      <c r="F1783" s="26"/>
      <c r="G1783" s="26"/>
      <c r="L1783" s="25"/>
      <c r="M1783" s="24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6"/>
      <c r="AB1783" s="26"/>
      <c r="AC1783" s="27"/>
    </row>
    <row r="1784" spans="1:29" x14ac:dyDescent="0.25">
      <c r="A1784" s="1"/>
      <c r="B1784" s="19"/>
      <c r="C1784" s="24"/>
      <c r="D1784" s="1"/>
      <c r="E1784" s="25"/>
      <c r="F1784" s="26"/>
      <c r="G1784" s="26"/>
      <c r="L1784" s="25"/>
      <c r="M1784" s="24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6"/>
      <c r="AB1784" s="26"/>
      <c r="AC1784" s="27"/>
    </row>
    <row r="1785" spans="1:29" x14ac:dyDescent="0.25">
      <c r="A1785" s="1"/>
      <c r="B1785" s="19"/>
      <c r="C1785" s="24"/>
      <c r="D1785" s="1"/>
      <c r="E1785" s="25"/>
      <c r="F1785" s="26"/>
      <c r="G1785" s="26"/>
      <c r="L1785" s="25"/>
      <c r="M1785" s="24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6"/>
      <c r="AB1785" s="26"/>
      <c r="AC1785" s="27"/>
    </row>
    <row r="1786" spans="1:29" x14ac:dyDescent="0.25">
      <c r="A1786" s="1"/>
      <c r="B1786" s="19"/>
      <c r="C1786" s="24"/>
      <c r="D1786" s="1"/>
      <c r="E1786" s="25"/>
      <c r="F1786" s="26"/>
      <c r="G1786" s="26"/>
      <c r="L1786" s="25"/>
      <c r="M1786" s="24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6"/>
      <c r="AB1786" s="26"/>
      <c r="AC1786" s="27"/>
    </row>
    <row r="1787" spans="1:29" x14ac:dyDescent="0.25">
      <c r="A1787" s="1"/>
      <c r="B1787" s="19"/>
      <c r="C1787" s="24"/>
      <c r="D1787" s="1"/>
      <c r="E1787" s="25"/>
      <c r="F1787" s="26"/>
      <c r="G1787" s="26"/>
      <c r="L1787" s="25"/>
      <c r="M1787" s="24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6"/>
      <c r="AB1787" s="26"/>
      <c r="AC1787" s="27"/>
    </row>
    <row r="1788" spans="1:29" x14ac:dyDescent="0.25">
      <c r="A1788" s="1"/>
      <c r="B1788" s="19"/>
      <c r="C1788" s="24"/>
      <c r="D1788" s="1"/>
      <c r="E1788" s="25"/>
      <c r="F1788" s="26"/>
      <c r="G1788" s="26"/>
      <c r="L1788" s="25"/>
      <c r="M1788" s="24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6"/>
      <c r="AB1788" s="26"/>
      <c r="AC1788" s="27"/>
    </row>
    <row r="1789" spans="1:29" x14ac:dyDescent="0.25">
      <c r="A1789" s="1"/>
      <c r="B1789" s="19"/>
      <c r="C1789" s="24"/>
      <c r="D1789" s="1"/>
      <c r="E1789" s="25"/>
      <c r="F1789" s="26"/>
      <c r="G1789" s="26"/>
      <c r="L1789" s="25"/>
      <c r="M1789" s="24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6"/>
      <c r="AB1789" s="26"/>
      <c r="AC1789" s="27"/>
    </row>
    <row r="1790" spans="1:29" x14ac:dyDescent="0.25">
      <c r="A1790" s="1"/>
      <c r="B1790" s="19"/>
      <c r="C1790" s="24"/>
      <c r="D1790" s="1"/>
      <c r="E1790" s="25"/>
      <c r="F1790" s="26"/>
      <c r="G1790" s="26"/>
      <c r="L1790" s="25"/>
      <c r="M1790" s="24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6"/>
      <c r="AB1790" s="26"/>
      <c r="AC1790" s="27"/>
    </row>
    <row r="1791" spans="1:29" x14ac:dyDescent="0.25">
      <c r="A1791" s="1"/>
      <c r="B1791" s="19"/>
      <c r="C1791" s="24"/>
      <c r="D1791" s="1"/>
      <c r="E1791" s="25"/>
      <c r="F1791" s="26"/>
      <c r="G1791" s="26"/>
      <c r="L1791" s="25"/>
      <c r="M1791" s="24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6"/>
      <c r="AB1791" s="26"/>
      <c r="AC1791" s="27"/>
    </row>
    <row r="1792" spans="1:29" x14ac:dyDescent="0.25">
      <c r="A1792" s="1"/>
      <c r="B1792" s="19"/>
      <c r="C1792" s="24"/>
      <c r="D1792" s="1"/>
      <c r="E1792" s="25"/>
      <c r="F1792" s="26"/>
      <c r="G1792" s="26"/>
      <c r="L1792" s="25"/>
      <c r="M1792" s="24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6"/>
      <c r="AB1792" s="26"/>
      <c r="AC1792" s="27"/>
    </row>
    <row r="1793" spans="1:29" x14ac:dyDescent="0.25">
      <c r="A1793" s="1"/>
      <c r="B1793" s="19"/>
      <c r="C1793" s="24"/>
      <c r="D1793" s="1"/>
      <c r="E1793" s="25"/>
      <c r="F1793" s="26"/>
      <c r="G1793" s="26"/>
      <c r="L1793" s="25"/>
      <c r="M1793" s="24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6"/>
      <c r="AB1793" s="26"/>
      <c r="AC1793" s="27"/>
    </row>
    <row r="1794" spans="1:29" x14ac:dyDescent="0.25">
      <c r="A1794" s="1"/>
      <c r="B1794" s="19"/>
      <c r="C1794" s="24"/>
      <c r="D1794" s="1"/>
      <c r="E1794" s="25"/>
      <c r="F1794" s="26"/>
      <c r="G1794" s="26"/>
      <c r="L1794" s="25"/>
      <c r="M1794" s="24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6"/>
      <c r="AB1794" s="26"/>
      <c r="AC1794" s="27"/>
    </row>
    <row r="1795" spans="1:29" x14ac:dyDescent="0.25">
      <c r="A1795" s="1"/>
      <c r="B1795" s="19"/>
      <c r="C1795" s="24"/>
      <c r="D1795" s="1"/>
      <c r="E1795" s="25"/>
      <c r="F1795" s="26"/>
      <c r="G1795" s="26"/>
      <c r="L1795" s="25"/>
      <c r="M1795" s="24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6"/>
      <c r="AB1795" s="26"/>
      <c r="AC1795" s="27"/>
    </row>
    <row r="1796" spans="1:29" x14ac:dyDescent="0.25">
      <c r="A1796" s="1"/>
      <c r="B1796" s="19"/>
      <c r="C1796" s="24"/>
      <c r="D1796" s="1"/>
      <c r="E1796" s="25"/>
      <c r="F1796" s="26"/>
      <c r="G1796" s="26"/>
      <c r="L1796" s="25"/>
      <c r="M1796" s="24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6"/>
      <c r="AB1796" s="26"/>
      <c r="AC1796" s="27"/>
    </row>
    <row r="1797" spans="1:29" x14ac:dyDescent="0.25">
      <c r="A1797" s="1"/>
      <c r="B1797" s="19"/>
      <c r="C1797" s="24"/>
      <c r="D1797" s="1"/>
      <c r="E1797" s="25"/>
      <c r="F1797" s="26"/>
      <c r="G1797" s="26"/>
      <c r="L1797" s="25"/>
      <c r="M1797" s="24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6"/>
      <c r="AB1797" s="26"/>
      <c r="AC1797" s="27"/>
    </row>
    <row r="1798" spans="1:29" x14ac:dyDescent="0.25">
      <c r="A1798" s="1"/>
      <c r="B1798" s="19"/>
      <c r="C1798" s="24"/>
      <c r="D1798" s="1"/>
      <c r="E1798" s="25"/>
      <c r="F1798" s="26"/>
      <c r="G1798" s="26"/>
      <c r="L1798" s="25"/>
      <c r="M1798" s="24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6"/>
      <c r="AB1798" s="26"/>
      <c r="AC1798" s="27"/>
    </row>
    <row r="1799" spans="1:29" x14ac:dyDescent="0.25">
      <c r="A1799" s="1"/>
      <c r="B1799" s="19"/>
      <c r="C1799" s="24"/>
      <c r="D1799" s="1"/>
      <c r="E1799" s="25"/>
      <c r="F1799" s="26"/>
      <c r="G1799" s="26"/>
      <c r="L1799" s="25"/>
      <c r="M1799" s="24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6"/>
      <c r="AB1799" s="26"/>
      <c r="AC1799" s="27"/>
    </row>
    <row r="1800" spans="1:29" x14ac:dyDescent="0.25">
      <c r="A1800" s="1"/>
      <c r="B1800" s="19"/>
      <c r="C1800" s="24"/>
      <c r="D1800" s="1"/>
      <c r="E1800" s="25"/>
      <c r="F1800" s="26"/>
      <c r="G1800" s="26"/>
      <c r="L1800" s="25"/>
      <c r="M1800" s="24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6"/>
      <c r="AB1800" s="26"/>
      <c r="AC1800" s="27"/>
    </row>
    <row r="1801" spans="1:29" x14ac:dyDescent="0.25">
      <c r="A1801" s="1"/>
      <c r="B1801" s="19"/>
      <c r="C1801" s="24"/>
      <c r="D1801" s="1"/>
      <c r="E1801" s="25"/>
      <c r="F1801" s="26"/>
      <c r="G1801" s="26"/>
      <c r="L1801" s="25"/>
      <c r="M1801" s="24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6"/>
      <c r="AB1801" s="26"/>
      <c r="AC1801" s="27"/>
    </row>
    <row r="1802" spans="1:29" x14ac:dyDescent="0.25">
      <c r="A1802" s="1"/>
      <c r="B1802" s="19"/>
      <c r="C1802" s="24"/>
      <c r="D1802" s="1"/>
      <c r="E1802" s="25"/>
      <c r="F1802" s="26"/>
      <c r="G1802" s="26"/>
      <c r="L1802" s="25"/>
      <c r="M1802" s="24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6"/>
      <c r="AB1802" s="26"/>
      <c r="AC1802" s="27"/>
    </row>
    <row r="1803" spans="1:29" x14ac:dyDescent="0.25">
      <c r="A1803" s="1"/>
      <c r="B1803" s="19"/>
      <c r="C1803" s="24"/>
      <c r="D1803" s="1"/>
      <c r="E1803" s="25"/>
      <c r="F1803" s="26"/>
      <c r="G1803" s="26"/>
      <c r="L1803" s="25"/>
      <c r="M1803" s="24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6"/>
      <c r="AB1803" s="26"/>
      <c r="AC1803" s="27"/>
    </row>
    <row r="1804" spans="1:29" x14ac:dyDescent="0.25">
      <c r="A1804" s="1"/>
      <c r="B1804" s="19"/>
      <c r="C1804" s="24"/>
      <c r="D1804" s="1"/>
      <c r="E1804" s="25"/>
      <c r="F1804" s="26"/>
      <c r="G1804" s="26"/>
      <c r="L1804" s="25"/>
      <c r="M1804" s="24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6"/>
      <c r="AB1804" s="26"/>
      <c r="AC1804" s="27"/>
    </row>
    <row r="1805" spans="1:29" x14ac:dyDescent="0.25">
      <c r="A1805" s="1"/>
      <c r="B1805" s="19"/>
      <c r="C1805" s="24"/>
      <c r="D1805" s="1"/>
      <c r="E1805" s="25"/>
      <c r="F1805" s="26"/>
      <c r="G1805" s="26"/>
      <c r="L1805" s="25"/>
      <c r="M1805" s="24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6"/>
      <c r="AB1805" s="26"/>
      <c r="AC1805" s="27"/>
    </row>
    <row r="1806" spans="1:29" x14ac:dyDescent="0.25">
      <c r="A1806" s="1"/>
      <c r="B1806" s="19"/>
      <c r="C1806" s="24"/>
      <c r="D1806" s="1"/>
      <c r="E1806" s="25"/>
      <c r="F1806" s="26"/>
      <c r="G1806" s="26"/>
      <c r="L1806" s="25"/>
      <c r="M1806" s="24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6"/>
      <c r="AB1806" s="26"/>
      <c r="AC1806" s="27"/>
    </row>
    <row r="1807" spans="1:29" x14ac:dyDescent="0.25">
      <c r="A1807" s="1"/>
      <c r="B1807" s="19"/>
      <c r="C1807" s="24"/>
      <c r="D1807" s="1"/>
      <c r="E1807" s="25"/>
      <c r="F1807" s="26"/>
      <c r="G1807" s="26"/>
      <c r="L1807" s="25"/>
      <c r="M1807" s="24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6"/>
      <c r="AB1807" s="26"/>
      <c r="AC1807" s="27"/>
    </row>
    <row r="1808" spans="1:29" x14ac:dyDescent="0.25">
      <c r="A1808" s="1"/>
      <c r="B1808" s="19"/>
      <c r="C1808" s="24"/>
      <c r="D1808" s="1"/>
      <c r="E1808" s="25"/>
      <c r="F1808" s="26"/>
      <c r="G1808" s="26"/>
      <c r="L1808" s="25"/>
      <c r="M1808" s="24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6"/>
      <c r="AB1808" s="26"/>
      <c r="AC1808" s="27"/>
    </row>
    <row r="1809" spans="1:29" x14ac:dyDescent="0.25">
      <c r="A1809" s="1"/>
      <c r="B1809" s="19"/>
      <c r="C1809" s="24"/>
      <c r="D1809" s="1"/>
      <c r="E1809" s="25"/>
      <c r="F1809" s="26"/>
      <c r="G1809" s="26"/>
      <c r="L1809" s="25"/>
      <c r="M1809" s="24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6"/>
      <c r="AB1809" s="26"/>
      <c r="AC1809" s="27"/>
    </row>
    <row r="1810" spans="1:29" x14ac:dyDescent="0.25">
      <c r="A1810" s="1"/>
      <c r="B1810" s="19"/>
      <c r="C1810" s="24"/>
      <c r="D1810" s="1"/>
      <c r="E1810" s="25"/>
      <c r="F1810" s="26"/>
      <c r="G1810" s="26"/>
      <c r="L1810" s="25"/>
      <c r="M1810" s="24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6"/>
      <c r="AB1810" s="26"/>
      <c r="AC1810" s="27"/>
    </row>
    <row r="1811" spans="1:29" x14ac:dyDescent="0.25">
      <c r="A1811" s="1"/>
      <c r="B1811" s="19"/>
      <c r="C1811" s="24"/>
      <c r="D1811" s="1"/>
      <c r="E1811" s="25"/>
      <c r="F1811" s="26"/>
      <c r="G1811" s="26"/>
      <c r="L1811" s="25"/>
      <c r="M1811" s="24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6"/>
      <c r="AB1811" s="26"/>
      <c r="AC1811" s="27"/>
    </row>
    <row r="1812" spans="1:29" x14ac:dyDescent="0.25">
      <c r="A1812" s="1"/>
      <c r="B1812" s="19"/>
      <c r="C1812" s="24"/>
      <c r="D1812" s="1"/>
      <c r="E1812" s="25"/>
      <c r="F1812" s="26"/>
      <c r="G1812" s="26"/>
      <c r="L1812" s="25"/>
      <c r="M1812" s="24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6"/>
      <c r="AB1812" s="26"/>
      <c r="AC1812" s="27"/>
    </row>
    <row r="1813" spans="1:29" x14ac:dyDescent="0.25">
      <c r="A1813" s="1"/>
      <c r="B1813" s="19"/>
      <c r="C1813" s="24"/>
      <c r="D1813" s="1"/>
      <c r="E1813" s="25"/>
      <c r="F1813" s="26"/>
      <c r="G1813" s="26"/>
      <c r="L1813" s="25"/>
      <c r="M1813" s="24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6"/>
      <c r="AB1813" s="26"/>
      <c r="AC1813" s="27"/>
    </row>
    <row r="1814" spans="1:29" x14ac:dyDescent="0.25">
      <c r="A1814" s="1"/>
      <c r="B1814" s="19"/>
      <c r="C1814" s="24"/>
      <c r="D1814" s="1"/>
      <c r="E1814" s="25"/>
      <c r="F1814" s="26"/>
      <c r="G1814" s="26"/>
      <c r="L1814" s="25"/>
      <c r="M1814" s="24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6"/>
      <c r="AB1814" s="26"/>
      <c r="AC1814" s="27"/>
    </row>
    <row r="1815" spans="1:29" x14ac:dyDescent="0.25">
      <c r="A1815" s="1"/>
      <c r="B1815" s="19"/>
      <c r="C1815" s="24"/>
      <c r="D1815" s="1"/>
      <c r="E1815" s="25"/>
      <c r="F1815" s="26"/>
      <c r="G1815" s="26"/>
      <c r="L1815" s="25"/>
      <c r="M1815" s="24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6"/>
      <c r="AB1815" s="26"/>
      <c r="AC1815" s="27"/>
    </row>
    <row r="1816" spans="1:29" x14ac:dyDescent="0.25">
      <c r="A1816" s="1"/>
      <c r="B1816" s="19"/>
      <c r="C1816" s="24"/>
      <c r="D1816" s="1"/>
      <c r="E1816" s="25"/>
      <c r="F1816" s="26"/>
      <c r="G1816" s="26"/>
      <c r="L1816" s="25"/>
      <c r="M1816" s="24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6"/>
      <c r="AB1816" s="26"/>
      <c r="AC1816" s="27"/>
    </row>
    <row r="1817" spans="1:29" x14ac:dyDescent="0.25">
      <c r="A1817" s="1"/>
      <c r="B1817" s="19"/>
      <c r="C1817" s="24"/>
      <c r="D1817" s="1"/>
      <c r="E1817" s="25"/>
      <c r="F1817" s="26"/>
      <c r="G1817" s="26"/>
      <c r="L1817" s="25"/>
      <c r="M1817" s="24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6"/>
      <c r="AB1817" s="26"/>
      <c r="AC1817" s="27"/>
    </row>
    <row r="1818" spans="1:29" x14ac:dyDescent="0.25">
      <c r="A1818" s="1"/>
      <c r="B1818" s="19"/>
      <c r="C1818" s="24"/>
      <c r="D1818" s="1"/>
      <c r="E1818" s="25"/>
      <c r="F1818" s="26"/>
      <c r="G1818" s="26"/>
      <c r="L1818" s="25"/>
      <c r="M1818" s="24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6"/>
      <c r="AB1818" s="26"/>
      <c r="AC1818" s="27"/>
    </row>
    <row r="1819" spans="1:29" x14ac:dyDescent="0.25">
      <c r="A1819" s="1"/>
      <c r="B1819" s="19"/>
      <c r="C1819" s="24"/>
      <c r="D1819" s="1"/>
      <c r="E1819" s="25"/>
      <c r="F1819" s="26"/>
      <c r="G1819" s="26"/>
      <c r="L1819" s="25"/>
      <c r="M1819" s="24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6"/>
      <c r="AB1819" s="26"/>
      <c r="AC1819" s="27"/>
    </row>
    <row r="1820" spans="1:29" x14ac:dyDescent="0.25">
      <c r="A1820" s="1"/>
      <c r="B1820" s="19"/>
      <c r="C1820" s="24"/>
      <c r="D1820" s="1"/>
      <c r="E1820" s="25"/>
      <c r="F1820" s="26"/>
      <c r="G1820" s="26"/>
      <c r="L1820" s="25"/>
      <c r="M1820" s="24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6"/>
      <c r="AB1820" s="26"/>
      <c r="AC1820" s="27"/>
    </row>
    <row r="1821" spans="1:29" x14ac:dyDescent="0.25">
      <c r="A1821" s="1"/>
      <c r="B1821" s="19"/>
      <c r="C1821" s="24"/>
      <c r="D1821" s="1"/>
      <c r="E1821" s="25"/>
      <c r="F1821" s="26"/>
      <c r="G1821" s="26"/>
      <c r="L1821" s="25"/>
      <c r="M1821" s="24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6"/>
      <c r="AB1821" s="26"/>
      <c r="AC1821" s="27"/>
    </row>
    <row r="1822" spans="1:29" x14ac:dyDescent="0.25">
      <c r="A1822" s="1"/>
      <c r="B1822" s="19"/>
      <c r="C1822" s="24"/>
      <c r="D1822" s="1"/>
      <c r="E1822" s="25"/>
      <c r="F1822" s="26"/>
      <c r="G1822" s="26"/>
      <c r="L1822" s="25"/>
      <c r="M1822" s="24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6"/>
      <c r="AB1822" s="26"/>
      <c r="AC1822" s="27"/>
    </row>
    <row r="1823" spans="1:29" x14ac:dyDescent="0.25">
      <c r="A1823" s="1"/>
      <c r="B1823" s="19"/>
      <c r="C1823" s="24"/>
      <c r="D1823" s="1"/>
      <c r="E1823" s="25"/>
      <c r="F1823" s="26"/>
      <c r="G1823" s="26"/>
      <c r="L1823" s="25"/>
      <c r="M1823" s="24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6"/>
      <c r="AB1823" s="26"/>
      <c r="AC1823" s="27"/>
    </row>
    <row r="1824" spans="1:29" x14ac:dyDescent="0.25">
      <c r="A1824" s="1"/>
      <c r="B1824" s="19"/>
      <c r="C1824" s="24"/>
      <c r="D1824" s="1"/>
      <c r="E1824" s="25"/>
      <c r="F1824" s="26"/>
      <c r="G1824" s="26"/>
      <c r="L1824" s="25"/>
      <c r="M1824" s="24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6"/>
      <c r="AB1824" s="26"/>
      <c r="AC1824" s="27"/>
    </row>
    <row r="1825" spans="1:29" x14ac:dyDescent="0.25">
      <c r="A1825" s="1"/>
      <c r="B1825" s="19"/>
      <c r="C1825" s="24"/>
      <c r="D1825" s="1"/>
      <c r="E1825" s="25"/>
      <c r="F1825" s="26"/>
      <c r="G1825" s="26"/>
      <c r="L1825" s="25"/>
      <c r="M1825" s="24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6"/>
      <c r="AB1825" s="26"/>
      <c r="AC1825" s="27"/>
    </row>
    <row r="1826" spans="1:29" x14ac:dyDescent="0.25">
      <c r="A1826" s="1"/>
      <c r="B1826" s="19"/>
      <c r="C1826" s="24"/>
      <c r="D1826" s="1"/>
      <c r="E1826" s="25"/>
      <c r="F1826" s="26"/>
      <c r="G1826" s="26"/>
      <c r="L1826" s="25"/>
      <c r="M1826" s="24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6"/>
      <c r="AB1826" s="26"/>
      <c r="AC1826" s="27"/>
    </row>
    <row r="1827" spans="1:29" x14ac:dyDescent="0.25">
      <c r="A1827" s="1"/>
      <c r="B1827" s="19"/>
      <c r="C1827" s="24"/>
      <c r="D1827" s="1"/>
      <c r="E1827" s="25"/>
      <c r="F1827" s="26"/>
      <c r="G1827" s="26"/>
      <c r="L1827" s="25"/>
      <c r="M1827" s="24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6"/>
      <c r="AB1827" s="26"/>
      <c r="AC1827" s="27"/>
    </row>
    <row r="1828" spans="1:29" x14ac:dyDescent="0.25">
      <c r="A1828" s="1"/>
      <c r="B1828" s="19"/>
      <c r="C1828" s="24"/>
      <c r="D1828" s="1"/>
      <c r="E1828" s="25"/>
      <c r="F1828" s="26"/>
      <c r="G1828" s="26"/>
      <c r="L1828" s="25"/>
      <c r="M1828" s="24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6"/>
      <c r="AB1828" s="26"/>
      <c r="AC1828" s="27"/>
    </row>
    <row r="1829" spans="1:29" x14ac:dyDescent="0.25">
      <c r="A1829" s="1"/>
      <c r="B1829" s="19"/>
      <c r="C1829" s="24"/>
      <c r="D1829" s="1"/>
      <c r="E1829" s="25"/>
      <c r="F1829" s="26"/>
      <c r="G1829" s="26"/>
      <c r="L1829" s="25"/>
      <c r="M1829" s="24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6"/>
      <c r="AB1829" s="26"/>
      <c r="AC1829" s="27"/>
    </row>
    <row r="1830" spans="1:29" x14ac:dyDescent="0.25">
      <c r="A1830" s="1"/>
      <c r="B1830" s="19"/>
      <c r="C1830" s="24"/>
      <c r="D1830" s="1"/>
      <c r="E1830" s="25"/>
      <c r="F1830" s="26"/>
      <c r="G1830" s="26"/>
      <c r="L1830" s="25"/>
      <c r="M1830" s="24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6"/>
      <c r="AB1830" s="26"/>
      <c r="AC1830" s="27"/>
    </row>
    <row r="1831" spans="1:29" x14ac:dyDescent="0.25">
      <c r="A1831" s="1"/>
      <c r="B1831" s="19"/>
      <c r="C1831" s="24"/>
      <c r="D1831" s="1"/>
      <c r="E1831" s="25"/>
      <c r="F1831" s="26"/>
      <c r="G1831" s="26"/>
      <c r="L1831" s="25"/>
      <c r="M1831" s="24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6"/>
      <c r="AB1831" s="26"/>
      <c r="AC1831" s="27"/>
    </row>
    <row r="1832" spans="1:29" x14ac:dyDescent="0.25">
      <c r="A1832" s="1"/>
      <c r="B1832" s="19"/>
      <c r="C1832" s="24"/>
      <c r="D1832" s="1"/>
      <c r="E1832" s="25"/>
      <c r="F1832" s="26"/>
      <c r="G1832" s="26"/>
      <c r="L1832" s="25"/>
      <c r="M1832" s="24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6"/>
      <c r="AB1832" s="26"/>
      <c r="AC1832" s="27"/>
    </row>
    <row r="1833" spans="1:29" x14ac:dyDescent="0.25">
      <c r="A1833" s="1"/>
      <c r="B1833" s="19"/>
      <c r="C1833" s="24"/>
      <c r="D1833" s="1"/>
      <c r="E1833" s="25"/>
      <c r="F1833" s="26"/>
      <c r="G1833" s="26"/>
      <c r="L1833" s="25"/>
      <c r="M1833" s="24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6"/>
      <c r="AB1833" s="26"/>
      <c r="AC1833" s="27"/>
    </row>
    <row r="1834" spans="1:29" x14ac:dyDescent="0.25">
      <c r="A1834" s="1"/>
      <c r="B1834" s="19"/>
      <c r="C1834" s="24"/>
      <c r="D1834" s="1"/>
      <c r="E1834" s="25"/>
      <c r="F1834" s="26"/>
      <c r="G1834" s="26"/>
      <c r="L1834" s="25"/>
      <c r="M1834" s="24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6"/>
      <c r="AB1834" s="26"/>
      <c r="AC1834" s="27"/>
    </row>
    <row r="1835" spans="1:29" x14ac:dyDescent="0.25">
      <c r="A1835" s="1"/>
      <c r="B1835" s="19"/>
      <c r="C1835" s="24"/>
      <c r="D1835" s="1"/>
      <c r="E1835" s="25"/>
      <c r="F1835" s="26"/>
      <c r="G1835" s="26"/>
      <c r="L1835" s="25"/>
      <c r="M1835" s="24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6"/>
      <c r="AB1835" s="26"/>
      <c r="AC1835" s="27"/>
    </row>
    <row r="1836" spans="1:29" x14ac:dyDescent="0.25">
      <c r="A1836" s="1"/>
      <c r="B1836" s="19"/>
      <c r="C1836" s="24"/>
      <c r="D1836" s="1"/>
      <c r="E1836" s="25"/>
      <c r="F1836" s="26"/>
      <c r="G1836" s="26"/>
      <c r="L1836" s="25"/>
      <c r="M1836" s="24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6"/>
      <c r="AB1836" s="26"/>
      <c r="AC1836" s="27"/>
    </row>
    <row r="1837" spans="1:29" x14ac:dyDescent="0.25">
      <c r="A1837" s="1"/>
      <c r="B1837" s="19"/>
      <c r="C1837" s="24"/>
      <c r="D1837" s="1"/>
      <c r="E1837" s="25"/>
      <c r="F1837" s="26"/>
      <c r="G1837" s="26"/>
      <c r="L1837" s="25"/>
      <c r="M1837" s="24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6"/>
      <c r="AB1837" s="26"/>
      <c r="AC1837" s="27"/>
    </row>
    <row r="1838" spans="1:29" x14ac:dyDescent="0.25">
      <c r="A1838" s="1"/>
      <c r="B1838" s="19"/>
      <c r="C1838" s="24"/>
      <c r="D1838" s="1"/>
      <c r="E1838" s="25"/>
      <c r="F1838" s="26"/>
      <c r="G1838" s="26"/>
      <c r="L1838" s="25"/>
      <c r="M1838" s="24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6"/>
      <c r="AB1838" s="26"/>
      <c r="AC1838" s="27"/>
    </row>
    <row r="1839" spans="1:29" x14ac:dyDescent="0.25">
      <c r="A1839" s="1"/>
      <c r="B1839" s="19"/>
      <c r="C1839" s="24"/>
      <c r="D1839" s="1"/>
      <c r="E1839" s="25"/>
      <c r="F1839" s="26"/>
      <c r="G1839" s="26"/>
      <c r="L1839" s="25"/>
      <c r="M1839" s="24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6"/>
      <c r="AB1839" s="26"/>
      <c r="AC1839" s="27"/>
    </row>
    <row r="1840" spans="1:29" x14ac:dyDescent="0.25">
      <c r="A1840" s="1"/>
      <c r="B1840" s="19"/>
      <c r="C1840" s="24"/>
      <c r="D1840" s="1"/>
      <c r="E1840" s="25"/>
      <c r="F1840" s="26"/>
      <c r="G1840" s="26"/>
      <c r="L1840" s="25"/>
      <c r="M1840" s="24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6"/>
      <c r="AB1840" s="26"/>
      <c r="AC1840" s="27"/>
    </row>
    <row r="1841" spans="1:29" x14ac:dyDescent="0.25">
      <c r="A1841" s="1"/>
      <c r="B1841" s="19"/>
      <c r="C1841" s="24"/>
      <c r="D1841" s="1"/>
      <c r="E1841" s="25"/>
      <c r="F1841" s="26"/>
      <c r="G1841" s="26"/>
      <c r="L1841" s="25"/>
      <c r="M1841" s="24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6"/>
      <c r="AB1841" s="26"/>
      <c r="AC1841" s="27"/>
    </row>
    <row r="1842" spans="1:29" x14ac:dyDescent="0.25">
      <c r="A1842" s="1"/>
      <c r="B1842" s="19"/>
      <c r="C1842" s="24"/>
      <c r="D1842" s="1"/>
      <c r="E1842" s="25"/>
      <c r="F1842" s="26"/>
      <c r="G1842" s="26"/>
      <c r="L1842" s="25"/>
      <c r="M1842" s="24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6"/>
      <c r="AB1842" s="26"/>
      <c r="AC1842" s="27"/>
    </row>
    <row r="1843" spans="1:29" x14ac:dyDescent="0.25">
      <c r="A1843" s="1"/>
      <c r="B1843" s="19"/>
      <c r="C1843" s="24"/>
      <c r="D1843" s="1"/>
      <c r="E1843" s="25"/>
      <c r="F1843" s="26"/>
      <c r="G1843" s="26"/>
      <c r="L1843" s="25"/>
      <c r="M1843" s="24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6"/>
      <c r="AB1843" s="26"/>
      <c r="AC1843" s="27"/>
    </row>
    <row r="1844" spans="1:29" x14ac:dyDescent="0.25">
      <c r="A1844" s="1"/>
      <c r="B1844" s="19"/>
      <c r="C1844" s="24"/>
      <c r="D1844" s="1"/>
      <c r="E1844" s="25"/>
      <c r="F1844" s="26"/>
      <c r="G1844" s="26"/>
      <c r="L1844" s="25"/>
      <c r="M1844" s="24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6"/>
      <c r="AB1844" s="26"/>
      <c r="AC1844" s="27"/>
    </row>
    <row r="1845" spans="1:29" x14ac:dyDescent="0.25">
      <c r="A1845" s="1"/>
      <c r="B1845" s="19"/>
      <c r="C1845" s="24"/>
      <c r="D1845" s="1"/>
      <c r="E1845" s="25"/>
      <c r="F1845" s="26"/>
      <c r="G1845" s="26"/>
      <c r="L1845" s="25"/>
      <c r="M1845" s="24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6"/>
      <c r="AB1845" s="26"/>
      <c r="AC1845" s="27"/>
    </row>
    <row r="1846" spans="1:29" x14ac:dyDescent="0.25">
      <c r="A1846" s="1"/>
      <c r="B1846" s="19"/>
      <c r="C1846" s="24"/>
      <c r="D1846" s="1"/>
      <c r="E1846" s="25"/>
      <c r="F1846" s="26"/>
      <c r="G1846" s="26"/>
      <c r="L1846" s="25"/>
      <c r="M1846" s="24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6"/>
      <c r="AB1846" s="26"/>
      <c r="AC1846" s="27"/>
    </row>
    <row r="1847" spans="1:29" x14ac:dyDescent="0.25">
      <c r="A1847" s="1"/>
      <c r="B1847" s="19"/>
      <c r="C1847" s="24"/>
      <c r="D1847" s="1"/>
      <c r="E1847" s="25"/>
      <c r="F1847" s="26"/>
      <c r="G1847" s="26"/>
      <c r="L1847" s="25"/>
      <c r="M1847" s="24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6"/>
      <c r="AB1847" s="26"/>
      <c r="AC1847" s="27"/>
    </row>
    <row r="1848" spans="1:29" x14ac:dyDescent="0.25">
      <c r="A1848" s="1"/>
      <c r="B1848" s="19"/>
      <c r="C1848" s="24"/>
      <c r="D1848" s="1"/>
      <c r="E1848" s="25"/>
      <c r="F1848" s="26"/>
      <c r="G1848" s="26"/>
      <c r="L1848" s="25"/>
      <c r="M1848" s="24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6"/>
      <c r="AB1848" s="26"/>
      <c r="AC1848" s="27"/>
    </row>
    <row r="1849" spans="1:29" x14ac:dyDescent="0.25">
      <c r="A1849" s="1"/>
      <c r="B1849" s="19"/>
      <c r="C1849" s="24"/>
      <c r="D1849" s="1"/>
      <c r="E1849" s="25"/>
      <c r="F1849" s="26"/>
      <c r="G1849" s="26"/>
      <c r="L1849" s="25"/>
      <c r="M1849" s="24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6"/>
      <c r="AB1849" s="26"/>
      <c r="AC1849" s="27"/>
    </row>
    <row r="1850" spans="1:29" x14ac:dyDescent="0.25">
      <c r="A1850" s="1"/>
      <c r="B1850" s="19"/>
      <c r="C1850" s="24"/>
      <c r="D1850" s="1"/>
      <c r="E1850" s="25"/>
      <c r="F1850" s="26"/>
      <c r="G1850" s="26"/>
      <c r="L1850" s="25"/>
      <c r="M1850" s="24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6"/>
      <c r="AB1850" s="26"/>
      <c r="AC1850" s="27"/>
    </row>
    <row r="1851" spans="1:29" x14ac:dyDescent="0.25">
      <c r="A1851" s="1"/>
      <c r="B1851" s="19"/>
      <c r="C1851" s="24"/>
      <c r="D1851" s="1"/>
      <c r="E1851" s="25"/>
      <c r="F1851" s="26"/>
      <c r="G1851" s="26"/>
      <c r="L1851" s="25"/>
      <c r="M1851" s="24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6"/>
      <c r="AB1851" s="26"/>
      <c r="AC1851" s="27"/>
    </row>
    <row r="1852" spans="1:29" x14ac:dyDescent="0.25">
      <c r="A1852" s="1"/>
      <c r="B1852" s="19"/>
      <c r="C1852" s="24"/>
      <c r="D1852" s="1"/>
      <c r="E1852" s="25"/>
      <c r="F1852" s="26"/>
      <c r="G1852" s="26"/>
      <c r="L1852" s="25"/>
      <c r="M1852" s="24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6"/>
      <c r="AB1852" s="26"/>
      <c r="AC1852" s="27"/>
    </row>
    <row r="1853" spans="1:29" x14ac:dyDescent="0.25">
      <c r="A1853" s="1"/>
      <c r="B1853" s="19"/>
      <c r="C1853" s="24"/>
      <c r="D1853" s="1"/>
      <c r="E1853" s="25"/>
      <c r="F1853" s="26"/>
      <c r="G1853" s="26"/>
      <c r="L1853" s="25"/>
      <c r="M1853" s="24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6"/>
      <c r="AB1853" s="26"/>
      <c r="AC1853" s="27"/>
    </row>
    <row r="1854" spans="1:29" x14ac:dyDescent="0.25">
      <c r="A1854" s="1"/>
      <c r="B1854" s="19"/>
      <c r="C1854" s="24"/>
      <c r="D1854" s="1"/>
      <c r="E1854" s="25"/>
      <c r="F1854" s="26"/>
      <c r="G1854" s="26"/>
      <c r="L1854" s="25"/>
      <c r="M1854" s="24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6"/>
      <c r="AB1854" s="26"/>
      <c r="AC1854" s="27"/>
    </row>
    <row r="1855" spans="1:29" x14ac:dyDescent="0.25">
      <c r="A1855" s="1"/>
      <c r="B1855" s="19"/>
      <c r="C1855" s="24"/>
      <c r="D1855" s="1"/>
      <c r="E1855" s="25"/>
      <c r="F1855" s="26"/>
      <c r="G1855" s="26"/>
      <c r="L1855" s="25"/>
      <c r="M1855" s="24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6"/>
      <c r="AB1855" s="26"/>
      <c r="AC1855" s="27"/>
    </row>
    <row r="1856" spans="1:29" x14ac:dyDescent="0.25">
      <c r="A1856" s="1"/>
      <c r="B1856" s="19"/>
      <c r="C1856" s="24"/>
      <c r="D1856" s="1"/>
      <c r="E1856" s="25"/>
      <c r="F1856" s="26"/>
      <c r="G1856" s="26"/>
      <c r="L1856" s="25"/>
      <c r="M1856" s="24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6"/>
      <c r="AB1856" s="26"/>
      <c r="AC1856" s="27"/>
    </row>
    <row r="1857" spans="1:29" x14ac:dyDescent="0.25">
      <c r="A1857" s="1"/>
      <c r="B1857" s="19"/>
      <c r="C1857" s="24"/>
      <c r="D1857" s="1"/>
      <c r="E1857" s="25"/>
      <c r="F1857" s="26"/>
      <c r="G1857" s="26"/>
      <c r="L1857" s="25"/>
      <c r="M1857" s="24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6"/>
      <c r="AB1857" s="26"/>
      <c r="AC1857" s="27"/>
    </row>
    <row r="1858" spans="1:29" x14ac:dyDescent="0.25">
      <c r="A1858" s="1"/>
      <c r="B1858" s="19"/>
      <c r="C1858" s="24"/>
      <c r="D1858" s="1"/>
      <c r="E1858" s="25"/>
      <c r="F1858" s="26"/>
      <c r="G1858" s="26"/>
      <c r="L1858" s="25"/>
      <c r="M1858" s="24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6"/>
      <c r="AB1858" s="26"/>
      <c r="AC1858" s="27"/>
    </row>
    <row r="1859" spans="1:29" x14ac:dyDescent="0.25">
      <c r="A1859" s="1"/>
      <c r="B1859" s="19"/>
      <c r="C1859" s="24"/>
      <c r="D1859" s="1"/>
      <c r="E1859" s="25"/>
      <c r="F1859" s="26"/>
      <c r="G1859" s="26"/>
      <c r="L1859" s="25"/>
      <c r="M1859" s="24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6"/>
      <c r="AB1859" s="26"/>
      <c r="AC1859" s="27"/>
    </row>
    <row r="1860" spans="1:29" x14ac:dyDescent="0.25">
      <c r="A1860" s="1"/>
      <c r="B1860" s="19"/>
      <c r="C1860" s="24"/>
      <c r="D1860" s="1"/>
      <c r="E1860" s="25"/>
      <c r="F1860" s="26"/>
      <c r="G1860" s="26"/>
      <c r="L1860" s="25"/>
      <c r="M1860" s="24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6"/>
      <c r="AB1860" s="26"/>
      <c r="AC1860" s="27"/>
    </row>
    <row r="1861" spans="1:29" x14ac:dyDescent="0.25">
      <c r="A1861" s="1"/>
      <c r="B1861" s="19"/>
      <c r="C1861" s="24"/>
      <c r="D1861" s="1"/>
      <c r="E1861" s="25"/>
      <c r="F1861" s="26"/>
      <c r="G1861" s="26"/>
      <c r="L1861" s="25"/>
      <c r="M1861" s="24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6"/>
      <c r="AB1861" s="26"/>
      <c r="AC1861" s="27"/>
    </row>
    <row r="1862" spans="1:29" x14ac:dyDescent="0.25">
      <c r="A1862" s="1"/>
      <c r="B1862" s="19"/>
      <c r="C1862" s="24"/>
      <c r="D1862" s="1"/>
      <c r="E1862" s="25"/>
      <c r="F1862" s="26"/>
      <c r="G1862" s="26"/>
      <c r="L1862" s="25"/>
      <c r="M1862" s="24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6"/>
      <c r="AB1862" s="26"/>
      <c r="AC1862" s="27"/>
    </row>
    <row r="1863" spans="1:29" x14ac:dyDescent="0.25">
      <c r="A1863" s="1"/>
      <c r="B1863" s="19"/>
      <c r="C1863" s="24"/>
      <c r="D1863" s="1"/>
      <c r="E1863" s="25"/>
      <c r="F1863" s="26"/>
      <c r="G1863" s="26"/>
      <c r="L1863" s="25"/>
      <c r="M1863" s="24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6"/>
      <c r="AB1863" s="26"/>
      <c r="AC1863" s="27"/>
    </row>
    <row r="1864" spans="1:29" x14ac:dyDescent="0.25">
      <c r="A1864" s="1"/>
      <c r="B1864" s="19"/>
      <c r="C1864" s="24"/>
      <c r="D1864" s="1"/>
      <c r="E1864" s="25"/>
      <c r="F1864" s="26"/>
      <c r="G1864" s="26"/>
      <c r="L1864" s="25"/>
      <c r="M1864" s="24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6"/>
      <c r="AB1864" s="26"/>
      <c r="AC1864" s="27"/>
    </row>
    <row r="1865" spans="1:29" x14ac:dyDescent="0.25">
      <c r="A1865" s="1"/>
      <c r="B1865" s="19"/>
      <c r="C1865" s="24"/>
      <c r="D1865" s="1"/>
      <c r="E1865" s="25"/>
      <c r="F1865" s="26"/>
      <c r="G1865" s="26"/>
      <c r="L1865" s="25"/>
      <c r="M1865" s="24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6"/>
      <c r="AB1865" s="26"/>
      <c r="AC1865" s="27"/>
    </row>
    <row r="1866" spans="1:29" x14ac:dyDescent="0.25">
      <c r="A1866" s="1"/>
      <c r="B1866" s="19"/>
      <c r="C1866" s="24"/>
      <c r="D1866" s="1"/>
      <c r="E1866" s="25"/>
      <c r="F1866" s="26"/>
      <c r="G1866" s="26"/>
      <c r="L1866" s="25"/>
      <c r="M1866" s="24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6"/>
      <c r="AB1866" s="26"/>
      <c r="AC1866" s="27"/>
    </row>
    <row r="1867" spans="1:29" x14ac:dyDescent="0.25">
      <c r="A1867" s="1"/>
      <c r="B1867" s="19"/>
      <c r="C1867" s="24"/>
      <c r="D1867" s="1"/>
      <c r="E1867" s="25"/>
      <c r="F1867" s="26"/>
      <c r="G1867" s="26"/>
      <c r="L1867" s="25"/>
      <c r="M1867" s="24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6"/>
      <c r="AB1867" s="26"/>
      <c r="AC1867" s="27"/>
    </row>
    <row r="1868" spans="1:29" x14ac:dyDescent="0.25">
      <c r="A1868" s="1"/>
      <c r="B1868" s="19"/>
      <c r="C1868" s="24"/>
      <c r="D1868" s="1"/>
      <c r="E1868" s="25"/>
      <c r="F1868" s="26"/>
      <c r="G1868" s="26"/>
      <c r="L1868" s="25"/>
      <c r="M1868" s="24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6"/>
      <c r="AB1868" s="26"/>
      <c r="AC1868" s="27"/>
    </row>
    <row r="1869" spans="1:29" x14ac:dyDescent="0.25">
      <c r="A1869" s="1"/>
      <c r="B1869" s="19"/>
      <c r="C1869" s="24"/>
      <c r="D1869" s="1"/>
      <c r="E1869" s="25"/>
      <c r="F1869" s="26"/>
      <c r="G1869" s="26"/>
      <c r="L1869" s="25"/>
      <c r="M1869" s="24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6"/>
      <c r="AB1869" s="26"/>
      <c r="AC1869" s="27"/>
    </row>
    <row r="1870" spans="1:29" x14ac:dyDescent="0.25">
      <c r="A1870" s="1"/>
      <c r="B1870" s="19"/>
      <c r="C1870" s="24"/>
      <c r="D1870" s="1"/>
      <c r="E1870" s="25"/>
      <c r="F1870" s="26"/>
      <c r="G1870" s="26"/>
      <c r="L1870" s="25"/>
      <c r="M1870" s="24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6"/>
      <c r="AB1870" s="26"/>
      <c r="AC1870" s="27"/>
    </row>
    <row r="1871" spans="1:29" x14ac:dyDescent="0.25">
      <c r="A1871" s="1"/>
      <c r="B1871" s="19"/>
      <c r="C1871" s="24"/>
      <c r="D1871" s="1"/>
      <c r="E1871" s="25"/>
      <c r="F1871" s="26"/>
      <c r="G1871" s="26"/>
      <c r="L1871" s="25"/>
      <c r="M1871" s="24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6"/>
      <c r="AB1871" s="26"/>
      <c r="AC1871" s="27"/>
    </row>
    <row r="1872" spans="1:29" x14ac:dyDescent="0.25">
      <c r="A1872" s="1"/>
      <c r="B1872" s="19"/>
      <c r="C1872" s="24"/>
      <c r="D1872" s="1"/>
      <c r="E1872" s="25"/>
      <c r="F1872" s="26"/>
      <c r="G1872" s="26"/>
      <c r="L1872" s="25"/>
      <c r="M1872" s="24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6"/>
      <c r="AB1872" s="26"/>
      <c r="AC1872" s="27"/>
    </row>
    <row r="1873" spans="1:29" x14ac:dyDescent="0.25">
      <c r="A1873" s="1"/>
      <c r="B1873" s="19"/>
      <c r="C1873" s="24"/>
      <c r="D1873" s="1"/>
      <c r="E1873" s="25"/>
      <c r="F1873" s="26"/>
      <c r="G1873" s="26"/>
      <c r="L1873" s="25"/>
      <c r="M1873" s="24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6"/>
      <c r="AB1873" s="26"/>
      <c r="AC1873" s="27"/>
    </row>
    <row r="1874" spans="1:29" x14ac:dyDescent="0.25">
      <c r="A1874" s="1"/>
      <c r="B1874" s="19"/>
      <c r="C1874" s="24"/>
      <c r="D1874" s="1"/>
      <c r="E1874" s="25"/>
      <c r="F1874" s="26"/>
      <c r="G1874" s="26"/>
      <c r="L1874" s="25"/>
      <c r="M1874" s="24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6"/>
      <c r="AB1874" s="26"/>
      <c r="AC1874" s="27"/>
    </row>
    <row r="1875" spans="1:29" x14ac:dyDescent="0.25">
      <c r="A1875" s="1"/>
      <c r="B1875" s="19"/>
      <c r="C1875" s="24"/>
      <c r="D1875" s="1"/>
      <c r="E1875" s="25"/>
      <c r="F1875" s="26"/>
      <c r="G1875" s="26"/>
      <c r="L1875" s="25"/>
      <c r="M1875" s="24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6"/>
      <c r="AB1875" s="26"/>
      <c r="AC1875" s="27"/>
    </row>
    <row r="1876" spans="1:29" x14ac:dyDescent="0.25">
      <c r="A1876" s="1"/>
      <c r="B1876" s="19"/>
      <c r="C1876" s="24"/>
      <c r="D1876" s="1"/>
      <c r="E1876" s="25"/>
      <c r="F1876" s="26"/>
      <c r="G1876" s="26"/>
      <c r="L1876" s="25"/>
      <c r="M1876" s="24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6"/>
      <c r="AB1876" s="26"/>
      <c r="AC1876" s="27"/>
    </row>
    <row r="1877" spans="1:29" x14ac:dyDescent="0.25">
      <c r="A1877" s="1"/>
      <c r="B1877" s="19"/>
      <c r="C1877" s="24"/>
      <c r="D1877" s="1"/>
      <c r="E1877" s="25"/>
      <c r="F1877" s="26"/>
      <c r="G1877" s="26"/>
      <c r="L1877" s="25"/>
      <c r="M1877" s="24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6"/>
      <c r="AB1877" s="26"/>
      <c r="AC1877" s="27"/>
    </row>
    <row r="1878" spans="1:29" x14ac:dyDescent="0.25">
      <c r="A1878" s="1"/>
      <c r="B1878" s="19"/>
      <c r="C1878" s="24"/>
      <c r="D1878" s="1"/>
      <c r="E1878" s="25"/>
      <c r="F1878" s="26"/>
      <c r="G1878" s="26"/>
      <c r="L1878" s="25"/>
      <c r="M1878" s="24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6"/>
      <c r="AB1878" s="26"/>
      <c r="AC1878" s="27"/>
    </row>
    <row r="1879" spans="1:29" x14ac:dyDescent="0.25">
      <c r="A1879" s="1"/>
      <c r="B1879" s="19"/>
      <c r="C1879" s="24"/>
      <c r="D1879" s="1"/>
      <c r="E1879" s="25"/>
      <c r="F1879" s="26"/>
      <c r="G1879" s="26"/>
      <c r="L1879" s="25"/>
      <c r="M1879" s="24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6"/>
      <c r="AB1879" s="26"/>
      <c r="AC1879" s="27"/>
    </row>
    <row r="1880" spans="1:29" x14ac:dyDescent="0.25">
      <c r="A1880" s="1"/>
      <c r="B1880" s="19"/>
      <c r="C1880" s="24"/>
      <c r="D1880" s="1"/>
      <c r="E1880" s="25"/>
      <c r="F1880" s="26"/>
      <c r="G1880" s="26"/>
      <c r="L1880" s="25"/>
      <c r="M1880" s="24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6"/>
      <c r="AB1880" s="26"/>
      <c r="AC1880" s="27"/>
    </row>
    <row r="1881" spans="1:29" x14ac:dyDescent="0.25">
      <c r="A1881" s="1"/>
      <c r="B1881" s="19"/>
      <c r="C1881" s="24"/>
      <c r="D1881" s="1"/>
      <c r="E1881" s="25"/>
      <c r="F1881" s="26"/>
      <c r="G1881" s="26"/>
      <c r="L1881" s="25"/>
      <c r="M1881" s="24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6"/>
      <c r="AB1881" s="26"/>
      <c r="AC1881" s="27"/>
    </row>
    <row r="1882" spans="1:29" x14ac:dyDescent="0.25">
      <c r="A1882" s="1"/>
      <c r="B1882" s="19"/>
      <c r="C1882" s="24"/>
      <c r="D1882" s="1"/>
      <c r="E1882" s="25"/>
      <c r="F1882" s="26"/>
      <c r="G1882" s="26"/>
      <c r="L1882" s="25"/>
      <c r="M1882" s="24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6"/>
      <c r="AB1882" s="26"/>
      <c r="AC1882" s="27"/>
    </row>
    <row r="1883" spans="1:29" x14ac:dyDescent="0.25">
      <c r="A1883" s="1"/>
      <c r="B1883" s="19"/>
      <c r="C1883" s="24"/>
      <c r="D1883" s="1"/>
      <c r="E1883" s="25"/>
      <c r="F1883" s="26"/>
      <c r="G1883" s="26"/>
      <c r="L1883" s="25"/>
      <c r="M1883" s="24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6"/>
      <c r="AB1883" s="26"/>
      <c r="AC1883" s="27"/>
    </row>
    <row r="1884" spans="1:29" x14ac:dyDescent="0.25">
      <c r="A1884" s="1"/>
      <c r="B1884" s="19"/>
      <c r="C1884" s="24"/>
      <c r="D1884" s="1"/>
      <c r="E1884" s="25"/>
      <c r="F1884" s="26"/>
      <c r="G1884" s="26"/>
      <c r="L1884" s="25"/>
      <c r="M1884" s="24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6"/>
      <c r="AB1884" s="26"/>
      <c r="AC1884" s="27"/>
    </row>
    <row r="1885" spans="1:29" x14ac:dyDescent="0.25">
      <c r="A1885" s="1"/>
      <c r="B1885" s="19"/>
      <c r="C1885" s="24"/>
      <c r="D1885" s="1"/>
      <c r="E1885" s="25"/>
      <c r="F1885" s="26"/>
      <c r="G1885" s="26"/>
      <c r="L1885" s="25"/>
      <c r="M1885" s="24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6"/>
      <c r="AB1885" s="26"/>
      <c r="AC1885" s="27"/>
    </row>
    <row r="1886" spans="1:29" x14ac:dyDescent="0.25">
      <c r="A1886" s="1"/>
      <c r="B1886" s="19"/>
      <c r="C1886" s="24"/>
      <c r="D1886" s="1"/>
      <c r="E1886" s="25"/>
      <c r="F1886" s="26"/>
      <c r="G1886" s="26"/>
      <c r="L1886" s="25"/>
      <c r="M1886" s="24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6"/>
      <c r="AB1886" s="26"/>
      <c r="AC1886" s="27"/>
    </row>
    <row r="1887" spans="1:29" x14ac:dyDescent="0.25">
      <c r="A1887" s="1"/>
      <c r="B1887" s="19"/>
      <c r="C1887" s="24"/>
      <c r="D1887" s="1"/>
      <c r="E1887" s="25"/>
      <c r="F1887" s="26"/>
      <c r="G1887" s="26"/>
      <c r="L1887" s="25"/>
      <c r="M1887" s="24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6"/>
      <c r="AB1887" s="26"/>
      <c r="AC1887" s="27"/>
    </row>
    <row r="1888" spans="1:29" x14ac:dyDescent="0.25">
      <c r="A1888" s="1"/>
      <c r="B1888" s="19"/>
      <c r="C1888" s="24"/>
      <c r="D1888" s="1"/>
      <c r="E1888" s="25"/>
      <c r="F1888" s="26"/>
      <c r="G1888" s="26"/>
      <c r="L1888" s="25"/>
      <c r="M1888" s="24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6"/>
      <c r="AB1888" s="26"/>
      <c r="AC1888" s="27"/>
    </row>
    <row r="1889" spans="1:29" x14ac:dyDescent="0.25">
      <c r="A1889" s="1"/>
      <c r="B1889" s="19"/>
      <c r="C1889" s="24"/>
      <c r="D1889" s="1"/>
      <c r="E1889" s="25"/>
      <c r="F1889" s="26"/>
      <c r="G1889" s="26"/>
      <c r="L1889" s="25"/>
      <c r="M1889" s="24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6"/>
      <c r="AB1889" s="26"/>
      <c r="AC1889" s="27"/>
    </row>
    <row r="1890" spans="1:29" x14ac:dyDescent="0.25">
      <c r="A1890" s="1"/>
      <c r="B1890" s="19"/>
      <c r="C1890" s="24"/>
      <c r="D1890" s="1"/>
      <c r="E1890" s="25"/>
      <c r="F1890" s="26"/>
      <c r="G1890" s="26"/>
      <c r="L1890" s="25"/>
      <c r="M1890" s="24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6"/>
      <c r="AB1890" s="26"/>
      <c r="AC1890" s="27"/>
    </row>
    <row r="1891" spans="1:29" x14ac:dyDescent="0.25">
      <c r="A1891" s="1"/>
      <c r="B1891" s="19"/>
      <c r="C1891" s="24"/>
      <c r="D1891" s="1"/>
      <c r="E1891" s="25"/>
      <c r="F1891" s="26"/>
      <c r="G1891" s="26"/>
      <c r="L1891" s="25"/>
      <c r="M1891" s="24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6"/>
      <c r="AB1891" s="26"/>
      <c r="AC1891" s="27"/>
    </row>
    <row r="1892" spans="1:29" x14ac:dyDescent="0.25">
      <c r="A1892" s="1"/>
      <c r="B1892" s="19"/>
      <c r="C1892" s="24"/>
      <c r="D1892" s="1"/>
      <c r="E1892" s="25"/>
      <c r="F1892" s="26"/>
      <c r="G1892" s="26"/>
      <c r="L1892" s="25"/>
      <c r="M1892" s="24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6"/>
      <c r="AB1892" s="26"/>
      <c r="AC1892" s="27"/>
    </row>
    <row r="1893" spans="1:29" x14ac:dyDescent="0.25">
      <c r="A1893" s="1"/>
      <c r="B1893" s="19"/>
      <c r="C1893" s="24"/>
      <c r="D1893" s="1"/>
      <c r="E1893" s="25"/>
      <c r="F1893" s="26"/>
      <c r="G1893" s="26"/>
      <c r="L1893" s="25"/>
      <c r="M1893" s="24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6"/>
      <c r="AB1893" s="26"/>
      <c r="AC1893" s="27"/>
    </row>
    <row r="1894" spans="1:29" x14ac:dyDescent="0.25">
      <c r="A1894" s="1"/>
      <c r="B1894" s="19"/>
      <c r="C1894" s="24"/>
      <c r="D1894" s="1"/>
      <c r="E1894" s="25"/>
      <c r="F1894" s="26"/>
      <c r="G1894" s="26"/>
      <c r="L1894" s="25"/>
      <c r="M1894" s="24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6"/>
      <c r="AB1894" s="26"/>
      <c r="AC1894" s="27"/>
    </row>
    <row r="1895" spans="1:29" x14ac:dyDescent="0.25">
      <c r="A1895" s="1"/>
      <c r="B1895" s="19"/>
      <c r="C1895" s="24"/>
      <c r="D1895" s="1"/>
      <c r="E1895" s="25"/>
      <c r="F1895" s="26"/>
      <c r="G1895" s="26"/>
      <c r="L1895" s="25"/>
      <c r="M1895" s="24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6"/>
      <c r="AB1895" s="26"/>
      <c r="AC1895" s="27"/>
    </row>
    <row r="1896" spans="1:29" x14ac:dyDescent="0.25">
      <c r="A1896" s="1"/>
      <c r="B1896" s="19"/>
      <c r="C1896" s="24"/>
      <c r="D1896" s="1"/>
      <c r="E1896" s="25"/>
      <c r="F1896" s="26"/>
      <c r="G1896" s="26"/>
      <c r="L1896" s="25"/>
      <c r="M1896" s="24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6"/>
      <c r="AB1896" s="26"/>
      <c r="AC1896" s="27"/>
    </row>
    <row r="1897" spans="1:29" x14ac:dyDescent="0.25">
      <c r="A1897" s="1"/>
      <c r="B1897" s="19"/>
      <c r="C1897" s="24"/>
      <c r="D1897" s="1"/>
      <c r="E1897" s="25"/>
      <c r="F1897" s="26"/>
      <c r="G1897" s="26"/>
      <c r="L1897" s="25"/>
      <c r="M1897" s="24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6"/>
      <c r="AB1897" s="26"/>
      <c r="AC1897" s="27"/>
    </row>
    <row r="1898" spans="1:29" x14ac:dyDescent="0.25">
      <c r="A1898" s="1"/>
      <c r="B1898" s="19"/>
      <c r="C1898" s="24"/>
      <c r="D1898" s="1"/>
      <c r="E1898" s="25"/>
      <c r="F1898" s="26"/>
      <c r="G1898" s="26"/>
      <c r="L1898" s="25"/>
      <c r="M1898" s="24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6"/>
      <c r="AB1898" s="26"/>
      <c r="AC1898" s="27"/>
    </row>
    <row r="1899" spans="1:29" x14ac:dyDescent="0.25">
      <c r="A1899" s="1"/>
      <c r="B1899" s="19"/>
      <c r="C1899" s="24"/>
      <c r="D1899" s="1"/>
      <c r="E1899" s="25"/>
      <c r="F1899" s="26"/>
      <c r="G1899" s="26"/>
      <c r="L1899" s="25"/>
      <c r="M1899" s="24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6"/>
      <c r="AB1899" s="26"/>
      <c r="AC1899" s="27"/>
    </row>
    <row r="1900" spans="1:29" x14ac:dyDescent="0.25">
      <c r="A1900" s="1"/>
      <c r="B1900" s="19"/>
      <c r="C1900" s="24"/>
      <c r="D1900" s="1"/>
      <c r="E1900" s="25"/>
      <c r="F1900" s="26"/>
      <c r="G1900" s="26"/>
      <c r="L1900" s="25"/>
      <c r="M1900" s="24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6"/>
      <c r="AB1900" s="26"/>
      <c r="AC1900" s="27"/>
    </row>
    <row r="1901" spans="1:29" x14ac:dyDescent="0.25">
      <c r="A1901" s="1"/>
      <c r="B1901" s="19"/>
      <c r="C1901" s="24"/>
      <c r="D1901" s="1"/>
      <c r="E1901" s="25"/>
      <c r="F1901" s="26"/>
      <c r="G1901" s="26"/>
      <c r="L1901" s="25"/>
      <c r="M1901" s="24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6"/>
      <c r="AB1901" s="26"/>
      <c r="AC1901" s="27"/>
    </row>
    <row r="1902" spans="1:29" x14ac:dyDescent="0.25">
      <c r="A1902" s="1"/>
      <c r="B1902" s="19"/>
      <c r="C1902" s="24"/>
      <c r="D1902" s="1"/>
      <c r="E1902" s="25"/>
      <c r="F1902" s="26"/>
      <c r="G1902" s="26"/>
      <c r="L1902" s="25"/>
      <c r="M1902" s="24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6"/>
      <c r="AB1902" s="26"/>
      <c r="AC1902" s="27"/>
    </row>
    <row r="1903" spans="1:29" x14ac:dyDescent="0.25">
      <c r="A1903" s="1"/>
      <c r="B1903" s="19"/>
      <c r="C1903" s="24"/>
      <c r="D1903" s="1"/>
      <c r="E1903" s="25"/>
      <c r="F1903" s="26"/>
      <c r="G1903" s="26"/>
      <c r="L1903" s="25"/>
      <c r="M1903" s="24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6"/>
      <c r="AB1903" s="26"/>
      <c r="AC1903" s="27"/>
    </row>
    <row r="1904" spans="1:29" x14ac:dyDescent="0.25">
      <c r="A1904" s="1"/>
      <c r="B1904" s="19"/>
      <c r="C1904" s="24"/>
      <c r="D1904" s="1"/>
      <c r="E1904" s="25"/>
      <c r="F1904" s="26"/>
      <c r="G1904" s="26"/>
      <c r="L1904" s="25"/>
      <c r="M1904" s="24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6"/>
      <c r="AB1904" s="26"/>
      <c r="AC1904" s="27"/>
    </row>
    <row r="1905" spans="1:29" x14ac:dyDescent="0.25">
      <c r="A1905" s="1"/>
      <c r="B1905" s="19"/>
      <c r="C1905" s="24"/>
      <c r="D1905" s="1"/>
      <c r="E1905" s="25"/>
      <c r="F1905" s="26"/>
      <c r="G1905" s="26"/>
      <c r="L1905" s="25"/>
      <c r="M1905" s="24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6"/>
      <c r="AB1905" s="26"/>
      <c r="AC1905" s="27"/>
    </row>
    <row r="1906" spans="1:29" x14ac:dyDescent="0.25">
      <c r="A1906" s="1"/>
      <c r="B1906" s="19"/>
      <c r="C1906" s="24"/>
      <c r="D1906" s="1"/>
      <c r="E1906" s="25"/>
      <c r="F1906" s="26"/>
      <c r="G1906" s="26"/>
      <c r="L1906" s="25"/>
      <c r="M1906" s="24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6"/>
      <c r="AB1906" s="26"/>
      <c r="AC1906" s="27"/>
    </row>
    <row r="1907" spans="1:29" x14ac:dyDescent="0.25">
      <c r="A1907" s="1"/>
      <c r="B1907" s="19"/>
      <c r="C1907" s="24"/>
      <c r="D1907" s="1"/>
      <c r="E1907" s="25"/>
      <c r="F1907" s="26"/>
      <c r="G1907" s="26"/>
      <c r="L1907" s="25"/>
      <c r="M1907" s="24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6"/>
      <c r="AB1907" s="26"/>
      <c r="AC1907" s="27"/>
    </row>
    <row r="1908" spans="1:29" x14ac:dyDescent="0.25">
      <c r="A1908" s="1"/>
      <c r="B1908" s="19"/>
      <c r="C1908" s="24"/>
      <c r="D1908" s="1"/>
      <c r="E1908" s="25"/>
      <c r="F1908" s="26"/>
      <c r="G1908" s="26"/>
      <c r="L1908" s="25"/>
      <c r="M1908" s="24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6"/>
      <c r="AB1908" s="26"/>
      <c r="AC1908" s="27"/>
    </row>
    <row r="1909" spans="1:29" x14ac:dyDescent="0.25">
      <c r="A1909" s="1"/>
      <c r="B1909" s="19"/>
      <c r="C1909" s="24"/>
      <c r="D1909" s="1"/>
      <c r="E1909" s="25"/>
      <c r="F1909" s="26"/>
      <c r="G1909" s="26"/>
      <c r="L1909" s="25"/>
      <c r="M1909" s="24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6"/>
      <c r="AB1909" s="26"/>
      <c r="AC1909" s="27"/>
    </row>
    <row r="1910" spans="1:29" x14ac:dyDescent="0.25">
      <c r="A1910" s="1"/>
      <c r="B1910" s="19"/>
      <c r="C1910" s="24"/>
      <c r="D1910" s="1"/>
      <c r="E1910" s="25"/>
      <c r="F1910" s="26"/>
      <c r="G1910" s="26"/>
      <c r="L1910" s="25"/>
      <c r="M1910" s="24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6"/>
      <c r="AB1910" s="26"/>
      <c r="AC1910" s="27"/>
    </row>
    <row r="1911" spans="1:29" x14ac:dyDescent="0.25">
      <c r="A1911" s="1"/>
      <c r="B1911" s="19"/>
      <c r="C1911" s="24"/>
      <c r="D1911" s="1"/>
      <c r="E1911" s="25"/>
      <c r="F1911" s="26"/>
      <c r="G1911" s="26"/>
      <c r="L1911" s="25"/>
      <c r="M1911" s="24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6"/>
      <c r="AB1911" s="26"/>
      <c r="AC1911" s="27"/>
    </row>
    <row r="1912" spans="1:29" x14ac:dyDescent="0.25">
      <c r="A1912" s="1"/>
      <c r="B1912" s="19"/>
      <c r="C1912" s="24"/>
      <c r="D1912" s="1"/>
      <c r="E1912" s="25"/>
      <c r="F1912" s="26"/>
      <c r="G1912" s="26"/>
      <c r="L1912" s="25"/>
      <c r="M1912" s="24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6"/>
      <c r="AB1912" s="26"/>
      <c r="AC1912" s="27"/>
    </row>
    <row r="1913" spans="1:29" x14ac:dyDescent="0.25">
      <c r="A1913" s="1"/>
      <c r="B1913" s="19"/>
      <c r="C1913" s="24"/>
      <c r="D1913" s="1"/>
      <c r="E1913" s="25"/>
      <c r="F1913" s="26"/>
      <c r="G1913" s="26"/>
      <c r="L1913" s="25"/>
      <c r="M1913" s="24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6"/>
      <c r="AB1913" s="26"/>
      <c r="AC1913" s="27"/>
    </row>
    <row r="1914" spans="1:29" x14ac:dyDescent="0.25">
      <c r="A1914" s="1"/>
      <c r="B1914" s="19"/>
      <c r="C1914" s="24"/>
      <c r="D1914" s="1"/>
      <c r="E1914" s="25"/>
      <c r="F1914" s="26"/>
      <c r="G1914" s="26"/>
      <c r="L1914" s="25"/>
      <c r="M1914" s="24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6"/>
      <c r="AB1914" s="26"/>
      <c r="AC1914" s="27"/>
    </row>
    <row r="1915" spans="1:29" x14ac:dyDescent="0.25">
      <c r="A1915" s="1"/>
      <c r="B1915" s="19"/>
      <c r="C1915" s="24"/>
      <c r="D1915" s="1"/>
      <c r="E1915" s="25"/>
      <c r="F1915" s="26"/>
      <c r="G1915" s="26"/>
      <c r="L1915" s="25"/>
      <c r="M1915" s="24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6"/>
      <c r="AB1915" s="26"/>
      <c r="AC1915" s="27"/>
    </row>
    <row r="1916" spans="1:29" x14ac:dyDescent="0.25">
      <c r="A1916" s="1"/>
      <c r="B1916" s="19"/>
      <c r="C1916" s="24"/>
      <c r="D1916" s="1"/>
      <c r="E1916" s="25"/>
      <c r="F1916" s="26"/>
      <c r="G1916" s="26"/>
      <c r="L1916" s="25"/>
      <c r="M1916" s="24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6"/>
      <c r="AB1916" s="26"/>
      <c r="AC1916" s="27"/>
    </row>
    <row r="1917" spans="1:29" x14ac:dyDescent="0.25">
      <c r="A1917" s="1"/>
      <c r="B1917" s="19"/>
      <c r="C1917" s="24"/>
      <c r="D1917" s="1"/>
      <c r="E1917" s="25"/>
      <c r="F1917" s="26"/>
      <c r="G1917" s="26"/>
      <c r="L1917" s="25"/>
      <c r="M1917" s="24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6"/>
      <c r="AB1917" s="26"/>
      <c r="AC1917" s="27"/>
    </row>
    <row r="1918" spans="1:29" x14ac:dyDescent="0.25">
      <c r="A1918" s="1"/>
      <c r="B1918" s="19"/>
      <c r="C1918" s="24"/>
      <c r="D1918" s="1"/>
      <c r="E1918" s="25"/>
      <c r="F1918" s="26"/>
      <c r="G1918" s="26"/>
      <c r="L1918" s="25"/>
      <c r="M1918" s="24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6"/>
      <c r="AB1918" s="26"/>
      <c r="AC1918" s="27"/>
    </row>
    <row r="1919" spans="1:29" x14ac:dyDescent="0.25">
      <c r="A1919" s="1"/>
      <c r="B1919" s="19"/>
      <c r="C1919" s="24"/>
      <c r="D1919" s="1"/>
      <c r="E1919" s="25"/>
      <c r="F1919" s="26"/>
      <c r="G1919" s="26"/>
      <c r="L1919" s="25"/>
      <c r="M1919" s="24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6"/>
      <c r="AB1919" s="26"/>
      <c r="AC1919" s="27"/>
    </row>
    <row r="1920" spans="1:29" x14ac:dyDescent="0.25">
      <c r="A1920" s="1"/>
      <c r="B1920" s="19"/>
      <c r="C1920" s="24"/>
      <c r="D1920" s="1"/>
      <c r="E1920" s="25"/>
      <c r="F1920" s="26"/>
      <c r="G1920" s="26"/>
      <c r="L1920" s="25"/>
      <c r="M1920" s="24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6"/>
      <c r="AB1920" s="26"/>
      <c r="AC1920" s="27"/>
    </row>
    <row r="1921" spans="1:29" x14ac:dyDescent="0.25">
      <c r="A1921" s="1"/>
      <c r="B1921" s="19"/>
      <c r="C1921" s="24"/>
      <c r="D1921" s="1"/>
      <c r="E1921" s="25"/>
      <c r="F1921" s="26"/>
      <c r="G1921" s="26"/>
      <c r="L1921" s="25"/>
      <c r="M1921" s="24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6"/>
      <c r="AB1921" s="26"/>
      <c r="AC1921" s="27"/>
    </row>
    <row r="1922" spans="1:29" x14ac:dyDescent="0.25">
      <c r="A1922" s="1"/>
      <c r="B1922" s="19"/>
      <c r="C1922" s="24"/>
      <c r="D1922" s="1"/>
      <c r="E1922" s="25"/>
      <c r="F1922" s="26"/>
      <c r="G1922" s="26"/>
      <c r="L1922" s="25"/>
      <c r="M1922" s="24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6"/>
      <c r="AB1922" s="26"/>
      <c r="AC1922" s="27"/>
    </row>
    <row r="1923" spans="1:29" x14ac:dyDescent="0.25">
      <c r="A1923" s="1"/>
      <c r="B1923" s="19"/>
      <c r="C1923" s="24"/>
      <c r="D1923" s="1"/>
      <c r="E1923" s="25"/>
      <c r="F1923" s="26"/>
      <c r="G1923" s="26"/>
      <c r="L1923" s="25"/>
      <c r="M1923" s="24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6"/>
      <c r="AB1923" s="26"/>
      <c r="AC1923" s="27"/>
    </row>
    <row r="1924" spans="1:29" x14ac:dyDescent="0.25">
      <c r="A1924" s="1"/>
      <c r="B1924" s="19"/>
      <c r="C1924" s="24"/>
      <c r="D1924" s="1"/>
      <c r="E1924" s="25"/>
      <c r="F1924" s="26"/>
      <c r="G1924" s="26"/>
      <c r="L1924" s="25"/>
      <c r="M1924" s="24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6"/>
      <c r="AB1924" s="26"/>
      <c r="AC1924" s="27"/>
    </row>
    <row r="1925" spans="1:29" x14ac:dyDescent="0.25">
      <c r="A1925" s="1"/>
      <c r="B1925" s="19"/>
      <c r="C1925" s="24"/>
      <c r="D1925" s="1"/>
      <c r="E1925" s="25"/>
      <c r="F1925" s="26"/>
      <c r="G1925" s="26"/>
      <c r="L1925" s="25"/>
      <c r="M1925" s="24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6"/>
      <c r="AB1925" s="26"/>
      <c r="AC1925" s="27"/>
    </row>
    <row r="1926" spans="1:29" x14ac:dyDescent="0.25">
      <c r="A1926" s="1"/>
      <c r="B1926" s="19"/>
      <c r="C1926" s="24"/>
      <c r="D1926" s="1"/>
      <c r="E1926" s="25"/>
      <c r="F1926" s="26"/>
      <c r="G1926" s="26"/>
      <c r="L1926" s="25"/>
      <c r="M1926" s="24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6"/>
      <c r="AB1926" s="26"/>
      <c r="AC1926" s="27"/>
    </row>
    <row r="1927" spans="1:29" x14ac:dyDescent="0.25">
      <c r="A1927" s="1"/>
      <c r="B1927" s="19"/>
      <c r="C1927" s="24"/>
      <c r="D1927" s="1"/>
      <c r="E1927" s="25"/>
      <c r="F1927" s="26"/>
      <c r="G1927" s="26"/>
      <c r="L1927" s="25"/>
      <c r="M1927" s="24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6"/>
      <c r="AB1927" s="26"/>
      <c r="AC1927" s="27"/>
    </row>
    <row r="1928" spans="1:29" x14ac:dyDescent="0.25">
      <c r="A1928" s="1"/>
      <c r="B1928" s="19"/>
      <c r="C1928" s="24"/>
      <c r="D1928" s="1"/>
      <c r="E1928" s="25"/>
      <c r="F1928" s="26"/>
      <c r="G1928" s="26"/>
      <c r="L1928" s="25"/>
      <c r="M1928" s="24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6"/>
      <c r="AB1928" s="26"/>
      <c r="AC1928" s="27"/>
    </row>
    <row r="1929" spans="1:29" x14ac:dyDescent="0.25">
      <c r="A1929" s="1"/>
      <c r="B1929" s="19"/>
      <c r="C1929" s="24"/>
      <c r="D1929" s="1"/>
      <c r="E1929" s="25"/>
      <c r="F1929" s="26"/>
      <c r="G1929" s="26"/>
      <c r="L1929" s="25"/>
      <c r="M1929" s="24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6"/>
      <c r="AB1929" s="26"/>
      <c r="AC1929" s="27"/>
    </row>
    <row r="1930" spans="1:29" x14ac:dyDescent="0.25">
      <c r="A1930" s="1"/>
      <c r="B1930" s="19"/>
      <c r="C1930" s="24"/>
      <c r="D1930" s="1"/>
      <c r="E1930" s="25"/>
      <c r="F1930" s="26"/>
      <c r="G1930" s="26"/>
      <c r="L1930" s="25"/>
      <c r="M1930" s="24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6"/>
      <c r="AB1930" s="26"/>
      <c r="AC1930" s="27"/>
    </row>
    <row r="1931" spans="1:29" x14ac:dyDescent="0.25">
      <c r="A1931" s="1"/>
      <c r="B1931" s="19"/>
      <c r="C1931" s="24"/>
      <c r="D1931" s="1"/>
      <c r="E1931" s="25"/>
      <c r="F1931" s="26"/>
      <c r="G1931" s="26"/>
      <c r="L1931" s="25"/>
      <c r="M1931" s="24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6"/>
      <c r="AB1931" s="26"/>
      <c r="AC1931" s="27"/>
    </row>
    <row r="1932" spans="1:29" x14ac:dyDescent="0.25">
      <c r="A1932" s="1"/>
      <c r="B1932" s="19"/>
      <c r="C1932" s="24"/>
      <c r="D1932" s="1"/>
      <c r="E1932" s="25"/>
      <c r="F1932" s="26"/>
      <c r="G1932" s="26"/>
      <c r="L1932" s="25"/>
      <c r="M1932" s="24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6"/>
      <c r="AB1932" s="26"/>
      <c r="AC1932" s="27"/>
    </row>
    <row r="1933" spans="1:29" x14ac:dyDescent="0.25">
      <c r="A1933" s="1"/>
      <c r="B1933" s="19"/>
      <c r="C1933" s="24"/>
      <c r="D1933" s="1"/>
      <c r="E1933" s="25"/>
      <c r="F1933" s="26"/>
      <c r="G1933" s="26"/>
      <c r="L1933" s="25"/>
      <c r="M1933" s="24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6"/>
      <c r="AB1933" s="26"/>
      <c r="AC1933" s="27"/>
    </row>
    <row r="1934" spans="1:29" x14ac:dyDescent="0.25">
      <c r="A1934" s="1"/>
      <c r="B1934" s="19"/>
      <c r="C1934" s="24"/>
      <c r="D1934" s="1"/>
      <c r="E1934" s="25"/>
      <c r="F1934" s="26"/>
      <c r="G1934" s="26"/>
      <c r="L1934" s="25"/>
      <c r="M1934" s="24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6"/>
      <c r="AB1934" s="26"/>
      <c r="AC1934" s="27"/>
    </row>
    <row r="1935" spans="1:29" x14ac:dyDescent="0.25">
      <c r="A1935" s="1"/>
      <c r="B1935" s="19"/>
      <c r="C1935" s="24"/>
      <c r="D1935" s="1"/>
      <c r="E1935" s="25"/>
      <c r="F1935" s="26"/>
      <c r="G1935" s="26"/>
      <c r="L1935" s="25"/>
      <c r="M1935" s="24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6"/>
      <c r="AB1935" s="26"/>
      <c r="AC1935" s="27"/>
    </row>
    <row r="1936" spans="1:29" x14ac:dyDescent="0.25">
      <c r="A1936" s="1"/>
      <c r="B1936" s="19"/>
      <c r="C1936" s="24"/>
      <c r="D1936" s="1"/>
      <c r="E1936" s="25"/>
      <c r="F1936" s="26"/>
      <c r="G1936" s="26"/>
      <c r="L1936" s="25"/>
      <c r="M1936" s="24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6"/>
      <c r="AB1936" s="26"/>
      <c r="AC1936" s="27"/>
    </row>
    <row r="1937" spans="1:29" x14ac:dyDescent="0.25">
      <c r="A1937" s="1"/>
      <c r="B1937" s="19"/>
      <c r="C1937" s="24"/>
      <c r="D1937" s="1"/>
      <c r="E1937" s="25"/>
      <c r="F1937" s="26"/>
      <c r="G1937" s="26"/>
      <c r="L1937" s="25"/>
      <c r="M1937" s="24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6"/>
      <c r="AB1937" s="26"/>
      <c r="AC1937" s="27"/>
    </row>
    <row r="1938" spans="1:29" x14ac:dyDescent="0.25">
      <c r="A1938" s="1"/>
      <c r="B1938" s="19"/>
      <c r="C1938" s="24"/>
      <c r="D1938" s="1"/>
      <c r="E1938" s="25"/>
      <c r="F1938" s="26"/>
      <c r="G1938" s="26"/>
      <c r="L1938" s="25"/>
      <c r="M1938" s="24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6"/>
      <c r="AB1938" s="26"/>
      <c r="AC1938" s="27"/>
    </row>
    <row r="1939" spans="1:29" x14ac:dyDescent="0.25">
      <c r="A1939" s="1"/>
      <c r="B1939" s="19"/>
      <c r="C1939" s="24"/>
      <c r="D1939" s="1"/>
      <c r="E1939" s="25"/>
      <c r="F1939" s="26"/>
      <c r="G1939" s="26"/>
      <c r="L1939" s="25"/>
      <c r="M1939" s="24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6"/>
      <c r="AB1939" s="26"/>
      <c r="AC1939" s="27"/>
    </row>
    <row r="1940" spans="1:29" x14ac:dyDescent="0.25">
      <c r="A1940" s="1"/>
      <c r="B1940" s="19"/>
      <c r="C1940" s="24"/>
      <c r="D1940" s="1"/>
      <c r="E1940" s="25"/>
      <c r="F1940" s="26"/>
      <c r="G1940" s="26"/>
      <c r="L1940" s="25"/>
      <c r="M1940" s="24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6"/>
      <c r="AB1940" s="26"/>
      <c r="AC1940" s="27"/>
    </row>
    <row r="1941" spans="1:29" x14ac:dyDescent="0.25">
      <c r="A1941" s="1"/>
      <c r="B1941" s="19"/>
      <c r="C1941" s="24"/>
      <c r="D1941" s="1"/>
      <c r="E1941" s="25"/>
      <c r="F1941" s="26"/>
      <c r="G1941" s="26"/>
      <c r="L1941" s="25"/>
      <c r="M1941" s="24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6"/>
      <c r="AB1941" s="26"/>
      <c r="AC1941" s="27"/>
    </row>
    <row r="1942" spans="1:29" x14ac:dyDescent="0.25">
      <c r="A1942" s="1"/>
      <c r="B1942" s="19"/>
      <c r="C1942" s="24"/>
      <c r="D1942" s="1"/>
      <c r="E1942" s="25"/>
      <c r="F1942" s="26"/>
      <c r="G1942" s="26"/>
      <c r="L1942" s="25"/>
      <c r="M1942" s="24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6"/>
      <c r="AB1942" s="26"/>
      <c r="AC1942" s="27"/>
    </row>
    <row r="1943" spans="1:29" x14ac:dyDescent="0.25">
      <c r="A1943" s="1"/>
      <c r="B1943" s="19"/>
      <c r="C1943" s="24"/>
      <c r="D1943" s="1"/>
      <c r="E1943" s="25"/>
      <c r="F1943" s="26"/>
      <c r="G1943" s="26"/>
      <c r="L1943" s="25"/>
      <c r="M1943" s="24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6"/>
      <c r="AB1943" s="26"/>
      <c r="AC1943" s="27"/>
    </row>
    <row r="1944" spans="1:29" x14ac:dyDescent="0.25">
      <c r="A1944" s="1"/>
      <c r="B1944" s="19"/>
      <c r="C1944" s="24"/>
      <c r="D1944" s="1"/>
      <c r="E1944" s="25"/>
      <c r="F1944" s="26"/>
      <c r="G1944" s="26"/>
      <c r="L1944" s="25"/>
      <c r="M1944" s="24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6"/>
      <c r="AB1944" s="26"/>
      <c r="AC1944" s="27"/>
    </row>
    <row r="1945" spans="1:29" x14ac:dyDescent="0.25">
      <c r="A1945" s="1"/>
      <c r="B1945" s="19"/>
      <c r="C1945" s="24"/>
      <c r="D1945" s="1"/>
      <c r="E1945" s="25"/>
      <c r="F1945" s="26"/>
      <c r="G1945" s="26"/>
      <c r="L1945" s="25"/>
      <c r="M1945" s="24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6"/>
      <c r="AB1945" s="26"/>
      <c r="AC1945" s="27"/>
    </row>
    <row r="1946" spans="1:29" x14ac:dyDescent="0.25">
      <c r="A1946" s="1"/>
      <c r="B1946" s="19"/>
      <c r="C1946" s="24"/>
      <c r="D1946" s="1"/>
      <c r="E1946" s="25"/>
      <c r="F1946" s="26"/>
      <c r="G1946" s="26"/>
      <c r="L1946" s="25"/>
      <c r="M1946" s="24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6"/>
      <c r="AB1946" s="26"/>
      <c r="AC1946" s="27"/>
    </row>
    <row r="1947" spans="1:29" x14ac:dyDescent="0.25">
      <c r="A1947" s="1"/>
      <c r="B1947" s="19"/>
      <c r="C1947" s="24"/>
      <c r="D1947" s="1"/>
      <c r="E1947" s="25"/>
      <c r="F1947" s="26"/>
      <c r="G1947" s="26"/>
      <c r="L1947" s="25"/>
      <c r="M1947" s="24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6"/>
      <c r="AB1947" s="26"/>
      <c r="AC1947" s="27"/>
    </row>
    <row r="1948" spans="1:29" x14ac:dyDescent="0.25">
      <c r="A1948" s="1"/>
      <c r="B1948" s="19"/>
      <c r="C1948" s="24"/>
      <c r="D1948" s="1"/>
      <c r="E1948" s="25"/>
      <c r="F1948" s="26"/>
      <c r="G1948" s="26"/>
      <c r="L1948" s="25"/>
      <c r="M1948" s="24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6"/>
      <c r="AB1948" s="26"/>
      <c r="AC1948" s="27"/>
    </row>
    <row r="1949" spans="1:29" x14ac:dyDescent="0.25">
      <c r="A1949" s="1"/>
      <c r="B1949" s="19"/>
      <c r="C1949" s="24"/>
      <c r="D1949" s="1"/>
      <c r="E1949" s="25"/>
      <c r="F1949" s="26"/>
      <c r="G1949" s="26"/>
      <c r="L1949" s="25"/>
      <c r="M1949" s="24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6"/>
      <c r="AB1949" s="26"/>
      <c r="AC1949" s="27"/>
    </row>
    <row r="1950" spans="1:29" x14ac:dyDescent="0.25">
      <c r="A1950" s="1"/>
      <c r="B1950" s="19"/>
      <c r="C1950" s="24"/>
      <c r="D1950" s="1"/>
      <c r="E1950" s="25"/>
      <c r="F1950" s="26"/>
      <c r="G1950" s="26"/>
      <c r="L1950" s="25"/>
      <c r="M1950" s="24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6"/>
      <c r="AB1950" s="26"/>
      <c r="AC1950" s="27"/>
    </row>
    <row r="1951" spans="1:29" x14ac:dyDescent="0.25">
      <c r="A1951" s="1"/>
      <c r="B1951" s="19"/>
      <c r="C1951" s="24"/>
      <c r="D1951" s="1"/>
      <c r="E1951" s="25"/>
      <c r="F1951" s="26"/>
      <c r="G1951" s="26"/>
      <c r="L1951" s="25"/>
      <c r="M1951" s="24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6"/>
      <c r="AB1951" s="26"/>
      <c r="AC1951" s="27"/>
    </row>
    <row r="1952" spans="1:29" x14ac:dyDescent="0.25">
      <c r="A1952" s="1"/>
      <c r="B1952" s="19"/>
      <c r="C1952" s="24"/>
      <c r="D1952" s="1"/>
      <c r="E1952" s="25"/>
      <c r="F1952" s="26"/>
      <c r="G1952" s="26"/>
      <c r="L1952" s="25"/>
      <c r="M1952" s="24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6"/>
      <c r="AB1952" s="26"/>
      <c r="AC1952" s="27"/>
    </row>
    <row r="1953" spans="1:29" x14ac:dyDescent="0.25">
      <c r="A1953" s="1"/>
      <c r="B1953" s="19"/>
      <c r="C1953" s="24"/>
      <c r="D1953" s="1"/>
      <c r="E1953" s="25"/>
      <c r="F1953" s="26"/>
      <c r="G1953" s="26"/>
      <c r="L1953" s="25"/>
      <c r="M1953" s="24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6"/>
      <c r="AB1953" s="26"/>
      <c r="AC1953" s="27"/>
    </row>
    <row r="1954" spans="1:29" x14ac:dyDescent="0.25">
      <c r="A1954" s="1"/>
      <c r="B1954" s="19"/>
      <c r="C1954" s="24"/>
      <c r="D1954" s="1"/>
      <c r="E1954" s="25"/>
      <c r="F1954" s="26"/>
      <c r="G1954" s="26"/>
      <c r="L1954" s="25"/>
      <c r="M1954" s="24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6"/>
      <c r="AB1954" s="26"/>
      <c r="AC1954" s="27"/>
    </row>
    <row r="1955" spans="1:29" x14ac:dyDescent="0.25">
      <c r="A1955" s="1"/>
      <c r="B1955" s="19"/>
      <c r="C1955" s="24"/>
      <c r="D1955" s="1"/>
      <c r="E1955" s="25"/>
      <c r="F1955" s="26"/>
      <c r="G1955" s="26"/>
      <c r="L1955" s="25"/>
      <c r="M1955" s="24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6"/>
      <c r="AB1955" s="26"/>
      <c r="AC1955" s="27"/>
    </row>
    <row r="1956" spans="1:29" x14ac:dyDescent="0.25">
      <c r="A1956" s="1"/>
      <c r="B1956" s="19"/>
      <c r="C1956" s="24"/>
      <c r="D1956" s="1"/>
      <c r="E1956" s="25"/>
      <c r="F1956" s="26"/>
      <c r="G1956" s="26"/>
      <c r="L1956" s="25"/>
      <c r="M1956" s="24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6"/>
      <c r="AB1956" s="26"/>
      <c r="AC1956" s="27"/>
    </row>
    <row r="1957" spans="1:29" x14ac:dyDescent="0.25">
      <c r="A1957" s="1"/>
      <c r="B1957" s="19"/>
      <c r="C1957" s="24"/>
      <c r="D1957" s="1"/>
      <c r="E1957" s="25"/>
      <c r="F1957" s="26"/>
      <c r="G1957" s="26"/>
      <c r="L1957" s="25"/>
      <c r="M1957" s="24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6"/>
      <c r="AB1957" s="26"/>
      <c r="AC1957" s="27"/>
    </row>
    <row r="1958" spans="1:29" x14ac:dyDescent="0.25">
      <c r="A1958" s="1"/>
      <c r="B1958" s="19"/>
      <c r="C1958" s="24"/>
      <c r="D1958" s="1"/>
      <c r="E1958" s="25"/>
      <c r="F1958" s="26"/>
      <c r="G1958" s="26"/>
      <c r="L1958" s="25"/>
      <c r="M1958" s="24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6"/>
      <c r="AB1958" s="26"/>
      <c r="AC1958" s="27"/>
    </row>
    <row r="1959" spans="1:29" x14ac:dyDescent="0.25">
      <c r="A1959" s="1"/>
      <c r="B1959" s="19"/>
      <c r="C1959" s="24"/>
      <c r="D1959" s="1"/>
      <c r="E1959" s="25"/>
      <c r="F1959" s="26"/>
      <c r="G1959" s="26"/>
      <c r="L1959" s="25"/>
      <c r="M1959" s="24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6"/>
      <c r="AB1959" s="26"/>
      <c r="AC1959" s="27"/>
    </row>
    <row r="1960" spans="1:29" x14ac:dyDescent="0.25">
      <c r="A1960" s="1"/>
      <c r="B1960" s="19"/>
      <c r="C1960" s="24"/>
      <c r="D1960" s="1"/>
      <c r="E1960" s="25"/>
      <c r="F1960" s="26"/>
      <c r="G1960" s="26"/>
      <c r="L1960" s="25"/>
      <c r="M1960" s="24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6"/>
      <c r="AB1960" s="26"/>
      <c r="AC1960" s="27"/>
    </row>
    <row r="1961" spans="1:29" x14ac:dyDescent="0.25">
      <c r="A1961" s="1"/>
      <c r="B1961" s="19"/>
      <c r="C1961" s="24"/>
      <c r="D1961" s="1"/>
      <c r="E1961" s="25"/>
      <c r="F1961" s="26"/>
      <c r="G1961" s="26"/>
      <c r="L1961" s="25"/>
      <c r="M1961" s="24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6"/>
      <c r="AB1961" s="26"/>
      <c r="AC1961" s="27"/>
    </row>
    <row r="1962" spans="1:29" x14ac:dyDescent="0.25">
      <c r="A1962" s="1"/>
      <c r="B1962" s="19"/>
      <c r="C1962" s="24"/>
      <c r="D1962" s="1"/>
      <c r="E1962" s="25"/>
      <c r="F1962" s="26"/>
      <c r="G1962" s="26"/>
      <c r="L1962" s="25"/>
      <c r="M1962" s="24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6"/>
      <c r="AB1962" s="26"/>
      <c r="AC1962" s="27"/>
    </row>
    <row r="1963" spans="1:29" x14ac:dyDescent="0.25">
      <c r="A1963" s="1"/>
      <c r="B1963" s="19"/>
      <c r="C1963" s="24"/>
      <c r="D1963" s="1"/>
      <c r="E1963" s="25"/>
      <c r="F1963" s="26"/>
      <c r="G1963" s="26"/>
      <c r="L1963" s="25"/>
      <c r="M1963" s="24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6"/>
      <c r="AB1963" s="26"/>
      <c r="AC1963" s="27"/>
    </row>
    <row r="1964" spans="1:29" x14ac:dyDescent="0.25">
      <c r="A1964" s="1"/>
      <c r="B1964" s="19"/>
      <c r="C1964" s="24"/>
      <c r="D1964" s="1"/>
      <c r="E1964" s="25"/>
      <c r="F1964" s="26"/>
      <c r="G1964" s="26"/>
      <c r="L1964" s="25"/>
      <c r="M1964" s="24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6"/>
      <c r="AB1964" s="26"/>
      <c r="AC1964" s="27"/>
    </row>
    <row r="1965" spans="1:29" x14ac:dyDescent="0.25">
      <c r="A1965" s="1"/>
      <c r="B1965" s="19"/>
      <c r="C1965" s="24"/>
      <c r="D1965" s="1"/>
      <c r="E1965" s="25"/>
      <c r="F1965" s="26"/>
      <c r="G1965" s="26"/>
      <c r="L1965" s="25"/>
      <c r="M1965" s="24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6"/>
      <c r="AB1965" s="26"/>
      <c r="AC1965" s="27"/>
    </row>
    <row r="1966" spans="1:29" x14ac:dyDescent="0.25">
      <c r="A1966" s="1"/>
      <c r="B1966" s="19"/>
      <c r="C1966" s="24"/>
      <c r="D1966" s="1"/>
      <c r="E1966" s="25"/>
      <c r="F1966" s="26"/>
      <c r="G1966" s="26"/>
      <c r="L1966" s="25"/>
      <c r="M1966" s="24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6"/>
      <c r="AB1966" s="26"/>
      <c r="AC1966" s="27"/>
    </row>
    <row r="1967" spans="1:29" x14ac:dyDescent="0.25">
      <c r="A1967" s="1"/>
      <c r="B1967" s="19"/>
      <c r="C1967" s="24"/>
      <c r="D1967" s="1"/>
      <c r="E1967" s="25"/>
      <c r="F1967" s="26"/>
      <c r="G1967" s="26"/>
      <c r="L1967" s="25"/>
      <c r="M1967" s="24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6"/>
      <c r="AB1967" s="26"/>
      <c r="AC1967" s="27"/>
    </row>
    <row r="1968" spans="1:29" x14ac:dyDescent="0.25">
      <c r="A1968" s="1"/>
      <c r="B1968" s="19"/>
      <c r="C1968" s="24"/>
      <c r="D1968" s="1"/>
      <c r="E1968" s="25"/>
      <c r="F1968" s="26"/>
      <c r="G1968" s="26"/>
      <c r="L1968" s="25"/>
      <c r="M1968" s="24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6"/>
      <c r="AB1968" s="26"/>
      <c r="AC1968" s="27"/>
    </row>
    <row r="1969" spans="1:29" x14ac:dyDescent="0.25">
      <c r="A1969" s="1"/>
      <c r="B1969" s="19"/>
      <c r="C1969" s="24"/>
      <c r="D1969" s="1"/>
      <c r="E1969" s="25"/>
      <c r="F1969" s="26"/>
      <c r="G1969" s="26"/>
      <c r="L1969" s="25"/>
      <c r="M1969" s="24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6"/>
      <c r="AB1969" s="26"/>
      <c r="AC1969" s="27"/>
    </row>
    <row r="1970" spans="1:29" x14ac:dyDescent="0.25">
      <c r="A1970" s="1"/>
      <c r="B1970" s="19"/>
      <c r="C1970" s="24"/>
      <c r="D1970" s="1"/>
      <c r="E1970" s="25"/>
      <c r="F1970" s="26"/>
      <c r="G1970" s="26"/>
      <c r="L1970" s="25"/>
      <c r="M1970" s="24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6"/>
      <c r="AB1970" s="26"/>
      <c r="AC1970" s="27"/>
    </row>
    <row r="1971" spans="1:29" x14ac:dyDescent="0.25">
      <c r="A1971" s="1"/>
      <c r="B1971" s="19"/>
      <c r="C1971" s="24"/>
      <c r="D1971" s="1"/>
      <c r="E1971" s="25"/>
      <c r="F1971" s="26"/>
      <c r="G1971" s="26"/>
      <c r="L1971" s="25"/>
      <c r="M1971" s="24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6"/>
      <c r="AB1971" s="26"/>
      <c r="AC1971" s="27"/>
    </row>
    <row r="1972" spans="1:29" x14ac:dyDescent="0.25">
      <c r="A1972" s="1"/>
      <c r="B1972" s="19"/>
      <c r="C1972" s="24"/>
      <c r="D1972" s="1"/>
      <c r="E1972" s="25"/>
      <c r="F1972" s="26"/>
      <c r="G1972" s="26"/>
      <c r="L1972" s="25"/>
      <c r="M1972" s="24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6"/>
      <c r="AB1972" s="26"/>
      <c r="AC1972" s="27"/>
    </row>
    <row r="1973" spans="1:29" x14ac:dyDescent="0.25">
      <c r="A1973" s="1"/>
      <c r="B1973" s="19"/>
      <c r="C1973" s="24"/>
      <c r="D1973" s="1"/>
      <c r="E1973" s="25"/>
      <c r="F1973" s="26"/>
      <c r="G1973" s="26"/>
      <c r="L1973" s="25"/>
      <c r="M1973" s="24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6"/>
      <c r="AB1973" s="26"/>
      <c r="AC1973" s="27"/>
    </row>
    <row r="1974" spans="1:29" x14ac:dyDescent="0.25">
      <c r="A1974" s="1"/>
      <c r="B1974" s="19"/>
      <c r="C1974" s="24"/>
      <c r="D1974" s="1"/>
      <c r="E1974" s="25"/>
      <c r="F1974" s="26"/>
      <c r="G1974" s="26"/>
      <c r="L1974" s="25"/>
      <c r="M1974" s="24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6"/>
      <c r="AB1974" s="26"/>
      <c r="AC1974" s="27"/>
    </row>
    <row r="1975" spans="1:29" x14ac:dyDescent="0.25">
      <c r="A1975" s="1"/>
      <c r="B1975" s="19"/>
      <c r="C1975" s="24"/>
      <c r="D1975" s="1"/>
      <c r="E1975" s="25"/>
      <c r="F1975" s="26"/>
      <c r="G1975" s="26"/>
      <c r="L1975" s="25"/>
      <c r="M1975" s="24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6"/>
      <c r="AB1975" s="26"/>
      <c r="AC1975" s="27"/>
    </row>
    <row r="1976" spans="1:29" x14ac:dyDescent="0.25">
      <c r="A1976" s="1"/>
      <c r="B1976" s="19"/>
      <c r="C1976" s="24"/>
      <c r="D1976" s="1"/>
      <c r="E1976" s="25"/>
      <c r="F1976" s="26"/>
      <c r="G1976" s="26"/>
      <c r="L1976" s="25"/>
      <c r="M1976" s="24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6"/>
      <c r="AB1976" s="26"/>
      <c r="AC1976" s="27"/>
    </row>
    <row r="1977" spans="1:29" x14ac:dyDescent="0.25">
      <c r="A1977" s="1"/>
      <c r="B1977" s="19"/>
      <c r="C1977" s="24"/>
      <c r="D1977" s="1"/>
      <c r="E1977" s="25"/>
      <c r="F1977" s="26"/>
      <c r="G1977" s="26"/>
      <c r="L1977" s="25"/>
      <c r="M1977" s="24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6"/>
      <c r="AB1977" s="26"/>
      <c r="AC1977" s="27"/>
    </row>
    <row r="1978" spans="1:29" x14ac:dyDescent="0.25">
      <c r="A1978" s="1"/>
      <c r="B1978" s="19"/>
      <c r="C1978" s="24"/>
      <c r="D1978" s="1"/>
      <c r="E1978" s="25"/>
      <c r="F1978" s="26"/>
      <c r="G1978" s="26"/>
      <c r="L1978" s="25"/>
      <c r="M1978" s="24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6"/>
      <c r="AB1978" s="26"/>
      <c r="AC1978" s="27"/>
    </row>
    <row r="1979" spans="1:29" x14ac:dyDescent="0.25">
      <c r="A1979" s="1"/>
      <c r="B1979" s="19"/>
      <c r="C1979" s="24"/>
      <c r="D1979" s="1"/>
      <c r="E1979" s="25"/>
      <c r="F1979" s="26"/>
      <c r="G1979" s="26"/>
      <c r="L1979" s="25"/>
      <c r="M1979" s="24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6"/>
      <c r="AB1979" s="26"/>
      <c r="AC1979" s="27"/>
    </row>
    <row r="1980" spans="1:29" x14ac:dyDescent="0.25">
      <c r="A1980" s="1"/>
      <c r="B1980" s="19"/>
      <c r="C1980" s="24"/>
      <c r="D1980" s="1"/>
      <c r="E1980" s="25"/>
      <c r="F1980" s="26"/>
      <c r="G1980" s="26"/>
      <c r="L1980" s="25"/>
      <c r="M1980" s="24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6"/>
      <c r="AB1980" s="26"/>
      <c r="AC1980" s="27"/>
    </row>
    <row r="1981" spans="1:29" x14ac:dyDescent="0.25">
      <c r="A1981" s="1"/>
      <c r="B1981" s="19"/>
      <c r="C1981" s="24"/>
      <c r="D1981" s="1"/>
      <c r="E1981" s="25"/>
      <c r="F1981" s="26"/>
      <c r="G1981" s="26"/>
      <c r="L1981" s="25"/>
      <c r="M1981" s="24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6"/>
      <c r="AB1981" s="26"/>
      <c r="AC1981" s="27"/>
    </row>
    <row r="1982" spans="1:29" x14ac:dyDescent="0.25">
      <c r="A1982" s="1"/>
      <c r="B1982" s="19"/>
      <c r="C1982" s="24"/>
      <c r="D1982" s="1"/>
      <c r="E1982" s="25"/>
      <c r="F1982" s="26"/>
      <c r="G1982" s="26"/>
      <c r="L1982" s="25"/>
      <c r="M1982" s="24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6"/>
      <c r="AB1982" s="26"/>
      <c r="AC1982" s="27"/>
    </row>
    <row r="1983" spans="1:29" x14ac:dyDescent="0.25">
      <c r="A1983" s="1"/>
      <c r="B1983" s="19"/>
      <c r="C1983" s="24"/>
      <c r="D1983" s="1"/>
      <c r="E1983" s="25"/>
      <c r="F1983" s="26"/>
      <c r="G1983" s="26"/>
      <c r="L1983" s="25"/>
      <c r="M1983" s="24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6"/>
      <c r="AB1983" s="26"/>
      <c r="AC1983" s="27"/>
    </row>
    <row r="1984" spans="1:29" x14ac:dyDescent="0.25">
      <c r="A1984" s="1"/>
      <c r="B1984" s="19"/>
      <c r="C1984" s="24"/>
      <c r="D1984" s="1"/>
      <c r="E1984" s="25"/>
      <c r="F1984" s="26"/>
      <c r="G1984" s="26"/>
      <c r="L1984" s="25"/>
      <c r="M1984" s="24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6"/>
      <c r="AB1984" s="26"/>
      <c r="AC1984" s="27"/>
    </row>
    <row r="1985" spans="1:29" x14ac:dyDescent="0.25">
      <c r="A1985" s="1"/>
      <c r="B1985" s="19"/>
      <c r="C1985" s="24"/>
      <c r="D1985" s="1"/>
      <c r="E1985" s="25"/>
      <c r="F1985" s="26"/>
      <c r="G1985" s="26"/>
      <c r="L1985" s="25"/>
      <c r="M1985" s="24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6"/>
      <c r="AB1985" s="26"/>
      <c r="AC1985" s="27"/>
    </row>
    <row r="1986" spans="1:29" x14ac:dyDescent="0.25">
      <c r="A1986" s="1"/>
      <c r="B1986" s="19"/>
      <c r="C1986" s="24"/>
      <c r="D1986" s="1"/>
      <c r="E1986" s="25"/>
      <c r="F1986" s="26"/>
      <c r="G1986" s="26"/>
      <c r="L1986" s="25"/>
      <c r="M1986" s="24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6"/>
      <c r="AB1986" s="26"/>
      <c r="AC1986" s="27"/>
    </row>
    <row r="1987" spans="1:29" x14ac:dyDescent="0.25">
      <c r="A1987" s="1"/>
      <c r="B1987" s="19"/>
      <c r="C1987" s="24"/>
      <c r="D1987" s="1"/>
      <c r="E1987" s="25"/>
      <c r="F1987" s="26"/>
      <c r="G1987" s="26"/>
      <c r="L1987" s="25"/>
      <c r="M1987" s="24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6"/>
      <c r="AB1987" s="26"/>
      <c r="AC1987" s="27"/>
    </row>
    <row r="1988" spans="1:29" x14ac:dyDescent="0.25">
      <c r="A1988" s="1"/>
      <c r="B1988" s="19"/>
      <c r="C1988" s="24"/>
      <c r="D1988" s="1"/>
      <c r="E1988" s="25"/>
      <c r="F1988" s="26"/>
      <c r="G1988" s="26"/>
      <c r="L1988" s="25"/>
      <c r="M1988" s="24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6"/>
      <c r="AB1988" s="26"/>
      <c r="AC1988" s="27"/>
    </row>
    <row r="1989" spans="1:29" x14ac:dyDescent="0.25">
      <c r="A1989" s="1"/>
      <c r="B1989" s="19"/>
      <c r="C1989" s="24"/>
      <c r="D1989" s="1"/>
      <c r="E1989" s="25"/>
      <c r="F1989" s="26"/>
      <c r="G1989" s="26"/>
      <c r="L1989" s="25"/>
      <c r="M1989" s="24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6"/>
      <c r="AB1989" s="26"/>
      <c r="AC1989" s="27"/>
    </row>
    <row r="1990" spans="1:29" x14ac:dyDescent="0.25">
      <c r="A1990" s="1"/>
      <c r="B1990" s="19"/>
      <c r="C1990" s="24"/>
      <c r="D1990" s="1"/>
      <c r="E1990" s="25"/>
      <c r="F1990" s="26"/>
      <c r="G1990" s="26"/>
      <c r="L1990" s="25"/>
      <c r="M1990" s="24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6"/>
      <c r="AB1990" s="26"/>
      <c r="AC1990" s="27"/>
    </row>
    <row r="1991" spans="1:29" x14ac:dyDescent="0.25">
      <c r="A1991" s="1"/>
      <c r="B1991" s="19"/>
      <c r="C1991" s="24"/>
      <c r="D1991" s="1"/>
      <c r="E1991" s="25"/>
      <c r="F1991" s="26"/>
      <c r="G1991" s="26"/>
      <c r="L1991" s="25"/>
      <c r="M1991" s="24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6"/>
      <c r="AB1991" s="26"/>
      <c r="AC1991" s="27"/>
    </row>
    <row r="1992" spans="1:29" x14ac:dyDescent="0.25">
      <c r="A1992" s="1"/>
      <c r="B1992" s="19"/>
      <c r="C1992" s="24"/>
      <c r="D1992" s="1"/>
      <c r="E1992" s="25"/>
      <c r="F1992" s="26"/>
      <c r="G1992" s="26"/>
      <c r="L1992" s="25"/>
      <c r="M1992" s="24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6"/>
      <c r="AB1992" s="26"/>
      <c r="AC1992" s="27"/>
    </row>
    <row r="1993" spans="1:29" x14ac:dyDescent="0.25">
      <c r="A1993" s="1"/>
      <c r="B1993" s="19"/>
      <c r="C1993" s="24"/>
      <c r="D1993" s="1"/>
      <c r="E1993" s="25"/>
      <c r="F1993" s="26"/>
      <c r="G1993" s="26"/>
      <c r="L1993" s="25"/>
      <c r="M1993" s="24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6"/>
      <c r="AB1993" s="26"/>
      <c r="AC1993" s="27"/>
    </row>
    <row r="1994" spans="1:29" x14ac:dyDescent="0.25">
      <c r="A1994" s="1"/>
      <c r="B1994" s="19"/>
      <c r="C1994" s="24"/>
      <c r="D1994" s="1"/>
      <c r="E1994" s="25"/>
      <c r="F1994" s="26"/>
      <c r="G1994" s="26"/>
      <c r="L1994" s="25"/>
      <c r="M1994" s="24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6"/>
      <c r="AB1994" s="26"/>
      <c r="AC1994" s="27"/>
    </row>
    <row r="1995" spans="1:29" x14ac:dyDescent="0.25">
      <c r="A1995" s="1"/>
      <c r="B1995" s="19"/>
      <c r="C1995" s="24"/>
      <c r="D1995" s="1"/>
      <c r="E1995" s="25"/>
      <c r="F1995" s="26"/>
      <c r="G1995" s="26"/>
      <c r="L1995" s="25"/>
      <c r="M1995" s="24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6"/>
      <c r="AB1995" s="26"/>
      <c r="AC1995" s="27"/>
    </row>
    <row r="1996" spans="1:29" x14ac:dyDescent="0.25">
      <c r="A1996" s="1"/>
      <c r="B1996" s="19"/>
      <c r="C1996" s="24"/>
      <c r="D1996" s="1"/>
      <c r="E1996" s="25"/>
      <c r="F1996" s="26"/>
      <c r="G1996" s="26"/>
      <c r="L1996" s="25"/>
      <c r="M1996" s="24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6"/>
      <c r="AB1996" s="26"/>
      <c r="AC1996" s="27"/>
    </row>
    <row r="1997" spans="1:29" x14ac:dyDescent="0.25">
      <c r="A1997" s="1"/>
      <c r="B1997" s="19"/>
      <c r="C1997" s="24"/>
      <c r="D1997" s="1"/>
      <c r="E1997" s="25"/>
      <c r="F1997" s="26"/>
      <c r="G1997" s="26"/>
      <c r="L1997" s="25"/>
      <c r="M1997" s="24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6"/>
      <c r="AB1997" s="26"/>
      <c r="AC1997" s="27"/>
    </row>
    <row r="1998" spans="1:29" x14ac:dyDescent="0.25">
      <c r="A1998" s="1"/>
      <c r="B1998" s="19"/>
      <c r="C1998" s="24"/>
      <c r="D1998" s="1"/>
      <c r="E1998" s="25"/>
      <c r="F1998" s="26"/>
      <c r="G1998" s="26"/>
      <c r="L1998" s="25"/>
      <c r="M1998" s="24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6"/>
      <c r="AB1998" s="26"/>
      <c r="AC1998" s="27"/>
    </row>
    <row r="1999" spans="1:29" x14ac:dyDescent="0.25">
      <c r="A1999" s="1"/>
      <c r="B1999" s="19"/>
      <c r="C1999" s="24"/>
      <c r="D1999" s="1"/>
      <c r="E1999" s="25"/>
      <c r="F1999" s="26"/>
      <c r="G1999" s="26"/>
      <c r="L1999" s="25"/>
      <c r="M1999" s="24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6"/>
      <c r="AB1999" s="26"/>
      <c r="AC1999" s="27"/>
    </row>
    <row r="2000" spans="1:29" x14ac:dyDescent="0.25">
      <c r="A2000" s="1"/>
      <c r="B2000" s="19"/>
      <c r="C2000" s="24"/>
      <c r="D2000" s="1"/>
      <c r="E2000" s="25"/>
      <c r="F2000" s="26"/>
      <c r="G2000" s="26"/>
      <c r="L2000" s="25"/>
      <c r="M2000" s="24"/>
      <c r="N2000" s="26"/>
      <c r="O2000" s="26"/>
      <c r="P2000" s="26"/>
      <c r="Q2000" s="26"/>
      <c r="R2000" s="26"/>
      <c r="S2000" s="26"/>
      <c r="T2000" s="26"/>
      <c r="U2000" s="26"/>
      <c r="V2000" s="26"/>
      <c r="W2000" s="26"/>
      <c r="X2000" s="26"/>
      <c r="Y2000" s="26"/>
      <c r="Z2000" s="26"/>
      <c r="AA2000" s="26"/>
      <c r="AB2000" s="26"/>
      <c r="AC2000" s="27"/>
    </row>
    <row r="2001" spans="1:29" x14ac:dyDescent="0.25">
      <c r="A2001" s="1"/>
      <c r="B2001" s="19"/>
      <c r="C2001" s="24"/>
      <c r="D2001" s="1"/>
      <c r="E2001" s="25"/>
      <c r="F2001" s="26"/>
      <c r="G2001" s="26"/>
      <c r="L2001" s="25"/>
      <c r="M2001" s="24"/>
      <c r="N2001" s="26"/>
      <c r="O2001" s="26"/>
      <c r="P2001" s="26"/>
      <c r="Q2001" s="26"/>
      <c r="R2001" s="26"/>
      <c r="S2001" s="26"/>
      <c r="T2001" s="26"/>
      <c r="U2001" s="26"/>
      <c r="V2001" s="26"/>
      <c r="W2001" s="26"/>
      <c r="X2001" s="26"/>
      <c r="Y2001" s="26"/>
      <c r="Z2001" s="26"/>
      <c r="AA2001" s="26"/>
      <c r="AB2001" s="26"/>
      <c r="AC2001" s="27"/>
    </row>
    <row r="2002" spans="1:29" x14ac:dyDescent="0.25">
      <c r="A2002" s="1"/>
      <c r="B2002" s="19"/>
      <c r="C2002" s="24"/>
      <c r="D2002" s="1"/>
      <c r="E2002" s="25"/>
      <c r="F2002" s="26"/>
      <c r="G2002" s="26"/>
      <c r="L2002" s="25"/>
      <c r="M2002" s="24"/>
      <c r="N2002" s="26"/>
      <c r="O2002" s="26"/>
      <c r="P2002" s="26"/>
      <c r="Q2002" s="26"/>
      <c r="R2002" s="26"/>
      <c r="S2002" s="26"/>
      <c r="T2002" s="26"/>
      <c r="U2002" s="26"/>
      <c r="V2002" s="26"/>
      <c r="W2002" s="26"/>
      <c r="X2002" s="26"/>
      <c r="Y2002" s="26"/>
      <c r="Z2002" s="26"/>
      <c r="AA2002" s="26"/>
      <c r="AB2002" s="26"/>
      <c r="AC2002" s="27"/>
    </row>
    <row r="2003" spans="1:29" x14ac:dyDescent="0.25">
      <c r="A2003" s="1"/>
      <c r="B2003" s="19"/>
      <c r="C2003" s="24"/>
      <c r="D2003" s="1"/>
      <c r="E2003" s="25"/>
      <c r="F2003" s="26"/>
      <c r="G2003" s="26"/>
      <c r="L2003" s="25"/>
      <c r="M2003" s="24"/>
      <c r="N2003" s="26"/>
      <c r="O2003" s="26"/>
      <c r="P2003" s="26"/>
      <c r="Q2003" s="26"/>
      <c r="R2003" s="26"/>
      <c r="S2003" s="26"/>
      <c r="T2003" s="26"/>
      <c r="U2003" s="26"/>
      <c r="V2003" s="26"/>
      <c r="W2003" s="26"/>
      <c r="X2003" s="26"/>
      <c r="Y2003" s="26"/>
      <c r="Z2003" s="26"/>
      <c r="AA2003" s="26"/>
      <c r="AB2003" s="26"/>
      <c r="AC2003" s="27"/>
    </row>
    <row r="2004" spans="1:29" x14ac:dyDescent="0.25">
      <c r="A2004" s="1"/>
      <c r="B2004" s="19"/>
      <c r="C2004" s="24"/>
      <c r="D2004" s="1"/>
      <c r="E2004" s="25"/>
      <c r="F2004" s="26"/>
      <c r="G2004" s="26"/>
      <c r="L2004" s="25"/>
      <c r="M2004" s="24"/>
      <c r="N2004" s="26"/>
      <c r="O2004" s="26"/>
      <c r="P2004" s="26"/>
      <c r="Q2004" s="26"/>
      <c r="R2004" s="26"/>
      <c r="S2004" s="26"/>
      <c r="T2004" s="26"/>
      <c r="U2004" s="26"/>
      <c r="V2004" s="26"/>
      <c r="W2004" s="26"/>
      <c r="X2004" s="26"/>
      <c r="Y2004" s="26"/>
      <c r="Z2004" s="26"/>
      <c r="AA2004" s="26"/>
      <c r="AB2004" s="26"/>
      <c r="AC2004" s="27"/>
    </row>
    <row r="2005" spans="1:29" x14ac:dyDescent="0.25">
      <c r="A2005" s="1"/>
      <c r="B2005" s="19"/>
      <c r="C2005" s="24"/>
      <c r="D2005" s="1"/>
      <c r="E2005" s="25"/>
      <c r="F2005" s="26"/>
      <c r="G2005" s="26"/>
      <c r="L2005" s="25"/>
      <c r="M2005" s="24"/>
      <c r="N2005" s="26"/>
      <c r="O2005" s="26"/>
      <c r="P2005" s="26"/>
      <c r="Q2005" s="26"/>
      <c r="R2005" s="26"/>
      <c r="S2005" s="26"/>
      <c r="T2005" s="26"/>
      <c r="U2005" s="26"/>
      <c r="V2005" s="26"/>
      <c r="W2005" s="26"/>
      <c r="X2005" s="26"/>
      <c r="Y2005" s="26"/>
      <c r="Z2005" s="26"/>
      <c r="AA2005" s="26"/>
      <c r="AB2005" s="26"/>
      <c r="AC2005" s="27"/>
    </row>
    <row r="2006" spans="1:29" x14ac:dyDescent="0.25">
      <c r="A2006" s="1"/>
      <c r="B2006" s="19"/>
      <c r="C2006" s="24"/>
      <c r="D2006" s="1"/>
      <c r="E2006" s="25"/>
      <c r="F2006" s="26"/>
      <c r="G2006" s="26"/>
      <c r="L2006" s="25"/>
      <c r="M2006" s="24"/>
      <c r="N2006" s="26"/>
      <c r="O2006" s="26"/>
      <c r="P2006" s="26"/>
      <c r="Q2006" s="26"/>
      <c r="R2006" s="26"/>
      <c r="S2006" s="26"/>
      <c r="T2006" s="26"/>
      <c r="U2006" s="26"/>
      <c r="V2006" s="26"/>
      <c r="W2006" s="26"/>
      <c r="X2006" s="26"/>
      <c r="Y2006" s="26"/>
      <c r="Z2006" s="26"/>
      <c r="AA2006" s="26"/>
      <c r="AB2006" s="26"/>
      <c r="AC2006" s="27"/>
    </row>
    <row r="2007" spans="1:29" x14ac:dyDescent="0.25">
      <c r="A2007" s="1"/>
      <c r="B2007" s="19"/>
      <c r="C2007" s="24"/>
      <c r="D2007" s="1"/>
      <c r="E2007" s="25"/>
      <c r="F2007" s="26"/>
      <c r="G2007" s="26"/>
      <c r="L2007" s="25"/>
      <c r="M2007" s="24"/>
      <c r="N2007" s="26"/>
      <c r="O2007" s="26"/>
      <c r="P2007" s="26"/>
      <c r="Q2007" s="26"/>
      <c r="R2007" s="26"/>
      <c r="S2007" s="26"/>
      <c r="T2007" s="26"/>
      <c r="U2007" s="26"/>
      <c r="V2007" s="26"/>
      <c r="W2007" s="26"/>
      <c r="X2007" s="26"/>
      <c r="Y2007" s="26"/>
      <c r="Z2007" s="26"/>
      <c r="AA2007" s="26"/>
      <c r="AB2007" s="26"/>
      <c r="AC2007" s="27"/>
    </row>
    <row r="2008" spans="1:29" x14ac:dyDescent="0.25">
      <c r="A2008" s="1"/>
      <c r="B2008" s="19"/>
      <c r="C2008" s="24"/>
      <c r="D2008" s="1"/>
      <c r="E2008" s="25"/>
      <c r="F2008" s="26"/>
      <c r="G2008" s="26"/>
      <c r="L2008" s="25"/>
      <c r="M2008" s="24"/>
      <c r="N2008" s="26"/>
      <c r="O2008" s="26"/>
      <c r="P2008" s="26"/>
      <c r="Q2008" s="26"/>
      <c r="R2008" s="26"/>
      <c r="S2008" s="26"/>
      <c r="T2008" s="26"/>
      <c r="U2008" s="26"/>
      <c r="V2008" s="26"/>
      <c r="W2008" s="26"/>
      <c r="X2008" s="26"/>
      <c r="Y2008" s="26"/>
      <c r="Z2008" s="26"/>
      <c r="AA2008" s="26"/>
      <c r="AB2008" s="26"/>
      <c r="AC2008" s="27"/>
    </row>
    <row r="2009" spans="1:29" x14ac:dyDescent="0.25">
      <c r="A2009" s="1"/>
      <c r="B2009" s="19"/>
      <c r="C2009" s="24"/>
      <c r="D2009" s="1"/>
      <c r="E2009" s="25"/>
      <c r="F2009" s="26"/>
      <c r="G2009" s="26"/>
      <c r="L2009" s="25"/>
      <c r="M2009" s="24"/>
      <c r="N2009" s="26"/>
      <c r="O2009" s="26"/>
      <c r="P2009" s="26"/>
      <c r="Q2009" s="26"/>
      <c r="R2009" s="26"/>
      <c r="S2009" s="26"/>
      <c r="T2009" s="26"/>
      <c r="U2009" s="26"/>
      <c r="V2009" s="26"/>
      <c r="W2009" s="26"/>
      <c r="X2009" s="26"/>
      <c r="Y2009" s="26"/>
      <c r="Z2009" s="26"/>
      <c r="AA2009" s="26"/>
      <c r="AB2009" s="26"/>
      <c r="AC2009" s="27"/>
    </row>
    <row r="2010" spans="1:29" x14ac:dyDescent="0.25">
      <c r="A2010" s="1"/>
      <c r="B2010" s="19"/>
      <c r="C2010" s="24"/>
      <c r="D2010" s="1"/>
      <c r="E2010" s="25"/>
      <c r="F2010" s="26"/>
      <c r="G2010" s="26"/>
      <c r="L2010" s="25"/>
      <c r="M2010" s="24"/>
      <c r="N2010" s="26"/>
      <c r="O2010" s="26"/>
      <c r="P2010" s="26"/>
      <c r="Q2010" s="26"/>
      <c r="R2010" s="26"/>
      <c r="S2010" s="26"/>
      <c r="T2010" s="26"/>
      <c r="U2010" s="26"/>
      <c r="V2010" s="26"/>
      <c r="W2010" s="26"/>
      <c r="X2010" s="26"/>
      <c r="Y2010" s="26"/>
      <c r="Z2010" s="26"/>
      <c r="AA2010" s="26"/>
      <c r="AB2010" s="26"/>
      <c r="AC2010" s="27"/>
    </row>
    <row r="2011" spans="1:29" x14ac:dyDescent="0.25">
      <c r="A2011" s="1"/>
      <c r="B2011" s="19"/>
      <c r="C2011" s="24"/>
      <c r="D2011" s="1"/>
      <c r="E2011" s="25"/>
      <c r="F2011" s="26"/>
      <c r="G2011" s="26"/>
      <c r="L2011" s="25"/>
      <c r="M2011" s="24"/>
      <c r="N2011" s="26"/>
      <c r="O2011" s="26"/>
      <c r="P2011" s="26"/>
      <c r="Q2011" s="26"/>
      <c r="R2011" s="26"/>
      <c r="S2011" s="26"/>
      <c r="T2011" s="26"/>
      <c r="U2011" s="26"/>
      <c r="V2011" s="26"/>
      <c r="W2011" s="26"/>
      <c r="X2011" s="26"/>
      <c r="Y2011" s="26"/>
      <c r="Z2011" s="26"/>
      <c r="AA2011" s="26"/>
      <c r="AB2011" s="26"/>
      <c r="AC2011" s="27"/>
    </row>
    <row r="2012" spans="1:29" x14ac:dyDescent="0.25">
      <c r="A2012" s="1"/>
      <c r="B2012" s="19"/>
      <c r="C2012" s="24"/>
      <c r="D2012" s="1"/>
      <c r="E2012" s="25"/>
      <c r="F2012" s="26"/>
      <c r="G2012" s="26"/>
      <c r="L2012" s="25"/>
      <c r="M2012" s="24"/>
      <c r="N2012" s="26"/>
      <c r="O2012" s="26"/>
      <c r="P2012" s="26"/>
      <c r="Q2012" s="26"/>
      <c r="R2012" s="26"/>
      <c r="S2012" s="26"/>
      <c r="T2012" s="26"/>
      <c r="U2012" s="26"/>
      <c r="V2012" s="26"/>
      <c r="W2012" s="26"/>
      <c r="X2012" s="26"/>
      <c r="Y2012" s="26"/>
      <c r="Z2012" s="26"/>
      <c r="AA2012" s="26"/>
      <c r="AB2012" s="26"/>
      <c r="AC2012" s="27"/>
    </row>
    <row r="2013" spans="1:29" x14ac:dyDescent="0.25">
      <c r="A2013" s="1"/>
      <c r="B2013" s="19"/>
      <c r="C2013" s="24"/>
      <c r="D2013" s="1"/>
      <c r="E2013" s="25"/>
      <c r="F2013" s="26"/>
      <c r="G2013" s="26"/>
      <c r="L2013" s="25"/>
      <c r="M2013" s="24"/>
      <c r="N2013" s="26"/>
      <c r="O2013" s="26"/>
      <c r="P2013" s="26"/>
      <c r="Q2013" s="26"/>
      <c r="R2013" s="26"/>
      <c r="S2013" s="26"/>
      <c r="T2013" s="26"/>
      <c r="U2013" s="26"/>
      <c r="V2013" s="26"/>
      <c r="W2013" s="26"/>
      <c r="X2013" s="26"/>
      <c r="Y2013" s="26"/>
      <c r="Z2013" s="26"/>
      <c r="AA2013" s="26"/>
      <c r="AB2013" s="26"/>
      <c r="AC2013" s="27"/>
    </row>
    <row r="2014" spans="1:29" x14ac:dyDescent="0.25">
      <c r="A2014" s="1"/>
      <c r="B2014" s="19"/>
      <c r="C2014" s="24"/>
      <c r="D2014" s="1"/>
      <c r="E2014" s="25"/>
      <c r="F2014" s="26"/>
      <c r="G2014" s="26"/>
      <c r="L2014" s="25"/>
      <c r="M2014" s="24"/>
      <c r="N2014" s="26"/>
      <c r="O2014" s="26"/>
      <c r="P2014" s="26"/>
      <c r="Q2014" s="26"/>
      <c r="R2014" s="26"/>
      <c r="S2014" s="26"/>
      <c r="T2014" s="26"/>
      <c r="U2014" s="26"/>
      <c r="V2014" s="26"/>
      <c r="W2014" s="26"/>
      <c r="X2014" s="26"/>
      <c r="Y2014" s="26"/>
      <c r="Z2014" s="26"/>
      <c r="AA2014" s="26"/>
      <c r="AB2014" s="26"/>
      <c r="AC2014" s="27"/>
    </row>
    <row r="2015" spans="1:29" x14ac:dyDescent="0.25">
      <c r="A2015" s="1"/>
      <c r="B2015" s="19"/>
      <c r="C2015" s="24"/>
      <c r="D2015" s="1"/>
      <c r="E2015" s="25"/>
      <c r="F2015" s="26"/>
      <c r="G2015" s="26"/>
      <c r="L2015" s="25"/>
      <c r="M2015" s="24"/>
      <c r="N2015" s="26"/>
      <c r="O2015" s="26"/>
      <c r="P2015" s="26"/>
      <c r="Q2015" s="26"/>
      <c r="R2015" s="26"/>
      <c r="S2015" s="26"/>
      <c r="T2015" s="26"/>
      <c r="U2015" s="26"/>
      <c r="V2015" s="26"/>
      <c r="W2015" s="26"/>
      <c r="X2015" s="26"/>
      <c r="Y2015" s="26"/>
      <c r="Z2015" s="26"/>
      <c r="AA2015" s="26"/>
      <c r="AB2015" s="26"/>
      <c r="AC2015" s="27"/>
    </row>
    <row r="2016" spans="1:29" x14ac:dyDescent="0.25">
      <c r="A2016" s="1"/>
      <c r="B2016" s="19"/>
      <c r="C2016" s="24"/>
      <c r="D2016" s="1"/>
      <c r="E2016" s="25"/>
      <c r="F2016" s="26"/>
      <c r="G2016" s="26"/>
      <c r="L2016" s="25"/>
      <c r="M2016" s="24"/>
      <c r="N2016" s="26"/>
      <c r="O2016" s="26"/>
      <c r="P2016" s="26"/>
      <c r="Q2016" s="26"/>
      <c r="R2016" s="26"/>
      <c r="S2016" s="26"/>
      <c r="T2016" s="26"/>
      <c r="U2016" s="26"/>
      <c r="V2016" s="26"/>
      <c r="W2016" s="26"/>
      <c r="X2016" s="26"/>
      <c r="Y2016" s="26"/>
      <c r="Z2016" s="26"/>
      <c r="AA2016" s="26"/>
      <c r="AB2016" s="26"/>
      <c r="AC2016" s="27"/>
    </row>
    <row r="2017" spans="1:29" x14ac:dyDescent="0.25">
      <c r="A2017" s="1"/>
      <c r="B2017" s="19"/>
      <c r="C2017" s="24"/>
      <c r="D2017" s="1"/>
      <c r="E2017" s="25"/>
      <c r="F2017" s="26"/>
      <c r="G2017" s="26"/>
      <c r="L2017" s="25"/>
      <c r="M2017" s="24"/>
      <c r="N2017" s="26"/>
      <c r="O2017" s="26"/>
      <c r="P2017" s="26"/>
      <c r="Q2017" s="26"/>
      <c r="R2017" s="26"/>
      <c r="S2017" s="26"/>
      <c r="T2017" s="26"/>
      <c r="U2017" s="26"/>
      <c r="V2017" s="26"/>
      <c r="W2017" s="26"/>
      <c r="X2017" s="26"/>
      <c r="Y2017" s="26"/>
      <c r="Z2017" s="26"/>
      <c r="AA2017" s="26"/>
      <c r="AB2017" s="26"/>
      <c r="AC2017" s="27"/>
    </row>
    <row r="2018" spans="1:29" x14ac:dyDescent="0.25">
      <c r="A2018" s="1"/>
      <c r="B2018" s="19"/>
      <c r="C2018" s="24"/>
      <c r="D2018" s="1"/>
      <c r="E2018" s="25"/>
      <c r="F2018" s="26"/>
      <c r="G2018" s="26"/>
      <c r="L2018" s="25"/>
      <c r="M2018" s="24"/>
      <c r="N2018" s="26"/>
      <c r="O2018" s="26"/>
      <c r="P2018" s="26"/>
      <c r="Q2018" s="26"/>
      <c r="R2018" s="26"/>
      <c r="S2018" s="26"/>
      <c r="T2018" s="26"/>
      <c r="U2018" s="26"/>
      <c r="V2018" s="26"/>
      <c r="W2018" s="26"/>
      <c r="X2018" s="26"/>
      <c r="Y2018" s="26"/>
      <c r="Z2018" s="26"/>
      <c r="AA2018" s="26"/>
      <c r="AB2018" s="26"/>
      <c r="AC2018" s="27"/>
    </row>
    <row r="2019" spans="1:29" x14ac:dyDescent="0.25">
      <c r="A2019" s="1"/>
      <c r="B2019" s="19"/>
      <c r="C2019" s="24"/>
      <c r="D2019" s="1"/>
      <c r="E2019" s="25"/>
      <c r="F2019" s="26"/>
      <c r="G2019" s="26"/>
      <c r="L2019" s="25"/>
      <c r="M2019" s="24"/>
      <c r="N2019" s="26"/>
      <c r="O2019" s="26"/>
      <c r="P2019" s="26"/>
      <c r="Q2019" s="26"/>
      <c r="R2019" s="26"/>
      <c r="S2019" s="26"/>
      <c r="T2019" s="26"/>
      <c r="U2019" s="26"/>
      <c r="V2019" s="26"/>
      <c r="W2019" s="26"/>
      <c r="X2019" s="26"/>
      <c r="Y2019" s="26"/>
      <c r="Z2019" s="26"/>
      <c r="AA2019" s="26"/>
      <c r="AB2019" s="26"/>
      <c r="AC2019" s="27"/>
    </row>
    <row r="2020" spans="1:29" x14ac:dyDescent="0.25">
      <c r="A2020" s="1"/>
      <c r="B2020" s="19"/>
      <c r="C2020" s="24"/>
      <c r="D2020" s="1"/>
      <c r="E2020" s="25"/>
      <c r="F2020" s="26"/>
      <c r="G2020" s="26"/>
      <c r="L2020" s="25"/>
      <c r="M2020" s="24"/>
      <c r="N2020" s="26"/>
      <c r="O2020" s="26"/>
      <c r="P2020" s="26"/>
      <c r="Q2020" s="26"/>
      <c r="R2020" s="26"/>
      <c r="S2020" s="26"/>
      <c r="T2020" s="26"/>
      <c r="U2020" s="26"/>
      <c r="V2020" s="26"/>
      <c r="W2020" s="26"/>
      <c r="X2020" s="26"/>
      <c r="Y2020" s="26"/>
      <c r="Z2020" s="26"/>
      <c r="AA2020" s="26"/>
      <c r="AB2020" s="26"/>
      <c r="AC2020" s="27"/>
    </row>
    <row r="2021" spans="1:29" x14ac:dyDescent="0.25">
      <c r="A2021" s="1"/>
      <c r="B2021" s="19"/>
      <c r="C2021" s="24"/>
      <c r="D2021" s="1"/>
      <c r="E2021" s="25"/>
      <c r="F2021" s="26"/>
      <c r="G2021" s="26"/>
      <c r="L2021" s="25"/>
      <c r="M2021" s="24"/>
      <c r="N2021" s="26"/>
      <c r="O2021" s="26"/>
      <c r="P2021" s="26"/>
      <c r="Q2021" s="26"/>
      <c r="R2021" s="26"/>
      <c r="S2021" s="26"/>
      <c r="T2021" s="26"/>
      <c r="U2021" s="26"/>
      <c r="V2021" s="26"/>
      <c r="W2021" s="26"/>
      <c r="X2021" s="26"/>
      <c r="Y2021" s="26"/>
      <c r="Z2021" s="26"/>
      <c r="AA2021" s="26"/>
      <c r="AB2021" s="26"/>
      <c r="AC2021" s="27"/>
    </row>
    <row r="2022" spans="1:29" x14ac:dyDescent="0.25">
      <c r="A2022" s="1"/>
      <c r="B2022" s="19"/>
      <c r="C2022" s="24"/>
      <c r="D2022" s="1"/>
      <c r="E2022" s="25"/>
      <c r="F2022" s="26"/>
      <c r="G2022" s="26"/>
      <c r="L2022" s="25"/>
      <c r="M2022" s="24"/>
      <c r="N2022" s="26"/>
      <c r="O2022" s="26"/>
      <c r="P2022" s="26"/>
      <c r="Q2022" s="26"/>
      <c r="R2022" s="26"/>
      <c r="S2022" s="26"/>
      <c r="T2022" s="26"/>
      <c r="U2022" s="26"/>
      <c r="V2022" s="26"/>
      <c r="W2022" s="26"/>
      <c r="X2022" s="26"/>
      <c r="Y2022" s="26"/>
      <c r="Z2022" s="26"/>
      <c r="AA2022" s="26"/>
      <c r="AB2022" s="26"/>
      <c r="AC2022" s="27"/>
    </row>
    <row r="2023" spans="1:29" x14ac:dyDescent="0.25">
      <c r="A2023" s="1"/>
      <c r="B2023" s="19"/>
      <c r="C2023" s="24"/>
      <c r="D2023" s="1"/>
      <c r="E2023" s="25"/>
      <c r="F2023" s="26"/>
      <c r="G2023" s="26"/>
      <c r="L2023" s="25"/>
      <c r="M2023" s="24"/>
      <c r="N2023" s="26"/>
      <c r="O2023" s="26"/>
      <c r="P2023" s="26"/>
      <c r="Q2023" s="26"/>
      <c r="R2023" s="26"/>
      <c r="S2023" s="26"/>
      <c r="T2023" s="26"/>
      <c r="U2023" s="26"/>
      <c r="V2023" s="26"/>
      <c r="W2023" s="26"/>
      <c r="X2023" s="26"/>
      <c r="Y2023" s="26"/>
      <c r="Z2023" s="26"/>
      <c r="AA2023" s="26"/>
      <c r="AB2023" s="26"/>
      <c r="AC2023" s="27"/>
    </row>
    <row r="2024" spans="1:29" x14ac:dyDescent="0.25">
      <c r="A2024" s="1"/>
      <c r="B2024" s="19"/>
      <c r="C2024" s="24"/>
      <c r="D2024" s="1"/>
      <c r="E2024" s="25"/>
      <c r="F2024" s="26"/>
      <c r="G2024" s="26"/>
      <c r="L2024" s="25"/>
      <c r="M2024" s="24"/>
      <c r="N2024" s="26"/>
      <c r="O2024" s="26"/>
      <c r="P2024" s="26"/>
      <c r="Q2024" s="26"/>
      <c r="R2024" s="26"/>
      <c r="S2024" s="26"/>
      <c r="T2024" s="26"/>
      <c r="U2024" s="26"/>
      <c r="V2024" s="26"/>
      <c r="W2024" s="26"/>
      <c r="X2024" s="26"/>
      <c r="Y2024" s="26"/>
      <c r="Z2024" s="26"/>
      <c r="AA2024" s="26"/>
      <c r="AB2024" s="26"/>
      <c r="AC2024" s="27"/>
    </row>
    <row r="2025" spans="1:29" x14ac:dyDescent="0.25">
      <c r="A2025" s="1"/>
      <c r="B2025" s="19"/>
      <c r="C2025" s="24"/>
      <c r="D2025" s="1"/>
      <c r="E2025" s="25"/>
      <c r="F2025" s="26"/>
      <c r="G2025" s="26"/>
      <c r="L2025" s="25"/>
      <c r="M2025" s="24"/>
      <c r="N2025" s="26"/>
      <c r="O2025" s="26"/>
      <c r="P2025" s="26"/>
      <c r="Q2025" s="26"/>
      <c r="R2025" s="26"/>
      <c r="S2025" s="26"/>
      <c r="T2025" s="26"/>
      <c r="U2025" s="26"/>
      <c r="V2025" s="26"/>
      <c r="W2025" s="26"/>
      <c r="X2025" s="26"/>
      <c r="Y2025" s="26"/>
      <c r="Z2025" s="26"/>
      <c r="AA2025" s="26"/>
      <c r="AB2025" s="26"/>
      <c r="AC2025" s="27"/>
    </row>
    <row r="2026" spans="1:29" x14ac:dyDescent="0.25">
      <c r="A2026" s="1"/>
      <c r="B2026" s="19"/>
      <c r="C2026" s="24"/>
      <c r="D2026" s="1"/>
      <c r="E2026" s="25"/>
      <c r="F2026" s="26"/>
      <c r="G2026" s="26"/>
      <c r="L2026" s="25"/>
      <c r="M2026" s="24"/>
      <c r="N2026" s="26"/>
      <c r="O2026" s="26"/>
      <c r="P2026" s="26"/>
      <c r="Q2026" s="26"/>
      <c r="R2026" s="26"/>
      <c r="S2026" s="26"/>
      <c r="T2026" s="26"/>
      <c r="U2026" s="26"/>
      <c r="V2026" s="26"/>
      <c r="W2026" s="26"/>
      <c r="X2026" s="26"/>
      <c r="Y2026" s="26"/>
      <c r="Z2026" s="26"/>
      <c r="AA2026" s="26"/>
      <c r="AB2026" s="26"/>
      <c r="AC2026" s="27"/>
    </row>
    <row r="2027" spans="1:29" x14ac:dyDescent="0.25">
      <c r="A2027" s="1"/>
      <c r="B2027" s="19"/>
      <c r="C2027" s="24"/>
      <c r="D2027" s="1"/>
      <c r="E2027" s="25"/>
      <c r="F2027" s="26"/>
      <c r="G2027" s="26"/>
      <c r="L2027" s="25"/>
      <c r="M2027" s="24"/>
      <c r="N2027" s="26"/>
      <c r="O2027" s="26"/>
      <c r="P2027" s="26"/>
      <c r="Q2027" s="26"/>
      <c r="R2027" s="26"/>
      <c r="S2027" s="26"/>
      <c r="T2027" s="26"/>
      <c r="U2027" s="26"/>
      <c r="V2027" s="26"/>
      <c r="W2027" s="26"/>
      <c r="X2027" s="26"/>
      <c r="Y2027" s="26"/>
      <c r="Z2027" s="26"/>
      <c r="AA2027" s="26"/>
      <c r="AB2027" s="26"/>
      <c r="AC2027" s="27"/>
    </row>
    <row r="2028" spans="1:29" x14ac:dyDescent="0.25">
      <c r="A2028" s="1"/>
      <c r="B2028" s="19"/>
      <c r="C2028" s="24"/>
      <c r="D2028" s="1"/>
      <c r="E2028" s="25"/>
      <c r="F2028" s="26"/>
      <c r="G2028" s="26"/>
      <c r="L2028" s="25"/>
      <c r="M2028" s="24"/>
      <c r="N2028" s="26"/>
      <c r="O2028" s="26"/>
      <c r="P2028" s="26"/>
      <c r="Q2028" s="26"/>
      <c r="R2028" s="26"/>
      <c r="S2028" s="26"/>
      <c r="T2028" s="26"/>
      <c r="U2028" s="26"/>
      <c r="V2028" s="26"/>
      <c r="W2028" s="26"/>
      <c r="X2028" s="26"/>
      <c r="Y2028" s="26"/>
      <c r="Z2028" s="26"/>
      <c r="AA2028" s="26"/>
      <c r="AB2028" s="26"/>
      <c r="AC2028" s="27"/>
    </row>
    <row r="2029" spans="1:29" x14ac:dyDescent="0.25">
      <c r="A2029" s="1"/>
      <c r="B2029" s="19"/>
      <c r="C2029" s="24"/>
      <c r="D2029" s="1"/>
      <c r="E2029" s="25"/>
      <c r="F2029" s="26"/>
      <c r="G2029" s="26"/>
      <c r="L2029" s="25"/>
      <c r="M2029" s="24"/>
      <c r="N2029" s="26"/>
      <c r="O2029" s="26"/>
      <c r="P2029" s="26"/>
      <c r="Q2029" s="26"/>
      <c r="R2029" s="26"/>
      <c r="S2029" s="26"/>
      <c r="T2029" s="26"/>
      <c r="U2029" s="26"/>
      <c r="V2029" s="26"/>
      <c r="W2029" s="26"/>
      <c r="X2029" s="26"/>
      <c r="Y2029" s="26"/>
      <c r="Z2029" s="26"/>
      <c r="AA2029" s="26"/>
      <c r="AB2029" s="26"/>
      <c r="AC2029" s="27"/>
    </row>
    <row r="2030" spans="1:29" x14ac:dyDescent="0.25">
      <c r="A2030" s="1"/>
      <c r="B2030" s="19"/>
      <c r="C2030" s="24"/>
      <c r="D2030" s="1"/>
      <c r="E2030" s="25"/>
      <c r="F2030" s="26"/>
      <c r="G2030" s="26"/>
      <c r="L2030" s="25"/>
      <c r="M2030" s="24"/>
      <c r="N2030" s="26"/>
      <c r="O2030" s="26"/>
      <c r="P2030" s="26"/>
      <c r="Q2030" s="26"/>
      <c r="R2030" s="26"/>
      <c r="S2030" s="26"/>
      <c r="T2030" s="26"/>
      <c r="U2030" s="26"/>
      <c r="V2030" s="26"/>
      <c r="W2030" s="26"/>
      <c r="X2030" s="26"/>
      <c r="Y2030" s="26"/>
      <c r="Z2030" s="26"/>
      <c r="AA2030" s="26"/>
      <c r="AB2030" s="26"/>
      <c r="AC2030" s="27"/>
    </row>
    <row r="2031" spans="1:29" x14ac:dyDescent="0.25">
      <c r="A2031" s="1"/>
      <c r="B2031" s="19"/>
      <c r="C2031" s="24"/>
      <c r="D2031" s="1"/>
      <c r="E2031" s="25"/>
      <c r="F2031" s="26"/>
      <c r="G2031" s="26"/>
      <c r="L2031" s="25"/>
      <c r="M2031" s="24"/>
      <c r="N2031" s="26"/>
      <c r="O2031" s="26"/>
      <c r="P2031" s="26"/>
      <c r="Q2031" s="26"/>
      <c r="R2031" s="26"/>
      <c r="S2031" s="26"/>
      <c r="T2031" s="26"/>
      <c r="U2031" s="26"/>
      <c r="V2031" s="26"/>
      <c r="W2031" s="26"/>
      <c r="X2031" s="26"/>
      <c r="Y2031" s="26"/>
      <c r="Z2031" s="26"/>
      <c r="AA2031" s="26"/>
      <c r="AB2031" s="26"/>
      <c r="AC2031" s="27"/>
    </row>
    <row r="2032" spans="1:29" x14ac:dyDescent="0.25">
      <c r="A2032" s="1"/>
      <c r="B2032" s="19"/>
      <c r="C2032" s="24"/>
      <c r="D2032" s="1"/>
      <c r="E2032" s="25"/>
      <c r="F2032" s="26"/>
      <c r="G2032" s="26"/>
      <c r="L2032" s="25"/>
      <c r="M2032" s="24"/>
      <c r="N2032" s="26"/>
      <c r="O2032" s="26"/>
      <c r="P2032" s="26"/>
      <c r="Q2032" s="26"/>
      <c r="R2032" s="26"/>
      <c r="S2032" s="26"/>
      <c r="T2032" s="26"/>
      <c r="U2032" s="26"/>
      <c r="V2032" s="26"/>
      <c r="W2032" s="26"/>
      <c r="X2032" s="26"/>
      <c r="Y2032" s="26"/>
      <c r="Z2032" s="26"/>
      <c r="AA2032" s="26"/>
      <c r="AB2032" s="26"/>
      <c r="AC2032" s="27"/>
    </row>
    <row r="2033" spans="1:29" x14ac:dyDescent="0.25">
      <c r="A2033" s="1"/>
      <c r="B2033" s="19"/>
      <c r="C2033" s="24"/>
      <c r="D2033" s="1"/>
      <c r="E2033" s="25"/>
      <c r="F2033" s="26"/>
      <c r="G2033" s="26"/>
      <c r="L2033" s="25"/>
      <c r="M2033" s="24"/>
      <c r="N2033" s="26"/>
      <c r="O2033" s="26"/>
      <c r="P2033" s="26"/>
      <c r="Q2033" s="26"/>
      <c r="R2033" s="26"/>
      <c r="S2033" s="26"/>
      <c r="T2033" s="26"/>
      <c r="U2033" s="26"/>
      <c r="V2033" s="26"/>
      <c r="W2033" s="26"/>
      <c r="X2033" s="26"/>
      <c r="Y2033" s="26"/>
      <c r="Z2033" s="26"/>
      <c r="AA2033" s="26"/>
      <c r="AB2033" s="26"/>
      <c r="AC2033" s="27"/>
    </row>
    <row r="2034" spans="1:29" x14ac:dyDescent="0.25">
      <c r="A2034" s="1"/>
      <c r="B2034" s="19"/>
      <c r="C2034" s="24"/>
      <c r="D2034" s="1"/>
      <c r="E2034" s="25"/>
      <c r="F2034" s="26"/>
      <c r="G2034" s="26"/>
      <c r="L2034" s="25"/>
      <c r="M2034" s="24"/>
      <c r="N2034" s="26"/>
      <c r="O2034" s="26"/>
      <c r="P2034" s="26"/>
      <c r="Q2034" s="26"/>
      <c r="R2034" s="26"/>
      <c r="S2034" s="26"/>
      <c r="T2034" s="26"/>
      <c r="U2034" s="26"/>
      <c r="V2034" s="26"/>
      <c r="W2034" s="26"/>
      <c r="X2034" s="26"/>
      <c r="Y2034" s="26"/>
      <c r="Z2034" s="26"/>
      <c r="AA2034" s="26"/>
      <c r="AB2034" s="26"/>
      <c r="AC2034" s="27"/>
    </row>
    <row r="2035" spans="1:29" x14ac:dyDescent="0.25">
      <c r="A2035" s="1"/>
      <c r="B2035" s="19"/>
      <c r="C2035" s="24"/>
      <c r="D2035" s="1"/>
      <c r="E2035" s="25"/>
      <c r="F2035" s="26"/>
      <c r="G2035" s="26"/>
      <c r="L2035" s="25"/>
      <c r="M2035" s="24"/>
      <c r="N2035" s="26"/>
      <c r="O2035" s="26"/>
      <c r="P2035" s="26"/>
      <c r="Q2035" s="26"/>
      <c r="R2035" s="26"/>
      <c r="S2035" s="26"/>
      <c r="T2035" s="26"/>
      <c r="U2035" s="26"/>
      <c r="V2035" s="26"/>
      <c r="W2035" s="26"/>
      <c r="X2035" s="26"/>
      <c r="Y2035" s="26"/>
      <c r="Z2035" s="26"/>
      <c r="AA2035" s="26"/>
      <c r="AB2035" s="26"/>
      <c r="AC2035" s="27"/>
    </row>
    <row r="2036" spans="1:29" x14ac:dyDescent="0.25">
      <c r="A2036" s="1"/>
      <c r="B2036" s="19"/>
      <c r="C2036" s="24"/>
      <c r="D2036" s="1"/>
      <c r="E2036" s="25"/>
      <c r="F2036" s="26"/>
      <c r="G2036" s="26"/>
      <c r="L2036" s="25"/>
      <c r="M2036" s="24"/>
      <c r="N2036" s="26"/>
      <c r="O2036" s="26"/>
      <c r="P2036" s="26"/>
      <c r="Q2036" s="26"/>
      <c r="R2036" s="26"/>
      <c r="S2036" s="26"/>
      <c r="T2036" s="26"/>
      <c r="U2036" s="26"/>
      <c r="V2036" s="26"/>
      <c r="W2036" s="26"/>
      <c r="X2036" s="26"/>
      <c r="Y2036" s="26"/>
      <c r="Z2036" s="26"/>
      <c r="AA2036" s="26"/>
      <c r="AB2036" s="26"/>
      <c r="AC2036" s="27"/>
    </row>
    <row r="2037" spans="1:29" x14ac:dyDescent="0.25">
      <c r="A2037" s="1"/>
      <c r="B2037" s="19"/>
      <c r="C2037" s="24"/>
      <c r="D2037" s="1"/>
      <c r="E2037" s="25"/>
      <c r="F2037" s="26"/>
      <c r="G2037" s="26"/>
      <c r="L2037" s="25"/>
      <c r="M2037" s="24"/>
      <c r="N2037" s="26"/>
      <c r="O2037" s="26"/>
      <c r="P2037" s="26"/>
      <c r="Q2037" s="26"/>
      <c r="R2037" s="26"/>
      <c r="S2037" s="26"/>
      <c r="T2037" s="26"/>
      <c r="U2037" s="26"/>
      <c r="V2037" s="26"/>
      <c r="W2037" s="26"/>
      <c r="X2037" s="26"/>
      <c r="Y2037" s="26"/>
      <c r="Z2037" s="26"/>
      <c r="AA2037" s="26"/>
      <c r="AB2037" s="26"/>
      <c r="AC2037" s="27"/>
    </row>
    <row r="2038" spans="1:29" x14ac:dyDescent="0.25">
      <c r="A2038" s="1"/>
      <c r="B2038" s="19"/>
      <c r="C2038" s="24"/>
      <c r="D2038" s="1"/>
      <c r="E2038" s="25"/>
      <c r="F2038" s="26"/>
      <c r="G2038" s="26"/>
      <c r="L2038" s="25"/>
      <c r="M2038" s="24"/>
      <c r="N2038" s="26"/>
      <c r="O2038" s="26"/>
      <c r="P2038" s="26"/>
      <c r="Q2038" s="26"/>
      <c r="R2038" s="26"/>
      <c r="S2038" s="26"/>
      <c r="T2038" s="26"/>
      <c r="U2038" s="26"/>
      <c r="V2038" s="26"/>
      <c r="W2038" s="26"/>
      <c r="X2038" s="26"/>
      <c r="Y2038" s="26"/>
      <c r="Z2038" s="26"/>
      <c r="AA2038" s="26"/>
      <c r="AB2038" s="26"/>
      <c r="AC2038" s="27"/>
    </row>
    <row r="2039" spans="1:29" x14ac:dyDescent="0.25">
      <c r="A2039" s="1"/>
      <c r="B2039" s="19"/>
      <c r="C2039" s="24"/>
      <c r="D2039" s="1"/>
      <c r="E2039" s="25"/>
      <c r="F2039" s="26"/>
      <c r="G2039" s="26"/>
      <c r="L2039" s="25"/>
      <c r="M2039" s="24"/>
      <c r="N2039" s="26"/>
      <c r="O2039" s="26"/>
      <c r="P2039" s="26"/>
      <c r="Q2039" s="26"/>
      <c r="R2039" s="26"/>
      <c r="S2039" s="26"/>
      <c r="T2039" s="26"/>
      <c r="U2039" s="26"/>
      <c r="V2039" s="26"/>
      <c r="W2039" s="26"/>
      <c r="X2039" s="26"/>
      <c r="Y2039" s="26"/>
      <c r="Z2039" s="26"/>
      <c r="AA2039" s="26"/>
      <c r="AB2039" s="26"/>
      <c r="AC2039" s="27"/>
    </row>
    <row r="2040" spans="1:29" x14ac:dyDescent="0.25">
      <c r="A2040" s="1"/>
      <c r="B2040" s="19"/>
      <c r="C2040" s="24"/>
      <c r="D2040" s="1"/>
      <c r="E2040" s="25"/>
      <c r="F2040" s="26"/>
      <c r="G2040" s="26"/>
      <c r="L2040" s="25"/>
      <c r="M2040" s="24"/>
      <c r="N2040" s="26"/>
      <c r="O2040" s="26"/>
      <c r="P2040" s="26"/>
      <c r="Q2040" s="26"/>
      <c r="R2040" s="26"/>
      <c r="S2040" s="26"/>
      <c r="T2040" s="26"/>
      <c r="U2040" s="26"/>
      <c r="V2040" s="26"/>
      <c r="W2040" s="26"/>
      <c r="X2040" s="26"/>
      <c r="Y2040" s="26"/>
      <c r="Z2040" s="26"/>
      <c r="AA2040" s="26"/>
      <c r="AB2040" s="26"/>
      <c r="AC2040" s="27"/>
    </row>
    <row r="2041" spans="1:29" x14ac:dyDescent="0.25">
      <c r="A2041" s="1"/>
      <c r="B2041" s="19"/>
      <c r="C2041" s="24"/>
      <c r="D2041" s="1"/>
      <c r="E2041" s="25"/>
      <c r="F2041" s="26"/>
      <c r="G2041" s="26"/>
      <c r="L2041" s="25"/>
      <c r="M2041" s="24"/>
      <c r="N2041" s="26"/>
      <c r="O2041" s="26"/>
      <c r="P2041" s="26"/>
      <c r="Q2041" s="26"/>
      <c r="R2041" s="26"/>
      <c r="S2041" s="26"/>
      <c r="T2041" s="26"/>
      <c r="U2041" s="26"/>
      <c r="V2041" s="26"/>
      <c r="W2041" s="26"/>
      <c r="X2041" s="26"/>
      <c r="Y2041" s="26"/>
      <c r="Z2041" s="26"/>
      <c r="AA2041" s="26"/>
      <c r="AB2041" s="26"/>
      <c r="AC2041" s="27"/>
    </row>
    <row r="2042" spans="1:29" x14ac:dyDescent="0.25">
      <c r="A2042" s="1"/>
      <c r="B2042" s="19"/>
      <c r="C2042" s="24"/>
      <c r="D2042" s="1"/>
      <c r="E2042" s="25"/>
      <c r="F2042" s="26"/>
      <c r="G2042" s="26"/>
      <c r="L2042" s="25"/>
      <c r="M2042" s="24"/>
      <c r="N2042" s="26"/>
      <c r="O2042" s="26"/>
      <c r="P2042" s="26"/>
      <c r="Q2042" s="26"/>
      <c r="R2042" s="26"/>
      <c r="S2042" s="26"/>
      <c r="T2042" s="26"/>
      <c r="U2042" s="26"/>
      <c r="V2042" s="26"/>
      <c r="W2042" s="26"/>
      <c r="X2042" s="26"/>
      <c r="Y2042" s="26"/>
      <c r="Z2042" s="26"/>
      <c r="AA2042" s="26"/>
      <c r="AB2042" s="26"/>
      <c r="AC2042" s="27"/>
    </row>
    <row r="2043" spans="1:29" x14ac:dyDescent="0.25">
      <c r="A2043" s="1"/>
      <c r="B2043" s="19"/>
      <c r="C2043" s="24"/>
      <c r="D2043" s="1"/>
      <c r="E2043" s="25"/>
      <c r="F2043" s="26"/>
      <c r="G2043" s="26"/>
      <c r="L2043" s="25"/>
      <c r="M2043" s="24"/>
      <c r="N2043" s="26"/>
      <c r="O2043" s="26"/>
      <c r="P2043" s="26"/>
      <c r="Q2043" s="26"/>
      <c r="R2043" s="26"/>
      <c r="S2043" s="26"/>
      <c r="T2043" s="26"/>
      <c r="U2043" s="26"/>
      <c r="V2043" s="26"/>
      <c r="W2043" s="26"/>
      <c r="X2043" s="26"/>
      <c r="Y2043" s="26"/>
      <c r="Z2043" s="26"/>
      <c r="AA2043" s="26"/>
      <c r="AB2043" s="26"/>
      <c r="AC2043" s="27"/>
    </row>
    <row r="2044" spans="1:29" x14ac:dyDescent="0.25">
      <c r="A2044" s="1"/>
      <c r="B2044" s="19"/>
      <c r="C2044" s="24"/>
      <c r="D2044" s="1"/>
      <c r="E2044" s="25"/>
      <c r="F2044" s="26"/>
      <c r="G2044" s="26"/>
      <c r="L2044" s="25"/>
      <c r="M2044" s="24"/>
      <c r="N2044" s="26"/>
      <c r="O2044" s="26"/>
      <c r="P2044" s="26"/>
      <c r="Q2044" s="26"/>
      <c r="R2044" s="26"/>
      <c r="S2044" s="26"/>
      <c r="T2044" s="26"/>
      <c r="U2044" s="26"/>
      <c r="V2044" s="26"/>
      <c r="W2044" s="26"/>
      <c r="X2044" s="26"/>
      <c r="Y2044" s="26"/>
      <c r="Z2044" s="26"/>
      <c r="AA2044" s="26"/>
      <c r="AB2044" s="26"/>
      <c r="AC2044" s="27"/>
    </row>
    <row r="2045" spans="1:29" x14ac:dyDescent="0.25">
      <c r="A2045" s="1"/>
      <c r="B2045" s="19"/>
      <c r="C2045" s="24"/>
      <c r="D2045" s="1"/>
      <c r="E2045" s="25"/>
      <c r="F2045" s="26"/>
      <c r="G2045" s="26"/>
      <c r="L2045" s="25"/>
      <c r="M2045" s="24"/>
      <c r="N2045" s="26"/>
      <c r="O2045" s="26"/>
      <c r="P2045" s="26"/>
      <c r="Q2045" s="26"/>
      <c r="R2045" s="26"/>
      <c r="S2045" s="26"/>
      <c r="T2045" s="26"/>
      <c r="U2045" s="26"/>
      <c r="V2045" s="26"/>
      <c r="W2045" s="26"/>
      <c r="X2045" s="26"/>
      <c r="Y2045" s="26"/>
      <c r="Z2045" s="26"/>
      <c r="AA2045" s="26"/>
      <c r="AB2045" s="26"/>
      <c r="AC2045" s="27"/>
    </row>
    <row r="2046" spans="1:29" x14ac:dyDescent="0.25">
      <c r="A2046" s="1"/>
      <c r="B2046" s="19"/>
      <c r="C2046" s="24"/>
      <c r="D2046" s="1"/>
      <c r="E2046" s="25"/>
      <c r="F2046" s="26"/>
      <c r="G2046" s="26"/>
      <c r="L2046" s="25"/>
      <c r="M2046" s="24"/>
      <c r="N2046" s="26"/>
      <c r="O2046" s="26"/>
      <c r="P2046" s="26"/>
      <c r="Q2046" s="26"/>
      <c r="R2046" s="26"/>
      <c r="S2046" s="26"/>
      <c r="T2046" s="26"/>
      <c r="U2046" s="26"/>
      <c r="V2046" s="26"/>
      <c r="W2046" s="26"/>
      <c r="X2046" s="26"/>
      <c r="Y2046" s="26"/>
      <c r="Z2046" s="26"/>
      <c r="AA2046" s="26"/>
      <c r="AB2046" s="26"/>
      <c r="AC2046" s="27"/>
    </row>
    <row r="2047" spans="1:29" x14ac:dyDescent="0.25">
      <c r="A2047" s="1"/>
      <c r="B2047" s="19"/>
      <c r="C2047" s="24"/>
      <c r="D2047" s="1"/>
      <c r="E2047" s="25"/>
      <c r="F2047" s="26"/>
      <c r="G2047" s="26"/>
      <c r="L2047" s="25"/>
      <c r="M2047" s="24"/>
      <c r="N2047" s="26"/>
      <c r="O2047" s="26"/>
      <c r="P2047" s="26"/>
      <c r="Q2047" s="26"/>
      <c r="R2047" s="26"/>
      <c r="S2047" s="26"/>
      <c r="T2047" s="26"/>
      <c r="U2047" s="26"/>
      <c r="V2047" s="26"/>
      <c r="W2047" s="26"/>
      <c r="X2047" s="26"/>
      <c r="Y2047" s="26"/>
      <c r="Z2047" s="26"/>
      <c r="AA2047" s="26"/>
      <c r="AB2047" s="26"/>
      <c r="AC2047" s="27"/>
    </row>
    <row r="2048" spans="1:29" x14ac:dyDescent="0.25">
      <c r="A2048" s="1"/>
      <c r="B2048" s="19"/>
      <c r="C2048" s="24"/>
      <c r="D2048" s="1"/>
      <c r="E2048" s="25"/>
      <c r="F2048" s="26"/>
      <c r="G2048" s="26"/>
      <c r="L2048" s="25"/>
      <c r="M2048" s="24"/>
      <c r="N2048" s="26"/>
      <c r="O2048" s="26"/>
      <c r="P2048" s="26"/>
      <c r="Q2048" s="26"/>
      <c r="R2048" s="26"/>
      <c r="S2048" s="26"/>
      <c r="T2048" s="26"/>
      <c r="U2048" s="26"/>
      <c r="V2048" s="26"/>
      <c r="W2048" s="26"/>
      <c r="X2048" s="26"/>
      <c r="Y2048" s="26"/>
      <c r="Z2048" s="26"/>
      <c r="AA2048" s="26"/>
      <c r="AB2048" s="26"/>
      <c r="AC2048" s="27"/>
    </row>
    <row r="2049" spans="1:29" x14ac:dyDescent="0.25">
      <c r="A2049" s="1"/>
      <c r="B2049" s="19"/>
      <c r="C2049" s="24"/>
      <c r="D2049" s="1"/>
      <c r="E2049" s="25"/>
      <c r="F2049" s="26"/>
      <c r="G2049" s="26"/>
      <c r="L2049" s="25"/>
      <c r="M2049" s="24"/>
      <c r="N2049" s="26"/>
      <c r="O2049" s="26"/>
      <c r="P2049" s="26"/>
      <c r="Q2049" s="26"/>
      <c r="R2049" s="26"/>
      <c r="S2049" s="26"/>
      <c r="T2049" s="26"/>
      <c r="U2049" s="26"/>
      <c r="V2049" s="26"/>
      <c r="W2049" s="26"/>
      <c r="X2049" s="26"/>
      <c r="Y2049" s="26"/>
      <c r="Z2049" s="26"/>
      <c r="AA2049" s="26"/>
      <c r="AB2049" s="26"/>
      <c r="AC2049" s="27"/>
    </row>
    <row r="2050" spans="1:29" x14ac:dyDescent="0.25">
      <c r="A2050" s="1"/>
      <c r="B2050" s="19"/>
      <c r="C2050" s="24"/>
      <c r="D2050" s="1"/>
      <c r="E2050" s="25"/>
      <c r="F2050" s="26"/>
      <c r="G2050" s="26"/>
      <c r="L2050" s="25"/>
      <c r="M2050" s="24"/>
      <c r="N2050" s="26"/>
      <c r="O2050" s="26"/>
      <c r="P2050" s="26"/>
      <c r="Q2050" s="26"/>
      <c r="R2050" s="26"/>
      <c r="S2050" s="26"/>
      <c r="T2050" s="26"/>
      <c r="U2050" s="26"/>
      <c r="V2050" s="26"/>
      <c r="W2050" s="26"/>
      <c r="X2050" s="26"/>
      <c r="Y2050" s="26"/>
      <c r="Z2050" s="26"/>
      <c r="AA2050" s="26"/>
      <c r="AB2050" s="26"/>
      <c r="AC2050" s="27"/>
    </row>
    <row r="2051" spans="1:29" x14ac:dyDescent="0.25">
      <c r="A2051" s="1"/>
      <c r="B2051" s="19"/>
      <c r="C2051" s="24"/>
      <c r="D2051" s="1"/>
      <c r="E2051" s="25"/>
      <c r="F2051" s="26"/>
      <c r="G2051" s="26"/>
      <c r="L2051" s="25"/>
      <c r="M2051" s="24"/>
      <c r="N2051" s="26"/>
      <c r="O2051" s="26"/>
      <c r="P2051" s="26"/>
      <c r="Q2051" s="26"/>
      <c r="R2051" s="26"/>
      <c r="S2051" s="26"/>
      <c r="T2051" s="26"/>
      <c r="U2051" s="26"/>
      <c r="V2051" s="26"/>
      <c r="W2051" s="26"/>
      <c r="X2051" s="26"/>
      <c r="Y2051" s="26"/>
      <c r="Z2051" s="26"/>
      <c r="AA2051" s="26"/>
      <c r="AB2051" s="26"/>
      <c r="AC2051" s="27"/>
    </row>
    <row r="2052" spans="1:29" x14ac:dyDescent="0.25">
      <c r="A2052" s="1"/>
      <c r="B2052" s="19"/>
      <c r="C2052" s="24"/>
      <c r="D2052" s="1"/>
      <c r="E2052" s="25"/>
      <c r="F2052" s="26"/>
      <c r="G2052" s="26"/>
      <c r="L2052" s="25"/>
      <c r="M2052" s="24"/>
      <c r="N2052" s="26"/>
      <c r="O2052" s="26"/>
      <c r="P2052" s="26"/>
      <c r="Q2052" s="26"/>
      <c r="R2052" s="26"/>
      <c r="S2052" s="26"/>
      <c r="T2052" s="26"/>
      <c r="U2052" s="26"/>
      <c r="V2052" s="26"/>
      <c r="W2052" s="26"/>
      <c r="X2052" s="26"/>
      <c r="Y2052" s="26"/>
      <c r="Z2052" s="26"/>
      <c r="AA2052" s="26"/>
      <c r="AB2052" s="26"/>
      <c r="AC2052" s="27"/>
    </row>
    <row r="2053" spans="1:29" x14ac:dyDescent="0.25">
      <c r="A2053" s="1"/>
      <c r="B2053" s="19"/>
      <c r="C2053" s="24"/>
      <c r="D2053" s="1"/>
      <c r="E2053" s="25"/>
      <c r="F2053" s="26"/>
      <c r="G2053" s="26"/>
      <c r="L2053" s="25"/>
      <c r="M2053" s="24"/>
      <c r="N2053" s="26"/>
      <c r="O2053" s="26"/>
      <c r="P2053" s="26"/>
      <c r="Q2053" s="26"/>
      <c r="R2053" s="26"/>
      <c r="S2053" s="26"/>
      <c r="T2053" s="26"/>
      <c r="U2053" s="26"/>
      <c r="V2053" s="26"/>
      <c r="W2053" s="26"/>
      <c r="X2053" s="26"/>
      <c r="Y2053" s="26"/>
      <c r="Z2053" s="26"/>
      <c r="AA2053" s="26"/>
      <c r="AB2053" s="26"/>
      <c r="AC2053" s="27"/>
    </row>
    <row r="2054" spans="1:29" x14ac:dyDescent="0.25">
      <c r="A2054" s="1"/>
      <c r="B2054" s="19"/>
      <c r="C2054" s="24"/>
      <c r="D2054" s="1"/>
      <c r="E2054" s="25"/>
      <c r="F2054" s="26"/>
      <c r="G2054" s="26"/>
      <c r="L2054" s="25"/>
      <c r="M2054" s="24"/>
      <c r="N2054" s="26"/>
      <c r="O2054" s="26"/>
      <c r="P2054" s="26"/>
      <c r="Q2054" s="26"/>
      <c r="R2054" s="26"/>
      <c r="S2054" s="26"/>
      <c r="T2054" s="26"/>
      <c r="U2054" s="26"/>
      <c r="V2054" s="26"/>
      <c r="W2054" s="26"/>
      <c r="X2054" s="26"/>
      <c r="Y2054" s="26"/>
      <c r="Z2054" s="26"/>
      <c r="AA2054" s="26"/>
      <c r="AB2054" s="26"/>
      <c r="AC2054" s="27"/>
    </row>
    <row r="2055" spans="1:29" x14ac:dyDescent="0.25">
      <c r="A2055" s="1"/>
      <c r="B2055" s="19"/>
      <c r="C2055" s="24"/>
      <c r="D2055" s="1"/>
      <c r="E2055" s="25"/>
      <c r="F2055" s="26"/>
      <c r="G2055" s="26"/>
      <c r="L2055" s="25"/>
      <c r="M2055" s="24"/>
      <c r="N2055" s="26"/>
      <c r="O2055" s="26"/>
      <c r="P2055" s="26"/>
      <c r="Q2055" s="26"/>
      <c r="R2055" s="26"/>
      <c r="S2055" s="26"/>
      <c r="T2055" s="26"/>
      <c r="U2055" s="26"/>
      <c r="V2055" s="26"/>
      <c r="W2055" s="26"/>
      <c r="X2055" s="26"/>
      <c r="Y2055" s="26"/>
      <c r="Z2055" s="26"/>
      <c r="AA2055" s="26"/>
      <c r="AB2055" s="26"/>
      <c r="AC2055" s="27"/>
    </row>
    <row r="2056" spans="1:29" x14ac:dyDescent="0.25">
      <c r="A2056" s="1"/>
      <c r="B2056" s="19"/>
      <c r="C2056" s="24"/>
      <c r="D2056" s="1"/>
      <c r="E2056" s="25"/>
      <c r="F2056" s="26"/>
      <c r="G2056" s="26"/>
      <c r="L2056" s="25"/>
      <c r="M2056" s="24"/>
      <c r="N2056" s="26"/>
      <c r="O2056" s="26"/>
      <c r="P2056" s="26"/>
      <c r="Q2056" s="26"/>
      <c r="R2056" s="26"/>
      <c r="S2056" s="26"/>
      <c r="T2056" s="26"/>
      <c r="U2056" s="26"/>
      <c r="V2056" s="26"/>
      <c r="W2056" s="26"/>
      <c r="X2056" s="26"/>
      <c r="Y2056" s="26"/>
      <c r="Z2056" s="26"/>
      <c r="AA2056" s="26"/>
      <c r="AB2056" s="26"/>
      <c r="AC2056" s="27"/>
    </row>
    <row r="2057" spans="1:29" x14ac:dyDescent="0.25">
      <c r="A2057" s="1"/>
      <c r="B2057" s="19"/>
      <c r="C2057" s="24"/>
      <c r="D2057" s="1"/>
      <c r="E2057" s="25"/>
      <c r="F2057" s="26"/>
      <c r="G2057" s="26"/>
      <c r="L2057" s="25"/>
      <c r="M2057" s="24"/>
      <c r="N2057" s="26"/>
      <c r="O2057" s="26"/>
      <c r="P2057" s="26"/>
      <c r="Q2057" s="26"/>
      <c r="R2057" s="26"/>
      <c r="S2057" s="26"/>
      <c r="T2057" s="26"/>
      <c r="U2057" s="26"/>
      <c r="V2057" s="26"/>
      <c r="W2057" s="26"/>
      <c r="X2057" s="26"/>
      <c r="Y2057" s="26"/>
      <c r="Z2057" s="26"/>
      <c r="AA2057" s="26"/>
      <c r="AB2057" s="26"/>
      <c r="AC2057" s="27"/>
    </row>
    <row r="2058" spans="1:29" x14ac:dyDescent="0.25">
      <c r="A2058" s="1"/>
      <c r="B2058" s="19"/>
      <c r="C2058" s="24"/>
      <c r="D2058" s="1"/>
      <c r="E2058" s="25"/>
      <c r="F2058" s="26"/>
      <c r="G2058" s="26"/>
      <c r="L2058" s="25"/>
      <c r="M2058" s="24"/>
      <c r="N2058" s="26"/>
      <c r="O2058" s="26"/>
      <c r="P2058" s="26"/>
      <c r="Q2058" s="26"/>
      <c r="R2058" s="26"/>
      <c r="S2058" s="26"/>
      <c r="T2058" s="26"/>
      <c r="U2058" s="26"/>
      <c r="V2058" s="26"/>
      <c r="W2058" s="26"/>
      <c r="X2058" s="26"/>
      <c r="Y2058" s="26"/>
      <c r="Z2058" s="26"/>
      <c r="AA2058" s="26"/>
      <c r="AB2058" s="26"/>
      <c r="AC2058" s="27"/>
    </row>
    <row r="2059" spans="1:29" x14ac:dyDescent="0.25">
      <c r="A2059" s="1"/>
      <c r="B2059" s="19"/>
      <c r="C2059" s="24"/>
      <c r="D2059" s="1"/>
      <c r="E2059" s="25"/>
      <c r="F2059" s="26"/>
      <c r="G2059" s="26"/>
      <c r="L2059" s="25"/>
      <c r="M2059" s="24"/>
      <c r="N2059" s="26"/>
      <c r="O2059" s="26"/>
      <c r="P2059" s="26"/>
      <c r="Q2059" s="26"/>
      <c r="R2059" s="26"/>
      <c r="S2059" s="26"/>
      <c r="T2059" s="26"/>
      <c r="U2059" s="26"/>
      <c r="V2059" s="26"/>
      <c r="W2059" s="26"/>
      <c r="X2059" s="26"/>
      <c r="Y2059" s="26"/>
      <c r="Z2059" s="26"/>
      <c r="AA2059" s="26"/>
      <c r="AB2059" s="26"/>
      <c r="AC2059" s="27"/>
    </row>
    <row r="2060" spans="1:29" x14ac:dyDescent="0.25">
      <c r="A2060" s="1"/>
      <c r="B2060" s="19"/>
      <c r="C2060" s="24"/>
      <c r="D2060" s="1"/>
      <c r="E2060" s="25"/>
      <c r="F2060" s="26"/>
      <c r="G2060" s="26"/>
      <c r="L2060" s="25"/>
      <c r="M2060" s="24"/>
      <c r="N2060" s="26"/>
      <c r="O2060" s="26"/>
      <c r="P2060" s="26"/>
      <c r="Q2060" s="26"/>
      <c r="R2060" s="26"/>
      <c r="S2060" s="26"/>
      <c r="T2060" s="26"/>
      <c r="U2060" s="26"/>
      <c r="V2060" s="26"/>
      <c r="W2060" s="26"/>
      <c r="X2060" s="26"/>
      <c r="Y2060" s="26"/>
      <c r="Z2060" s="26"/>
      <c r="AA2060" s="26"/>
      <c r="AB2060" s="26"/>
      <c r="AC2060" s="27"/>
    </row>
    <row r="2061" spans="1:29" x14ac:dyDescent="0.25">
      <c r="A2061" s="1"/>
      <c r="B2061" s="19"/>
      <c r="C2061" s="24"/>
      <c r="D2061" s="1"/>
      <c r="E2061" s="25"/>
      <c r="F2061" s="26"/>
      <c r="G2061" s="26"/>
      <c r="L2061" s="25"/>
      <c r="M2061" s="24"/>
      <c r="N2061" s="26"/>
      <c r="O2061" s="26"/>
      <c r="P2061" s="26"/>
      <c r="Q2061" s="26"/>
      <c r="R2061" s="26"/>
      <c r="S2061" s="26"/>
      <c r="T2061" s="26"/>
      <c r="U2061" s="26"/>
      <c r="V2061" s="26"/>
      <c r="W2061" s="26"/>
      <c r="X2061" s="26"/>
      <c r="Y2061" s="26"/>
      <c r="Z2061" s="26"/>
      <c r="AA2061" s="26"/>
      <c r="AB2061" s="26"/>
      <c r="AC2061" s="27"/>
    </row>
    <row r="2062" spans="1:29" x14ac:dyDescent="0.25">
      <c r="A2062" s="1"/>
      <c r="B2062" s="19"/>
      <c r="C2062" s="24"/>
      <c r="D2062" s="1"/>
      <c r="E2062" s="25"/>
      <c r="F2062" s="26"/>
      <c r="G2062" s="26"/>
      <c r="L2062" s="25"/>
      <c r="M2062" s="24"/>
      <c r="N2062" s="26"/>
      <c r="O2062" s="26"/>
      <c r="P2062" s="26"/>
      <c r="Q2062" s="26"/>
      <c r="R2062" s="26"/>
      <c r="S2062" s="26"/>
      <c r="T2062" s="26"/>
      <c r="U2062" s="26"/>
      <c r="V2062" s="26"/>
      <c r="W2062" s="26"/>
      <c r="X2062" s="26"/>
      <c r="Y2062" s="26"/>
      <c r="Z2062" s="26"/>
      <c r="AA2062" s="26"/>
      <c r="AB2062" s="26"/>
      <c r="AC2062" s="27"/>
    </row>
    <row r="2063" spans="1:29" x14ac:dyDescent="0.25">
      <c r="A2063" s="1"/>
      <c r="B2063" s="19"/>
      <c r="C2063" s="24"/>
      <c r="D2063" s="1"/>
      <c r="E2063" s="25"/>
      <c r="F2063" s="26"/>
      <c r="G2063" s="26"/>
      <c r="L2063" s="25"/>
      <c r="M2063" s="24"/>
      <c r="N2063" s="26"/>
      <c r="O2063" s="26"/>
      <c r="P2063" s="26"/>
      <c r="Q2063" s="26"/>
      <c r="R2063" s="26"/>
      <c r="S2063" s="26"/>
      <c r="T2063" s="26"/>
      <c r="U2063" s="26"/>
      <c r="V2063" s="26"/>
      <c r="W2063" s="26"/>
      <c r="X2063" s="26"/>
      <c r="Y2063" s="26"/>
      <c r="Z2063" s="26"/>
      <c r="AA2063" s="26"/>
      <c r="AB2063" s="26"/>
      <c r="AC2063" s="27"/>
    </row>
    <row r="2064" spans="1:29" x14ac:dyDescent="0.25">
      <c r="A2064" s="1"/>
      <c r="B2064" s="19"/>
      <c r="C2064" s="24"/>
      <c r="D2064" s="1"/>
      <c r="E2064" s="25"/>
      <c r="F2064" s="26"/>
      <c r="G2064" s="26"/>
      <c r="L2064" s="25"/>
      <c r="M2064" s="24"/>
      <c r="N2064" s="26"/>
      <c r="O2064" s="26"/>
      <c r="P2064" s="26"/>
      <c r="Q2064" s="26"/>
      <c r="R2064" s="26"/>
      <c r="S2064" s="26"/>
      <c r="T2064" s="26"/>
      <c r="U2064" s="26"/>
      <c r="V2064" s="26"/>
      <c r="W2064" s="26"/>
      <c r="X2064" s="26"/>
      <c r="Y2064" s="26"/>
      <c r="Z2064" s="26"/>
      <c r="AA2064" s="26"/>
      <c r="AB2064" s="26"/>
      <c r="AC2064" s="27"/>
    </row>
    <row r="2065" spans="1:29" x14ac:dyDescent="0.25">
      <c r="A2065" s="1"/>
      <c r="B2065" s="19"/>
      <c r="C2065" s="24"/>
      <c r="D2065" s="1"/>
      <c r="E2065" s="25"/>
      <c r="F2065" s="26"/>
      <c r="G2065" s="26"/>
      <c r="L2065" s="25"/>
      <c r="M2065" s="24"/>
      <c r="N2065" s="26"/>
      <c r="O2065" s="26"/>
      <c r="P2065" s="26"/>
      <c r="Q2065" s="26"/>
      <c r="R2065" s="26"/>
      <c r="S2065" s="26"/>
      <c r="T2065" s="26"/>
      <c r="U2065" s="26"/>
      <c r="V2065" s="26"/>
      <c r="W2065" s="26"/>
      <c r="X2065" s="26"/>
      <c r="Y2065" s="26"/>
      <c r="Z2065" s="26"/>
      <c r="AA2065" s="26"/>
      <c r="AB2065" s="26"/>
      <c r="AC2065" s="27"/>
    </row>
    <row r="2066" spans="1:29" x14ac:dyDescent="0.25">
      <c r="A2066" s="1"/>
      <c r="B2066" s="19"/>
      <c r="C2066" s="24"/>
      <c r="D2066" s="1"/>
      <c r="E2066" s="25"/>
      <c r="F2066" s="26"/>
      <c r="G2066" s="26"/>
      <c r="L2066" s="25"/>
      <c r="M2066" s="24"/>
      <c r="N2066" s="26"/>
      <c r="O2066" s="26"/>
      <c r="P2066" s="26"/>
      <c r="Q2066" s="26"/>
      <c r="R2066" s="26"/>
      <c r="S2066" s="26"/>
      <c r="T2066" s="26"/>
      <c r="U2066" s="26"/>
      <c r="V2066" s="26"/>
      <c r="W2066" s="26"/>
      <c r="X2066" s="26"/>
      <c r="Y2066" s="26"/>
      <c r="Z2066" s="26"/>
      <c r="AA2066" s="26"/>
      <c r="AB2066" s="26"/>
      <c r="AC2066" s="27"/>
    </row>
    <row r="2067" spans="1:29" x14ac:dyDescent="0.25">
      <c r="A2067" s="1"/>
      <c r="B2067" s="19"/>
      <c r="C2067" s="24"/>
      <c r="D2067" s="1"/>
      <c r="E2067" s="25"/>
      <c r="F2067" s="26"/>
      <c r="G2067" s="26"/>
      <c r="L2067" s="25"/>
      <c r="M2067" s="24"/>
      <c r="N2067" s="26"/>
      <c r="O2067" s="26"/>
      <c r="P2067" s="26"/>
      <c r="Q2067" s="26"/>
      <c r="R2067" s="26"/>
      <c r="S2067" s="26"/>
      <c r="T2067" s="26"/>
      <c r="U2067" s="26"/>
      <c r="V2067" s="26"/>
      <c r="W2067" s="26"/>
      <c r="X2067" s="26"/>
      <c r="Y2067" s="26"/>
      <c r="Z2067" s="26"/>
      <c r="AA2067" s="26"/>
      <c r="AB2067" s="26"/>
      <c r="AC2067" s="27"/>
    </row>
    <row r="2068" spans="1:29" x14ac:dyDescent="0.25">
      <c r="A2068" s="1"/>
      <c r="B2068" s="19"/>
      <c r="C2068" s="24"/>
      <c r="D2068" s="1"/>
      <c r="E2068" s="25"/>
      <c r="F2068" s="26"/>
      <c r="G2068" s="26"/>
      <c r="L2068" s="25"/>
      <c r="M2068" s="24"/>
      <c r="N2068" s="26"/>
      <c r="O2068" s="26"/>
      <c r="P2068" s="26"/>
      <c r="Q2068" s="26"/>
      <c r="R2068" s="26"/>
      <c r="S2068" s="26"/>
      <c r="T2068" s="26"/>
      <c r="U2068" s="26"/>
      <c r="V2068" s="26"/>
      <c r="W2068" s="26"/>
      <c r="X2068" s="26"/>
      <c r="Y2068" s="26"/>
      <c r="Z2068" s="26"/>
      <c r="AA2068" s="26"/>
      <c r="AB2068" s="26"/>
      <c r="AC2068" s="27"/>
    </row>
    <row r="2069" spans="1:29" x14ac:dyDescent="0.25">
      <c r="A2069" s="1"/>
      <c r="B2069" s="19"/>
      <c r="C2069" s="24"/>
      <c r="D2069" s="1"/>
      <c r="E2069" s="25"/>
      <c r="F2069" s="26"/>
      <c r="G2069" s="26"/>
      <c r="L2069" s="25"/>
      <c r="M2069" s="24"/>
      <c r="N2069" s="26"/>
      <c r="O2069" s="26"/>
      <c r="P2069" s="26"/>
      <c r="Q2069" s="26"/>
      <c r="R2069" s="26"/>
      <c r="S2069" s="26"/>
      <c r="T2069" s="26"/>
      <c r="U2069" s="26"/>
      <c r="V2069" s="26"/>
      <c r="W2069" s="26"/>
      <c r="X2069" s="26"/>
      <c r="Y2069" s="26"/>
      <c r="Z2069" s="26"/>
      <c r="AA2069" s="26"/>
      <c r="AB2069" s="26"/>
      <c r="AC2069" s="27"/>
    </row>
    <row r="2070" spans="1:29" x14ac:dyDescent="0.25">
      <c r="A2070" s="1"/>
      <c r="B2070" s="19"/>
      <c r="C2070" s="24"/>
      <c r="D2070" s="1"/>
      <c r="E2070" s="25"/>
      <c r="F2070" s="26"/>
      <c r="G2070" s="26"/>
      <c r="L2070" s="25"/>
      <c r="M2070" s="24"/>
      <c r="N2070" s="26"/>
      <c r="O2070" s="26"/>
      <c r="P2070" s="26"/>
      <c r="Q2070" s="26"/>
      <c r="R2070" s="26"/>
      <c r="S2070" s="26"/>
      <c r="T2070" s="26"/>
      <c r="U2070" s="26"/>
      <c r="V2070" s="26"/>
      <c r="W2070" s="26"/>
      <c r="X2070" s="26"/>
      <c r="Y2070" s="26"/>
      <c r="Z2070" s="26"/>
      <c r="AA2070" s="26"/>
      <c r="AB2070" s="26"/>
      <c r="AC2070" s="27"/>
    </row>
    <row r="2071" spans="1:29" x14ac:dyDescent="0.25">
      <c r="A2071" s="1"/>
      <c r="B2071" s="19"/>
      <c r="C2071" s="24"/>
      <c r="D2071" s="1"/>
      <c r="E2071" s="25"/>
      <c r="F2071" s="26"/>
      <c r="G2071" s="26"/>
      <c r="L2071" s="25"/>
      <c r="M2071" s="24"/>
      <c r="N2071" s="26"/>
      <c r="O2071" s="26"/>
      <c r="P2071" s="26"/>
      <c r="Q2071" s="26"/>
      <c r="R2071" s="26"/>
      <c r="S2071" s="26"/>
      <c r="T2071" s="26"/>
      <c r="U2071" s="26"/>
      <c r="V2071" s="26"/>
      <c r="W2071" s="26"/>
      <c r="X2071" s="26"/>
      <c r="Y2071" s="26"/>
      <c r="Z2071" s="26"/>
      <c r="AA2071" s="26"/>
      <c r="AB2071" s="26"/>
      <c r="AC2071" s="27"/>
    </row>
    <row r="2072" spans="1:29" x14ac:dyDescent="0.25">
      <c r="A2072" s="1"/>
      <c r="B2072" s="19"/>
      <c r="C2072" s="24"/>
      <c r="D2072" s="1"/>
      <c r="E2072" s="25"/>
      <c r="F2072" s="26"/>
      <c r="G2072" s="26"/>
      <c r="L2072" s="25"/>
      <c r="M2072" s="24"/>
      <c r="N2072" s="26"/>
      <c r="O2072" s="26"/>
      <c r="P2072" s="26"/>
      <c r="Q2072" s="26"/>
      <c r="R2072" s="26"/>
      <c r="S2072" s="26"/>
      <c r="T2072" s="26"/>
      <c r="U2072" s="26"/>
      <c r="V2072" s="26"/>
      <c r="W2072" s="26"/>
      <c r="X2072" s="26"/>
      <c r="Y2072" s="26"/>
      <c r="Z2072" s="26"/>
      <c r="AA2072" s="26"/>
      <c r="AB2072" s="26"/>
      <c r="AC2072" s="27"/>
    </row>
    <row r="2073" spans="1:29" x14ac:dyDescent="0.25">
      <c r="A2073" s="1"/>
      <c r="B2073" s="19"/>
      <c r="C2073" s="24"/>
      <c r="D2073" s="1"/>
      <c r="E2073" s="25"/>
      <c r="F2073" s="26"/>
      <c r="G2073" s="26"/>
      <c r="L2073" s="25"/>
      <c r="M2073" s="24"/>
      <c r="N2073" s="26"/>
      <c r="O2073" s="26"/>
      <c r="P2073" s="26"/>
      <c r="Q2073" s="26"/>
      <c r="R2073" s="26"/>
      <c r="S2073" s="26"/>
      <c r="T2073" s="26"/>
      <c r="U2073" s="26"/>
      <c r="V2073" s="26"/>
      <c r="W2073" s="26"/>
      <c r="X2073" s="26"/>
      <c r="Y2073" s="26"/>
      <c r="Z2073" s="26"/>
      <c r="AA2073" s="26"/>
      <c r="AB2073" s="26"/>
      <c r="AC2073" s="27"/>
    </row>
    <row r="2074" spans="1:29" x14ac:dyDescent="0.25">
      <c r="A2074" s="1"/>
      <c r="B2074" s="19"/>
      <c r="C2074" s="24"/>
      <c r="D2074" s="1"/>
      <c r="E2074" s="25"/>
      <c r="F2074" s="26"/>
      <c r="G2074" s="26"/>
      <c r="L2074" s="25"/>
      <c r="M2074" s="24"/>
      <c r="N2074" s="26"/>
      <c r="O2074" s="26"/>
      <c r="P2074" s="26"/>
      <c r="Q2074" s="26"/>
      <c r="R2074" s="26"/>
      <c r="S2074" s="26"/>
      <c r="T2074" s="26"/>
      <c r="U2074" s="26"/>
      <c r="V2074" s="26"/>
      <c r="W2074" s="26"/>
      <c r="X2074" s="26"/>
      <c r="Y2074" s="26"/>
      <c r="Z2074" s="26"/>
      <c r="AA2074" s="26"/>
      <c r="AB2074" s="26"/>
      <c r="AC2074" s="27"/>
    </row>
    <row r="2075" spans="1:29" x14ac:dyDescent="0.25">
      <c r="A2075" s="1"/>
      <c r="B2075" s="19"/>
      <c r="C2075" s="24"/>
      <c r="D2075" s="1"/>
      <c r="E2075" s="25"/>
      <c r="F2075" s="26"/>
      <c r="G2075" s="26"/>
      <c r="L2075" s="25"/>
      <c r="M2075" s="24"/>
      <c r="N2075" s="26"/>
      <c r="O2075" s="26"/>
      <c r="P2075" s="26"/>
      <c r="Q2075" s="26"/>
      <c r="R2075" s="26"/>
      <c r="S2075" s="26"/>
      <c r="T2075" s="26"/>
      <c r="U2075" s="26"/>
      <c r="V2075" s="26"/>
      <c r="W2075" s="26"/>
      <c r="X2075" s="26"/>
      <c r="Y2075" s="26"/>
      <c r="Z2075" s="26"/>
      <c r="AA2075" s="26"/>
      <c r="AB2075" s="26"/>
      <c r="AC2075" s="27"/>
    </row>
    <row r="2076" spans="1:29" x14ac:dyDescent="0.25">
      <c r="A2076" s="1"/>
      <c r="B2076" s="19"/>
      <c r="C2076" s="24"/>
      <c r="D2076" s="1"/>
      <c r="E2076" s="25"/>
      <c r="F2076" s="26"/>
      <c r="G2076" s="26"/>
      <c r="L2076" s="25"/>
      <c r="M2076" s="24"/>
      <c r="N2076" s="26"/>
      <c r="O2076" s="26"/>
      <c r="P2076" s="26"/>
      <c r="Q2076" s="26"/>
      <c r="R2076" s="26"/>
      <c r="S2076" s="26"/>
      <c r="T2076" s="26"/>
      <c r="U2076" s="26"/>
      <c r="V2076" s="26"/>
      <c r="W2076" s="26"/>
      <c r="X2076" s="26"/>
      <c r="Y2076" s="26"/>
      <c r="Z2076" s="26"/>
      <c r="AA2076" s="26"/>
      <c r="AB2076" s="26"/>
      <c r="AC2076" s="27"/>
    </row>
    <row r="2077" spans="1:29" x14ac:dyDescent="0.25">
      <c r="A2077" s="1"/>
      <c r="B2077" s="19"/>
      <c r="C2077" s="24"/>
      <c r="D2077" s="1"/>
      <c r="E2077" s="25"/>
      <c r="F2077" s="26"/>
      <c r="G2077" s="26"/>
      <c r="L2077" s="25"/>
      <c r="M2077" s="24"/>
      <c r="N2077" s="26"/>
      <c r="O2077" s="26"/>
      <c r="P2077" s="26"/>
      <c r="Q2077" s="26"/>
      <c r="R2077" s="26"/>
      <c r="S2077" s="26"/>
      <c r="T2077" s="26"/>
      <c r="U2077" s="26"/>
      <c r="V2077" s="26"/>
      <c r="W2077" s="26"/>
      <c r="X2077" s="26"/>
      <c r="Y2077" s="26"/>
      <c r="Z2077" s="26"/>
      <c r="AA2077" s="26"/>
      <c r="AB2077" s="26"/>
      <c r="AC2077" s="27"/>
    </row>
    <row r="2078" spans="1:29" x14ac:dyDescent="0.25">
      <c r="A2078" s="1"/>
      <c r="B2078" s="19"/>
      <c r="C2078" s="24"/>
      <c r="D2078" s="1"/>
      <c r="E2078" s="25"/>
      <c r="F2078" s="26"/>
      <c r="G2078" s="26"/>
      <c r="L2078" s="25"/>
      <c r="M2078" s="24"/>
      <c r="N2078" s="26"/>
      <c r="O2078" s="26"/>
      <c r="P2078" s="26"/>
      <c r="Q2078" s="26"/>
      <c r="R2078" s="26"/>
      <c r="S2078" s="26"/>
      <c r="T2078" s="26"/>
      <c r="U2078" s="26"/>
      <c r="V2078" s="26"/>
      <c r="W2078" s="26"/>
      <c r="X2078" s="26"/>
      <c r="Y2078" s="26"/>
      <c r="Z2078" s="26"/>
      <c r="AA2078" s="26"/>
      <c r="AB2078" s="26"/>
      <c r="AC2078" s="27"/>
    </row>
    <row r="2079" spans="1:29" x14ac:dyDescent="0.25">
      <c r="A2079" s="1"/>
      <c r="B2079" s="19"/>
      <c r="C2079" s="24"/>
      <c r="D2079" s="1"/>
      <c r="E2079" s="25"/>
      <c r="F2079" s="26"/>
      <c r="G2079" s="26"/>
      <c r="L2079" s="25"/>
      <c r="M2079" s="24"/>
      <c r="N2079" s="26"/>
      <c r="O2079" s="26"/>
      <c r="P2079" s="26"/>
      <c r="Q2079" s="26"/>
      <c r="R2079" s="26"/>
      <c r="S2079" s="26"/>
      <c r="T2079" s="26"/>
      <c r="U2079" s="26"/>
      <c r="V2079" s="26"/>
      <c r="W2079" s="26"/>
      <c r="X2079" s="26"/>
      <c r="Y2079" s="26"/>
      <c r="Z2079" s="26"/>
      <c r="AA2079" s="26"/>
      <c r="AB2079" s="26"/>
      <c r="AC2079" s="27"/>
    </row>
    <row r="2080" spans="1:29" x14ac:dyDescent="0.25">
      <c r="A2080" s="1"/>
      <c r="B2080" s="19"/>
      <c r="C2080" s="24"/>
      <c r="D2080" s="1"/>
      <c r="E2080" s="25"/>
      <c r="F2080" s="26"/>
      <c r="G2080" s="26"/>
      <c r="L2080" s="25"/>
      <c r="M2080" s="24"/>
      <c r="N2080" s="26"/>
      <c r="O2080" s="26"/>
      <c r="P2080" s="26"/>
      <c r="Q2080" s="26"/>
      <c r="R2080" s="26"/>
      <c r="S2080" s="26"/>
      <c r="T2080" s="26"/>
      <c r="U2080" s="26"/>
      <c r="V2080" s="26"/>
      <c r="W2080" s="26"/>
      <c r="X2080" s="26"/>
      <c r="Y2080" s="26"/>
      <c r="Z2080" s="26"/>
      <c r="AA2080" s="26"/>
      <c r="AB2080" s="26"/>
      <c r="AC2080" s="27"/>
    </row>
    <row r="2081" spans="1:29" x14ac:dyDescent="0.25">
      <c r="A2081" s="1"/>
      <c r="B2081" s="19"/>
      <c r="C2081" s="24"/>
      <c r="D2081" s="1"/>
      <c r="E2081" s="25"/>
      <c r="F2081" s="26"/>
      <c r="G2081" s="26"/>
      <c r="L2081" s="25"/>
      <c r="M2081" s="24"/>
      <c r="N2081" s="26"/>
      <c r="O2081" s="26"/>
      <c r="P2081" s="26"/>
      <c r="Q2081" s="26"/>
      <c r="R2081" s="26"/>
      <c r="S2081" s="26"/>
      <c r="T2081" s="26"/>
      <c r="U2081" s="26"/>
      <c r="V2081" s="26"/>
      <c r="W2081" s="26"/>
      <c r="X2081" s="26"/>
      <c r="Y2081" s="26"/>
      <c r="Z2081" s="26"/>
      <c r="AA2081" s="26"/>
      <c r="AB2081" s="26"/>
      <c r="AC2081" s="27"/>
    </row>
    <row r="2082" spans="1:29" x14ac:dyDescent="0.25">
      <c r="A2082" s="1"/>
      <c r="B2082" s="19"/>
      <c r="C2082" s="24"/>
      <c r="D2082" s="1"/>
      <c r="E2082" s="25"/>
      <c r="F2082" s="26"/>
      <c r="G2082" s="26"/>
      <c r="L2082" s="25"/>
      <c r="M2082" s="24"/>
      <c r="N2082" s="26"/>
      <c r="O2082" s="26"/>
      <c r="P2082" s="26"/>
      <c r="Q2082" s="26"/>
      <c r="R2082" s="26"/>
      <c r="S2082" s="26"/>
      <c r="T2082" s="26"/>
      <c r="U2082" s="26"/>
      <c r="V2082" s="26"/>
      <c r="W2082" s="26"/>
      <c r="X2082" s="26"/>
      <c r="Y2082" s="26"/>
      <c r="Z2082" s="26"/>
      <c r="AA2082" s="26"/>
      <c r="AB2082" s="26"/>
      <c r="AC2082" s="27"/>
    </row>
    <row r="2083" spans="1:29" x14ac:dyDescent="0.25">
      <c r="A2083" s="1"/>
      <c r="B2083" s="19"/>
      <c r="C2083" s="24"/>
      <c r="D2083" s="1"/>
      <c r="E2083" s="25"/>
      <c r="F2083" s="26"/>
      <c r="G2083" s="26"/>
      <c r="L2083" s="25"/>
      <c r="M2083" s="24"/>
      <c r="N2083" s="26"/>
      <c r="O2083" s="26"/>
      <c r="P2083" s="26"/>
      <c r="Q2083" s="26"/>
      <c r="R2083" s="26"/>
      <c r="S2083" s="26"/>
      <c r="T2083" s="26"/>
      <c r="U2083" s="26"/>
      <c r="V2083" s="26"/>
      <c r="W2083" s="26"/>
      <c r="X2083" s="26"/>
      <c r="Y2083" s="26"/>
      <c r="Z2083" s="26"/>
      <c r="AA2083" s="26"/>
      <c r="AB2083" s="26"/>
      <c r="AC2083" s="27"/>
    </row>
    <row r="2084" spans="1:29" x14ac:dyDescent="0.25">
      <c r="A2084" s="1"/>
      <c r="B2084" s="19"/>
      <c r="C2084" s="24"/>
      <c r="D2084" s="1"/>
      <c r="E2084" s="25"/>
      <c r="F2084" s="26"/>
      <c r="G2084" s="26"/>
      <c r="L2084" s="25"/>
      <c r="M2084" s="24"/>
      <c r="N2084" s="26"/>
      <c r="O2084" s="26"/>
      <c r="P2084" s="26"/>
      <c r="Q2084" s="26"/>
      <c r="R2084" s="26"/>
      <c r="S2084" s="26"/>
      <c r="T2084" s="26"/>
      <c r="U2084" s="26"/>
      <c r="V2084" s="26"/>
      <c r="W2084" s="26"/>
      <c r="X2084" s="26"/>
      <c r="Y2084" s="26"/>
      <c r="Z2084" s="26"/>
      <c r="AA2084" s="26"/>
      <c r="AB2084" s="26"/>
      <c r="AC2084" s="27"/>
    </row>
    <row r="2085" spans="1:29" x14ac:dyDescent="0.25">
      <c r="A2085" s="1"/>
      <c r="B2085" s="19"/>
      <c r="C2085" s="24"/>
      <c r="D2085" s="1"/>
      <c r="E2085" s="25"/>
      <c r="F2085" s="26"/>
      <c r="G2085" s="26"/>
      <c r="L2085" s="25"/>
      <c r="M2085" s="24"/>
      <c r="N2085" s="26"/>
      <c r="O2085" s="26"/>
      <c r="P2085" s="26"/>
      <c r="Q2085" s="26"/>
      <c r="R2085" s="26"/>
      <c r="S2085" s="26"/>
      <c r="T2085" s="26"/>
      <c r="U2085" s="26"/>
      <c r="V2085" s="26"/>
      <c r="W2085" s="26"/>
      <c r="X2085" s="26"/>
      <c r="Y2085" s="26"/>
      <c r="Z2085" s="26"/>
      <c r="AA2085" s="26"/>
      <c r="AB2085" s="26"/>
      <c r="AC2085" s="27"/>
    </row>
    <row r="2086" spans="1:29" x14ac:dyDescent="0.25">
      <c r="A2086" s="1"/>
      <c r="B2086" s="19"/>
      <c r="C2086" s="24"/>
      <c r="D2086" s="1"/>
      <c r="E2086" s="25"/>
      <c r="F2086" s="26"/>
      <c r="G2086" s="26"/>
      <c r="L2086" s="25"/>
      <c r="M2086" s="24"/>
      <c r="N2086" s="26"/>
      <c r="O2086" s="26"/>
      <c r="P2086" s="26"/>
      <c r="Q2086" s="26"/>
      <c r="R2086" s="26"/>
      <c r="S2086" s="26"/>
      <c r="T2086" s="26"/>
      <c r="U2086" s="26"/>
      <c r="V2086" s="26"/>
      <c r="W2086" s="26"/>
      <c r="X2086" s="26"/>
      <c r="Y2086" s="26"/>
      <c r="Z2086" s="26"/>
      <c r="AA2086" s="26"/>
      <c r="AB2086" s="26"/>
      <c r="AC2086" s="27"/>
    </row>
    <row r="2087" spans="1:29" x14ac:dyDescent="0.25">
      <c r="A2087" s="1"/>
      <c r="B2087" s="19"/>
      <c r="C2087" s="24"/>
      <c r="D2087" s="1"/>
      <c r="E2087" s="25"/>
      <c r="F2087" s="26"/>
      <c r="G2087" s="26"/>
      <c r="L2087" s="25"/>
      <c r="M2087" s="24"/>
      <c r="N2087" s="26"/>
      <c r="O2087" s="26"/>
      <c r="P2087" s="26"/>
      <c r="Q2087" s="26"/>
      <c r="R2087" s="26"/>
      <c r="S2087" s="26"/>
      <c r="T2087" s="26"/>
      <c r="U2087" s="26"/>
      <c r="V2087" s="26"/>
      <c r="W2087" s="26"/>
      <c r="X2087" s="26"/>
      <c r="Y2087" s="26"/>
      <c r="Z2087" s="26"/>
      <c r="AA2087" s="26"/>
      <c r="AB2087" s="26"/>
      <c r="AC2087" s="27"/>
    </row>
    <row r="2088" spans="1:29" x14ac:dyDescent="0.25">
      <c r="A2088" s="1"/>
      <c r="B2088" s="19"/>
      <c r="C2088" s="24"/>
      <c r="D2088" s="1"/>
      <c r="E2088" s="25"/>
      <c r="F2088" s="26"/>
      <c r="G2088" s="26"/>
      <c r="L2088" s="25"/>
      <c r="M2088" s="24"/>
      <c r="N2088" s="26"/>
      <c r="O2088" s="26"/>
      <c r="P2088" s="26"/>
      <c r="Q2088" s="26"/>
      <c r="R2088" s="26"/>
      <c r="S2088" s="26"/>
      <c r="T2088" s="26"/>
      <c r="U2088" s="26"/>
      <c r="V2088" s="26"/>
      <c r="W2088" s="26"/>
      <c r="X2088" s="26"/>
      <c r="Y2088" s="26"/>
      <c r="Z2088" s="26"/>
      <c r="AA2088" s="26"/>
      <c r="AB2088" s="26"/>
      <c r="AC2088" s="27"/>
    </row>
    <row r="2089" spans="1:29" x14ac:dyDescent="0.25">
      <c r="A2089" s="1"/>
      <c r="B2089" s="19"/>
      <c r="C2089" s="24"/>
      <c r="D2089" s="1"/>
      <c r="E2089" s="25"/>
      <c r="F2089" s="26"/>
      <c r="G2089" s="26"/>
      <c r="L2089" s="25"/>
      <c r="M2089" s="24"/>
      <c r="N2089" s="26"/>
      <c r="O2089" s="26"/>
      <c r="P2089" s="26"/>
      <c r="Q2089" s="26"/>
      <c r="R2089" s="26"/>
      <c r="S2089" s="26"/>
      <c r="T2089" s="26"/>
      <c r="U2089" s="26"/>
      <c r="V2089" s="26"/>
      <c r="W2089" s="26"/>
      <c r="X2089" s="26"/>
      <c r="Y2089" s="26"/>
      <c r="Z2089" s="26"/>
      <c r="AA2089" s="26"/>
      <c r="AB2089" s="26"/>
      <c r="AC2089" s="27"/>
    </row>
    <row r="2090" spans="1:29" x14ac:dyDescent="0.25">
      <c r="A2090" s="1"/>
      <c r="B2090" s="19"/>
      <c r="C2090" s="24"/>
      <c r="D2090" s="1"/>
      <c r="E2090" s="25"/>
      <c r="F2090" s="26"/>
      <c r="G2090" s="26"/>
      <c r="L2090" s="25"/>
      <c r="M2090" s="24"/>
      <c r="N2090" s="26"/>
      <c r="O2090" s="26"/>
      <c r="P2090" s="26"/>
      <c r="Q2090" s="26"/>
      <c r="R2090" s="26"/>
      <c r="S2090" s="26"/>
      <c r="T2090" s="26"/>
      <c r="U2090" s="26"/>
      <c r="V2090" s="26"/>
      <c r="W2090" s="26"/>
      <c r="X2090" s="26"/>
      <c r="Y2090" s="26"/>
      <c r="Z2090" s="26"/>
      <c r="AA2090" s="26"/>
      <c r="AB2090" s="26"/>
      <c r="AC2090" s="27"/>
    </row>
    <row r="2091" spans="1:29" x14ac:dyDescent="0.25">
      <c r="A2091" s="1"/>
      <c r="B2091" s="19"/>
      <c r="C2091" s="24"/>
      <c r="D2091" s="1"/>
      <c r="E2091" s="25"/>
      <c r="F2091" s="26"/>
      <c r="G2091" s="26"/>
      <c r="L2091" s="25"/>
      <c r="M2091" s="24"/>
      <c r="N2091" s="26"/>
      <c r="O2091" s="26"/>
      <c r="P2091" s="26"/>
      <c r="Q2091" s="26"/>
      <c r="R2091" s="26"/>
      <c r="S2091" s="26"/>
      <c r="T2091" s="26"/>
      <c r="U2091" s="26"/>
      <c r="V2091" s="26"/>
      <c r="W2091" s="26"/>
      <c r="X2091" s="26"/>
      <c r="Y2091" s="26"/>
      <c r="Z2091" s="26"/>
      <c r="AA2091" s="26"/>
      <c r="AB2091" s="26"/>
      <c r="AC2091" s="27"/>
    </row>
    <row r="2092" spans="1:29" x14ac:dyDescent="0.25">
      <c r="A2092" s="1"/>
      <c r="B2092" s="19"/>
      <c r="C2092" s="24"/>
      <c r="D2092" s="1"/>
      <c r="E2092" s="25"/>
      <c r="F2092" s="26"/>
      <c r="G2092" s="26"/>
      <c r="L2092" s="25"/>
      <c r="M2092" s="24"/>
      <c r="N2092" s="26"/>
      <c r="O2092" s="26"/>
      <c r="P2092" s="26"/>
      <c r="Q2092" s="26"/>
      <c r="R2092" s="26"/>
      <c r="S2092" s="26"/>
      <c r="T2092" s="26"/>
      <c r="U2092" s="26"/>
      <c r="V2092" s="26"/>
      <c r="W2092" s="26"/>
      <c r="X2092" s="26"/>
      <c r="Y2092" s="26"/>
      <c r="Z2092" s="26"/>
      <c r="AA2092" s="26"/>
      <c r="AB2092" s="26"/>
      <c r="AC2092" s="27"/>
    </row>
    <row r="2093" spans="1:29" x14ac:dyDescent="0.25">
      <c r="A2093" s="1"/>
      <c r="B2093" s="19"/>
      <c r="C2093" s="24"/>
      <c r="D2093" s="1"/>
      <c r="E2093" s="25"/>
      <c r="F2093" s="26"/>
      <c r="G2093" s="26"/>
      <c r="L2093" s="25"/>
      <c r="M2093" s="24"/>
      <c r="N2093" s="26"/>
      <c r="O2093" s="26"/>
      <c r="P2093" s="26"/>
      <c r="Q2093" s="26"/>
      <c r="R2093" s="26"/>
      <c r="S2093" s="26"/>
      <c r="T2093" s="26"/>
      <c r="U2093" s="26"/>
      <c r="V2093" s="26"/>
      <c r="W2093" s="26"/>
      <c r="X2093" s="26"/>
      <c r="Y2093" s="26"/>
      <c r="Z2093" s="26"/>
      <c r="AA2093" s="26"/>
      <c r="AB2093" s="26"/>
      <c r="AC2093" s="27"/>
    </row>
    <row r="2094" spans="1:29" x14ac:dyDescent="0.25">
      <c r="A2094" s="1"/>
      <c r="B2094" s="19"/>
      <c r="C2094" s="24"/>
      <c r="D2094" s="1"/>
      <c r="E2094" s="25"/>
      <c r="F2094" s="26"/>
      <c r="G2094" s="26"/>
      <c r="L2094" s="25"/>
      <c r="M2094" s="24"/>
      <c r="N2094" s="26"/>
      <c r="O2094" s="26"/>
      <c r="P2094" s="26"/>
      <c r="Q2094" s="26"/>
      <c r="R2094" s="26"/>
      <c r="S2094" s="26"/>
      <c r="T2094" s="26"/>
      <c r="U2094" s="26"/>
      <c r="V2094" s="26"/>
      <c r="W2094" s="26"/>
      <c r="X2094" s="26"/>
      <c r="Y2094" s="26"/>
      <c r="Z2094" s="26"/>
      <c r="AA2094" s="26"/>
      <c r="AB2094" s="26"/>
      <c r="AC2094" s="27"/>
    </row>
    <row r="2095" spans="1:29" x14ac:dyDescent="0.25">
      <c r="A2095" s="1"/>
      <c r="B2095" s="19"/>
      <c r="C2095" s="24"/>
      <c r="D2095" s="1"/>
      <c r="E2095" s="25"/>
      <c r="F2095" s="26"/>
      <c r="G2095" s="26"/>
      <c r="L2095" s="25"/>
      <c r="M2095" s="24"/>
      <c r="N2095" s="26"/>
      <c r="O2095" s="26"/>
      <c r="P2095" s="26"/>
      <c r="Q2095" s="26"/>
      <c r="R2095" s="26"/>
      <c r="S2095" s="26"/>
      <c r="T2095" s="26"/>
      <c r="U2095" s="26"/>
      <c r="V2095" s="26"/>
      <c r="W2095" s="26"/>
      <c r="X2095" s="26"/>
      <c r="Y2095" s="26"/>
      <c r="Z2095" s="26"/>
      <c r="AA2095" s="26"/>
      <c r="AB2095" s="26"/>
      <c r="AC2095" s="27"/>
    </row>
    <row r="2096" spans="1:29" x14ac:dyDescent="0.25">
      <c r="A2096" s="1"/>
      <c r="B2096" s="19"/>
      <c r="C2096" s="24"/>
      <c r="D2096" s="1"/>
      <c r="E2096" s="25"/>
      <c r="F2096" s="26"/>
      <c r="G2096" s="26"/>
      <c r="L2096" s="25"/>
      <c r="M2096" s="24"/>
      <c r="N2096" s="26"/>
      <c r="O2096" s="26"/>
      <c r="P2096" s="26"/>
      <c r="Q2096" s="26"/>
      <c r="R2096" s="26"/>
      <c r="S2096" s="26"/>
      <c r="T2096" s="26"/>
      <c r="U2096" s="26"/>
      <c r="V2096" s="26"/>
      <c r="W2096" s="26"/>
      <c r="X2096" s="26"/>
      <c r="Y2096" s="26"/>
      <c r="Z2096" s="26"/>
      <c r="AA2096" s="26"/>
      <c r="AB2096" s="26"/>
      <c r="AC2096" s="27"/>
    </row>
    <row r="2097" spans="1:29" x14ac:dyDescent="0.25">
      <c r="A2097" s="1"/>
      <c r="B2097" s="19"/>
      <c r="C2097" s="24"/>
      <c r="D2097" s="1"/>
      <c r="E2097" s="25"/>
      <c r="F2097" s="26"/>
      <c r="G2097" s="26"/>
      <c r="L2097" s="25"/>
      <c r="M2097" s="24"/>
      <c r="N2097" s="26"/>
      <c r="O2097" s="26"/>
      <c r="P2097" s="26"/>
      <c r="Q2097" s="26"/>
      <c r="R2097" s="26"/>
      <c r="S2097" s="26"/>
      <c r="T2097" s="26"/>
      <c r="U2097" s="26"/>
      <c r="V2097" s="26"/>
      <c r="W2097" s="26"/>
      <c r="X2097" s="26"/>
      <c r="Y2097" s="26"/>
      <c r="Z2097" s="26"/>
      <c r="AA2097" s="26"/>
      <c r="AB2097" s="26"/>
      <c r="AC2097" s="27"/>
    </row>
    <row r="2098" spans="1:29" x14ac:dyDescent="0.25">
      <c r="A2098" s="1"/>
      <c r="B2098" s="19"/>
      <c r="C2098" s="24"/>
      <c r="D2098" s="1"/>
      <c r="E2098" s="25"/>
      <c r="F2098" s="26"/>
      <c r="G2098" s="26"/>
      <c r="L2098" s="25"/>
      <c r="M2098" s="24"/>
      <c r="N2098" s="26"/>
      <c r="O2098" s="26"/>
      <c r="P2098" s="26"/>
      <c r="Q2098" s="26"/>
      <c r="R2098" s="26"/>
      <c r="S2098" s="26"/>
      <c r="T2098" s="26"/>
      <c r="U2098" s="26"/>
      <c r="V2098" s="26"/>
      <c r="W2098" s="26"/>
      <c r="X2098" s="26"/>
      <c r="Y2098" s="26"/>
      <c r="Z2098" s="26"/>
      <c r="AA2098" s="26"/>
      <c r="AB2098" s="26"/>
      <c r="AC2098" s="27"/>
    </row>
    <row r="2099" spans="1:29" x14ac:dyDescent="0.25">
      <c r="A2099" s="1"/>
      <c r="B2099" s="19"/>
      <c r="C2099" s="24"/>
      <c r="D2099" s="1"/>
      <c r="E2099" s="25"/>
      <c r="F2099" s="26"/>
      <c r="G2099" s="26"/>
      <c r="L2099" s="25"/>
      <c r="M2099" s="24"/>
      <c r="N2099" s="26"/>
      <c r="O2099" s="26"/>
      <c r="P2099" s="26"/>
      <c r="Q2099" s="26"/>
      <c r="R2099" s="26"/>
      <c r="S2099" s="26"/>
      <c r="T2099" s="26"/>
      <c r="U2099" s="26"/>
      <c r="V2099" s="26"/>
      <c r="W2099" s="26"/>
      <c r="X2099" s="26"/>
      <c r="Y2099" s="26"/>
      <c r="Z2099" s="26"/>
      <c r="AA2099" s="26"/>
      <c r="AB2099" s="26"/>
      <c r="AC2099" s="27"/>
    </row>
    <row r="2100" spans="1:29" x14ac:dyDescent="0.25">
      <c r="A2100" s="1"/>
      <c r="B2100" s="19"/>
      <c r="C2100" s="24"/>
      <c r="D2100" s="1"/>
      <c r="E2100" s="25"/>
      <c r="F2100" s="26"/>
      <c r="G2100" s="26"/>
      <c r="L2100" s="25"/>
      <c r="M2100" s="24"/>
      <c r="N2100" s="26"/>
      <c r="O2100" s="26"/>
      <c r="P2100" s="26"/>
      <c r="Q2100" s="26"/>
      <c r="R2100" s="26"/>
      <c r="S2100" s="26"/>
      <c r="T2100" s="26"/>
      <c r="U2100" s="26"/>
      <c r="V2100" s="26"/>
      <c r="W2100" s="26"/>
      <c r="X2100" s="26"/>
      <c r="Y2100" s="26"/>
      <c r="Z2100" s="26"/>
      <c r="AA2100" s="26"/>
      <c r="AB2100" s="26"/>
      <c r="AC2100" s="27"/>
    </row>
    <row r="2101" spans="1:29" x14ac:dyDescent="0.25">
      <c r="A2101" s="1"/>
      <c r="B2101" s="19"/>
      <c r="C2101" s="24"/>
      <c r="D2101" s="1"/>
      <c r="E2101" s="25"/>
      <c r="F2101" s="26"/>
      <c r="G2101" s="26"/>
      <c r="L2101" s="25"/>
      <c r="M2101" s="24"/>
      <c r="N2101" s="26"/>
      <c r="O2101" s="26"/>
      <c r="P2101" s="26"/>
      <c r="Q2101" s="26"/>
      <c r="R2101" s="26"/>
      <c r="S2101" s="26"/>
      <c r="T2101" s="26"/>
      <c r="U2101" s="26"/>
      <c r="V2101" s="26"/>
      <c r="W2101" s="26"/>
      <c r="X2101" s="26"/>
      <c r="Y2101" s="26"/>
      <c r="Z2101" s="26"/>
      <c r="AA2101" s="26"/>
      <c r="AB2101" s="26"/>
      <c r="AC2101" s="27"/>
    </row>
    <row r="2102" spans="1:29" x14ac:dyDescent="0.25">
      <c r="A2102" s="1"/>
      <c r="B2102" s="19"/>
      <c r="C2102" s="24"/>
      <c r="D2102" s="1"/>
      <c r="E2102" s="25"/>
      <c r="F2102" s="26"/>
      <c r="G2102" s="26"/>
      <c r="L2102" s="25"/>
      <c r="M2102" s="24"/>
      <c r="N2102" s="26"/>
      <c r="O2102" s="26"/>
      <c r="P2102" s="26"/>
      <c r="Q2102" s="26"/>
      <c r="R2102" s="26"/>
      <c r="S2102" s="26"/>
      <c r="T2102" s="26"/>
      <c r="U2102" s="26"/>
      <c r="V2102" s="26"/>
      <c r="W2102" s="26"/>
      <c r="X2102" s="26"/>
      <c r="Y2102" s="26"/>
      <c r="Z2102" s="26"/>
      <c r="AA2102" s="26"/>
      <c r="AB2102" s="26"/>
      <c r="AC2102" s="27"/>
    </row>
    <row r="2103" spans="1:29" x14ac:dyDescent="0.25">
      <c r="A2103" s="1"/>
      <c r="B2103" s="19"/>
      <c r="C2103" s="24"/>
      <c r="D2103" s="1"/>
      <c r="E2103" s="25"/>
      <c r="F2103" s="26"/>
      <c r="G2103" s="26"/>
      <c r="L2103" s="25"/>
      <c r="M2103" s="24"/>
      <c r="N2103" s="26"/>
      <c r="O2103" s="26"/>
      <c r="P2103" s="26"/>
      <c r="Q2103" s="26"/>
      <c r="R2103" s="26"/>
      <c r="S2103" s="26"/>
      <c r="T2103" s="26"/>
      <c r="U2103" s="26"/>
      <c r="V2103" s="26"/>
      <c r="W2103" s="26"/>
      <c r="X2103" s="26"/>
      <c r="Y2103" s="26"/>
      <c r="Z2103" s="26"/>
      <c r="AA2103" s="26"/>
      <c r="AB2103" s="26"/>
      <c r="AC2103" s="27"/>
    </row>
    <row r="2104" spans="1:29" x14ac:dyDescent="0.25">
      <c r="A2104" s="1"/>
      <c r="B2104" s="19"/>
      <c r="C2104" s="24"/>
      <c r="D2104" s="1"/>
      <c r="E2104" s="25"/>
      <c r="F2104" s="26"/>
      <c r="G2104" s="26"/>
      <c r="L2104" s="25"/>
      <c r="M2104" s="24"/>
      <c r="N2104" s="26"/>
      <c r="O2104" s="26"/>
      <c r="P2104" s="26"/>
      <c r="Q2104" s="26"/>
      <c r="R2104" s="26"/>
      <c r="S2104" s="26"/>
      <c r="T2104" s="26"/>
      <c r="U2104" s="26"/>
      <c r="V2104" s="26"/>
      <c r="W2104" s="26"/>
      <c r="X2104" s="26"/>
      <c r="Y2104" s="26"/>
      <c r="Z2104" s="26"/>
      <c r="AA2104" s="26"/>
      <c r="AB2104" s="26"/>
      <c r="AC2104" s="27"/>
    </row>
    <row r="2105" spans="1:29" x14ac:dyDescent="0.25">
      <c r="A2105" s="1"/>
      <c r="B2105" s="19"/>
      <c r="C2105" s="24"/>
      <c r="D2105" s="1"/>
      <c r="E2105" s="25"/>
      <c r="F2105" s="26"/>
      <c r="G2105" s="26"/>
      <c r="L2105" s="25"/>
      <c r="M2105" s="24"/>
      <c r="N2105" s="26"/>
      <c r="O2105" s="26"/>
      <c r="P2105" s="26"/>
      <c r="Q2105" s="26"/>
      <c r="R2105" s="26"/>
      <c r="S2105" s="26"/>
      <c r="T2105" s="26"/>
      <c r="U2105" s="26"/>
      <c r="V2105" s="26"/>
      <c r="W2105" s="26"/>
      <c r="X2105" s="26"/>
      <c r="Y2105" s="26"/>
      <c r="Z2105" s="26"/>
      <c r="AA2105" s="26"/>
      <c r="AB2105" s="26"/>
      <c r="AC2105" s="27"/>
    </row>
    <row r="2106" spans="1:29" x14ac:dyDescent="0.25">
      <c r="A2106" s="1"/>
      <c r="B2106" s="19"/>
      <c r="C2106" s="24"/>
      <c r="D2106" s="1"/>
      <c r="E2106" s="25"/>
      <c r="F2106" s="26"/>
      <c r="G2106" s="26"/>
      <c r="L2106" s="25"/>
      <c r="M2106" s="24"/>
      <c r="N2106" s="26"/>
      <c r="O2106" s="26"/>
      <c r="P2106" s="26"/>
      <c r="Q2106" s="26"/>
      <c r="R2106" s="26"/>
      <c r="S2106" s="26"/>
      <c r="T2106" s="26"/>
      <c r="U2106" s="26"/>
      <c r="V2106" s="26"/>
      <c r="W2106" s="26"/>
      <c r="X2106" s="26"/>
      <c r="Y2106" s="26"/>
      <c r="Z2106" s="26"/>
      <c r="AA2106" s="26"/>
      <c r="AB2106" s="26"/>
      <c r="AC2106" s="27"/>
    </row>
    <row r="2107" spans="1:29" x14ac:dyDescent="0.25">
      <c r="A2107" s="1"/>
      <c r="B2107" s="19"/>
      <c r="C2107" s="24"/>
      <c r="D2107" s="1"/>
      <c r="E2107" s="25"/>
      <c r="F2107" s="26"/>
      <c r="G2107" s="26"/>
      <c r="L2107" s="25"/>
      <c r="M2107" s="24"/>
      <c r="N2107" s="26"/>
      <c r="O2107" s="26"/>
      <c r="P2107" s="26"/>
      <c r="Q2107" s="26"/>
      <c r="R2107" s="26"/>
      <c r="S2107" s="26"/>
      <c r="T2107" s="26"/>
      <c r="U2107" s="26"/>
      <c r="V2107" s="26"/>
      <c r="W2107" s="26"/>
      <c r="X2107" s="26"/>
      <c r="Y2107" s="26"/>
      <c r="Z2107" s="26"/>
      <c r="AA2107" s="26"/>
      <c r="AB2107" s="26"/>
      <c r="AC2107" s="27"/>
    </row>
    <row r="2108" spans="1:29" x14ac:dyDescent="0.25">
      <c r="A2108" s="1"/>
      <c r="B2108" s="19"/>
      <c r="C2108" s="24"/>
      <c r="D2108" s="1"/>
      <c r="E2108" s="25"/>
      <c r="F2108" s="26"/>
      <c r="G2108" s="26"/>
      <c r="L2108" s="25"/>
      <c r="M2108" s="24"/>
      <c r="N2108" s="26"/>
      <c r="O2108" s="26"/>
      <c r="P2108" s="26"/>
      <c r="Q2108" s="26"/>
      <c r="R2108" s="26"/>
      <c r="S2108" s="26"/>
      <c r="T2108" s="26"/>
      <c r="U2108" s="26"/>
      <c r="V2108" s="26"/>
      <c r="W2108" s="26"/>
      <c r="X2108" s="26"/>
      <c r="Y2108" s="26"/>
      <c r="Z2108" s="26"/>
      <c r="AA2108" s="26"/>
      <c r="AB2108" s="26"/>
      <c r="AC2108" s="27"/>
    </row>
    <row r="2109" spans="1:29" x14ac:dyDescent="0.25">
      <c r="A2109" s="1"/>
      <c r="B2109" s="19"/>
      <c r="C2109" s="24"/>
      <c r="D2109" s="1"/>
      <c r="E2109" s="25"/>
      <c r="F2109" s="26"/>
      <c r="G2109" s="26"/>
      <c r="L2109" s="25"/>
      <c r="M2109" s="24"/>
      <c r="N2109" s="26"/>
      <c r="O2109" s="26"/>
      <c r="P2109" s="26"/>
      <c r="Q2109" s="26"/>
      <c r="R2109" s="26"/>
      <c r="S2109" s="26"/>
      <c r="T2109" s="26"/>
      <c r="U2109" s="26"/>
      <c r="V2109" s="26"/>
      <c r="W2109" s="26"/>
      <c r="X2109" s="26"/>
      <c r="Y2109" s="26"/>
      <c r="Z2109" s="26"/>
      <c r="AA2109" s="26"/>
      <c r="AB2109" s="26"/>
      <c r="AC2109" s="27"/>
    </row>
    <row r="2110" spans="1:29" x14ac:dyDescent="0.25">
      <c r="A2110" s="1"/>
      <c r="B2110" s="19"/>
      <c r="C2110" s="24"/>
      <c r="D2110" s="1"/>
      <c r="E2110" s="25"/>
      <c r="F2110" s="26"/>
      <c r="G2110" s="26"/>
      <c r="L2110" s="25"/>
      <c r="M2110" s="24"/>
      <c r="N2110" s="26"/>
      <c r="O2110" s="26"/>
      <c r="P2110" s="26"/>
      <c r="Q2110" s="26"/>
      <c r="R2110" s="26"/>
      <c r="S2110" s="26"/>
      <c r="T2110" s="26"/>
      <c r="U2110" s="26"/>
      <c r="V2110" s="26"/>
      <c r="W2110" s="26"/>
      <c r="X2110" s="26"/>
      <c r="Y2110" s="26"/>
      <c r="Z2110" s="26"/>
      <c r="AA2110" s="26"/>
      <c r="AB2110" s="26"/>
      <c r="AC2110" s="27"/>
    </row>
    <row r="2111" spans="1:29" x14ac:dyDescent="0.25">
      <c r="A2111" s="1"/>
      <c r="B2111" s="19"/>
      <c r="C2111" s="24"/>
      <c r="D2111" s="1"/>
      <c r="E2111" s="25"/>
      <c r="F2111" s="26"/>
      <c r="G2111" s="26"/>
      <c r="L2111" s="25"/>
      <c r="M2111" s="24"/>
      <c r="N2111" s="26"/>
      <c r="O2111" s="26"/>
      <c r="P2111" s="26"/>
      <c r="Q2111" s="26"/>
      <c r="R2111" s="26"/>
      <c r="S2111" s="26"/>
      <c r="T2111" s="26"/>
      <c r="U2111" s="26"/>
      <c r="V2111" s="26"/>
      <c r="W2111" s="26"/>
      <c r="X2111" s="26"/>
      <c r="Y2111" s="26"/>
      <c r="Z2111" s="26"/>
      <c r="AA2111" s="26"/>
      <c r="AB2111" s="26"/>
      <c r="AC2111" s="27"/>
    </row>
    <row r="2112" spans="1:29" x14ac:dyDescent="0.25">
      <c r="A2112" s="1"/>
      <c r="B2112" s="19"/>
      <c r="C2112" s="24"/>
      <c r="D2112" s="1"/>
      <c r="E2112" s="25"/>
      <c r="F2112" s="26"/>
      <c r="G2112" s="26"/>
      <c r="L2112" s="25"/>
      <c r="M2112" s="24"/>
      <c r="N2112" s="26"/>
      <c r="O2112" s="26"/>
      <c r="P2112" s="26"/>
      <c r="Q2112" s="26"/>
      <c r="R2112" s="26"/>
      <c r="S2112" s="26"/>
      <c r="T2112" s="26"/>
      <c r="U2112" s="26"/>
      <c r="V2112" s="26"/>
      <c r="W2112" s="26"/>
      <c r="X2112" s="26"/>
      <c r="Y2112" s="26"/>
      <c r="Z2112" s="26"/>
      <c r="AA2112" s="26"/>
      <c r="AB2112" s="26"/>
      <c r="AC2112" s="27"/>
    </row>
    <row r="2113" spans="1:29" x14ac:dyDescent="0.25">
      <c r="A2113" s="1"/>
      <c r="B2113" s="19"/>
      <c r="C2113" s="24"/>
      <c r="D2113" s="1"/>
      <c r="E2113" s="25"/>
      <c r="F2113" s="26"/>
      <c r="G2113" s="26"/>
      <c r="L2113" s="25"/>
      <c r="M2113" s="24"/>
      <c r="N2113" s="26"/>
      <c r="O2113" s="26"/>
      <c r="P2113" s="26"/>
      <c r="Q2113" s="26"/>
      <c r="R2113" s="26"/>
      <c r="S2113" s="26"/>
      <c r="T2113" s="26"/>
      <c r="U2113" s="26"/>
      <c r="V2113" s="26"/>
      <c r="W2113" s="26"/>
      <c r="X2113" s="26"/>
      <c r="Y2113" s="26"/>
      <c r="Z2113" s="26"/>
      <c r="AA2113" s="26"/>
      <c r="AB2113" s="26"/>
      <c r="AC2113" s="27"/>
    </row>
    <row r="2114" spans="1:29" x14ac:dyDescent="0.25">
      <c r="A2114" s="1"/>
      <c r="B2114" s="19"/>
      <c r="C2114" s="24"/>
      <c r="D2114" s="1"/>
      <c r="E2114" s="25"/>
      <c r="F2114" s="26"/>
      <c r="G2114" s="26"/>
      <c r="L2114" s="25"/>
      <c r="M2114" s="24"/>
      <c r="N2114" s="26"/>
      <c r="O2114" s="26"/>
      <c r="P2114" s="26"/>
      <c r="Q2114" s="26"/>
      <c r="R2114" s="26"/>
      <c r="S2114" s="26"/>
      <c r="T2114" s="26"/>
      <c r="U2114" s="26"/>
      <c r="V2114" s="26"/>
      <c r="W2114" s="26"/>
      <c r="X2114" s="26"/>
      <c r="Y2114" s="26"/>
      <c r="Z2114" s="26"/>
      <c r="AA2114" s="26"/>
      <c r="AB2114" s="26"/>
      <c r="AC2114" s="27"/>
    </row>
    <row r="2115" spans="1:29" x14ac:dyDescent="0.25">
      <c r="A2115" s="1"/>
      <c r="B2115" s="19"/>
      <c r="C2115" s="24"/>
      <c r="D2115" s="1"/>
      <c r="E2115" s="25"/>
      <c r="F2115" s="26"/>
      <c r="G2115" s="26"/>
      <c r="L2115" s="25"/>
      <c r="M2115" s="24"/>
      <c r="N2115" s="26"/>
      <c r="O2115" s="26"/>
      <c r="P2115" s="26"/>
      <c r="Q2115" s="26"/>
      <c r="R2115" s="26"/>
      <c r="S2115" s="26"/>
      <c r="T2115" s="26"/>
      <c r="U2115" s="26"/>
      <c r="V2115" s="26"/>
      <c r="W2115" s="26"/>
      <c r="X2115" s="26"/>
      <c r="Y2115" s="26"/>
      <c r="Z2115" s="26"/>
      <c r="AA2115" s="26"/>
      <c r="AB2115" s="26"/>
      <c r="AC2115" s="27"/>
    </row>
    <row r="2116" spans="1:29" x14ac:dyDescent="0.25">
      <c r="A2116" s="1"/>
      <c r="B2116" s="19"/>
      <c r="C2116" s="24"/>
      <c r="D2116" s="1"/>
      <c r="E2116" s="25"/>
      <c r="F2116" s="26"/>
      <c r="G2116" s="26"/>
      <c r="L2116" s="25"/>
      <c r="M2116" s="24"/>
      <c r="N2116" s="26"/>
      <c r="O2116" s="26"/>
      <c r="P2116" s="26"/>
      <c r="Q2116" s="26"/>
      <c r="R2116" s="26"/>
      <c r="S2116" s="26"/>
      <c r="T2116" s="26"/>
      <c r="U2116" s="26"/>
      <c r="V2116" s="26"/>
      <c r="W2116" s="26"/>
      <c r="X2116" s="26"/>
      <c r="Y2116" s="26"/>
      <c r="Z2116" s="26"/>
      <c r="AA2116" s="26"/>
      <c r="AB2116" s="26"/>
      <c r="AC2116" s="27"/>
    </row>
    <row r="2117" spans="1:29" x14ac:dyDescent="0.25">
      <c r="A2117" s="1"/>
      <c r="B2117" s="19"/>
      <c r="C2117" s="24"/>
      <c r="D2117" s="1"/>
      <c r="E2117" s="25"/>
      <c r="F2117" s="26"/>
      <c r="G2117" s="26"/>
      <c r="L2117" s="25"/>
      <c r="M2117" s="24"/>
      <c r="N2117" s="26"/>
      <c r="O2117" s="26"/>
      <c r="P2117" s="26"/>
      <c r="Q2117" s="26"/>
      <c r="R2117" s="26"/>
      <c r="S2117" s="26"/>
      <c r="T2117" s="26"/>
      <c r="U2117" s="26"/>
      <c r="V2117" s="26"/>
      <c r="W2117" s="26"/>
      <c r="X2117" s="26"/>
      <c r="Y2117" s="26"/>
      <c r="Z2117" s="26"/>
      <c r="AA2117" s="26"/>
      <c r="AB2117" s="26"/>
      <c r="AC2117" s="27"/>
    </row>
    <row r="2118" spans="1:29" x14ac:dyDescent="0.25">
      <c r="A2118" s="1"/>
      <c r="B2118" s="19"/>
      <c r="C2118" s="24"/>
      <c r="D2118" s="1"/>
      <c r="E2118" s="25"/>
      <c r="F2118" s="26"/>
      <c r="G2118" s="26"/>
      <c r="L2118" s="25"/>
      <c r="M2118" s="24"/>
      <c r="N2118" s="26"/>
      <c r="O2118" s="26"/>
      <c r="P2118" s="26"/>
      <c r="Q2118" s="26"/>
      <c r="R2118" s="26"/>
      <c r="S2118" s="26"/>
      <c r="T2118" s="26"/>
      <c r="U2118" s="26"/>
      <c r="V2118" s="26"/>
      <c r="W2118" s="26"/>
      <c r="X2118" s="26"/>
      <c r="Y2118" s="26"/>
      <c r="Z2118" s="26"/>
      <c r="AA2118" s="26"/>
      <c r="AB2118" s="26"/>
      <c r="AC2118" s="27"/>
    </row>
    <row r="2119" spans="1:29" x14ac:dyDescent="0.25">
      <c r="A2119" s="1"/>
      <c r="B2119" s="19"/>
      <c r="C2119" s="24"/>
      <c r="D2119" s="1"/>
      <c r="E2119" s="25"/>
      <c r="F2119" s="26"/>
      <c r="G2119" s="26"/>
      <c r="L2119" s="25"/>
      <c r="M2119" s="24"/>
      <c r="N2119" s="26"/>
      <c r="O2119" s="26"/>
      <c r="P2119" s="26"/>
      <c r="Q2119" s="26"/>
      <c r="R2119" s="26"/>
      <c r="S2119" s="26"/>
      <c r="T2119" s="26"/>
      <c r="U2119" s="26"/>
      <c r="V2119" s="26"/>
      <c r="W2119" s="26"/>
      <c r="X2119" s="26"/>
      <c r="Y2119" s="26"/>
      <c r="Z2119" s="26"/>
      <c r="AA2119" s="26"/>
      <c r="AB2119" s="26"/>
      <c r="AC2119" s="27"/>
    </row>
    <row r="2120" spans="1:29" x14ac:dyDescent="0.25">
      <c r="A2120" s="1"/>
      <c r="B2120" s="19"/>
      <c r="C2120" s="24"/>
      <c r="D2120" s="1"/>
      <c r="E2120" s="25"/>
      <c r="F2120" s="26"/>
      <c r="G2120" s="26"/>
      <c r="L2120" s="25"/>
      <c r="M2120" s="24"/>
      <c r="N2120" s="26"/>
      <c r="O2120" s="26"/>
      <c r="P2120" s="26"/>
      <c r="Q2120" s="26"/>
      <c r="R2120" s="26"/>
      <c r="S2120" s="26"/>
      <c r="T2120" s="26"/>
      <c r="U2120" s="26"/>
      <c r="V2120" s="26"/>
      <c r="W2120" s="26"/>
      <c r="X2120" s="26"/>
      <c r="Y2120" s="26"/>
      <c r="Z2120" s="26"/>
      <c r="AA2120" s="26"/>
      <c r="AB2120" s="26"/>
      <c r="AC2120" s="27"/>
    </row>
    <row r="2121" spans="1:29" x14ac:dyDescent="0.25">
      <c r="A2121" s="1"/>
      <c r="B2121" s="19"/>
      <c r="C2121" s="24"/>
      <c r="D2121" s="1"/>
      <c r="E2121" s="25"/>
      <c r="F2121" s="26"/>
      <c r="G2121" s="26"/>
      <c r="L2121" s="25"/>
      <c r="M2121" s="24"/>
      <c r="N2121" s="26"/>
      <c r="O2121" s="26"/>
      <c r="P2121" s="26"/>
      <c r="Q2121" s="26"/>
      <c r="R2121" s="26"/>
      <c r="S2121" s="26"/>
      <c r="T2121" s="26"/>
      <c r="U2121" s="26"/>
      <c r="V2121" s="26"/>
      <c r="W2121" s="26"/>
      <c r="X2121" s="26"/>
      <c r="Y2121" s="26"/>
      <c r="Z2121" s="26"/>
      <c r="AA2121" s="26"/>
      <c r="AB2121" s="26"/>
      <c r="AC2121" s="27"/>
    </row>
    <row r="2122" spans="1:29" x14ac:dyDescent="0.25">
      <c r="A2122" s="1"/>
      <c r="B2122" s="19"/>
      <c r="C2122" s="24"/>
      <c r="D2122" s="1"/>
      <c r="E2122" s="25"/>
      <c r="F2122" s="26"/>
      <c r="G2122" s="26"/>
      <c r="L2122" s="25"/>
      <c r="M2122" s="24"/>
      <c r="N2122" s="26"/>
      <c r="O2122" s="26"/>
      <c r="P2122" s="26"/>
      <c r="Q2122" s="26"/>
      <c r="R2122" s="26"/>
      <c r="S2122" s="26"/>
      <c r="T2122" s="26"/>
      <c r="U2122" s="26"/>
      <c r="V2122" s="26"/>
      <c r="W2122" s="26"/>
      <c r="X2122" s="26"/>
      <c r="Y2122" s="26"/>
      <c r="Z2122" s="26"/>
      <c r="AA2122" s="26"/>
      <c r="AB2122" s="26"/>
      <c r="AC2122" s="27"/>
    </row>
    <row r="2123" spans="1:29" x14ac:dyDescent="0.25">
      <c r="A2123" s="1"/>
      <c r="B2123" s="19"/>
      <c r="C2123" s="24"/>
      <c r="D2123" s="1"/>
      <c r="E2123" s="25"/>
      <c r="F2123" s="26"/>
      <c r="G2123" s="26"/>
      <c r="L2123" s="25"/>
      <c r="M2123" s="24"/>
      <c r="N2123" s="26"/>
      <c r="O2123" s="26"/>
      <c r="P2123" s="26"/>
      <c r="Q2123" s="26"/>
      <c r="R2123" s="26"/>
      <c r="S2123" s="26"/>
      <c r="T2123" s="26"/>
      <c r="U2123" s="26"/>
      <c r="V2123" s="26"/>
      <c r="W2123" s="26"/>
      <c r="X2123" s="26"/>
      <c r="Y2123" s="26"/>
      <c r="Z2123" s="26"/>
      <c r="AA2123" s="26"/>
      <c r="AB2123" s="26"/>
      <c r="AC2123" s="27"/>
    </row>
    <row r="2124" spans="1:29" x14ac:dyDescent="0.25">
      <c r="A2124" s="1"/>
      <c r="B2124" s="19"/>
      <c r="C2124" s="24"/>
      <c r="D2124" s="1"/>
      <c r="E2124" s="25"/>
      <c r="F2124" s="26"/>
      <c r="G2124" s="26"/>
      <c r="L2124" s="25"/>
      <c r="M2124" s="24"/>
      <c r="N2124" s="26"/>
      <c r="O2124" s="26"/>
      <c r="P2124" s="26"/>
      <c r="Q2124" s="26"/>
      <c r="R2124" s="26"/>
      <c r="S2124" s="26"/>
      <c r="T2124" s="26"/>
      <c r="U2124" s="26"/>
      <c r="V2124" s="26"/>
      <c r="W2124" s="26"/>
      <c r="X2124" s="26"/>
      <c r="Y2124" s="26"/>
      <c r="Z2124" s="26"/>
      <c r="AA2124" s="26"/>
      <c r="AB2124" s="26"/>
      <c r="AC2124" s="27"/>
    </row>
    <row r="2125" spans="1:29" x14ac:dyDescent="0.25">
      <c r="A2125" s="1"/>
      <c r="B2125" s="19"/>
      <c r="C2125" s="24"/>
      <c r="D2125" s="1"/>
      <c r="E2125" s="25"/>
      <c r="F2125" s="26"/>
      <c r="G2125" s="26"/>
      <c r="L2125" s="25"/>
      <c r="M2125" s="24"/>
      <c r="N2125" s="26"/>
      <c r="O2125" s="26"/>
      <c r="P2125" s="26"/>
      <c r="Q2125" s="26"/>
      <c r="R2125" s="26"/>
      <c r="S2125" s="26"/>
      <c r="T2125" s="26"/>
      <c r="U2125" s="26"/>
      <c r="V2125" s="26"/>
      <c r="W2125" s="26"/>
      <c r="X2125" s="26"/>
      <c r="Y2125" s="26"/>
      <c r="Z2125" s="26"/>
      <c r="AA2125" s="26"/>
      <c r="AB2125" s="26"/>
      <c r="AC2125" s="27"/>
    </row>
    <row r="2126" spans="1:29" x14ac:dyDescent="0.25">
      <c r="A2126" s="1"/>
      <c r="B2126" s="19"/>
      <c r="C2126" s="24"/>
      <c r="D2126" s="1"/>
      <c r="E2126" s="25"/>
      <c r="F2126" s="26"/>
      <c r="G2126" s="26"/>
      <c r="L2126" s="25"/>
      <c r="M2126" s="24"/>
      <c r="N2126" s="26"/>
      <c r="O2126" s="26"/>
      <c r="P2126" s="26"/>
      <c r="Q2126" s="26"/>
      <c r="R2126" s="26"/>
      <c r="S2126" s="26"/>
      <c r="T2126" s="26"/>
      <c r="U2126" s="26"/>
      <c r="V2126" s="26"/>
      <c r="W2126" s="26"/>
      <c r="X2126" s="26"/>
      <c r="Y2126" s="26"/>
      <c r="Z2126" s="26"/>
      <c r="AA2126" s="26"/>
      <c r="AB2126" s="26"/>
      <c r="AC2126" s="27"/>
    </row>
    <row r="2127" spans="1:29" x14ac:dyDescent="0.25">
      <c r="A2127" s="1"/>
      <c r="B2127" s="19"/>
      <c r="C2127" s="24"/>
      <c r="D2127" s="1"/>
      <c r="E2127" s="25"/>
      <c r="F2127" s="26"/>
      <c r="G2127" s="26"/>
      <c r="L2127" s="25"/>
      <c r="M2127" s="24"/>
      <c r="N2127" s="26"/>
      <c r="O2127" s="26"/>
      <c r="P2127" s="26"/>
      <c r="Q2127" s="26"/>
      <c r="R2127" s="26"/>
      <c r="S2127" s="26"/>
      <c r="T2127" s="26"/>
      <c r="U2127" s="26"/>
      <c r="V2127" s="26"/>
      <c r="W2127" s="26"/>
      <c r="X2127" s="26"/>
      <c r="Y2127" s="26"/>
      <c r="Z2127" s="26"/>
      <c r="AA2127" s="26"/>
      <c r="AB2127" s="26"/>
      <c r="AC2127" s="27"/>
    </row>
    <row r="2128" spans="1:29" x14ac:dyDescent="0.25">
      <c r="A2128" s="1"/>
      <c r="B2128" s="19"/>
      <c r="C2128" s="24"/>
      <c r="D2128" s="1"/>
      <c r="E2128" s="25"/>
      <c r="F2128" s="26"/>
      <c r="G2128" s="26"/>
      <c r="L2128" s="25"/>
      <c r="M2128" s="24"/>
      <c r="N2128" s="26"/>
      <c r="O2128" s="26"/>
      <c r="P2128" s="26"/>
      <c r="Q2128" s="26"/>
      <c r="R2128" s="26"/>
      <c r="S2128" s="26"/>
      <c r="T2128" s="26"/>
      <c r="U2128" s="26"/>
      <c r="V2128" s="26"/>
      <c r="W2128" s="26"/>
      <c r="X2128" s="26"/>
      <c r="Y2128" s="26"/>
      <c r="Z2128" s="26"/>
      <c r="AA2128" s="26"/>
      <c r="AB2128" s="26"/>
      <c r="AC2128" s="27"/>
    </row>
    <row r="2129" spans="1:29" x14ac:dyDescent="0.25">
      <c r="A2129" s="1"/>
      <c r="B2129" s="19"/>
      <c r="C2129" s="24"/>
      <c r="D2129" s="1"/>
      <c r="E2129" s="25"/>
      <c r="F2129" s="26"/>
      <c r="G2129" s="26"/>
      <c r="L2129" s="25"/>
      <c r="M2129" s="24"/>
      <c r="N2129" s="26"/>
      <c r="O2129" s="26"/>
      <c r="P2129" s="26"/>
      <c r="Q2129" s="26"/>
      <c r="R2129" s="26"/>
      <c r="S2129" s="26"/>
      <c r="T2129" s="26"/>
      <c r="U2129" s="26"/>
      <c r="V2129" s="26"/>
      <c r="W2129" s="26"/>
      <c r="X2129" s="26"/>
      <c r="Y2129" s="26"/>
      <c r="Z2129" s="26"/>
      <c r="AA2129" s="26"/>
      <c r="AB2129" s="26"/>
      <c r="AC2129" s="27"/>
    </row>
    <row r="2130" spans="1:29" x14ac:dyDescent="0.25">
      <c r="A2130" s="1"/>
      <c r="B2130" s="19"/>
      <c r="C2130" s="24"/>
      <c r="D2130" s="1"/>
      <c r="E2130" s="25"/>
      <c r="F2130" s="26"/>
      <c r="G2130" s="26"/>
      <c r="L2130" s="25"/>
      <c r="M2130" s="24"/>
      <c r="N2130" s="26"/>
      <c r="O2130" s="26"/>
      <c r="P2130" s="26"/>
      <c r="Q2130" s="26"/>
      <c r="R2130" s="26"/>
      <c r="S2130" s="26"/>
      <c r="T2130" s="26"/>
      <c r="U2130" s="26"/>
      <c r="V2130" s="26"/>
      <c r="W2130" s="26"/>
      <c r="X2130" s="26"/>
      <c r="Y2130" s="26"/>
      <c r="Z2130" s="26"/>
      <c r="AA2130" s="26"/>
      <c r="AB2130" s="26"/>
      <c r="AC2130" s="27"/>
    </row>
    <row r="2131" spans="1:29" x14ac:dyDescent="0.25">
      <c r="A2131" s="1"/>
      <c r="B2131" s="19"/>
      <c r="C2131" s="24"/>
      <c r="D2131" s="1"/>
      <c r="E2131" s="25"/>
      <c r="F2131" s="26"/>
      <c r="G2131" s="26"/>
      <c r="L2131" s="25"/>
      <c r="M2131" s="24"/>
      <c r="N2131" s="26"/>
      <c r="O2131" s="26"/>
      <c r="P2131" s="26"/>
      <c r="Q2131" s="26"/>
      <c r="R2131" s="26"/>
      <c r="S2131" s="26"/>
      <c r="T2131" s="26"/>
      <c r="U2131" s="26"/>
      <c r="V2131" s="26"/>
      <c r="W2131" s="26"/>
      <c r="X2131" s="26"/>
      <c r="Y2131" s="26"/>
      <c r="Z2131" s="26"/>
      <c r="AA2131" s="26"/>
      <c r="AB2131" s="26"/>
      <c r="AC2131" s="27"/>
    </row>
    <row r="2132" spans="1:29" x14ac:dyDescent="0.25">
      <c r="A2132" s="1"/>
      <c r="B2132" s="19"/>
      <c r="C2132" s="24"/>
      <c r="D2132" s="1"/>
      <c r="E2132" s="25"/>
      <c r="F2132" s="26"/>
      <c r="G2132" s="26"/>
      <c r="L2132" s="25"/>
      <c r="M2132" s="24"/>
      <c r="N2132" s="26"/>
      <c r="O2132" s="26"/>
      <c r="P2132" s="26"/>
      <c r="Q2132" s="26"/>
      <c r="R2132" s="26"/>
      <c r="S2132" s="26"/>
      <c r="T2132" s="26"/>
      <c r="U2132" s="26"/>
      <c r="V2132" s="26"/>
      <c r="W2132" s="26"/>
      <c r="X2132" s="26"/>
      <c r="Y2132" s="26"/>
      <c r="Z2132" s="26"/>
      <c r="AA2132" s="26"/>
      <c r="AB2132" s="26"/>
      <c r="AC2132" s="27"/>
    </row>
    <row r="2133" spans="1:29" x14ac:dyDescent="0.25">
      <c r="A2133" s="1"/>
      <c r="B2133" s="19"/>
      <c r="C2133" s="24"/>
      <c r="D2133" s="1"/>
      <c r="E2133" s="25"/>
      <c r="F2133" s="26"/>
      <c r="G2133" s="26"/>
      <c r="L2133" s="25"/>
      <c r="M2133" s="24"/>
      <c r="N2133" s="26"/>
      <c r="O2133" s="26"/>
      <c r="P2133" s="26"/>
      <c r="Q2133" s="26"/>
      <c r="R2133" s="26"/>
      <c r="S2133" s="26"/>
      <c r="T2133" s="26"/>
      <c r="U2133" s="26"/>
      <c r="V2133" s="26"/>
      <c r="W2133" s="26"/>
      <c r="X2133" s="26"/>
      <c r="Y2133" s="26"/>
      <c r="Z2133" s="26"/>
      <c r="AA2133" s="26"/>
      <c r="AB2133" s="26"/>
      <c r="AC2133" s="27"/>
    </row>
    <row r="2134" spans="1:29" x14ac:dyDescent="0.25">
      <c r="A2134" s="1"/>
      <c r="B2134" s="19"/>
      <c r="C2134" s="24"/>
      <c r="D2134" s="1"/>
      <c r="E2134" s="25"/>
      <c r="F2134" s="26"/>
      <c r="G2134" s="26"/>
      <c r="L2134" s="25"/>
      <c r="M2134" s="24"/>
      <c r="N2134" s="26"/>
      <c r="O2134" s="26"/>
      <c r="P2134" s="26"/>
      <c r="Q2134" s="26"/>
      <c r="R2134" s="26"/>
      <c r="S2134" s="26"/>
      <c r="T2134" s="26"/>
      <c r="U2134" s="26"/>
      <c r="V2134" s="26"/>
      <c r="W2134" s="26"/>
      <c r="X2134" s="26"/>
      <c r="Y2134" s="26"/>
      <c r="Z2134" s="26"/>
      <c r="AA2134" s="26"/>
      <c r="AB2134" s="26"/>
      <c r="AC2134" s="27"/>
    </row>
    <row r="2135" spans="1:29" x14ac:dyDescent="0.25">
      <c r="A2135" s="1"/>
      <c r="B2135" s="19"/>
      <c r="C2135" s="24"/>
      <c r="D2135" s="1"/>
      <c r="E2135" s="25"/>
      <c r="F2135" s="26"/>
      <c r="G2135" s="26"/>
      <c r="L2135" s="25"/>
      <c r="M2135" s="24"/>
      <c r="N2135" s="26"/>
      <c r="O2135" s="26"/>
      <c r="P2135" s="26"/>
      <c r="Q2135" s="26"/>
      <c r="R2135" s="26"/>
      <c r="S2135" s="26"/>
      <c r="T2135" s="26"/>
      <c r="U2135" s="26"/>
      <c r="V2135" s="26"/>
      <c r="W2135" s="26"/>
      <c r="X2135" s="26"/>
      <c r="Y2135" s="26"/>
      <c r="Z2135" s="26"/>
      <c r="AA2135" s="26"/>
      <c r="AB2135" s="26"/>
      <c r="AC2135" s="27"/>
    </row>
    <row r="2136" spans="1:29" x14ac:dyDescent="0.25">
      <c r="A2136" s="1"/>
      <c r="B2136" s="19"/>
      <c r="C2136" s="24"/>
      <c r="D2136" s="1"/>
      <c r="E2136" s="25"/>
      <c r="F2136" s="26"/>
      <c r="G2136" s="26"/>
      <c r="L2136" s="25"/>
      <c r="M2136" s="24"/>
      <c r="N2136" s="26"/>
      <c r="O2136" s="26"/>
      <c r="P2136" s="26"/>
      <c r="Q2136" s="26"/>
      <c r="R2136" s="26"/>
      <c r="S2136" s="26"/>
      <c r="T2136" s="26"/>
      <c r="U2136" s="26"/>
      <c r="V2136" s="26"/>
      <c r="W2136" s="26"/>
      <c r="X2136" s="26"/>
      <c r="Y2136" s="26"/>
      <c r="Z2136" s="26"/>
      <c r="AA2136" s="26"/>
      <c r="AB2136" s="26"/>
      <c r="AC2136" s="27"/>
    </row>
    <row r="2137" spans="1:29" x14ac:dyDescent="0.25">
      <c r="A2137" s="1"/>
      <c r="B2137" s="19"/>
      <c r="C2137" s="24"/>
      <c r="D2137" s="1"/>
      <c r="E2137" s="25"/>
      <c r="F2137" s="26"/>
      <c r="G2137" s="26"/>
      <c r="L2137" s="25"/>
      <c r="M2137" s="24"/>
      <c r="N2137" s="26"/>
      <c r="O2137" s="26"/>
      <c r="P2137" s="26"/>
      <c r="Q2137" s="26"/>
      <c r="R2137" s="26"/>
      <c r="S2137" s="26"/>
      <c r="T2137" s="26"/>
      <c r="U2137" s="26"/>
      <c r="V2137" s="26"/>
      <c r="W2137" s="26"/>
      <c r="X2137" s="26"/>
      <c r="Y2137" s="26"/>
      <c r="Z2137" s="26"/>
      <c r="AA2137" s="26"/>
      <c r="AB2137" s="26"/>
      <c r="AC2137" s="27"/>
    </row>
    <row r="2138" spans="1:29" x14ac:dyDescent="0.25">
      <c r="A2138" s="1"/>
      <c r="B2138" s="19"/>
      <c r="C2138" s="24"/>
      <c r="D2138" s="1"/>
      <c r="E2138" s="25"/>
      <c r="F2138" s="26"/>
      <c r="G2138" s="26"/>
      <c r="L2138" s="25"/>
      <c r="M2138" s="24"/>
      <c r="N2138" s="26"/>
      <c r="O2138" s="26"/>
      <c r="P2138" s="26"/>
      <c r="Q2138" s="26"/>
      <c r="R2138" s="26"/>
      <c r="S2138" s="26"/>
      <c r="T2138" s="26"/>
      <c r="U2138" s="26"/>
      <c r="V2138" s="26"/>
      <c r="W2138" s="26"/>
      <c r="X2138" s="26"/>
      <c r="Y2138" s="26"/>
      <c r="Z2138" s="26"/>
      <c r="AA2138" s="26"/>
      <c r="AB2138" s="26"/>
      <c r="AC2138" s="27"/>
    </row>
    <row r="2139" spans="1:29" x14ac:dyDescent="0.25">
      <c r="A2139" s="1"/>
      <c r="B2139" s="19"/>
      <c r="C2139" s="24"/>
      <c r="D2139" s="1"/>
      <c r="E2139" s="25"/>
      <c r="F2139" s="26"/>
      <c r="G2139" s="26"/>
      <c r="L2139" s="25"/>
      <c r="M2139" s="24"/>
      <c r="N2139" s="26"/>
      <c r="O2139" s="26"/>
      <c r="P2139" s="26"/>
      <c r="Q2139" s="26"/>
      <c r="R2139" s="26"/>
      <c r="S2139" s="26"/>
      <c r="T2139" s="26"/>
      <c r="U2139" s="26"/>
      <c r="V2139" s="26"/>
      <c r="W2139" s="26"/>
      <c r="X2139" s="26"/>
      <c r="Y2139" s="26"/>
      <c r="Z2139" s="26"/>
      <c r="AA2139" s="26"/>
      <c r="AB2139" s="26"/>
      <c r="AC2139" s="27"/>
    </row>
    <row r="2140" spans="1:29" x14ac:dyDescent="0.25">
      <c r="A2140" s="1"/>
      <c r="B2140" s="19"/>
      <c r="C2140" s="24"/>
      <c r="D2140" s="1"/>
      <c r="E2140" s="25"/>
      <c r="F2140" s="26"/>
      <c r="G2140" s="26"/>
      <c r="L2140" s="25"/>
      <c r="M2140" s="24"/>
      <c r="N2140" s="26"/>
      <c r="O2140" s="26"/>
      <c r="P2140" s="26"/>
      <c r="Q2140" s="26"/>
      <c r="R2140" s="26"/>
      <c r="S2140" s="26"/>
      <c r="T2140" s="26"/>
      <c r="U2140" s="26"/>
      <c r="V2140" s="26"/>
      <c r="W2140" s="26"/>
      <c r="X2140" s="26"/>
      <c r="Y2140" s="26"/>
      <c r="Z2140" s="26"/>
      <c r="AA2140" s="26"/>
      <c r="AB2140" s="26"/>
      <c r="AC2140" s="27"/>
    </row>
    <row r="2141" spans="1:29" x14ac:dyDescent="0.25">
      <c r="A2141" s="1"/>
      <c r="B2141" s="19"/>
      <c r="C2141" s="24"/>
      <c r="D2141" s="1"/>
      <c r="E2141" s="25"/>
      <c r="F2141" s="26"/>
      <c r="G2141" s="26"/>
      <c r="L2141" s="25"/>
      <c r="M2141" s="24"/>
      <c r="N2141" s="26"/>
      <c r="O2141" s="26"/>
      <c r="P2141" s="26"/>
      <c r="Q2141" s="26"/>
      <c r="R2141" s="26"/>
      <c r="S2141" s="26"/>
      <c r="T2141" s="26"/>
      <c r="U2141" s="26"/>
      <c r="V2141" s="26"/>
      <c r="W2141" s="26"/>
      <c r="X2141" s="26"/>
      <c r="Y2141" s="26"/>
      <c r="Z2141" s="26"/>
      <c r="AA2141" s="26"/>
      <c r="AB2141" s="26"/>
      <c r="AC2141" s="27"/>
    </row>
    <row r="2142" spans="1:29" x14ac:dyDescent="0.25">
      <c r="A2142" s="1"/>
      <c r="B2142" s="19"/>
      <c r="C2142" s="24"/>
      <c r="D2142" s="1"/>
      <c r="E2142" s="25"/>
      <c r="F2142" s="26"/>
      <c r="G2142" s="26"/>
      <c r="L2142" s="25"/>
      <c r="M2142" s="24"/>
      <c r="N2142" s="26"/>
      <c r="O2142" s="26"/>
      <c r="P2142" s="26"/>
      <c r="Q2142" s="26"/>
      <c r="R2142" s="26"/>
      <c r="S2142" s="26"/>
      <c r="T2142" s="26"/>
      <c r="U2142" s="26"/>
      <c r="V2142" s="26"/>
      <c r="W2142" s="26"/>
      <c r="X2142" s="26"/>
      <c r="Y2142" s="26"/>
      <c r="Z2142" s="26"/>
      <c r="AA2142" s="26"/>
      <c r="AB2142" s="26"/>
      <c r="AC2142" s="27"/>
    </row>
    <row r="2143" spans="1:29" x14ac:dyDescent="0.25">
      <c r="A2143" s="1"/>
      <c r="B2143" s="19"/>
      <c r="C2143" s="24"/>
      <c r="D2143" s="1"/>
      <c r="E2143" s="25"/>
      <c r="F2143" s="26"/>
      <c r="G2143" s="26"/>
      <c r="L2143" s="25"/>
      <c r="M2143" s="24"/>
      <c r="N2143" s="26"/>
      <c r="O2143" s="26"/>
      <c r="P2143" s="26"/>
      <c r="Q2143" s="26"/>
      <c r="R2143" s="26"/>
      <c r="S2143" s="26"/>
      <c r="T2143" s="26"/>
      <c r="U2143" s="26"/>
      <c r="V2143" s="26"/>
      <c r="W2143" s="26"/>
      <c r="X2143" s="26"/>
      <c r="Y2143" s="26"/>
      <c r="Z2143" s="26"/>
      <c r="AA2143" s="26"/>
      <c r="AB2143" s="26"/>
      <c r="AC2143" s="27"/>
    </row>
    <row r="2144" spans="1:29" x14ac:dyDescent="0.25">
      <c r="A2144" s="1"/>
      <c r="B2144" s="19"/>
      <c r="C2144" s="24"/>
      <c r="D2144" s="1"/>
      <c r="E2144" s="25"/>
      <c r="F2144" s="26"/>
      <c r="G2144" s="26"/>
      <c r="L2144" s="25"/>
      <c r="M2144" s="24"/>
      <c r="N2144" s="26"/>
      <c r="O2144" s="26"/>
      <c r="P2144" s="26"/>
      <c r="Q2144" s="26"/>
      <c r="R2144" s="26"/>
      <c r="S2144" s="26"/>
      <c r="T2144" s="26"/>
      <c r="U2144" s="26"/>
      <c r="V2144" s="26"/>
      <c r="W2144" s="26"/>
      <c r="X2144" s="26"/>
      <c r="Y2144" s="26"/>
      <c r="Z2144" s="26"/>
      <c r="AA2144" s="26"/>
      <c r="AB2144" s="26"/>
      <c r="AC2144" s="27"/>
    </row>
    <row r="2145" spans="1:29" x14ac:dyDescent="0.25">
      <c r="A2145" s="1"/>
      <c r="B2145" s="19"/>
      <c r="C2145" s="24"/>
      <c r="D2145" s="1"/>
      <c r="E2145" s="25"/>
      <c r="F2145" s="26"/>
      <c r="G2145" s="26"/>
      <c r="L2145" s="25"/>
      <c r="M2145" s="24"/>
      <c r="N2145" s="26"/>
      <c r="O2145" s="26"/>
      <c r="P2145" s="26"/>
      <c r="Q2145" s="26"/>
      <c r="R2145" s="26"/>
      <c r="S2145" s="26"/>
      <c r="T2145" s="26"/>
      <c r="U2145" s="26"/>
      <c r="V2145" s="26"/>
      <c r="W2145" s="26"/>
      <c r="X2145" s="26"/>
      <c r="Y2145" s="26"/>
      <c r="Z2145" s="26"/>
      <c r="AA2145" s="26"/>
      <c r="AB2145" s="26"/>
      <c r="AC2145" s="27"/>
    </row>
    <row r="2146" spans="1:29" x14ac:dyDescent="0.25">
      <c r="A2146" s="1"/>
      <c r="B2146" s="19"/>
      <c r="C2146" s="24"/>
      <c r="D2146" s="1"/>
      <c r="E2146" s="25"/>
      <c r="F2146" s="26"/>
      <c r="G2146" s="26"/>
      <c r="L2146" s="25"/>
      <c r="M2146" s="24"/>
      <c r="N2146" s="26"/>
      <c r="O2146" s="26"/>
      <c r="P2146" s="26"/>
      <c r="Q2146" s="26"/>
      <c r="R2146" s="26"/>
      <c r="S2146" s="26"/>
      <c r="T2146" s="26"/>
      <c r="U2146" s="26"/>
      <c r="V2146" s="26"/>
      <c r="W2146" s="26"/>
      <c r="X2146" s="26"/>
      <c r="Y2146" s="26"/>
      <c r="Z2146" s="26"/>
      <c r="AA2146" s="26"/>
      <c r="AB2146" s="26"/>
      <c r="AC2146" s="27"/>
    </row>
    <row r="2147" spans="1:29" x14ac:dyDescent="0.25">
      <c r="A2147" s="1"/>
      <c r="B2147" s="19"/>
      <c r="C2147" s="24"/>
      <c r="D2147" s="1"/>
      <c r="E2147" s="25"/>
      <c r="F2147" s="26"/>
      <c r="G2147" s="26"/>
      <c r="L2147" s="25"/>
      <c r="M2147" s="24"/>
      <c r="N2147" s="26"/>
      <c r="O2147" s="26"/>
      <c r="P2147" s="26"/>
      <c r="Q2147" s="26"/>
      <c r="R2147" s="26"/>
      <c r="S2147" s="26"/>
      <c r="T2147" s="26"/>
      <c r="U2147" s="26"/>
      <c r="V2147" s="26"/>
      <c r="W2147" s="26"/>
      <c r="X2147" s="26"/>
      <c r="Y2147" s="26"/>
      <c r="Z2147" s="26"/>
      <c r="AA2147" s="26"/>
      <c r="AB2147" s="26"/>
      <c r="AC2147" s="27"/>
    </row>
    <row r="2148" spans="1:29" x14ac:dyDescent="0.25">
      <c r="A2148" s="1"/>
      <c r="B2148" s="19"/>
      <c r="C2148" s="24"/>
      <c r="D2148" s="1"/>
      <c r="E2148" s="25"/>
      <c r="F2148" s="26"/>
      <c r="G2148" s="26"/>
      <c r="L2148" s="25"/>
      <c r="M2148" s="24"/>
      <c r="N2148" s="26"/>
      <c r="O2148" s="26"/>
      <c r="P2148" s="26"/>
      <c r="Q2148" s="26"/>
      <c r="R2148" s="26"/>
      <c r="S2148" s="26"/>
      <c r="T2148" s="26"/>
      <c r="U2148" s="26"/>
      <c r="V2148" s="26"/>
      <c r="W2148" s="26"/>
      <c r="X2148" s="26"/>
      <c r="Y2148" s="26"/>
      <c r="Z2148" s="26"/>
      <c r="AA2148" s="26"/>
      <c r="AB2148" s="26"/>
      <c r="AC2148" s="27"/>
    </row>
    <row r="2149" spans="1:29" x14ac:dyDescent="0.25">
      <c r="A2149" s="1"/>
      <c r="B2149" s="19"/>
      <c r="C2149" s="24"/>
      <c r="D2149" s="1"/>
      <c r="E2149" s="25"/>
      <c r="F2149" s="26"/>
      <c r="G2149" s="26"/>
      <c r="L2149" s="25"/>
      <c r="M2149" s="24"/>
      <c r="N2149" s="26"/>
      <c r="O2149" s="26"/>
      <c r="P2149" s="26"/>
      <c r="Q2149" s="26"/>
      <c r="R2149" s="26"/>
      <c r="S2149" s="26"/>
      <c r="T2149" s="26"/>
      <c r="U2149" s="26"/>
      <c r="V2149" s="26"/>
      <c r="W2149" s="26"/>
      <c r="X2149" s="26"/>
      <c r="Y2149" s="26"/>
      <c r="Z2149" s="26"/>
      <c r="AA2149" s="26"/>
      <c r="AB2149" s="26"/>
      <c r="AC2149" s="27"/>
    </row>
    <row r="2150" spans="1:29" x14ac:dyDescent="0.25">
      <c r="A2150" s="1"/>
      <c r="B2150" s="19"/>
      <c r="C2150" s="24"/>
      <c r="D2150" s="1"/>
      <c r="E2150" s="25"/>
      <c r="F2150" s="26"/>
      <c r="G2150" s="26"/>
      <c r="L2150" s="25"/>
      <c r="M2150" s="24"/>
      <c r="N2150" s="26"/>
      <c r="O2150" s="26"/>
      <c r="P2150" s="26"/>
      <c r="Q2150" s="26"/>
      <c r="R2150" s="26"/>
      <c r="S2150" s="26"/>
      <c r="T2150" s="26"/>
      <c r="U2150" s="26"/>
      <c r="V2150" s="26"/>
      <c r="W2150" s="26"/>
      <c r="X2150" s="26"/>
      <c r="Y2150" s="26"/>
      <c r="Z2150" s="26"/>
      <c r="AA2150" s="26"/>
      <c r="AB2150" s="26"/>
      <c r="AC2150" s="27"/>
    </row>
    <row r="2151" spans="1:29" x14ac:dyDescent="0.25">
      <c r="A2151" s="1"/>
      <c r="B2151" s="19"/>
      <c r="C2151" s="24"/>
      <c r="D2151" s="1"/>
      <c r="E2151" s="25"/>
      <c r="F2151" s="26"/>
      <c r="G2151" s="26"/>
      <c r="L2151" s="25"/>
      <c r="M2151" s="24"/>
      <c r="N2151" s="26"/>
      <c r="O2151" s="26"/>
      <c r="P2151" s="26"/>
      <c r="Q2151" s="26"/>
      <c r="R2151" s="26"/>
      <c r="S2151" s="26"/>
      <c r="T2151" s="26"/>
      <c r="U2151" s="26"/>
      <c r="V2151" s="26"/>
      <c r="W2151" s="26"/>
      <c r="X2151" s="26"/>
      <c r="Y2151" s="26"/>
      <c r="Z2151" s="26"/>
      <c r="AA2151" s="26"/>
      <c r="AB2151" s="26"/>
      <c r="AC2151" s="27"/>
    </row>
    <row r="2152" spans="1:29" x14ac:dyDescent="0.25">
      <c r="A2152" s="1"/>
      <c r="B2152" s="19"/>
      <c r="C2152" s="24"/>
      <c r="D2152" s="1"/>
      <c r="E2152" s="25"/>
      <c r="F2152" s="26"/>
      <c r="G2152" s="26"/>
      <c r="L2152" s="25"/>
      <c r="M2152" s="24"/>
      <c r="N2152" s="26"/>
      <c r="O2152" s="26"/>
      <c r="P2152" s="26"/>
      <c r="Q2152" s="26"/>
      <c r="R2152" s="26"/>
      <c r="S2152" s="26"/>
      <c r="T2152" s="26"/>
      <c r="U2152" s="26"/>
      <c r="V2152" s="26"/>
      <c r="W2152" s="26"/>
      <c r="X2152" s="26"/>
      <c r="Y2152" s="26"/>
      <c r="Z2152" s="26"/>
      <c r="AA2152" s="26"/>
      <c r="AB2152" s="26"/>
      <c r="AC2152" s="27"/>
    </row>
    <row r="2153" spans="1:29" x14ac:dyDescent="0.25">
      <c r="A2153" s="1"/>
      <c r="B2153" s="19"/>
      <c r="C2153" s="24"/>
      <c r="D2153" s="1"/>
      <c r="E2153" s="25"/>
      <c r="F2153" s="26"/>
      <c r="G2153" s="26"/>
      <c r="L2153" s="25"/>
      <c r="M2153" s="24"/>
      <c r="N2153" s="26"/>
      <c r="O2153" s="26"/>
      <c r="P2153" s="26"/>
      <c r="Q2153" s="26"/>
      <c r="R2153" s="26"/>
      <c r="S2153" s="26"/>
      <c r="T2153" s="26"/>
      <c r="U2153" s="26"/>
      <c r="V2153" s="26"/>
      <c r="W2153" s="26"/>
      <c r="X2153" s="26"/>
      <c r="Y2153" s="26"/>
      <c r="Z2153" s="26"/>
      <c r="AA2153" s="26"/>
      <c r="AB2153" s="26"/>
      <c r="AC2153" s="27"/>
    </row>
    <row r="2154" spans="1:29" x14ac:dyDescent="0.25">
      <c r="A2154" s="1"/>
      <c r="B2154" s="19"/>
      <c r="C2154" s="24"/>
      <c r="D2154" s="1"/>
      <c r="E2154" s="25"/>
      <c r="F2154" s="26"/>
      <c r="G2154" s="26"/>
      <c r="L2154" s="25"/>
      <c r="M2154" s="24"/>
      <c r="N2154" s="26"/>
      <c r="O2154" s="26"/>
      <c r="P2154" s="26"/>
      <c r="Q2154" s="26"/>
      <c r="R2154" s="26"/>
      <c r="S2154" s="26"/>
      <c r="T2154" s="26"/>
      <c r="U2154" s="26"/>
      <c r="V2154" s="26"/>
      <c r="W2154" s="26"/>
      <c r="X2154" s="26"/>
      <c r="Y2154" s="26"/>
      <c r="Z2154" s="26"/>
      <c r="AA2154" s="26"/>
      <c r="AB2154" s="26"/>
      <c r="AC2154" s="27"/>
    </row>
    <row r="2155" spans="1:29" x14ac:dyDescent="0.25">
      <c r="A2155" s="1"/>
      <c r="B2155" s="19"/>
      <c r="C2155" s="24"/>
      <c r="D2155" s="1"/>
      <c r="E2155" s="25"/>
      <c r="F2155" s="26"/>
      <c r="G2155" s="26"/>
      <c r="L2155" s="25"/>
      <c r="M2155" s="24"/>
      <c r="N2155" s="26"/>
      <c r="O2155" s="26"/>
      <c r="P2155" s="26"/>
      <c r="Q2155" s="26"/>
      <c r="R2155" s="26"/>
      <c r="S2155" s="26"/>
      <c r="T2155" s="26"/>
      <c r="U2155" s="26"/>
      <c r="V2155" s="26"/>
      <c r="W2155" s="26"/>
      <c r="X2155" s="26"/>
      <c r="Y2155" s="26"/>
      <c r="Z2155" s="26"/>
      <c r="AA2155" s="26"/>
      <c r="AB2155" s="26"/>
      <c r="AC2155" s="27"/>
    </row>
    <row r="2156" spans="1:29" x14ac:dyDescent="0.25">
      <c r="A2156" s="1"/>
      <c r="B2156" s="19"/>
      <c r="C2156" s="24"/>
      <c r="D2156" s="1"/>
      <c r="E2156" s="25"/>
      <c r="F2156" s="26"/>
      <c r="G2156" s="26"/>
      <c r="L2156" s="25"/>
      <c r="M2156" s="24"/>
      <c r="N2156" s="26"/>
      <c r="O2156" s="26"/>
      <c r="P2156" s="26"/>
      <c r="Q2156" s="26"/>
      <c r="R2156" s="26"/>
      <c r="S2156" s="26"/>
      <c r="T2156" s="26"/>
      <c r="U2156" s="26"/>
      <c r="V2156" s="26"/>
      <c r="W2156" s="26"/>
      <c r="X2156" s="26"/>
      <c r="Y2156" s="26"/>
      <c r="Z2156" s="26"/>
      <c r="AA2156" s="26"/>
      <c r="AB2156" s="26"/>
      <c r="AC2156" s="27"/>
    </row>
    <row r="2157" spans="1:29" x14ac:dyDescent="0.25">
      <c r="A2157" s="1"/>
      <c r="B2157" s="19"/>
      <c r="C2157" s="24"/>
      <c r="D2157" s="1"/>
      <c r="E2157" s="25"/>
      <c r="F2157" s="26"/>
      <c r="G2157" s="26"/>
      <c r="L2157" s="25"/>
      <c r="M2157" s="24"/>
      <c r="N2157" s="26"/>
      <c r="O2157" s="26"/>
      <c r="P2157" s="26"/>
      <c r="Q2157" s="26"/>
      <c r="R2157" s="26"/>
      <c r="S2157" s="26"/>
      <c r="T2157" s="26"/>
      <c r="U2157" s="26"/>
      <c r="V2157" s="26"/>
      <c r="W2157" s="26"/>
      <c r="X2157" s="26"/>
      <c r="Y2157" s="26"/>
      <c r="Z2157" s="26"/>
      <c r="AA2157" s="26"/>
      <c r="AB2157" s="26"/>
      <c r="AC2157" s="27"/>
    </row>
    <row r="2158" spans="1:29" x14ac:dyDescent="0.25">
      <c r="A2158" s="1"/>
      <c r="B2158" s="19"/>
      <c r="C2158" s="24"/>
      <c r="D2158" s="1"/>
      <c r="E2158" s="25"/>
      <c r="F2158" s="26"/>
      <c r="G2158" s="26"/>
      <c r="L2158" s="25"/>
      <c r="M2158" s="24"/>
      <c r="N2158" s="26"/>
      <c r="O2158" s="26"/>
      <c r="P2158" s="26"/>
      <c r="Q2158" s="26"/>
      <c r="R2158" s="26"/>
      <c r="S2158" s="26"/>
      <c r="T2158" s="26"/>
      <c r="U2158" s="26"/>
      <c r="V2158" s="26"/>
      <c r="W2158" s="26"/>
      <c r="X2158" s="26"/>
      <c r="Y2158" s="26"/>
      <c r="Z2158" s="26"/>
      <c r="AA2158" s="26"/>
      <c r="AB2158" s="26"/>
      <c r="AC2158" s="27"/>
    </row>
    <row r="2159" spans="1:29" x14ac:dyDescent="0.25">
      <c r="A2159" s="1"/>
      <c r="B2159" s="19"/>
      <c r="C2159" s="24"/>
      <c r="D2159" s="1"/>
      <c r="E2159" s="25"/>
      <c r="F2159" s="26"/>
      <c r="G2159" s="26"/>
      <c r="L2159" s="25"/>
      <c r="M2159" s="24"/>
      <c r="N2159" s="26"/>
      <c r="O2159" s="26"/>
      <c r="P2159" s="26"/>
      <c r="Q2159" s="26"/>
      <c r="R2159" s="26"/>
      <c r="S2159" s="26"/>
      <c r="T2159" s="26"/>
      <c r="U2159" s="26"/>
      <c r="V2159" s="26"/>
      <c r="W2159" s="26"/>
      <c r="X2159" s="26"/>
      <c r="Y2159" s="26"/>
      <c r="Z2159" s="26"/>
      <c r="AA2159" s="26"/>
      <c r="AB2159" s="26"/>
      <c r="AC2159" s="27"/>
    </row>
    <row r="2160" spans="1:29" x14ac:dyDescent="0.25">
      <c r="A2160" s="1"/>
      <c r="B2160" s="19"/>
      <c r="C2160" s="24"/>
      <c r="D2160" s="1"/>
      <c r="E2160" s="25"/>
      <c r="F2160" s="26"/>
      <c r="G2160" s="26"/>
      <c r="L2160" s="25"/>
      <c r="M2160" s="24"/>
      <c r="N2160" s="26"/>
      <c r="O2160" s="26"/>
      <c r="P2160" s="26"/>
      <c r="Q2160" s="26"/>
      <c r="R2160" s="26"/>
      <c r="S2160" s="26"/>
      <c r="T2160" s="26"/>
      <c r="U2160" s="26"/>
      <c r="V2160" s="26"/>
      <c r="W2160" s="26"/>
      <c r="X2160" s="26"/>
      <c r="Y2160" s="26"/>
      <c r="Z2160" s="26"/>
      <c r="AA2160" s="26"/>
      <c r="AB2160" s="26"/>
      <c r="AC2160" s="27"/>
    </row>
    <row r="2161" spans="1:29" x14ac:dyDescent="0.25">
      <c r="A2161" s="1"/>
      <c r="B2161" s="19"/>
      <c r="C2161" s="24"/>
      <c r="D2161" s="1"/>
      <c r="E2161" s="25"/>
      <c r="F2161" s="26"/>
      <c r="G2161" s="26"/>
      <c r="L2161" s="25"/>
      <c r="M2161" s="24"/>
      <c r="N2161" s="26"/>
      <c r="O2161" s="26"/>
      <c r="P2161" s="26"/>
      <c r="Q2161" s="26"/>
      <c r="R2161" s="26"/>
      <c r="S2161" s="26"/>
      <c r="T2161" s="26"/>
      <c r="U2161" s="26"/>
      <c r="V2161" s="26"/>
      <c r="W2161" s="26"/>
      <c r="X2161" s="26"/>
      <c r="Y2161" s="26"/>
      <c r="Z2161" s="26"/>
      <c r="AA2161" s="26"/>
      <c r="AB2161" s="26"/>
      <c r="AC2161" s="27"/>
    </row>
    <row r="2162" spans="1:29" x14ac:dyDescent="0.25">
      <c r="A2162" s="1"/>
      <c r="B2162" s="19"/>
      <c r="C2162" s="24"/>
      <c r="D2162" s="1"/>
      <c r="E2162" s="25"/>
      <c r="F2162" s="26"/>
      <c r="G2162" s="26"/>
      <c r="L2162" s="25"/>
      <c r="M2162" s="24"/>
      <c r="N2162" s="26"/>
      <c r="O2162" s="26"/>
      <c r="P2162" s="26"/>
      <c r="Q2162" s="26"/>
      <c r="R2162" s="26"/>
      <c r="S2162" s="26"/>
      <c r="T2162" s="26"/>
      <c r="U2162" s="26"/>
      <c r="V2162" s="26"/>
      <c r="W2162" s="26"/>
      <c r="X2162" s="26"/>
      <c r="Y2162" s="26"/>
      <c r="Z2162" s="26"/>
      <c r="AA2162" s="26"/>
      <c r="AB2162" s="26"/>
      <c r="AC2162" s="27"/>
    </row>
    <row r="2163" spans="1:29" x14ac:dyDescent="0.25">
      <c r="A2163" s="1"/>
      <c r="B2163" s="19"/>
      <c r="C2163" s="24"/>
      <c r="D2163" s="1"/>
      <c r="E2163" s="25"/>
      <c r="F2163" s="26"/>
      <c r="G2163" s="26"/>
      <c r="L2163" s="25"/>
      <c r="M2163" s="24"/>
      <c r="N2163" s="26"/>
      <c r="O2163" s="26"/>
      <c r="P2163" s="26"/>
      <c r="Q2163" s="26"/>
      <c r="R2163" s="26"/>
      <c r="S2163" s="26"/>
      <c r="T2163" s="26"/>
      <c r="U2163" s="26"/>
      <c r="V2163" s="26"/>
      <c r="W2163" s="26"/>
      <c r="X2163" s="26"/>
      <c r="Y2163" s="26"/>
      <c r="Z2163" s="26"/>
      <c r="AA2163" s="26"/>
      <c r="AB2163" s="26"/>
      <c r="AC2163" s="27"/>
    </row>
    <row r="2164" spans="1:29" x14ac:dyDescent="0.25">
      <c r="A2164" s="1"/>
      <c r="B2164" s="19"/>
      <c r="C2164" s="24"/>
      <c r="D2164" s="1"/>
      <c r="E2164" s="25"/>
      <c r="F2164" s="26"/>
      <c r="G2164" s="26"/>
      <c r="L2164" s="25"/>
      <c r="M2164" s="24"/>
      <c r="N2164" s="26"/>
      <c r="O2164" s="26"/>
      <c r="P2164" s="26"/>
      <c r="Q2164" s="26"/>
      <c r="R2164" s="26"/>
      <c r="S2164" s="26"/>
      <c r="T2164" s="26"/>
      <c r="U2164" s="26"/>
      <c r="V2164" s="26"/>
      <c r="W2164" s="26"/>
      <c r="X2164" s="26"/>
      <c r="Y2164" s="26"/>
      <c r="Z2164" s="26"/>
      <c r="AA2164" s="26"/>
      <c r="AB2164" s="26"/>
      <c r="AC2164" s="27"/>
    </row>
    <row r="2165" spans="1:29" x14ac:dyDescent="0.25">
      <c r="A2165" s="1"/>
      <c r="B2165" s="19"/>
      <c r="C2165" s="24"/>
      <c r="D2165" s="1"/>
      <c r="E2165" s="25"/>
      <c r="F2165" s="26"/>
      <c r="G2165" s="26"/>
      <c r="L2165" s="25"/>
      <c r="M2165" s="24"/>
      <c r="N2165" s="26"/>
      <c r="O2165" s="26"/>
      <c r="P2165" s="26"/>
      <c r="Q2165" s="26"/>
      <c r="R2165" s="26"/>
      <c r="S2165" s="26"/>
      <c r="T2165" s="26"/>
      <c r="U2165" s="26"/>
      <c r="V2165" s="26"/>
      <c r="W2165" s="26"/>
      <c r="X2165" s="26"/>
      <c r="Y2165" s="26"/>
      <c r="Z2165" s="26"/>
      <c r="AA2165" s="26"/>
      <c r="AB2165" s="26"/>
      <c r="AC2165" s="27"/>
    </row>
    <row r="2166" spans="1:29" x14ac:dyDescent="0.25">
      <c r="A2166" s="1"/>
      <c r="B2166" s="19"/>
      <c r="C2166" s="24"/>
      <c r="D2166" s="1"/>
      <c r="E2166" s="25"/>
      <c r="F2166" s="26"/>
      <c r="G2166" s="26"/>
      <c r="L2166" s="25"/>
      <c r="M2166" s="24"/>
      <c r="N2166" s="26"/>
      <c r="O2166" s="26"/>
      <c r="P2166" s="26"/>
      <c r="Q2166" s="26"/>
      <c r="R2166" s="26"/>
      <c r="S2166" s="26"/>
      <c r="T2166" s="26"/>
      <c r="U2166" s="26"/>
      <c r="V2166" s="26"/>
      <c r="W2166" s="26"/>
      <c r="X2166" s="26"/>
      <c r="Y2166" s="26"/>
      <c r="Z2166" s="26"/>
      <c r="AA2166" s="26"/>
      <c r="AB2166" s="26"/>
      <c r="AC2166" s="27"/>
    </row>
    <row r="2167" spans="1:29" x14ac:dyDescent="0.25">
      <c r="A2167" s="1"/>
      <c r="B2167" s="19"/>
      <c r="C2167" s="24"/>
      <c r="D2167" s="1"/>
      <c r="E2167" s="25"/>
      <c r="F2167" s="26"/>
      <c r="G2167" s="26"/>
      <c r="L2167" s="25"/>
      <c r="M2167" s="24"/>
      <c r="N2167" s="26"/>
      <c r="O2167" s="26"/>
      <c r="P2167" s="26"/>
      <c r="Q2167" s="26"/>
      <c r="R2167" s="26"/>
      <c r="S2167" s="26"/>
      <c r="T2167" s="26"/>
      <c r="U2167" s="26"/>
      <c r="V2167" s="26"/>
      <c r="W2167" s="26"/>
      <c r="X2167" s="26"/>
      <c r="Y2167" s="26"/>
      <c r="Z2167" s="26"/>
      <c r="AA2167" s="26"/>
      <c r="AB2167" s="26"/>
      <c r="AC2167" s="27"/>
    </row>
    <row r="2168" spans="1:29" x14ac:dyDescent="0.25">
      <c r="A2168" s="1"/>
      <c r="B2168" s="19"/>
      <c r="C2168" s="24"/>
      <c r="D2168" s="1"/>
      <c r="E2168" s="25"/>
      <c r="F2168" s="26"/>
      <c r="G2168" s="26"/>
      <c r="L2168" s="25"/>
      <c r="M2168" s="24"/>
      <c r="N2168" s="26"/>
      <c r="O2168" s="26"/>
      <c r="P2168" s="26"/>
      <c r="Q2168" s="26"/>
      <c r="R2168" s="26"/>
      <c r="S2168" s="26"/>
      <c r="T2168" s="26"/>
      <c r="U2168" s="26"/>
      <c r="V2168" s="26"/>
      <c r="W2168" s="26"/>
      <c r="X2168" s="26"/>
      <c r="Y2168" s="26"/>
      <c r="Z2168" s="26"/>
      <c r="AA2168" s="26"/>
      <c r="AB2168" s="26"/>
      <c r="AC2168" s="27"/>
    </row>
    <row r="2169" spans="1:29" x14ac:dyDescent="0.25">
      <c r="A2169" s="1"/>
      <c r="B2169" s="19"/>
      <c r="C2169" s="24"/>
      <c r="D2169" s="1"/>
      <c r="E2169" s="25"/>
      <c r="F2169" s="26"/>
      <c r="G2169" s="26"/>
      <c r="L2169" s="25"/>
      <c r="M2169" s="24"/>
      <c r="N2169" s="26"/>
      <c r="O2169" s="26"/>
      <c r="P2169" s="26"/>
      <c r="Q2169" s="26"/>
      <c r="R2169" s="26"/>
      <c r="S2169" s="26"/>
      <c r="T2169" s="26"/>
      <c r="U2169" s="26"/>
      <c r="V2169" s="26"/>
      <c r="W2169" s="26"/>
      <c r="X2169" s="26"/>
      <c r="Y2169" s="26"/>
      <c r="Z2169" s="26"/>
      <c r="AA2169" s="26"/>
      <c r="AB2169" s="26"/>
      <c r="AC2169" s="27"/>
    </row>
    <row r="2170" spans="1:29" x14ac:dyDescent="0.25">
      <c r="A2170" s="1"/>
      <c r="B2170" s="19"/>
      <c r="C2170" s="24"/>
      <c r="D2170" s="1"/>
      <c r="E2170" s="25"/>
      <c r="F2170" s="26"/>
      <c r="G2170" s="26"/>
      <c r="L2170" s="25"/>
      <c r="M2170" s="24"/>
      <c r="N2170" s="26"/>
      <c r="O2170" s="26"/>
      <c r="P2170" s="26"/>
      <c r="Q2170" s="26"/>
      <c r="R2170" s="26"/>
      <c r="S2170" s="26"/>
      <c r="T2170" s="26"/>
      <c r="U2170" s="26"/>
      <c r="V2170" s="26"/>
      <c r="W2170" s="26"/>
      <c r="X2170" s="26"/>
      <c r="Y2170" s="26"/>
      <c r="Z2170" s="26"/>
      <c r="AA2170" s="26"/>
      <c r="AB2170" s="26"/>
      <c r="AC2170" s="27"/>
    </row>
    <row r="2171" spans="1:29" x14ac:dyDescent="0.25">
      <c r="A2171" s="1"/>
      <c r="B2171" s="19"/>
      <c r="C2171" s="24"/>
      <c r="D2171" s="1"/>
      <c r="E2171" s="25"/>
      <c r="F2171" s="26"/>
      <c r="G2171" s="26"/>
      <c r="L2171" s="25"/>
      <c r="M2171" s="24"/>
      <c r="N2171" s="26"/>
      <c r="O2171" s="26"/>
      <c r="P2171" s="26"/>
      <c r="Q2171" s="26"/>
      <c r="R2171" s="26"/>
      <c r="S2171" s="26"/>
      <c r="T2171" s="26"/>
      <c r="U2171" s="26"/>
      <c r="V2171" s="26"/>
      <c r="W2171" s="26"/>
      <c r="X2171" s="26"/>
      <c r="Y2171" s="26"/>
      <c r="Z2171" s="26"/>
      <c r="AA2171" s="26"/>
      <c r="AB2171" s="26"/>
      <c r="AC2171" s="27"/>
    </row>
    <row r="2172" spans="1:29" x14ac:dyDescent="0.25">
      <c r="A2172" s="1"/>
      <c r="B2172" s="19"/>
      <c r="C2172" s="24"/>
      <c r="D2172" s="1"/>
      <c r="E2172" s="25"/>
      <c r="F2172" s="26"/>
      <c r="G2172" s="26"/>
      <c r="L2172" s="25"/>
      <c r="M2172" s="24"/>
      <c r="N2172" s="26"/>
      <c r="O2172" s="26"/>
      <c r="P2172" s="26"/>
      <c r="Q2172" s="26"/>
      <c r="R2172" s="26"/>
      <c r="S2172" s="26"/>
      <c r="T2172" s="26"/>
      <c r="U2172" s="26"/>
      <c r="V2172" s="26"/>
      <c r="W2172" s="26"/>
      <c r="X2172" s="26"/>
      <c r="Y2172" s="26"/>
      <c r="Z2172" s="26"/>
      <c r="AA2172" s="26"/>
      <c r="AB2172" s="26"/>
      <c r="AC2172" s="27"/>
    </row>
    <row r="2173" spans="1:29" x14ac:dyDescent="0.25">
      <c r="A2173" s="1"/>
      <c r="B2173" s="19"/>
      <c r="C2173" s="24"/>
      <c r="D2173" s="1"/>
      <c r="E2173" s="25"/>
      <c r="F2173" s="26"/>
      <c r="G2173" s="26"/>
      <c r="L2173" s="25"/>
      <c r="M2173" s="24"/>
      <c r="N2173" s="26"/>
      <c r="O2173" s="26"/>
      <c r="P2173" s="26"/>
      <c r="Q2173" s="26"/>
      <c r="R2173" s="26"/>
      <c r="S2173" s="26"/>
      <c r="T2173" s="26"/>
      <c r="U2173" s="26"/>
      <c r="V2173" s="26"/>
      <c r="W2173" s="26"/>
      <c r="X2173" s="26"/>
      <c r="Y2173" s="26"/>
      <c r="Z2173" s="26"/>
      <c r="AA2173" s="26"/>
      <c r="AB2173" s="26"/>
      <c r="AC2173" s="27"/>
    </row>
    <row r="2174" spans="1:29" x14ac:dyDescent="0.25">
      <c r="A2174" s="1"/>
      <c r="B2174" s="19"/>
      <c r="C2174" s="24"/>
      <c r="D2174" s="1"/>
      <c r="E2174" s="25"/>
      <c r="F2174" s="26"/>
      <c r="G2174" s="26"/>
      <c r="L2174" s="25"/>
      <c r="M2174" s="24"/>
      <c r="N2174" s="26"/>
      <c r="O2174" s="26"/>
      <c r="P2174" s="26"/>
      <c r="Q2174" s="26"/>
      <c r="R2174" s="26"/>
      <c r="S2174" s="26"/>
      <c r="T2174" s="26"/>
      <c r="U2174" s="26"/>
      <c r="V2174" s="26"/>
      <c r="W2174" s="26"/>
      <c r="X2174" s="26"/>
      <c r="Y2174" s="26"/>
      <c r="Z2174" s="26"/>
      <c r="AA2174" s="26"/>
      <c r="AB2174" s="26"/>
      <c r="AC2174" s="27"/>
    </row>
    <row r="2175" spans="1:29" x14ac:dyDescent="0.25">
      <c r="A2175" s="1"/>
      <c r="B2175" s="19"/>
      <c r="C2175" s="24"/>
      <c r="D2175" s="1"/>
      <c r="E2175" s="25"/>
      <c r="F2175" s="26"/>
      <c r="G2175" s="26"/>
      <c r="L2175" s="25"/>
      <c r="M2175" s="24"/>
      <c r="N2175" s="26"/>
      <c r="O2175" s="26"/>
      <c r="P2175" s="26"/>
      <c r="Q2175" s="26"/>
      <c r="R2175" s="26"/>
      <c r="S2175" s="26"/>
      <c r="T2175" s="26"/>
      <c r="U2175" s="26"/>
      <c r="V2175" s="26"/>
      <c r="W2175" s="26"/>
      <c r="X2175" s="26"/>
      <c r="Y2175" s="26"/>
      <c r="Z2175" s="26"/>
      <c r="AA2175" s="26"/>
      <c r="AB2175" s="26"/>
      <c r="AC2175" s="27"/>
    </row>
    <row r="2176" spans="1:29" x14ac:dyDescent="0.25">
      <c r="A2176" s="1"/>
      <c r="B2176" s="19"/>
      <c r="C2176" s="24"/>
      <c r="D2176" s="1"/>
      <c r="E2176" s="25"/>
      <c r="F2176" s="26"/>
      <c r="G2176" s="26"/>
      <c r="L2176" s="25"/>
      <c r="M2176" s="24"/>
      <c r="N2176" s="26"/>
      <c r="O2176" s="26"/>
      <c r="P2176" s="26"/>
      <c r="Q2176" s="26"/>
      <c r="R2176" s="26"/>
      <c r="S2176" s="26"/>
      <c r="T2176" s="26"/>
      <c r="U2176" s="26"/>
      <c r="V2176" s="26"/>
      <c r="W2176" s="26"/>
      <c r="X2176" s="26"/>
      <c r="Y2176" s="26"/>
      <c r="Z2176" s="26"/>
      <c r="AA2176" s="26"/>
      <c r="AB2176" s="26"/>
      <c r="AC2176" s="27"/>
    </row>
    <row r="2177" spans="1:29" x14ac:dyDescent="0.25">
      <c r="A2177" s="1"/>
      <c r="B2177" s="19"/>
      <c r="C2177" s="24"/>
      <c r="D2177" s="1"/>
      <c r="E2177" s="25"/>
      <c r="F2177" s="26"/>
      <c r="G2177" s="26"/>
      <c r="L2177" s="25"/>
      <c r="M2177" s="24"/>
      <c r="N2177" s="26"/>
      <c r="O2177" s="26"/>
      <c r="P2177" s="26"/>
      <c r="Q2177" s="26"/>
      <c r="R2177" s="26"/>
      <c r="S2177" s="26"/>
      <c r="T2177" s="26"/>
      <c r="U2177" s="26"/>
      <c r="V2177" s="26"/>
      <c r="W2177" s="26"/>
      <c r="X2177" s="26"/>
      <c r="Y2177" s="26"/>
      <c r="Z2177" s="26"/>
      <c r="AA2177" s="26"/>
      <c r="AB2177" s="26"/>
      <c r="AC2177" s="27"/>
    </row>
    <row r="2178" spans="1:29" x14ac:dyDescent="0.25">
      <c r="A2178" s="1"/>
      <c r="B2178" s="19"/>
      <c r="C2178" s="24"/>
      <c r="D2178" s="1"/>
      <c r="E2178" s="25"/>
      <c r="F2178" s="26"/>
      <c r="G2178" s="26"/>
      <c r="L2178" s="25"/>
      <c r="M2178" s="24"/>
      <c r="N2178" s="26"/>
      <c r="O2178" s="26"/>
      <c r="P2178" s="26"/>
      <c r="Q2178" s="26"/>
      <c r="R2178" s="26"/>
      <c r="S2178" s="26"/>
      <c r="T2178" s="26"/>
      <c r="U2178" s="26"/>
      <c r="V2178" s="26"/>
      <c r="W2178" s="26"/>
      <c r="X2178" s="26"/>
      <c r="Y2178" s="26"/>
      <c r="Z2178" s="26"/>
      <c r="AA2178" s="26"/>
      <c r="AB2178" s="26"/>
      <c r="AC2178" s="27"/>
    </row>
    <row r="2179" spans="1:29" x14ac:dyDescent="0.25">
      <c r="A2179" s="1"/>
      <c r="B2179" s="19"/>
      <c r="C2179" s="24"/>
      <c r="D2179" s="1"/>
      <c r="E2179" s="25"/>
      <c r="F2179" s="26"/>
      <c r="G2179" s="26"/>
      <c r="L2179" s="25"/>
      <c r="M2179" s="24"/>
      <c r="N2179" s="26"/>
      <c r="O2179" s="26"/>
      <c r="P2179" s="26"/>
      <c r="Q2179" s="26"/>
      <c r="R2179" s="26"/>
      <c r="S2179" s="26"/>
      <c r="T2179" s="26"/>
      <c r="U2179" s="26"/>
      <c r="V2179" s="26"/>
      <c r="W2179" s="26"/>
      <c r="X2179" s="26"/>
      <c r="Y2179" s="26"/>
      <c r="Z2179" s="26"/>
      <c r="AA2179" s="26"/>
      <c r="AB2179" s="26"/>
      <c r="AC2179" s="27"/>
    </row>
    <row r="2180" spans="1:29" x14ac:dyDescent="0.25">
      <c r="A2180" s="1"/>
      <c r="B2180" s="19"/>
      <c r="C2180" s="24"/>
      <c r="D2180" s="1"/>
      <c r="E2180" s="25"/>
      <c r="F2180" s="26"/>
      <c r="G2180" s="26"/>
      <c r="L2180" s="25"/>
      <c r="M2180" s="24"/>
      <c r="N2180" s="26"/>
      <c r="O2180" s="26"/>
      <c r="P2180" s="26"/>
      <c r="Q2180" s="26"/>
      <c r="R2180" s="26"/>
      <c r="S2180" s="26"/>
      <c r="T2180" s="26"/>
      <c r="U2180" s="26"/>
      <c r="V2180" s="26"/>
      <c r="W2180" s="26"/>
      <c r="X2180" s="26"/>
      <c r="Y2180" s="26"/>
      <c r="Z2180" s="26"/>
      <c r="AA2180" s="26"/>
      <c r="AB2180" s="26"/>
      <c r="AC2180" s="27"/>
    </row>
    <row r="2181" spans="1:29" x14ac:dyDescent="0.25">
      <c r="A2181" s="1"/>
      <c r="B2181" s="19"/>
      <c r="C2181" s="24"/>
      <c r="D2181" s="1"/>
      <c r="E2181" s="25"/>
      <c r="F2181" s="26"/>
      <c r="G2181" s="26"/>
      <c r="L2181" s="25"/>
      <c r="M2181" s="24"/>
      <c r="N2181" s="26"/>
      <c r="O2181" s="26"/>
      <c r="P2181" s="26"/>
      <c r="Q2181" s="26"/>
      <c r="R2181" s="26"/>
      <c r="S2181" s="26"/>
      <c r="T2181" s="26"/>
      <c r="U2181" s="26"/>
      <c r="V2181" s="26"/>
      <c r="W2181" s="26"/>
      <c r="X2181" s="26"/>
      <c r="Y2181" s="26"/>
      <c r="Z2181" s="26"/>
      <c r="AA2181" s="26"/>
      <c r="AB2181" s="26"/>
      <c r="AC2181" s="27"/>
    </row>
    <row r="2182" spans="1:29" x14ac:dyDescent="0.25">
      <c r="A2182" s="1"/>
      <c r="B2182" s="19"/>
      <c r="C2182" s="24"/>
      <c r="D2182" s="1"/>
      <c r="E2182" s="25"/>
      <c r="F2182" s="26"/>
      <c r="G2182" s="26"/>
      <c r="L2182" s="25"/>
      <c r="M2182" s="24"/>
      <c r="N2182" s="26"/>
      <c r="O2182" s="26"/>
      <c r="P2182" s="26"/>
      <c r="Q2182" s="26"/>
      <c r="R2182" s="26"/>
      <c r="S2182" s="26"/>
      <c r="T2182" s="26"/>
      <c r="U2182" s="26"/>
      <c r="V2182" s="26"/>
      <c r="W2182" s="26"/>
      <c r="X2182" s="26"/>
      <c r="Y2182" s="26"/>
      <c r="Z2182" s="26"/>
      <c r="AA2182" s="26"/>
      <c r="AB2182" s="26"/>
      <c r="AC2182" s="27"/>
    </row>
    <row r="2183" spans="1:29" x14ac:dyDescent="0.25">
      <c r="A2183" s="1"/>
      <c r="B2183" s="19"/>
      <c r="C2183" s="24"/>
      <c r="D2183" s="1"/>
      <c r="E2183" s="25"/>
      <c r="F2183" s="26"/>
      <c r="G2183" s="26"/>
      <c r="L2183" s="25"/>
      <c r="M2183" s="24"/>
      <c r="N2183" s="26"/>
      <c r="O2183" s="26"/>
      <c r="P2183" s="26"/>
      <c r="Q2183" s="26"/>
      <c r="R2183" s="26"/>
      <c r="S2183" s="26"/>
      <c r="T2183" s="26"/>
      <c r="U2183" s="26"/>
      <c r="V2183" s="26"/>
      <c r="W2183" s="26"/>
      <c r="X2183" s="26"/>
      <c r="Y2183" s="26"/>
      <c r="Z2183" s="26"/>
      <c r="AA2183" s="26"/>
      <c r="AB2183" s="26"/>
      <c r="AC2183" s="27"/>
    </row>
    <row r="2184" spans="1:29" x14ac:dyDescent="0.25">
      <c r="A2184" s="1"/>
      <c r="B2184" s="19"/>
      <c r="C2184" s="24"/>
      <c r="D2184" s="1"/>
      <c r="E2184" s="25"/>
      <c r="F2184" s="26"/>
      <c r="G2184" s="26"/>
      <c r="L2184" s="25"/>
      <c r="M2184" s="24"/>
      <c r="N2184" s="26"/>
      <c r="O2184" s="26"/>
      <c r="P2184" s="26"/>
      <c r="Q2184" s="26"/>
      <c r="R2184" s="26"/>
      <c r="S2184" s="26"/>
      <c r="T2184" s="26"/>
      <c r="U2184" s="26"/>
      <c r="V2184" s="26"/>
      <c r="W2184" s="26"/>
      <c r="X2184" s="26"/>
      <c r="Y2184" s="26"/>
      <c r="Z2184" s="26"/>
      <c r="AA2184" s="26"/>
      <c r="AB2184" s="26"/>
      <c r="AC2184" s="27"/>
    </row>
    <row r="2185" spans="1:29" x14ac:dyDescent="0.25">
      <c r="A2185" s="1"/>
      <c r="B2185" s="19"/>
      <c r="C2185" s="24"/>
      <c r="D2185" s="1"/>
      <c r="E2185" s="25"/>
      <c r="F2185" s="26"/>
      <c r="G2185" s="26"/>
      <c r="L2185" s="25"/>
      <c r="M2185" s="24"/>
      <c r="N2185" s="26"/>
      <c r="O2185" s="26"/>
      <c r="P2185" s="26"/>
      <c r="Q2185" s="26"/>
      <c r="R2185" s="26"/>
      <c r="S2185" s="26"/>
      <c r="T2185" s="26"/>
      <c r="U2185" s="26"/>
      <c r="V2185" s="26"/>
      <c r="W2185" s="26"/>
      <c r="X2185" s="26"/>
      <c r="Y2185" s="26"/>
      <c r="Z2185" s="26"/>
      <c r="AA2185" s="26"/>
      <c r="AB2185" s="26"/>
      <c r="AC2185" s="27"/>
    </row>
    <row r="2186" spans="1:29" x14ac:dyDescent="0.25">
      <c r="A2186" s="1"/>
      <c r="B2186" s="19"/>
      <c r="C2186" s="24"/>
      <c r="D2186" s="1"/>
      <c r="E2186" s="25"/>
      <c r="F2186" s="26"/>
      <c r="G2186" s="26"/>
      <c r="L2186" s="25"/>
      <c r="M2186" s="24"/>
      <c r="N2186" s="26"/>
      <c r="O2186" s="26"/>
      <c r="P2186" s="26"/>
      <c r="Q2186" s="26"/>
      <c r="R2186" s="26"/>
      <c r="S2186" s="26"/>
      <c r="T2186" s="26"/>
      <c r="U2186" s="26"/>
      <c r="V2186" s="26"/>
      <c r="W2186" s="26"/>
      <c r="X2186" s="26"/>
      <c r="Y2186" s="26"/>
      <c r="Z2186" s="26"/>
      <c r="AA2186" s="26"/>
      <c r="AB2186" s="26"/>
      <c r="AC2186" s="27"/>
    </row>
    <row r="2187" spans="1:29" x14ac:dyDescent="0.25">
      <c r="A2187" s="1"/>
      <c r="B2187" s="19"/>
      <c r="C2187" s="24"/>
      <c r="D2187" s="1"/>
      <c r="E2187" s="25"/>
      <c r="F2187" s="26"/>
      <c r="G2187" s="26"/>
      <c r="L2187" s="25"/>
      <c r="M2187" s="24"/>
      <c r="N2187" s="26"/>
      <c r="O2187" s="26"/>
      <c r="P2187" s="26"/>
      <c r="Q2187" s="26"/>
      <c r="R2187" s="26"/>
      <c r="S2187" s="26"/>
      <c r="T2187" s="26"/>
      <c r="U2187" s="26"/>
      <c r="V2187" s="26"/>
      <c r="W2187" s="26"/>
      <c r="X2187" s="26"/>
      <c r="Y2187" s="26"/>
      <c r="Z2187" s="26"/>
      <c r="AA2187" s="26"/>
      <c r="AB2187" s="26"/>
      <c r="AC2187" s="27"/>
    </row>
    <row r="2188" spans="1:29" x14ac:dyDescent="0.25">
      <c r="A2188" s="1"/>
      <c r="B2188" s="19"/>
      <c r="C2188" s="24"/>
      <c r="D2188" s="1"/>
      <c r="E2188" s="25"/>
      <c r="F2188" s="26"/>
      <c r="G2188" s="26"/>
      <c r="L2188" s="25"/>
      <c r="M2188" s="24"/>
      <c r="N2188" s="26"/>
      <c r="O2188" s="26"/>
      <c r="P2188" s="26"/>
      <c r="Q2188" s="26"/>
      <c r="R2188" s="26"/>
      <c r="S2188" s="26"/>
      <c r="T2188" s="26"/>
      <c r="U2188" s="26"/>
      <c r="V2188" s="26"/>
      <c r="W2188" s="26"/>
      <c r="X2188" s="26"/>
      <c r="Y2188" s="26"/>
      <c r="Z2188" s="26"/>
      <c r="AA2188" s="26"/>
      <c r="AB2188" s="26"/>
      <c r="AC2188" s="27"/>
    </row>
    <row r="2189" spans="1:29" x14ac:dyDescent="0.25">
      <c r="A2189" s="1"/>
      <c r="B2189" s="19"/>
      <c r="C2189" s="24"/>
      <c r="D2189" s="1"/>
      <c r="E2189" s="25"/>
      <c r="F2189" s="26"/>
      <c r="G2189" s="26"/>
      <c r="L2189" s="25"/>
      <c r="M2189" s="24"/>
      <c r="N2189" s="26"/>
      <c r="O2189" s="26"/>
      <c r="P2189" s="26"/>
      <c r="Q2189" s="26"/>
      <c r="R2189" s="26"/>
      <c r="S2189" s="26"/>
      <c r="T2189" s="26"/>
      <c r="U2189" s="26"/>
      <c r="V2189" s="26"/>
      <c r="W2189" s="26"/>
      <c r="X2189" s="26"/>
      <c r="Y2189" s="26"/>
      <c r="Z2189" s="26"/>
      <c r="AA2189" s="26"/>
      <c r="AB2189" s="26"/>
      <c r="AC2189" s="27"/>
    </row>
    <row r="2190" spans="1:29" x14ac:dyDescent="0.25">
      <c r="A2190" s="1"/>
      <c r="B2190" s="19"/>
      <c r="C2190" s="24"/>
      <c r="D2190" s="1"/>
      <c r="E2190" s="25"/>
      <c r="F2190" s="26"/>
      <c r="G2190" s="26"/>
      <c r="L2190" s="25"/>
      <c r="M2190" s="24"/>
      <c r="N2190" s="26"/>
      <c r="O2190" s="26"/>
      <c r="P2190" s="26"/>
      <c r="Q2190" s="26"/>
      <c r="R2190" s="26"/>
      <c r="S2190" s="26"/>
      <c r="T2190" s="26"/>
      <c r="U2190" s="26"/>
      <c r="V2190" s="26"/>
      <c r="W2190" s="26"/>
      <c r="X2190" s="26"/>
      <c r="Y2190" s="26"/>
      <c r="Z2190" s="26"/>
      <c r="AA2190" s="26"/>
      <c r="AB2190" s="26"/>
      <c r="AC2190" s="27"/>
    </row>
    <row r="2191" spans="1:29" x14ac:dyDescent="0.25">
      <c r="A2191" s="1"/>
      <c r="B2191" s="19"/>
      <c r="C2191" s="24"/>
      <c r="D2191" s="1"/>
      <c r="E2191" s="25"/>
      <c r="F2191" s="26"/>
      <c r="G2191" s="26"/>
      <c r="L2191" s="25"/>
      <c r="M2191" s="24"/>
      <c r="N2191" s="26"/>
      <c r="O2191" s="26"/>
      <c r="P2191" s="26"/>
      <c r="Q2191" s="26"/>
      <c r="R2191" s="26"/>
      <c r="S2191" s="26"/>
      <c r="T2191" s="26"/>
      <c r="U2191" s="26"/>
      <c r="V2191" s="26"/>
      <c r="W2191" s="26"/>
      <c r="X2191" s="26"/>
      <c r="Y2191" s="26"/>
      <c r="Z2191" s="26"/>
      <c r="AA2191" s="26"/>
      <c r="AB2191" s="26"/>
      <c r="AC2191" s="27"/>
    </row>
    <row r="2192" spans="1:29" x14ac:dyDescent="0.25">
      <c r="A2192" s="1"/>
      <c r="B2192" s="19"/>
      <c r="C2192" s="24"/>
      <c r="D2192" s="1"/>
      <c r="E2192" s="25"/>
      <c r="F2192" s="26"/>
      <c r="G2192" s="26"/>
      <c r="L2192" s="25"/>
      <c r="M2192" s="24"/>
      <c r="N2192" s="26"/>
      <c r="O2192" s="26"/>
      <c r="P2192" s="26"/>
      <c r="Q2192" s="26"/>
      <c r="R2192" s="26"/>
      <c r="S2192" s="26"/>
      <c r="T2192" s="26"/>
      <c r="U2192" s="26"/>
      <c r="V2192" s="26"/>
      <c r="W2192" s="26"/>
      <c r="X2192" s="26"/>
      <c r="Y2192" s="26"/>
      <c r="Z2192" s="26"/>
      <c r="AA2192" s="26"/>
      <c r="AB2192" s="26"/>
      <c r="AC2192" s="27"/>
    </row>
    <row r="2193" spans="1:29" x14ac:dyDescent="0.25">
      <c r="A2193" s="1"/>
      <c r="B2193" s="19"/>
      <c r="C2193" s="24"/>
      <c r="D2193" s="1"/>
      <c r="E2193" s="25"/>
      <c r="F2193" s="26"/>
      <c r="G2193" s="26"/>
      <c r="L2193" s="25"/>
      <c r="M2193" s="24"/>
      <c r="N2193" s="26"/>
      <c r="O2193" s="26"/>
      <c r="P2193" s="26"/>
      <c r="Q2193" s="26"/>
      <c r="R2193" s="26"/>
      <c r="S2193" s="26"/>
      <c r="T2193" s="26"/>
      <c r="U2193" s="26"/>
      <c r="V2193" s="26"/>
      <c r="W2193" s="26"/>
      <c r="X2193" s="26"/>
      <c r="Y2193" s="26"/>
      <c r="Z2193" s="26"/>
      <c r="AA2193" s="26"/>
      <c r="AB2193" s="26"/>
      <c r="AC2193" s="27"/>
    </row>
    <row r="2194" spans="1:29" x14ac:dyDescent="0.25">
      <c r="A2194" s="1"/>
      <c r="B2194" s="19"/>
      <c r="C2194" s="24"/>
      <c r="D2194" s="1"/>
      <c r="E2194" s="25"/>
      <c r="F2194" s="26"/>
      <c r="G2194" s="26"/>
      <c r="L2194" s="25"/>
      <c r="M2194" s="24"/>
      <c r="N2194" s="26"/>
      <c r="O2194" s="26"/>
      <c r="P2194" s="26"/>
      <c r="Q2194" s="26"/>
      <c r="R2194" s="26"/>
      <c r="S2194" s="26"/>
      <c r="T2194" s="26"/>
      <c r="U2194" s="26"/>
      <c r="V2194" s="26"/>
      <c r="W2194" s="26"/>
      <c r="X2194" s="26"/>
      <c r="Y2194" s="26"/>
      <c r="Z2194" s="26"/>
      <c r="AA2194" s="26"/>
      <c r="AB2194" s="26"/>
      <c r="AC2194" s="27"/>
    </row>
    <row r="2195" spans="1:29" x14ac:dyDescent="0.25">
      <c r="A2195" s="1"/>
      <c r="B2195" s="19"/>
      <c r="C2195" s="24"/>
      <c r="D2195" s="1"/>
      <c r="E2195" s="25"/>
      <c r="F2195" s="26"/>
      <c r="G2195" s="26"/>
      <c r="L2195" s="25"/>
      <c r="M2195" s="24"/>
      <c r="N2195" s="26"/>
      <c r="O2195" s="26"/>
      <c r="P2195" s="26"/>
      <c r="Q2195" s="26"/>
      <c r="R2195" s="26"/>
      <c r="S2195" s="26"/>
      <c r="T2195" s="26"/>
      <c r="U2195" s="26"/>
      <c r="V2195" s="26"/>
      <c r="W2195" s="26"/>
      <c r="X2195" s="26"/>
      <c r="Y2195" s="26"/>
      <c r="Z2195" s="26"/>
      <c r="AA2195" s="26"/>
      <c r="AB2195" s="26"/>
      <c r="AC2195" s="27"/>
    </row>
    <row r="2196" spans="1:29" x14ac:dyDescent="0.25">
      <c r="A2196" s="1"/>
      <c r="B2196" s="19"/>
      <c r="C2196" s="24"/>
      <c r="D2196" s="1"/>
      <c r="E2196" s="25"/>
      <c r="F2196" s="26"/>
      <c r="G2196" s="26"/>
      <c r="L2196" s="25"/>
      <c r="M2196" s="24"/>
      <c r="N2196" s="26"/>
      <c r="O2196" s="26"/>
      <c r="P2196" s="26"/>
      <c r="Q2196" s="26"/>
      <c r="R2196" s="26"/>
      <c r="S2196" s="26"/>
      <c r="T2196" s="26"/>
      <c r="U2196" s="26"/>
      <c r="V2196" s="26"/>
      <c r="W2196" s="26"/>
      <c r="X2196" s="26"/>
      <c r="Y2196" s="26"/>
      <c r="Z2196" s="26"/>
      <c r="AA2196" s="26"/>
      <c r="AB2196" s="26"/>
      <c r="AC2196" s="27"/>
    </row>
    <row r="2197" spans="1:29" x14ac:dyDescent="0.25">
      <c r="A2197" s="1"/>
      <c r="B2197" s="19"/>
      <c r="C2197" s="24"/>
      <c r="D2197" s="1"/>
      <c r="E2197" s="25"/>
      <c r="F2197" s="26"/>
      <c r="G2197" s="26"/>
      <c r="L2197" s="25"/>
      <c r="M2197" s="24"/>
      <c r="N2197" s="26"/>
      <c r="O2197" s="26"/>
      <c r="P2197" s="26"/>
      <c r="Q2197" s="26"/>
      <c r="R2197" s="26"/>
      <c r="S2197" s="26"/>
      <c r="T2197" s="26"/>
      <c r="U2197" s="26"/>
      <c r="V2197" s="26"/>
      <c r="W2197" s="26"/>
      <c r="X2197" s="26"/>
      <c r="Y2197" s="26"/>
      <c r="Z2197" s="26"/>
      <c r="AA2197" s="26"/>
      <c r="AB2197" s="26"/>
      <c r="AC2197" s="27"/>
    </row>
    <row r="2198" spans="1:29" x14ac:dyDescent="0.25">
      <c r="A2198" s="1"/>
      <c r="B2198" s="19"/>
      <c r="C2198" s="24"/>
      <c r="D2198" s="1"/>
      <c r="E2198" s="25"/>
      <c r="F2198" s="26"/>
      <c r="G2198" s="26"/>
      <c r="L2198" s="25"/>
      <c r="M2198" s="24"/>
      <c r="N2198" s="26"/>
      <c r="O2198" s="26"/>
      <c r="P2198" s="26"/>
      <c r="Q2198" s="26"/>
      <c r="R2198" s="26"/>
      <c r="S2198" s="26"/>
      <c r="T2198" s="26"/>
      <c r="U2198" s="26"/>
      <c r="V2198" s="26"/>
      <c r="W2198" s="26"/>
      <c r="X2198" s="26"/>
      <c r="Y2198" s="26"/>
      <c r="Z2198" s="26"/>
      <c r="AA2198" s="26"/>
      <c r="AB2198" s="26"/>
      <c r="AC2198" s="27"/>
    </row>
    <row r="2199" spans="1:29" x14ac:dyDescent="0.25">
      <c r="A2199" s="1"/>
      <c r="B2199" s="19"/>
      <c r="C2199" s="24"/>
      <c r="D2199" s="1"/>
      <c r="E2199" s="25"/>
      <c r="F2199" s="26"/>
      <c r="G2199" s="26"/>
      <c r="L2199" s="25"/>
      <c r="M2199" s="24"/>
      <c r="N2199" s="26"/>
      <c r="O2199" s="26"/>
      <c r="P2199" s="26"/>
      <c r="Q2199" s="26"/>
      <c r="R2199" s="26"/>
      <c r="S2199" s="26"/>
      <c r="T2199" s="26"/>
      <c r="U2199" s="26"/>
      <c r="V2199" s="26"/>
      <c r="W2199" s="26"/>
      <c r="X2199" s="26"/>
      <c r="Y2199" s="26"/>
      <c r="Z2199" s="26"/>
      <c r="AA2199" s="26"/>
      <c r="AB2199" s="26"/>
      <c r="AC2199" s="27"/>
    </row>
    <row r="2200" spans="1:29" x14ac:dyDescent="0.25">
      <c r="A2200" s="1"/>
      <c r="B2200" s="19"/>
      <c r="C2200" s="24"/>
      <c r="D2200" s="1"/>
      <c r="E2200" s="25"/>
      <c r="F2200" s="26"/>
      <c r="G2200" s="26"/>
      <c r="L2200" s="25"/>
      <c r="M2200" s="24"/>
      <c r="N2200" s="26"/>
      <c r="O2200" s="26"/>
      <c r="P2200" s="26"/>
      <c r="Q2200" s="26"/>
      <c r="R2200" s="26"/>
      <c r="S2200" s="26"/>
      <c r="T2200" s="26"/>
      <c r="U2200" s="26"/>
      <c r="V2200" s="26"/>
      <c r="W2200" s="26"/>
      <c r="X2200" s="26"/>
      <c r="Y2200" s="26"/>
      <c r="Z2200" s="26"/>
      <c r="AA2200" s="26"/>
      <c r="AB2200" s="26"/>
      <c r="AC2200" s="27"/>
    </row>
    <row r="2201" spans="1:29" x14ac:dyDescent="0.25">
      <c r="A2201" s="1"/>
      <c r="B2201" s="19"/>
      <c r="C2201" s="24"/>
      <c r="D2201" s="1"/>
      <c r="E2201" s="25"/>
      <c r="F2201" s="26"/>
      <c r="G2201" s="26"/>
      <c r="L2201" s="25"/>
      <c r="M2201" s="24"/>
      <c r="N2201" s="26"/>
      <c r="O2201" s="26"/>
      <c r="P2201" s="26"/>
      <c r="Q2201" s="26"/>
      <c r="R2201" s="26"/>
      <c r="S2201" s="26"/>
      <c r="T2201" s="26"/>
      <c r="U2201" s="26"/>
      <c r="V2201" s="26"/>
      <c r="W2201" s="26"/>
      <c r="X2201" s="26"/>
      <c r="Y2201" s="26"/>
      <c r="Z2201" s="26"/>
      <c r="AA2201" s="26"/>
      <c r="AB2201" s="26"/>
      <c r="AC2201" s="27"/>
    </row>
    <row r="2202" spans="1:29" x14ac:dyDescent="0.25">
      <c r="A2202" s="1"/>
      <c r="B2202" s="19"/>
      <c r="C2202" s="24"/>
      <c r="D2202" s="1"/>
      <c r="E2202" s="25"/>
      <c r="F2202" s="26"/>
      <c r="G2202" s="26"/>
      <c r="L2202" s="25"/>
      <c r="M2202" s="24"/>
      <c r="N2202" s="26"/>
      <c r="O2202" s="26"/>
      <c r="P2202" s="26"/>
      <c r="Q2202" s="26"/>
      <c r="R2202" s="26"/>
      <c r="S2202" s="26"/>
      <c r="T2202" s="26"/>
      <c r="U2202" s="26"/>
      <c r="V2202" s="26"/>
      <c r="W2202" s="26"/>
      <c r="X2202" s="26"/>
      <c r="Y2202" s="26"/>
      <c r="Z2202" s="26"/>
      <c r="AA2202" s="26"/>
      <c r="AB2202" s="26"/>
      <c r="AC2202" s="27"/>
    </row>
    <row r="2203" spans="1:29" x14ac:dyDescent="0.25">
      <c r="A2203" s="1"/>
      <c r="B2203" s="19"/>
      <c r="C2203" s="24"/>
      <c r="D2203" s="1"/>
      <c r="E2203" s="25"/>
      <c r="F2203" s="26"/>
      <c r="G2203" s="26"/>
      <c r="L2203" s="25"/>
      <c r="M2203" s="24"/>
      <c r="N2203" s="26"/>
      <c r="O2203" s="26"/>
      <c r="P2203" s="26"/>
      <c r="Q2203" s="26"/>
      <c r="R2203" s="26"/>
      <c r="S2203" s="26"/>
      <c r="T2203" s="26"/>
      <c r="U2203" s="26"/>
      <c r="V2203" s="26"/>
      <c r="W2203" s="26"/>
      <c r="X2203" s="26"/>
      <c r="Y2203" s="26"/>
      <c r="Z2203" s="26"/>
      <c r="AA2203" s="26"/>
      <c r="AB2203" s="26"/>
      <c r="AC2203" s="27"/>
    </row>
    <row r="2204" spans="1:29" x14ac:dyDescent="0.25">
      <c r="A2204" s="1"/>
      <c r="B2204" s="19"/>
      <c r="C2204" s="24"/>
      <c r="D2204" s="1"/>
      <c r="E2204" s="25"/>
      <c r="F2204" s="26"/>
      <c r="G2204" s="26"/>
      <c r="L2204" s="25"/>
      <c r="M2204" s="24"/>
      <c r="N2204" s="26"/>
      <c r="O2204" s="26"/>
      <c r="P2204" s="26"/>
      <c r="Q2204" s="26"/>
      <c r="R2204" s="26"/>
      <c r="S2204" s="26"/>
      <c r="T2204" s="26"/>
      <c r="U2204" s="26"/>
      <c r="V2204" s="26"/>
      <c r="W2204" s="26"/>
      <c r="X2204" s="26"/>
      <c r="Y2204" s="26"/>
      <c r="Z2204" s="26"/>
      <c r="AA2204" s="26"/>
      <c r="AB2204" s="26"/>
      <c r="AC2204" s="27"/>
    </row>
    <row r="2205" spans="1:29" x14ac:dyDescent="0.25">
      <c r="A2205" s="1"/>
      <c r="B2205" s="19"/>
      <c r="C2205" s="24"/>
      <c r="D2205" s="1"/>
      <c r="E2205" s="25"/>
      <c r="F2205" s="26"/>
      <c r="G2205" s="26"/>
      <c r="L2205" s="25"/>
      <c r="M2205" s="24"/>
      <c r="N2205" s="26"/>
      <c r="O2205" s="26"/>
      <c r="P2205" s="26"/>
      <c r="Q2205" s="26"/>
      <c r="R2205" s="26"/>
      <c r="S2205" s="26"/>
      <c r="T2205" s="26"/>
      <c r="U2205" s="26"/>
      <c r="V2205" s="26"/>
      <c r="W2205" s="26"/>
      <c r="X2205" s="26"/>
      <c r="Y2205" s="26"/>
      <c r="Z2205" s="26"/>
      <c r="AA2205" s="26"/>
      <c r="AB2205" s="26"/>
      <c r="AC2205" s="27"/>
    </row>
    <row r="2206" spans="1:29" x14ac:dyDescent="0.25">
      <c r="A2206" s="1"/>
      <c r="B2206" s="19"/>
      <c r="C2206" s="24"/>
      <c r="D2206" s="1"/>
      <c r="E2206" s="25"/>
      <c r="F2206" s="26"/>
      <c r="G2206" s="26"/>
      <c r="L2206" s="25"/>
      <c r="M2206" s="24"/>
      <c r="N2206" s="26"/>
      <c r="O2206" s="26"/>
      <c r="P2206" s="26"/>
      <c r="Q2206" s="26"/>
      <c r="R2206" s="26"/>
      <c r="S2206" s="26"/>
      <c r="T2206" s="26"/>
      <c r="U2206" s="26"/>
      <c r="V2206" s="26"/>
      <c r="W2206" s="26"/>
      <c r="X2206" s="26"/>
      <c r="Y2206" s="26"/>
      <c r="Z2206" s="26"/>
      <c r="AA2206" s="26"/>
      <c r="AB2206" s="26"/>
      <c r="AC2206" s="27"/>
    </row>
    <row r="2207" spans="1:29" x14ac:dyDescent="0.25">
      <c r="A2207" s="1"/>
      <c r="B2207" s="19"/>
      <c r="C2207" s="24"/>
      <c r="D2207" s="1"/>
      <c r="E2207" s="25"/>
      <c r="F2207" s="26"/>
      <c r="G2207" s="26"/>
      <c r="L2207" s="25"/>
      <c r="M2207" s="24"/>
      <c r="N2207" s="26"/>
      <c r="O2207" s="26"/>
      <c r="P2207" s="26"/>
      <c r="Q2207" s="26"/>
      <c r="R2207" s="26"/>
      <c r="S2207" s="26"/>
      <c r="T2207" s="26"/>
      <c r="U2207" s="26"/>
      <c r="V2207" s="26"/>
      <c r="W2207" s="26"/>
      <c r="X2207" s="26"/>
      <c r="Y2207" s="26"/>
      <c r="Z2207" s="26"/>
      <c r="AA2207" s="26"/>
      <c r="AB2207" s="26"/>
      <c r="AC2207" s="27"/>
    </row>
    <row r="2208" spans="1:29" x14ac:dyDescent="0.25">
      <c r="A2208" s="1"/>
      <c r="B2208" s="19"/>
      <c r="C2208" s="24"/>
      <c r="D2208" s="1"/>
      <c r="E2208" s="25"/>
      <c r="F2208" s="26"/>
      <c r="G2208" s="26"/>
      <c r="L2208" s="25"/>
      <c r="M2208" s="24"/>
      <c r="N2208" s="26"/>
      <c r="O2208" s="26"/>
      <c r="P2208" s="26"/>
      <c r="Q2208" s="26"/>
      <c r="R2208" s="26"/>
      <c r="S2208" s="26"/>
      <c r="T2208" s="26"/>
      <c r="U2208" s="26"/>
      <c r="V2208" s="26"/>
      <c r="W2208" s="26"/>
      <c r="X2208" s="26"/>
      <c r="Y2208" s="26"/>
      <c r="Z2208" s="26"/>
      <c r="AA2208" s="26"/>
      <c r="AB2208" s="26"/>
      <c r="AC2208" s="27"/>
    </row>
    <row r="2209" spans="1:29" x14ac:dyDescent="0.25">
      <c r="A2209" s="1"/>
      <c r="B2209" s="19"/>
      <c r="C2209" s="24"/>
      <c r="D2209" s="1"/>
      <c r="E2209" s="25"/>
      <c r="F2209" s="26"/>
      <c r="G2209" s="26"/>
      <c r="L2209" s="25"/>
      <c r="M2209" s="24"/>
      <c r="N2209" s="26"/>
      <c r="O2209" s="26"/>
      <c r="P2209" s="26"/>
      <c r="Q2209" s="26"/>
      <c r="R2209" s="26"/>
      <c r="S2209" s="26"/>
      <c r="T2209" s="26"/>
      <c r="U2209" s="26"/>
      <c r="V2209" s="26"/>
      <c r="W2209" s="26"/>
      <c r="X2209" s="26"/>
      <c r="Y2209" s="26"/>
      <c r="Z2209" s="26"/>
      <c r="AA2209" s="26"/>
      <c r="AB2209" s="26"/>
      <c r="AC2209" s="27"/>
    </row>
    <row r="2210" spans="1:29" x14ac:dyDescent="0.25">
      <c r="A2210" s="1"/>
      <c r="B2210" s="19"/>
      <c r="C2210" s="24"/>
      <c r="D2210" s="1"/>
      <c r="E2210" s="25"/>
      <c r="F2210" s="26"/>
      <c r="G2210" s="26"/>
      <c r="L2210" s="25"/>
      <c r="M2210" s="24"/>
      <c r="N2210" s="26"/>
      <c r="O2210" s="26"/>
      <c r="P2210" s="26"/>
      <c r="Q2210" s="26"/>
      <c r="R2210" s="26"/>
      <c r="S2210" s="26"/>
      <c r="T2210" s="26"/>
      <c r="U2210" s="26"/>
      <c r="V2210" s="26"/>
      <c r="W2210" s="26"/>
      <c r="X2210" s="26"/>
      <c r="Y2210" s="26"/>
      <c r="Z2210" s="26"/>
      <c r="AA2210" s="26"/>
      <c r="AB2210" s="26"/>
      <c r="AC2210" s="27"/>
    </row>
    <row r="2211" spans="1:29" x14ac:dyDescent="0.25">
      <c r="A2211" s="1"/>
      <c r="B2211" s="19"/>
      <c r="C2211" s="24"/>
      <c r="D2211" s="1"/>
      <c r="E2211" s="25"/>
      <c r="F2211" s="26"/>
      <c r="G2211" s="26"/>
      <c r="L2211" s="25"/>
      <c r="M2211" s="24"/>
      <c r="N2211" s="26"/>
      <c r="O2211" s="26"/>
      <c r="P2211" s="26"/>
      <c r="Q2211" s="26"/>
      <c r="R2211" s="26"/>
      <c r="S2211" s="26"/>
      <c r="T2211" s="26"/>
      <c r="U2211" s="26"/>
      <c r="V2211" s="26"/>
      <c r="W2211" s="26"/>
      <c r="X2211" s="26"/>
      <c r="Y2211" s="26"/>
      <c r="Z2211" s="26"/>
      <c r="AA2211" s="26"/>
      <c r="AB2211" s="26"/>
      <c r="AC2211" s="27"/>
    </row>
    <row r="2212" spans="1:29" x14ac:dyDescent="0.25">
      <c r="A2212" s="1"/>
      <c r="B2212" s="19"/>
      <c r="C2212" s="24"/>
      <c r="D2212" s="1"/>
      <c r="E2212" s="25"/>
      <c r="F2212" s="26"/>
      <c r="G2212" s="26"/>
      <c r="L2212" s="25"/>
      <c r="M2212" s="24"/>
      <c r="N2212" s="26"/>
      <c r="O2212" s="26"/>
      <c r="P2212" s="26"/>
      <c r="Q2212" s="26"/>
      <c r="R2212" s="26"/>
      <c r="S2212" s="26"/>
      <c r="T2212" s="26"/>
      <c r="U2212" s="26"/>
      <c r="V2212" s="26"/>
      <c r="W2212" s="26"/>
      <c r="X2212" s="26"/>
      <c r="Y2212" s="26"/>
      <c r="Z2212" s="26"/>
      <c r="AA2212" s="26"/>
      <c r="AB2212" s="26"/>
      <c r="AC2212" s="27"/>
    </row>
    <row r="2213" spans="1:29" x14ac:dyDescent="0.25">
      <c r="A2213" s="1"/>
      <c r="B2213" s="19"/>
      <c r="C2213" s="24"/>
      <c r="D2213" s="1"/>
      <c r="E2213" s="25"/>
      <c r="F2213" s="26"/>
      <c r="G2213" s="26"/>
      <c r="L2213" s="25"/>
      <c r="M2213" s="24"/>
      <c r="N2213" s="26"/>
      <c r="O2213" s="26"/>
      <c r="P2213" s="26"/>
      <c r="Q2213" s="26"/>
      <c r="R2213" s="26"/>
      <c r="S2213" s="26"/>
      <c r="T2213" s="26"/>
      <c r="U2213" s="26"/>
      <c r="V2213" s="26"/>
      <c r="W2213" s="26"/>
      <c r="X2213" s="26"/>
      <c r="Y2213" s="26"/>
      <c r="Z2213" s="26"/>
      <c r="AA2213" s="26"/>
      <c r="AB2213" s="26"/>
      <c r="AC2213" s="27"/>
    </row>
    <row r="2214" spans="1:29" x14ac:dyDescent="0.25">
      <c r="A2214" s="1"/>
      <c r="B2214" s="19"/>
      <c r="C2214" s="24"/>
      <c r="D2214" s="1"/>
      <c r="E2214" s="25"/>
      <c r="F2214" s="26"/>
      <c r="G2214" s="26"/>
      <c r="L2214" s="25"/>
      <c r="M2214" s="24"/>
      <c r="N2214" s="26"/>
      <c r="O2214" s="26"/>
      <c r="P2214" s="26"/>
      <c r="Q2214" s="26"/>
      <c r="R2214" s="26"/>
      <c r="S2214" s="26"/>
      <c r="T2214" s="26"/>
      <c r="U2214" s="26"/>
      <c r="V2214" s="26"/>
      <c r="W2214" s="26"/>
      <c r="X2214" s="26"/>
      <c r="Y2214" s="26"/>
      <c r="Z2214" s="26"/>
      <c r="AA2214" s="26"/>
      <c r="AB2214" s="26"/>
      <c r="AC2214" s="27"/>
    </row>
    <row r="2215" spans="1:29" x14ac:dyDescent="0.25">
      <c r="A2215" s="1"/>
      <c r="B2215" s="19"/>
      <c r="C2215" s="24"/>
      <c r="D2215" s="1"/>
      <c r="E2215" s="25"/>
      <c r="F2215" s="26"/>
      <c r="G2215" s="26"/>
      <c r="L2215" s="25"/>
      <c r="M2215" s="24"/>
      <c r="N2215" s="26"/>
      <c r="O2215" s="26"/>
      <c r="P2215" s="26"/>
      <c r="Q2215" s="26"/>
      <c r="R2215" s="26"/>
      <c r="S2215" s="26"/>
      <c r="T2215" s="26"/>
      <c r="U2215" s="26"/>
      <c r="V2215" s="26"/>
      <c r="W2215" s="26"/>
      <c r="X2215" s="26"/>
      <c r="Y2215" s="26"/>
      <c r="Z2215" s="26"/>
      <c r="AA2215" s="26"/>
      <c r="AB2215" s="26"/>
      <c r="AC2215" s="27"/>
    </row>
    <row r="2216" spans="1:29" x14ac:dyDescent="0.25">
      <c r="A2216" s="1"/>
      <c r="B2216" s="19"/>
      <c r="C2216" s="24"/>
      <c r="D2216" s="1"/>
      <c r="E2216" s="25"/>
      <c r="F2216" s="26"/>
      <c r="G2216" s="26"/>
      <c r="L2216" s="25"/>
      <c r="M2216" s="24"/>
      <c r="N2216" s="26"/>
      <c r="O2216" s="26"/>
      <c r="P2216" s="26"/>
      <c r="Q2216" s="26"/>
      <c r="R2216" s="26"/>
      <c r="S2216" s="26"/>
      <c r="T2216" s="26"/>
      <c r="U2216" s="26"/>
      <c r="V2216" s="26"/>
      <c r="W2216" s="26"/>
      <c r="X2216" s="26"/>
      <c r="Y2216" s="26"/>
      <c r="Z2216" s="26"/>
      <c r="AA2216" s="26"/>
      <c r="AB2216" s="26"/>
      <c r="AC2216" s="27"/>
    </row>
    <row r="2217" spans="1:29" x14ac:dyDescent="0.25">
      <c r="A2217" s="1"/>
      <c r="B2217" s="19"/>
      <c r="C2217" s="24"/>
      <c r="D2217" s="1"/>
      <c r="E2217" s="25"/>
      <c r="F2217" s="26"/>
      <c r="G2217" s="26"/>
      <c r="L2217" s="25"/>
      <c r="M2217" s="24"/>
      <c r="N2217" s="26"/>
      <c r="O2217" s="26"/>
      <c r="P2217" s="26"/>
      <c r="Q2217" s="26"/>
      <c r="R2217" s="26"/>
      <c r="S2217" s="26"/>
      <c r="T2217" s="26"/>
      <c r="U2217" s="26"/>
      <c r="V2217" s="26"/>
      <c r="W2217" s="26"/>
      <c r="X2217" s="26"/>
      <c r="Y2217" s="26"/>
      <c r="Z2217" s="26"/>
      <c r="AA2217" s="26"/>
      <c r="AB2217" s="26"/>
      <c r="AC2217" s="27"/>
    </row>
    <row r="2218" spans="1:29" x14ac:dyDescent="0.25">
      <c r="A2218" s="1"/>
      <c r="B2218" s="19"/>
      <c r="C2218" s="24"/>
      <c r="D2218" s="1"/>
      <c r="E2218" s="25"/>
      <c r="F2218" s="26"/>
      <c r="G2218" s="26"/>
      <c r="L2218" s="25"/>
      <c r="M2218" s="24"/>
      <c r="N2218" s="26"/>
      <c r="O2218" s="26"/>
      <c r="P2218" s="26"/>
      <c r="Q2218" s="26"/>
      <c r="R2218" s="26"/>
      <c r="S2218" s="26"/>
      <c r="T2218" s="26"/>
      <c r="U2218" s="26"/>
      <c r="V2218" s="26"/>
      <c r="W2218" s="26"/>
      <c r="X2218" s="26"/>
      <c r="Y2218" s="26"/>
      <c r="Z2218" s="26"/>
      <c r="AA2218" s="26"/>
      <c r="AB2218" s="26"/>
      <c r="AC2218" s="27"/>
    </row>
    <row r="2219" spans="1:29" x14ac:dyDescent="0.25">
      <c r="A2219" s="1"/>
      <c r="B2219" s="19"/>
      <c r="C2219" s="24"/>
      <c r="D2219" s="1"/>
      <c r="E2219" s="25"/>
      <c r="F2219" s="26"/>
      <c r="G2219" s="26"/>
      <c r="L2219" s="25"/>
      <c r="M2219" s="24"/>
      <c r="N2219" s="26"/>
      <c r="O2219" s="26"/>
      <c r="P2219" s="26"/>
      <c r="Q2219" s="26"/>
      <c r="R2219" s="26"/>
      <c r="S2219" s="26"/>
      <c r="T2219" s="26"/>
      <c r="U2219" s="26"/>
      <c r="V2219" s="26"/>
      <c r="W2219" s="26"/>
      <c r="X2219" s="26"/>
      <c r="Y2219" s="26"/>
      <c r="Z2219" s="26"/>
      <c r="AA2219" s="26"/>
      <c r="AB2219" s="26"/>
      <c r="AC2219" s="27"/>
    </row>
    <row r="2220" spans="1:29" x14ac:dyDescent="0.25">
      <c r="A2220" s="1"/>
      <c r="B2220" s="19"/>
      <c r="C2220" s="24"/>
      <c r="D2220" s="1"/>
      <c r="E2220" s="25"/>
      <c r="F2220" s="26"/>
      <c r="G2220" s="26"/>
      <c r="L2220" s="25"/>
      <c r="M2220" s="24"/>
      <c r="N2220" s="26"/>
      <c r="O2220" s="26"/>
      <c r="P2220" s="26"/>
      <c r="Q2220" s="26"/>
      <c r="R2220" s="26"/>
      <c r="S2220" s="26"/>
      <c r="T2220" s="26"/>
      <c r="U2220" s="26"/>
      <c r="V2220" s="26"/>
      <c r="W2220" s="26"/>
      <c r="X2220" s="26"/>
      <c r="Y2220" s="26"/>
      <c r="Z2220" s="26"/>
      <c r="AA2220" s="26"/>
      <c r="AB2220" s="26"/>
      <c r="AC2220" s="27"/>
    </row>
    <row r="2221" spans="1:29" x14ac:dyDescent="0.25">
      <c r="A2221" s="1"/>
      <c r="B2221" s="19"/>
      <c r="C2221" s="24"/>
      <c r="D2221" s="1"/>
      <c r="E2221" s="25"/>
      <c r="F2221" s="26"/>
      <c r="G2221" s="26"/>
      <c r="L2221" s="25"/>
      <c r="M2221" s="24"/>
      <c r="N2221" s="26"/>
      <c r="O2221" s="26"/>
      <c r="P2221" s="26"/>
      <c r="Q2221" s="26"/>
      <c r="R2221" s="26"/>
      <c r="S2221" s="26"/>
      <c r="T2221" s="26"/>
      <c r="U2221" s="26"/>
      <c r="V2221" s="26"/>
      <c r="W2221" s="26"/>
      <c r="X2221" s="26"/>
      <c r="Y2221" s="26"/>
      <c r="Z2221" s="26"/>
      <c r="AA2221" s="26"/>
      <c r="AB2221" s="26"/>
      <c r="AC2221" s="27"/>
    </row>
    <row r="2222" spans="1:29" x14ac:dyDescent="0.25">
      <c r="A2222" s="1"/>
      <c r="B2222" s="19"/>
      <c r="C2222" s="24"/>
      <c r="D2222" s="1"/>
      <c r="E2222" s="25"/>
      <c r="F2222" s="26"/>
      <c r="G2222" s="26"/>
      <c r="L2222" s="25"/>
      <c r="M2222" s="24"/>
      <c r="N2222" s="26"/>
      <c r="O2222" s="26"/>
      <c r="P2222" s="26"/>
      <c r="Q2222" s="26"/>
      <c r="R2222" s="26"/>
      <c r="S2222" s="26"/>
      <c r="T2222" s="26"/>
      <c r="U2222" s="26"/>
      <c r="V2222" s="26"/>
      <c r="W2222" s="26"/>
      <c r="X2222" s="26"/>
      <c r="Y2222" s="26"/>
      <c r="Z2222" s="26"/>
      <c r="AA2222" s="26"/>
      <c r="AB2222" s="26"/>
      <c r="AC2222" s="27"/>
    </row>
    <row r="2223" spans="1:29" x14ac:dyDescent="0.25">
      <c r="A2223" s="1"/>
      <c r="B2223" s="19"/>
      <c r="C2223" s="24"/>
      <c r="D2223" s="1"/>
      <c r="E2223" s="25"/>
      <c r="F2223" s="26"/>
      <c r="G2223" s="26"/>
      <c r="L2223" s="25"/>
      <c r="M2223" s="24"/>
      <c r="N2223" s="26"/>
      <c r="O2223" s="26"/>
      <c r="P2223" s="26"/>
      <c r="Q2223" s="26"/>
      <c r="R2223" s="26"/>
      <c r="S2223" s="26"/>
      <c r="T2223" s="26"/>
      <c r="U2223" s="26"/>
      <c r="V2223" s="26"/>
      <c r="W2223" s="26"/>
      <c r="X2223" s="26"/>
      <c r="Y2223" s="26"/>
      <c r="Z2223" s="26"/>
      <c r="AA2223" s="26"/>
      <c r="AB2223" s="26"/>
      <c r="AC2223" s="27"/>
    </row>
    <row r="2224" spans="1:29" x14ac:dyDescent="0.25">
      <c r="A2224" s="1"/>
      <c r="B2224" s="19"/>
      <c r="C2224" s="24"/>
      <c r="D2224" s="1"/>
      <c r="E2224" s="25"/>
      <c r="F2224" s="26"/>
      <c r="G2224" s="26"/>
      <c r="L2224" s="25"/>
      <c r="M2224" s="24"/>
      <c r="N2224" s="26"/>
      <c r="O2224" s="26"/>
      <c r="P2224" s="26"/>
      <c r="Q2224" s="26"/>
      <c r="R2224" s="26"/>
      <c r="S2224" s="26"/>
      <c r="T2224" s="26"/>
      <c r="U2224" s="26"/>
      <c r="V2224" s="26"/>
      <c r="W2224" s="26"/>
      <c r="X2224" s="26"/>
      <c r="Y2224" s="26"/>
      <c r="Z2224" s="26"/>
      <c r="AA2224" s="26"/>
      <c r="AB2224" s="26"/>
      <c r="AC2224" s="27"/>
    </row>
    <row r="2225" spans="1:29" x14ac:dyDescent="0.25">
      <c r="A2225" s="1"/>
      <c r="B2225" s="19"/>
      <c r="C2225" s="24"/>
      <c r="D2225" s="1"/>
      <c r="E2225" s="25"/>
      <c r="F2225" s="26"/>
      <c r="G2225" s="26"/>
      <c r="L2225" s="25"/>
      <c r="M2225" s="24"/>
      <c r="N2225" s="26"/>
      <c r="O2225" s="26"/>
      <c r="P2225" s="26"/>
      <c r="Q2225" s="26"/>
      <c r="R2225" s="26"/>
      <c r="S2225" s="26"/>
      <c r="T2225" s="26"/>
      <c r="U2225" s="26"/>
      <c r="V2225" s="26"/>
      <c r="W2225" s="26"/>
      <c r="X2225" s="26"/>
      <c r="Y2225" s="26"/>
      <c r="Z2225" s="26"/>
      <c r="AA2225" s="26"/>
      <c r="AB2225" s="26"/>
      <c r="AC2225" s="27"/>
    </row>
    <row r="2226" spans="1:29" x14ac:dyDescent="0.25">
      <c r="A2226" s="1"/>
      <c r="B2226" s="19"/>
      <c r="C2226" s="24"/>
      <c r="D2226" s="1"/>
      <c r="E2226" s="25"/>
      <c r="F2226" s="26"/>
      <c r="G2226" s="26"/>
      <c r="L2226" s="25"/>
      <c r="M2226" s="24"/>
      <c r="N2226" s="26"/>
      <c r="O2226" s="26"/>
      <c r="P2226" s="26"/>
      <c r="Q2226" s="26"/>
      <c r="R2226" s="26"/>
      <c r="S2226" s="26"/>
      <c r="T2226" s="26"/>
      <c r="U2226" s="26"/>
      <c r="V2226" s="26"/>
      <c r="W2226" s="26"/>
      <c r="X2226" s="26"/>
      <c r="Y2226" s="26"/>
      <c r="Z2226" s="26"/>
      <c r="AA2226" s="26"/>
      <c r="AB2226" s="26"/>
      <c r="AC2226" s="27"/>
    </row>
    <row r="2227" spans="1:29" x14ac:dyDescent="0.25">
      <c r="A2227" s="1"/>
      <c r="B2227" s="19"/>
      <c r="C2227" s="24"/>
      <c r="D2227" s="1"/>
      <c r="E2227" s="25"/>
      <c r="F2227" s="26"/>
      <c r="G2227" s="26"/>
      <c r="L2227" s="25"/>
      <c r="M2227" s="24"/>
      <c r="N2227" s="26"/>
      <c r="O2227" s="26"/>
      <c r="P2227" s="26"/>
      <c r="Q2227" s="26"/>
      <c r="R2227" s="26"/>
      <c r="S2227" s="26"/>
      <c r="T2227" s="26"/>
      <c r="U2227" s="26"/>
      <c r="V2227" s="26"/>
      <c r="W2227" s="26"/>
      <c r="X2227" s="26"/>
      <c r="Y2227" s="26"/>
      <c r="Z2227" s="26"/>
      <c r="AA2227" s="26"/>
      <c r="AB2227" s="26"/>
      <c r="AC2227" s="27"/>
    </row>
    <row r="2228" spans="1:29" x14ac:dyDescent="0.25">
      <c r="A2228" s="1"/>
      <c r="B2228" s="19"/>
      <c r="C2228" s="24"/>
      <c r="D2228" s="1"/>
      <c r="E2228" s="25"/>
      <c r="F2228" s="26"/>
      <c r="G2228" s="26"/>
      <c r="L2228" s="25"/>
      <c r="M2228" s="24"/>
      <c r="N2228" s="26"/>
      <c r="O2228" s="26"/>
      <c r="P2228" s="26"/>
      <c r="Q2228" s="26"/>
      <c r="R2228" s="26"/>
      <c r="S2228" s="26"/>
      <c r="T2228" s="26"/>
      <c r="U2228" s="26"/>
      <c r="V2228" s="26"/>
      <c r="W2228" s="26"/>
      <c r="X2228" s="26"/>
      <c r="Y2228" s="26"/>
      <c r="Z2228" s="26"/>
      <c r="AA2228" s="26"/>
      <c r="AB2228" s="26"/>
      <c r="AC2228" s="27"/>
    </row>
    <row r="2229" spans="1:29" x14ac:dyDescent="0.25">
      <c r="A2229" s="1"/>
      <c r="B2229" s="19"/>
      <c r="C2229" s="24"/>
      <c r="D2229" s="1"/>
      <c r="E2229" s="25"/>
      <c r="F2229" s="26"/>
      <c r="G2229" s="26"/>
      <c r="L2229" s="25"/>
      <c r="M2229" s="24"/>
      <c r="N2229" s="26"/>
      <c r="O2229" s="26"/>
      <c r="P2229" s="26"/>
      <c r="Q2229" s="26"/>
      <c r="R2229" s="26"/>
      <c r="S2229" s="26"/>
      <c r="T2229" s="26"/>
      <c r="U2229" s="26"/>
      <c r="V2229" s="26"/>
      <c r="W2229" s="26"/>
      <c r="X2229" s="26"/>
      <c r="Y2229" s="26"/>
      <c r="Z2229" s="26"/>
      <c r="AA2229" s="26"/>
      <c r="AB2229" s="26"/>
      <c r="AC2229" s="27"/>
    </row>
    <row r="2230" spans="1:29" x14ac:dyDescent="0.25">
      <c r="A2230" s="1"/>
      <c r="B2230" s="19"/>
      <c r="C2230" s="24"/>
      <c r="D2230" s="1"/>
      <c r="E2230" s="25"/>
      <c r="F2230" s="26"/>
      <c r="G2230" s="26"/>
      <c r="L2230" s="25"/>
      <c r="M2230" s="24"/>
      <c r="N2230" s="26"/>
      <c r="O2230" s="26"/>
      <c r="P2230" s="26"/>
      <c r="Q2230" s="26"/>
      <c r="R2230" s="26"/>
      <c r="S2230" s="26"/>
      <c r="T2230" s="26"/>
      <c r="U2230" s="26"/>
      <c r="V2230" s="26"/>
      <c r="W2230" s="26"/>
      <c r="X2230" s="26"/>
      <c r="Y2230" s="26"/>
      <c r="Z2230" s="26"/>
      <c r="AA2230" s="26"/>
      <c r="AB2230" s="26"/>
      <c r="AC2230" s="27"/>
    </row>
    <row r="2231" spans="1:29" x14ac:dyDescent="0.25">
      <c r="A2231" s="1"/>
      <c r="B2231" s="19"/>
      <c r="C2231" s="24"/>
      <c r="D2231" s="1"/>
      <c r="E2231" s="25"/>
      <c r="F2231" s="26"/>
      <c r="G2231" s="26"/>
      <c r="L2231" s="25"/>
      <c r="M2231" s="24"/>
      <c r="N2231" s="26"/>
      <c r="O2231" s="26"/>
      <c r="P2231" s="26"/>
      <c r="Q2231" s="26"/>
      <c r="R2231" s="26"/>
      <c r="S2231" s="26"/>
      <c r="T2231" s="26"/>
      <c r="U2231" s="26"/>
      <c r="V2231" s="26"/>
      <c r="W2231" s="26"/>
      <c r="X2231" s="26"/>
      <c r="Y2231" s="26"/>
      <c r="Z2231" s="26"/>
      <c r="AA2231" s="26"/>
      <c r="AB2231" s="26"/>
      <c r="AC2231" s="27"/>
    </row>
    <row r="2232" spans="1:29" x14ac:dyDescent="0.25">
      <c r="A2232" s="1"/>
      <c r="B2232" s="19"/>
      <c r="C2232" s="24"/>
      <c r="D2232" s="1"/>
      <c r="E2232" s="25"/>
      <c r="F2232" s="26"/>
      <c r="G2232" s="26"/>
      <c r="L2232" s="25"/>
      <c r="M2232" s="24"/>
      <c r="N2232" s="26"/>
      <c r="O2232" s="26"/>
      <c r="P2232" s="26"/>
      <c r="Q2232" s="26"/>
      <c r="R2232" s="26"/>
      <c r="S2232" s="26"/>
      <c r="T2232" s="26"/>
      <c r="U2232" s="26"/>
      <c r="V2232" s="26"/>
      <c r="W2232" s="26"/>
      <c r="X2232" s="26"/>
      <c r="Y2232" s="26"/>
      <c r="Z2232" s="26"/>
      <c r="AA2232" s="26"/>
      <c r="AB2232" s="26"/>
      <c r="AC2232" s="27"/>
    </row>
    <row r="2233" spans="1:29" x14ac:dyDescent="0.25">
      <c r="A2233" s="1"/>
      <c r="B2233" s="19"/>
      <c r="C2233" s="24"/>
      <c r="D2233" s="1"/>
      <c r="E2233" s="25"/>
      <c r="F2233" s="26"/>
      <c r="G2233" s="26"/>
      <c r="L2233" s="25"/>
      <c r="M2233" s="24"/>
      <c r="N2233" s="26"/>
      <c r="O2233" s="26"/>
      <c r="P2233" s="26"/>
      <c r="Q2233" s="26"/>
      <c r="R2233" s="26"/>
      <c r="S2233" s="26"/>
      <c r="T2233" s="26"/>
      <c r="U2233" s="26"/>
      <c r="V2233" s="26"/>
      <c r="W2233" s="26"/>
      <c r="X2233" s="26"/>
      <c r="Y2233" s="26"/>
      <c r="Z2233" s="26"/>
      <c r="AA2233" s="26"/>
      <c r="AB2233" s="26"/>
      <c r="AC2233" s="27"/>
    </row>
    <row r="2234" spans="1:29" x14ac:dyDescent="0.25">
      <c r="A2234" s="1"/>
      <c r="B2234" s="19"/>
      <c r="C2234" s="24"/>
      <c r="D2234" s="1"/>
      <c r="E2234" s="25"/>
      <c r="F2234" s="26"/>
      <c r="G2234" s="26"/>
      <c r="L2234" s="25"/>
      <c r="M2234" s="24"/>
      <c r="N2234" s="26"/>
      <c r="O2234" s="26"/>
      <c r="P2234" s="26"/>
      <c r="Q2234" s="26"/>
      <c r="R2234" s="26"/>
      <c r="S2234" s="26"/>
      <c r="T2234" s="26"/>
      <c r="U2234" s="26"/>
      <c r="V2234" s="26"/>
      <c r="W2234" s="26"/>
      <c r="X2234" s="26"/>
      <c r="Y2234" s="26"/>
      <c r="Z2234" s="26"/>
      <c r="AA2234" s="26"/>
      <c r="AB2234" s="26"/>
      <c r="AC2234" s="27"/>
    </row>
    <row r="2235" spans="1:29" x14ac:dyDescent="0.25">
      <c r="A2235" s="1"/>
      <c r="B2235" s="19"/>
      <c r="C2235" s="24"/>
      <c r="D2235" s="1"/>
      <c r="E2235" s="25"/>
      <c r="F2235" s="26"/>
      <c r="G2235" s="26"/>
      <c r="L2235" s="25"/>
      <c r="M2235" s="24"/>
      <c r="N2235" s="26"/>
      <c r="O2235" s="26"/>
      <c r="P2235" s="26"/>
      <c r="Q2235" s="26"/>
      <c r="R2235" s="26"/>
      <c r="S2235" s="26"/>
      <c r="T2235" s="26"/>
      <c r="U2235" s="26"/>
      <c r="V2235" s="26"/>
      <c r="W2235" s="26"/>
      <c r="X2235" s="26"/>
      <c r="Y2235" s="26"/>
      <c r="Z2235" s="26"/>
      <c r="AA2235" s="26"/>
      <c r="AB2235" s="26"/>
      <c r="AC2235" s="27"/>
    </row>
    <row r="2236" spans="1:29" x14ac:dyDescent="0.25">
      <c r="A2236" s="1"/>
      <c r="B2236" s="19"/>
      <c r="C2236" s="24"/>
      <c r="D2236" s="1"/>
      <c r="E2236" s="25"/>
      <c r="F2236" s="26"/>
      <c r="G2236" s="26"/>
      <c r="L2236" s="25"/>
      <c r="M2236" s="24"/>
      <c r="N2236" s="26"/>
      <c r="O2236" s="26"/>
      <c r="P2236" s="26"/>
      <c r="Q2236" s="26"/>
      <c r="R2236" s="26"/>
      <c r="S2236" s="26"/>
      <c r="T2236" s="26"/>
      <c r="U2236" s="26"/>
      <c r="V2236" s="26"/>
      <c r="W2236" s="26"/>
      <c r="X2236" s="26"/>
      <c r="Y2236" s="26"/>
      <c r="Z2236" s="26"/>
      <c r="AA2236" s="26"/>
      <c r="AB2236" s="26"/>
      <c r="AC2236" s="27"/>
    </row>
    <row r="2237" spans="1:29" x14ac:dyDescent="0.25">
      <c r="A2237" s="1"/>
      <c r="B2237" s="19"/>
      <c r="C2237" s="24"/>
      <c r="D2237" s="1"/>
      <c r="E2237" s="25"/>
      <c r="F2237" s="26"/>
      <c r="G2237" s="26"/>
      <c r="L2237" s="25"/>
      <c r="M2237" s="24"/>
      <c r="N2237" s="26"/>
      <c r="O2237" s="26"/>
      <c r="P2237" s="26"/>
      <c r="Q2237" s="26"/>
      <c r="R2237" s="26"/>
      <c r="S2237" s="26"/>
      <c r="T2237" s="26"/>
      <c r="U2237" s="26"/>
      <c r="V2237" s="26"/>
      <c r="W2237" s="26"/>
      <c r="X2237" s="26"/>
      <c r="Y2237" s="26"/>
      <c r="Z2237" s="26"/>
      <c r="AA2237" s="26"/>
      <c r="AB2237" s="26"/>
      <c r="AC2237" s="27"/>
    </row>
    <row r="2238" spans="1:29" x14ac:dyDescent="0.25">
      <c r="A2238" s="1"/>
      <c r="B2238" s="19"/>
      <c r="C2238" s="24"/>
      <c r="D2238" s="1"/>
      <c r="E2238" s="25"/>
      <c r="F2238" s="26"/>
      <c r="G2238" s="26"/>
      <c r="L2238" s="25"/>
      <c r="M2238" s="24"/>
      <c r="N2238" s="26"/>
      <c r="O2238" s="26"/>
      <c r="P2238" s="26"/>
      <c r="Q2238" s="26"/>
      <c r="R2238" s="26"/>
      <c r="S2238" s="26"/>
      <c r="T2238" s="26"/>
      <c r="U2238" s="26"/>
      <c r="V2238" s="26"/>
      <c r="W2238" s="26"/>
      <c r="X2238" s="26"/>
      <c r="Y2238" s="26"/>
      <c r="Z2238" s="26"/>
      <c r="AA2238" s="26"/>
      <c r="AB2238" s="26"/>
      <c r="AC2238" s="27"/>
    </row>
    <row r="2239" spans="1:29" x14ac:dyDescent="0.25">
      <c r="A2239" s="1"/>
      <c r="B2239" s="19"/>
      <c r="C2239" s="24"/>
      <c r="D2239" s="1"/>
      <c r="E2239" s="25"/>
      <c r="F2239" s="26"/>
      <c r="G2239" s="26"/>
      <c r="L2239" s="25"/>
      <c r="M2239" s="24"/>
      <c r="N2239" s="26"/>
      <c r="O2239" s="26"/>
      <c r="P2239" s="26"/>
      <c r="Q2239" s="26"/>
      <c r="R2239" s="26"/>
      <c r="S2239" s="26"/>
      <c r="T2239" s="26"/>
      <c r="U2239" s="26"/>
      <c r="V2239" s="26"/>
      <c r="W2239" s="26"/>
      <c r="X2239" s="26"/>
      <c r="Y2239" s="26"/>
      <c r="Z2239" s="26"/>
      <c r="AA2239" s="26"/>
      <c r="AB2239" s="26"/>
      <c r="AC2239" s="27"/>
    </row>
    <row r="2240" spans="1:29" x14ac:dyDescent="0.25">
      <c r="A2240" s="1"/>
      <c r="B2240" s="19"/>
      <c r="C2240" s="24"/>
      <c r="D2240" s="1"/>
      <c r="E2240" s="25"/>
      <c r="F2240" s="26"/>
      <c r="G2240" s="26"/>
      <c r="L2240" s="25"/>
      <c r="M2240" s="24"/>
      <c r="N2240" s="26"/>
      <c r="O2240" s="26"/>
      <c r="P2240" s="26"/>
      <c r="Q2240" s="26"/>
      <c r="R2240" s="26"/>
      <c r="S2240" s="26"/>
      <c r="T2240" s="26"/>
      <c r="U2240" s="26"/>
      <c r="V2240" s="26"/>
      <c r="W2240" s="26"/>
      <c r="X2240" s="26"/>
      <c r="Y2240" s="26"/>
      <c r="Z2240" s="26"/>
      <c r="AA2240" s="26"/>
      <c r="AB2240" s="26"/>
      <c r="AC2240" s="27"/>
    </row>
    <row r="2241" spans="1:29" x14ac:dyDescent="0.25">
      <c r="A2241" s="1"/>
      <c r="B2241" s="19"/>
      <c r="C2241" s="24"/>
      <c r="D2241" s="1"/>
      <c r="E2241" s="25"/>
      <c r="F2241" s="26"/>
      <c r="G2241" s="26"/>
      <c r="L2241" s="25"/>
      <c r="M2241" s="24"/>
      <c r="N2241" s="26"/>
      <c r="O2241" s="26"/>
      <c r="P2241" s="26"/>
      <c r="Q2241" s="26"/>
      <c r="R2241" s="26"/>
      <c r="S2241" s="26"/>
      <c r="T2241" s="26"/>
      <c r="U2241" s="26"/>
      <c r="V2241" s="26"/>
      <c r="W2241" s="26"/>
      <c r="X2241" s="26"/>
      <c r="Y2241" s="26"/>
      <c r="Z2241" s="26"/>
      <c r="AA2241" s="26"/>
      <c r="AB2241" s="26"/>
      <c r="AC2241" s="27"/>
    </row>
    <row r="2242" spans="1:29" x14ac:dyDescent="0.25">
      <c r="A2242" s="1"/>
      <c r="B2242" s="19"/>
      <c r="C2242" s="24"/>
      <c r="D2242" s="1"/>
      <c r="E2242" s="25"/>
      <c r="F2242" s="26"/>
      <c r="G2242" s="26"/>
      <c r="L2242" s="25"/>
      <c r="M2242" s="24"/>
      <c r="N2242" s="26"/>
      <c r="O2242" s="26"/>
      <c r="P2242" s="26"/>
      <c r="Q2242" s="26"/>
      <c r="R2242" s="26"/>
      <c r="S2242" s="26"/>
      <c r="T2242" s="26"/>
      <c r="U2242" s="26"/>
      <c r="V2242" s="26"/>
      <c r="W2242" s="26"/>
      <c r="X2242" s="26"/>
      <c r="Y2242" s="26"/>
      <c r="Z2242" s="26"/>
      <c r="AA2242" s="26"/>
      <c r="AB2242" s="26"/>
      <c r="AC2242" s="27"/>
    </row>
    <row r="2243" spans="1:29" x14ac:dyDescent="0.25">
      <c r="A2243" s="1"/>
      <c r="B2243" s="19"/>
      <c r="C2243" s="24"/>
      <c r="D2243" s="1"/>
      <c r="E2243" s="25"/>
      <c r="F2243" s="26"/>
      <c r="G2243" s="26"/>
      <c r="L2243" s="25"/>
      <c r="M2243" s="24"/>
      <c r="N2243" s="26"/>
      <c r="O2243" s="26"/>
      <c r="P2243" s="26"/>
      <c r="Q2243" s="26"/>
      <c r="R2243" s="26"/>
      <c r="S2243" s="26"/>
      <c r="T2243" s="26"/>
      <c r="U2243" s="26"/>
      <c r="V2243" s="26"/>
      <c r="W2243" s="26"/>
      <c r="X2243" s="26"/>
      <c r="Y2243" s="26"/>
      <c r="Z2243" s="26"/>
      <c r="AA2243" s="26"/>
      <c r="AB2243" s="26"/>
      <c r="AC2243" s="27"/>
    </row>
    <row r="2244" spans="1:29" x14ac:dyDescent="0.25">
      <c r="A2244" s="1"/>
      <c r="B2244" s="19"/>
      <c r="C2244" s="24"/>
      <c r="D2244" s="1"/>
      <c r="E2244" s="25"/>
      <c r="F2244" s="26"/>
      <c r="G2244" s="26"/>
      <c r="L2244" s="25"/>
      <c r="M2244" s="24"/>
      <c r="N2244" s="26"/>
      <c r="O2244" s="26"/>
      <c r="P2244" s="26"/>
      <c r="Q2244" s="26"/>
      <c r="R2244" s="26"/>
      <c r="S2244" s="26"/>
      <c r="T2244" s="26"/>
      <c r="U2244" s="26"/>
      <c r="V2244" s="26"/>
      <c r="W2244" s="26"/>
      <c r="X2244" s="26"/>
      <c r="Y2244" s="26"/>
      <c r="Z2244" s="26"/>
      <c r="AA2244" s="26"/>
      <c r="AB2244" s="26"/>
      <c r="AC2244" s="27"/>
    </row>
    <row r="2245" spans="1:29" x14ac:dyDescent="0.25">
      <c r="A2245" s="1"/>
      <c r="B2245" s="19"/>
      <c r="C2245" s="24"/>
      <c r="D2245" s="1"/>
      <c r="E2245" s="25"/>
      <c r="F2245" s="26"/>
      <c r="G2245" s="26"/>
      <c r="L2245" s="25"/>
      <c r="M2245" s="24"/>
      <c r="N2245" s="26"/>
      <c r="O2245" s="26"/>
      <c r="P2245" s="26"/>
      <c r="Q2245" s="26"/>
      <c r="R2245" s="26"/>
      <c r="S2245" s="26"/>
      <c r="T2245" s="26"/>
      <c r="U2245" s="26"/>
      <c r="V2245" s="26"/>
      <c r="W2245" s="26"/>
      <c r="X2245" s="26"/>
      <c r="Y2245" s="26"/>
      <c r="Z2245" s="26"/>
      <c r="AA2245" s="26"/>
      <c r="AB2245" s="26"/>
      <c r="AC2245" s="27"/>
    </row>
    <row r="2246" spans="1:29" x14ac:dyDescent="0.25">
      <c r="A2246" s="1"/>
      <c r="B2246" s="19"/>
      <c r="C2246" s="24"/>
      <c r="D2246" s="1"/>
      <c r="E2246" s="25"/>
      <c r="F2246" s="26"/>
      <c r="G2246" s="26"/>
      <c r="L2246" s="25"/>
      <c r="M2246" s="24"/>
      <c r="N2246" s="26"/>
      <c r="O2246" s="26"/>
      <c r="P2246" s="26"/>
      <c r="Q2246" s="26"/>
      <c r="R2246" s="26"/>
      <c r="S2246" s="26"/>
      <c r="T2246" s="26"/>
      <c r="U2246" s="26"/>
      <c r="V2246" s="26"/>
      <c r="W2246" s="26"/>
      <c r="X2246" s="26"/>
      <c r="Y2246" s="26"/>
      <c r="Z2246" s="26"/>
      <c r="AA2246" s="26"/>
      <c r="AB2246" s="26"/>
      <c r="AC2246" s="27"/>
    </row>
    <row r="2247" spans="1:29" x14ac:dyDescent="0.25">
      <c r="A2247" s="1"/>
      <c r="B2247" s="19"/>
      <c r="C2247" s="24"/>
      <c r="D2247" s="1"/>
      <c r="E2247" s="25"/>
      <c r="F2247" s="26"/>
      <c r="G2247" s="26"/>
      <c r="L2247" s="25"/>
      <c r="M2247" s="24"/>
      <c r="N2247" s="26"/>
      <c r="O2247" s="26"/>
      <c r="P2247" s="26"/>
      <c r="Q2247" s="26"/>
      <c r="R2247" s="26"/>
      <c r="S2247" s="26"/>
      <c r="T2247" s="26"/>
      <c r="U2247" s="26"/>
      <c r="V2247" s="26"/>
      <c r="W2247" s="26"/>
      <c r="X2247" s="26"/>
      <c r="Y2247" s="26"/>
      <c r="Z2247" s="26"/>
      <c r="AA2247" s="26"/>
      <c r="AB2247" s="26"/>
      <c r="AC2247" s="27"/>
    </row>
    <row r="2248" spans="1:29" x14ac:dyDescent="0.25">
      <c r="A2248" s="1"/>
      <c r="B2248" s="19"/>
      <c r="C2248" s="24"/>
      <c r="D2248" s="1"/>
      <c r="E2248" s="25"/>
      <c r="F2248" s="26"/>
      <c r="G2248" s="26"/>
      <c r="L2248" s="25"/>
      <c r="M2248" s="24"/>
      <c r="N2248" s="26"/>
      <c r="O2248" s="26"/>
      <c r="P2248" s="26"/>
      <c r="Q2248" s="26"/>
      <c r="R2248" s="26"/>
      <c r="S2248" s="26"/>
      <c r="T2248" s="26"/>
      <c r="U2248" s="26"/>
      <c r="V2248" s="26"/>
      <c r="W2248" s="26"/>
      <c r="X2248" s="26"/>
      <c r="Y2248" s="26"/>
      <c r="Z2248" s="26"/>
      <c r="AA2248" s="26"/>
      <c r="AB2248" s="26"/>
      <c r="AC2248" s="27"/>
    </row>
    <row r="2249" spans="1:29" x14ac:dyDescent="0.25">
      <c r="A2249" s="1"/>
      <c r="B2249" s="19"/>
      <c r="C2249" s="24"/>
      <c r="D2249" s="1"/>
      <c r="E2249" s="25"/>
      <c r="F2249" s="26"/>
      <c r="G2249" s="26"/>
      <c r="L2249" s="25"/>
      <c r="M2249" s="24"/>
      <c r="N2249" s="26"/>
      <c r="O2249" s="26"/>
      <c r="P2249" s="26"/>
      <c r="Q2249" s="26"/>
      <c r="R2249" s="26"/>
      <c r="S2249" s="26"/>
      <c r="T2249" s="26"/>
      <c r="U2249" s="26"/>
      <c r="V2249" s="26"/>
      <c r="W2249" s="26"/>
      <c r="X2249" s="26"/>
      <c r="Y2249" s="26"/>
      <c r="Z2249" s="26"/>
      <c r="AA2249" s="26"/>
      <c r="AB2249" s="26"/>
      <c r="AC2249" s="27"/>
    </row>
    <row r="2250" spans="1:29" x14ac:dyDescent="0.25">
      <c r="A2250" s="1"/>
      <c r="B2250" s="19"/>
      <c r="C2250" s="24"/>
      <c r="D2250" s="1"/>
      <c r="E2250" s="25"/>
      <c r="F2250" s="26"/>
      <c r="G2250" s="26"/>
      <c r="L2250" s="25"/>
      <c r="M2250" s="24"/>
      <c r="N2250" s="26"/>
      <c r="O2250" s="26"/>
      <c r="P2250" s="26"/>
      <c r="Q2250" s="26"/>
      <c r="R2250" s="26"/>
      <c r="S2250" s="26"/>
      <c r="T2250" s="26"/>
      <c r="U2250" s="26"/>
      <c r="V2250" s="26"/>
      <c r="W2250" s="26"/>
      <c r="X2250" s="26"/>
      <c r="Y2250" s="26"/>
      <c r="Z2250" s="26"/>
      <c r="AA2250" s="26"/>
      <c r="AB2250" s="26"/>
      <c r="AC2250" s="27"/>
    </row>
    <row r="2251" spans="1:29" x14ac:dyDescent="0.25">
      <c r="A2251" s="1"/>
      <c r="B2251" s="19"/>
      <c r="C2251" s="24"/>
      <c r="D2251" s="1"/>
      <c r="E2251" s="25"/>
      <c r="F2251" s="26"/>
      <c r="G2251" s="26"/>
      <c r="L2251" s="25"/>
      <c r="M2251" s="24"/>
      <c r="N2251" s="26"/>
      <c r="O2251" s="26"/>
      <c r="P2251" s="26"/>
      <c r="Q2251" s="26"/>
      <c r="R2251" s="26"/>
      <c r="S2251" s="26"/>
      <c r="T2251" s="26"/>
      <c r="U2251" s="26"/>
      <c r="V2251" s="26"/>
      <c r="W2251" s="26"/>
      <c r="X2251" s="26"/>
      <c r="Y2251" s="26"/>
      <c r="Z2251" s="26"/>
      <c r="AA2251" s="26"/>
      <c r="AB2251" s="26"/>
      <c r="AC2251" s="27"/>
    </row>
    <row r="2252" spans="1:29" x14ac:dyDescent="0.25">
      <c r="A2252" s="1"/>
      <c r="B2252" s="19"/>
      <c r="C2252" s="24"/>
      <c r="D2252" s="1"/>
      <c r="E2252" s="25"/>
      <c r="F2252" s="26"/>
      <c r="G2252" s="26"/>
      <c r="L2252" s="25"/>
      <c r="M2252" s="24"/>
      <c r="N2252" s="26"/>
      <c r="O2252" s="26"/>
      <c r="P2252" s="26"/>
      <c r="Q2252" s="26"/>
      <c r="R2252" s="26"/>
      <c r="S2252" s="26"/>
      <c r="T2252" s="26"/>
      <c r="U2252" s="26"/>
      <c r="V2252" s="26"/>
      <c r="W2252" s="26"/>
      <c r="X2252" s="26"/>
      <c r="Y2252" s="26"/>
      <c r="Z2252" s="26"/>
      <c r="AA2252" s="26"/>
      <c r="AB2252" s="26"/>
      <c r="AC2252" s="27"/>
    </row>
    <row r="2253" spans="1:29" x14ac:dyDescent="0.25">
      <c r="A2253" s="1"/>
      <c r="B2253" s="19"/>
      <c r="C2253" s="24"/>
      <c r="D2253" s="1"/>
      <c r="E2253" s="25"/>
      <c r="F2253" s="26"/>
      <c r="G2253" s="26"/>
      <c r="L2253" s="25"/>
      <c r="M2253" s="24"/>
      <c r="N2253" s="26"/>
      <c r="O2253" s="26"/>
      <c r="P2253" s="26"/>
      <c r="Q2253" s="26"/>
      <c r="R2253" s="26"/>
      <c r="S2253" s="26"/>
      <c r="T2253" s="26"/>
      <c r="U2253" s="26"/>
      <c r="V2253" s="26"/>
      <c r="W2253" s="26"/>
      <c r="X2253" s="26"/>
      <c r="Y2253" s="26"/>
      <c r="Z2253" s="26"/>
      <c r="AA2253" s="26"/>
      <c r="AB2253" s="26"/>
      <c r="AC2253" s="27"/>
    </row>
    <row r="2254" spans="1:29" x14ac:dyDescent="0.25">
      <c r="A2254" s="1"/>
      <c r="B2254" s="19"/>
      <c r="C2254" s="24"/>
      <c r="D2254" s="1"/>
      <c r="E2254" s="25"/>
      <c r="F2254" s="26"/>
      <c r="G2254" s="26"/>
      <c r="L2254" s="25"/>
      <c r="M2254" s="24"/>
      <c r="N2254" s="26"/>
      <c r="O2254" s="26"/>
      <c r="P2254" s="26"/>
      <c r="Q2254" s="26"/>
      <c r="R2254" s="26"/>
      <c r="S2254" s="26"/>
      <c r="T2254" s="26"/>
      <c r="U2254" s="26"/>
      <c r="V2254" s="26"/>
      <c r="W2254" s="26"/>
      <c r="X2254" s="26"/>
      <c r="Y2254" s="26"/>
      <c r="Z2254" s="26"/>
      <c r="AA2254" s="26"/>
      <c r="AB2254" s="26"/>
      <c r="AC2254" s="27"/>
    </row>
    <row r="2255" spans="1:29" x14ac:dyDescent="0.25">
      <c r="A2255" s="1"/>
      <c r="B2255" s="19"/>
      <c r="C2255" s="24"/>
      <c r="D2255" s="1"/>
      <c r="E2255" s="25"/>
      <c r="F2255" s="26"/>
      <c r="G2255" s="26"/>
      <c r="L2255" s="25"/>
      <c r="M2255" s="24"/>
      <c r="N2255" s="26"/>
      <c r="O2255" s="26"/>
      <c r="P2255" s="26"/>
      <c r="Q2255" s="26"/>
      <c r="R2255" s="26"/>
      <c r="S2255" s="26"/>
      <c r="T2255" s="26"/>
      <c r="U2255" s="26"/>
      <c r="V2255" s="26"/>
      <c r="W2255" s="26"/>
      <c r="X2255" s="26"/>
      <c r="Y2255" s="26"/>
      <c r="Z2255" s="26"/>
      <c r="AA2255" s="26"/>
      <c r="AB2255" s="26"/>
      <c r="AC2255" s="27"/>
    </row>
    <row r="2256" spans="1:29" x14ac:dyDescent="0.25">
      <c r="A2256" s="1"/>
      <c r="B2256" s="19"/>
      <c r="C2256" s="24"/>
      <c r="D2256" s="1"/>
      <c r="E2256" s="25"/>
      <c r="F2256" s="26"/>
      <c r="G2256" s="26"/>
      <c r="L2256" s="25"/>
      <c r="M2256" s="24"/>
      <c r="N2256" s="26"/>
      <c r="O2256" s="26"/>
      <c r="P2256" s="26"/>
      <c r="Q2256" s="26"/>
      <c r="R2256" s="26"/>
      <c r="S2256" s="26"/>
      <c r="T2256" s="26"/>
      <c r="U2256" s="26"/>
      <c r="V2256" s="26"/>
      <c r="W2256" s="26"/>
      <c r="X2256" s="26"/>
      <c r="Y2256" s="26"/>
      <c r="Z2256" s="26"/>
      <c r="AA2256" s="26"/>
      <c r="AB2256" s="26"/>
      <c r="AC2256" s="27"/>
    </row>
    <row r="2257" spans="1:29" x14ac:dyDescent="0.25">
      <c r="A2257" s="1"/>
      <c r="B2257" s="19"/>
      <c r="C2257" s="24"/>
      <c r="D2257" s="1"/>
      <c r="E2257" s="25"/>
      <c r="F2257" s="26"/>
      <c r="G2257" s="26"/>
      <c r="L2257" s="25"/>
      <c r="M2257" s="24"/>
      <c r="N2257" s="26"/>
      <c r="O2257" s="26"/>
      <c r="P2257" s="26"/>
      <c r="Q2257" s="26"/>
      <c r="R2257" s="26"/>
      <c r="S2257" s="26"/>
      <c r="T2257" s="26"/>
      <c r="U2257" s="26"/>
      <c r="V2257" s="26"/>
      <c r="W2257" s="26"/>
      <c r="X2257" s="26"/>
      <c r="Y2257" s="26"/>
      <c r="Z2257" s="26"/>
      <c r="AA2257" s="26"/>
      <c r="AB2257" s="26"/>
      <c r="AC2257" s="27"/>
    </row>
    <row r="2258" spans="1:29" x14ac:dyDescent="0.25">
      <c r="A2258" s="1"/>
      <c r="B2258" s="19"/>
      <c r="C2258" s="24"/>
      <c r="D2258" s="1"/>
      <c r="E2258" s="25"/>
      <c r="F2258" s="26"/>
      <c r="G2258" s="26"/>
      <c r="L2258" s="25"/>
      <c r="M2258" s="24"/>
      <c r="N2258" s="26"/>
      <c r="O2258" s="26"/>
      <c r="P2258" s="26"/>
      <c r="Q2258" s="26"/>
      <c r="R2258" s="26"/>
      <c r="S2258" s="26"/>
      <c r="T2258" s="26"/>
      <c r="U2258" s="26"/>
      <c r="V2258" s="26"/>
      <c r="W2258" s="26"/>
      <c r="X2258" s="26"/>
      <c r="Y2258" s="26"/>
      <c r="Z2258" s="26"/>
      <c r="AA2258" s="26"/>
      <c r="AB2258" s="26"/>
      <c r="AC2258" s="27"/>
    </row>
    <row r="2259" spans="1:29" x14ac:dyDescent="0.25">
      <c r="A2259" s="1"/>
      <c r="B2259" s="19"/>
      <c r="C2259" s="24"/>
      <c r="D2259" s="1"/>
      <c r="E2259" s="25"/>
      <c r="F2259" s="26"/>
      <c r="G2259" s="26"/>
      <c r="L2259" s="25"/>
      <c r="M2259" s="24"/>
      <c r="N2259" s="26"/>
      <c r="O2259" s="26"/>
      <c r="P2259" s="26"/>
      <c r="Q2259" s="26"/>
      <c r="R2259" s="26"/>
      <c r="S2259" s="26"/>
      <c r="T2259" s="26"/>
      <c r="U2259" s="26"/>
      <c r="V2259" s="26"/>
      <c r="W2259" s="26"/>
      <c r="X2259" s="26"/>
      <c r="Y2259" s="26"/>
      <c r="Z2259" s="26"/>
      <c r="AA2259" s="26"/>
      <c r="AB2259" s="26"/>
      <c r="AC2259" s="27"/>
    </row>
    <row r="2260" spans="1:29" x14ac:dyDescent="0.25">
      <c r="A2260" s="1"/>
      <c r="B2260" s="19"/>
      <c r="C2260" s="24"/>
      <c r="D2260" s="1"/>
      <c r="E2260" s="25"/>
      <c r="F2260" s="26"/>
      <c r="G2260" s="26"/>
      <c r="L2260" s="25"/>
      <c r="M2260" s="24"/>
      <c r="N2260" s="26"/>
      <c r="O2260" s="26"/>
      <c r="P2260" s="26"/>
      <c r="Q2260" s="26"/>
      <c r="R2260" s="26"/>
      <c r="S2260" s="26"/>
      <c r="T2260" s="26"/>
      <c r="U2260" s="26"/>
      <c r="V2260" s="26"/>
      <c r="W2260" s="26"/>
      <c r="X2260" s="26"/>
      <c r="Y2260" s="26"/>
      <c r="Z2260" s="26"/>
      <c r="AA2260" s="26"/>
      <c r="AB2260" s="26"/>
      <c r="AC2260" s="27"/>
    </row>
    <row r="2261" spans="1:29" x14ac:dyDescent="0.25">
      <c r="A2261" s="1"/>
      <c r="B2261" s="19"/>
      <c r="C2261" s="24"/>
      <c r="D2261" s="1"/>
      <c r="E2261" s="25"/>
      <c r="F2261" s="26"/>
      <c r="G2261" s="26"/>
      <c r="L2261" s="25"/>
      <c r="M2261" s="24"/>
      <c r="N2261" s="26"/>
      <c r="O2261" s="26"/>
      <c r="P2261" s="26"/>
      <c r="Q2261" s="26"/>
      <c r="R2261" s="26"/>
      <c r="S2261" s="26"/>
      <c r="T2261" s="26"/>
      <c r="U2261" s="26"/>
      <c r="V2261" s="26"/>
      <c r="W2261" s="26"/>
      <c r="X2261" s="26"/>
      <c r="Y2261" s="26"/>
      <c r="Z2261" s="26"/>
      <c r="AA2261" s="26"/>
      <c r="AB2261" s="26"/>
      <c r="AC2261" s="27"/>
    </row>
    <row r="2262" spans="1:29" x14ac:dyDescent="0.25">
      <c r="A2262" s="1"/>
      <c r="B2262" s="19"/>
      <c r="C2262" s="24"/>
      <c r="D2262" s="1"/>
      <c r="E2262" s="25"/>
      <c r="F2262" s="26"/>
      <c r="G2262" s="26"/>
      <c r="L2262" s="25"/>
      <c r="M2262" s="24"/>
      <c r="N2262" s="26"/>
      <c r="O2262" s="26"/>
      <c r="P2262" s="26"/>
      <c r="Q2262" s="26"/>
      <c r="R2262" s="26"/>
      <c r="S2262" s="26"/>
      <c r="T2262" s="26"/>
      <c r="U2262" s="26"/>
      <c r="V2262" s="26"/>
      <c r="W2262" s="26"/>
      <c r="X2262" s="26"/>
      <c r="Y2262" s="26"/>
      <c r="Z2262" s="26"/>
      <c r="AA2262" s="26"/>
      <c r="AB2262" s="26"/>
      <c r="AC2262" s="27"/>
    </row>
    <row r="2263" spans="1:29" x14ac:dyDescent="0.25">
      <c r="A2263" s="1"/>
      <c r="B2263" s="19"/>
      <c r="C2263" s="24"/>
      <c r="D2263" s="1"/>
      <c r="E2263" s="25"/>
      <c r="F2263" s="26"/>
      <c r="G2263" s="26"/>
      <c r="L2263" s="25"/>
      <c r="M2263" s="24"/>
      <c r="N2263" s="26"/>
      <c r="O2263" s="26"/>
      <c r="P2263" s="26"/>
      <c r="Q2263" s="26"/>
      <c r="R2263" s="26"/>
      <c r="S2263" s="26"/>
      <c r="T2263" s="26"/>
      <c r="U2263" s="26"/>
      <c r="V2263" s="26"/>
      <c r="W2263" s="26"/>
      <c r="X2263" s="26"/>
      <c r="Y2263" s="26"/>
      <c r="Z2263" s="26"/>
      <c r="AA2263" s="26"/>
      <c r="AB2263" s="26"/>
      <c r="AC2263" s="27"/>
    </row>
    <row r="2264" spans="1:29" x14ac:dyDescent="0.25">
      <c r="A2264" s="1"/>
      <c r="B2264" s="19"/>
      <c r="C2264" s="24"/>
      <c r="D2264" s="1"/>
      <c r="E2264" s="25"/>
      <c r="F2264" s="26"/>
      <c r="G2264" s="26"/>
      <c r="L2264" s="25"/>
      <c r="M2264" s="24"/>
      <c r="N2264" s="26"/>
      <c r="O2264" s="26"/>
      <c r="P2264" s="26"/>
      <c r="Q2264" s="26"/>
      <c r="R2264" s="26"/>
      <c r="S2264" s="26"/>
      <c r="T2264" s="26"/>
      <c r="U2264" s="26"/>
      <c r="V2264" s="26"/>
      <c r="W2264" s="26"/>
      <c r="X2264" s="26"/>
      <c r="Y2264" s="26"/>
      <c r="Z2264" s="26"/>
      <c r="AA2264" s="26"/>
      <c r="AB2264" s="26"/>
      <c r="AC2264" s="27"/>
    </row>
    <row r="2265" spans="1:29" x14ac:dyDescent="0.25">
      <c r="A2265" s="1"/>
      <c r="B2265" s="19"/>
      <c r="C2265" s="24"/>
      <c r="D2265" s="1"/>
      <c r="E2265" s="25"/>
      <c r="F2265" s="26"/>
      <c r="G2265" s="26"/>
      <c r="L2265" s="25"/>
      <c r="M2265" s="24"/>
      <c r="N2265" s="26"/>
      <c r="O2265" s="26"/>
      <c r="P2265" s="26"/>
      <c r="Q2265" s="26"/>
      <c r="R2265" s="26"/>
      <c r="S2265" s="26"/>
      <c r="T2265" s="26"/>
      <c r="U2265" s="26"/>
      <c r="V2265" s="26"/>
      <c r="W2265" s="26"/>
      <c r="X2265" s="26"/>
      <c r="Y2265" s="26"/>
      <c r="Z2265" s="26"/>
      <c r="AA2265" s="26"/>
      <c r="AB2265" s="26"/>
      <c r="AC2265" s="27"/>
    </row>
    <row r="2266" spans="1:29" x14ac:dyDescent="0.25">
      <c r="A2266" s="1"/>
      <c r="B2266" s="19"/>
      <c r="C2266" s="24"/>
      <c r="D2266" s="1"/>
      <c r="E2266" s="25"/>
      <c r="F2266" s="26"/>
      <c r="G2266" s="26"/>
      <c r="L2266" s="25"/>
      <c r="M2266" s="24"/>
      <c r="N2266" s="26"/>
      <c r="O2266" s="26"/>
      <c r="P2266" s="26"/>
      <c r="Q2266" s="26"/>
      <c r="R2266" s="26"/>
      <c r="S2266" s="26"/>
      <c r="T2266" s="26"/>
      <c r="U2266" s="26"/>
      <c r="V2266" s="26"/>
      <c r="W2266" s="26"/>
      <c r="X2266" s="26"/>
      <c r="Y2266" s="26"/>
      <c r="Z2266" s="26"/>
      <c r="AA2266" s="26"/>
      <c r="AB2266" s="26"/>
      <c r="AC2266" s="27"/>
    </row>
    <row r="2267" spans="1:29" x14ac:dyDescent="0.25">
      <c r="A2267" s="1"/>
      <c r="B2267" s="19"/>
      <c r="C2267" s="24"/>
      <c r="D2267" s="1"/>
      <c r="E2267" s="25"/>
      <c r="F2267" s="26"/>
      <c r="G2267" s="26"/>
      <c r="L2267" s="25"/>
      <c r="M2267" s="24"/>
      <c r="N2267" s="26"/>
      <c r="O2267" s="26"/>
      <c r="P2267" s="26"/>
      <c r="Q2267" s="26"/>
      <c r="R2267" s="26"/>
      <c r="S2267" s="26"/>
      <c r="T2267" s="26"/>
      <c r="U2267" s="26"/>
      <c r="V2267" s="26"/>
      <c r="W2267" s="26"/>
      <c r="X2267" s="26"/>
      <c r="Y2267" s="26"/>
      <c r="Z2267" s="26"/>
      <c r="AA2267" s="26"/>
      <c r="AB2267" s="26"/>
      <c r="AC2267" s="27"/>
    </row>
    <row r="2268" spans="1:29" x14ac:dyDescent="0.25">
      <c r="A2268" s="1"/>
      <c r="B2268" s="19"/>
      <c r="C2268" s="24"/>
      <c r="D2268" s="1"/>
      <c r="E2268" s="25"/>
      <c r="F2268" s="26"/>
      <c r="G2268" s="26"/>
      <c r="L2268" s="25"/>
      <c r="M2268" s="24"/>
      <c r="N2268" s="26"/>
      <c r="O2268" s="26"/>
      <c r="P2268" s="26"/>
      <c r="Q2268" s="26"/>
      <c r="R2268" s="26"/>
      <c r="S2268" s="26"/>
      <c r="T2268" s="26"/>
      <c r="U2268" s="26"/>
      <c r="V2268" s="26"/>
      <c r="W2268" s="26"/>
      <c r="X2268" s="26"/>
      <c r="Y2268" s="26"/>
      <c r="Z2268" s="26"/>
      <c r="AA2268" s="26"/>
      <c r="AB2268" s="26"/>
      <c r="AC2268" s="27"/>
    </row>
    <row r="2269" spans="1:29" x14ac:dyDescent="0.25">
      <c r="A2269" s="1"/>
      <c r="B2269" s="19"/>
      <c r="C2269" s="24"/>
      <c r="D2269" s="1"/>
      <c r="E2269" s="25"/>
      <c r="F2269" s="26"/>
      <c r="G2269" s="26"/>
      <c r="L2269" s="25"/>
      <c r="M2269" s="24"/>
      <c r="N2269" s="26"/>
      <c r="O2269" s="26"/>
      <c r="P2269" s="26"/>
      <c r="Q2269" s="26"/>
      <c r="R2269" s="26"/>
      <c r="S2269" s="26"/>
      <c r="T2269" s="26"/>
      <c r="U2269" s="26"/>
      <c r="V2269" s="26"/>
      <c r="W2269" s="26"/>
      <c r="X2269" s="26"/>
      <c r="Y2269" s="26"/>
      <c r="Z2269" s="26"/>
      <c r="AA2269" s="26"/>
      <c r="AB2269" s="26"/>
      <c r="AC2269" s="27"/>
    </row>
    <row r="2270" spans="1:29" x14ac:dyDescent="0.25">
      <c r="A2270" s="1"/>
      <c r="B2270" s="19"/>
      <c r="C2270" s="24"/>
      <c r="D2270" s="1"/>
      <c r="E2270" s="25"/>
      <c r="F2270" s="26"/>
      <c r="G2270" s="26"/>
      <c r="L2270" s="25"/>
      <c r="M2270" s="24"/>
      <c r="N2270" s="26"/>
      <c r="O2270" s="26"/>
      <c r="P2270" s="26"/>
      <c r="Q2270" s="26"/>
      <c r="R2270" s="26"/>
      <c r="S2270" s="26"/>
      <c r="T2270" s="26"/>
      <c r="U2270" s="26"/>
      <c r="V2270" s="26"/>
      <c r="W2270" s="26"/>
      <c r="X2270" s="26"/>
      <c r="Y2270" s="26"/>
      <c r="Z2270" s="26"/>
      <c r="AA2270" s="26"/>
      <c r="AB2270" s="26"/>
      <c r="AC2270" s="27"/>
    </row>
    <row r="2271" spans="1:29" x14ac:dyDescent="0.25">
      <c r="A2271" s="1"/>
      <c r="B2271" s="19"/>
      <c r="C2271" s="24"/>
      <c r="D2271" s="1"/>
      <c r="E2271" s="25"/>
      <c r="F2271" s="26"/>
      <c r="G2271" s="26"/>
      <c r="L2271" s="25"/>
      <c r="M2271" s="24"/>
      <c r="N2271" s="26"/>
      <c r="O2271" s="26"/>
      <c r="P2271" s="26"/>
      <c r="Q2271" s="26"/>
      <c r="R2271" s="26"/>
      <c r="S2271" s="26"/>
      <c r="T2271" s="26"/>
      <c r="U2271" s="26"/>
      <c r="V2271" s="26"/>
      <c r="W2271" s="26"/>
      <c r="X2271" s="26"/>
      <c r="Y2271" s="26"/>
      <c r="Z2271" s="26"/>
      <c r="AA2271" s="26"/>
      <c r="AB2271" s="26"/>
      <c r="AC2271" s="27"/>
    </row>
    <row r="2272" spans="1:29" x14ac:dyDescent="0.25">
      <c r="A2272" s="1"/>
      <c r="B2272" s="19"/>
      <c r="C2272" s="24"/>
      <c r="D2272" s="1"/>
      <c r="E2272" s="25"/>
      <c r="F2272" s="26"/>
      <c r="G2272" s="26"/>
      <c r="L2272" s="25"/>
      <c r="M2272" s="24"/>
      <c r="N2272" s="26"/>
      <c r="O2272" s="26"/>
      <c r="P2272" s="26"/>
      <c r="Q2272" s="26"/>
      <c r="R2272" s="26"/>
      <c r="S2272" s="26"/>
      <c r="T2272" s="26"/>
      <c r="U2272" s="26"/>
      <c r="V2272" s="26"/>
      <c r="W2272" s="26"/>
      <c r="X2272" s="26"/>
      <c r="Y2272" s="26"/>
      <c r="Z2272" s="26"/>
      <c r="AA2272" s="26"/>
      <c r="AB2272" s="26"/>
      <c r="AC2272" s="27"/>
    </row>
    <row r="2273" spans="1:29" x14ac:dyDescent="0.25">
      <c r="A2273" s="1"/>
      <c r="B2273" s="19"/>
      <c r="C2273" s="24"/>
      <c r="D2273" s="1"/>
      <c r="E2273" s="25"/>
      <c r="F2273" s="26"/>
      <c r="G2273" s="26"/>
      <c r="L2273" s="25"/>
      <c r="M2273" s="24"/>
      <c r="N2273" s="26"/>
      <c r="O2273" s="26"/>
      <c r="P2273" s="26"/>
      <c r="Q2273" s="26"/>
      <c r="R2273" s="26"/>
      <c r="S2273" s="26"/>
      <c r="T2273" s="26"/>
      <c r="U2273" s="26"/>
      <c r="V2273" s="26"/>
      <c r="W2273" s="26"/>
      <c r="X2273" s="26"/>
      <c r="Y2273" s="26"/>
      <c r="Z2273" s="26"/>
      <c r="AA2273" s="26"/>
      <c r="AB2273" s="26"/>
      <c r="AC2273" s="27"/>
    </row>
    <row r="2274" spans="1:29" x14ac:dyDescent="0.25">
      <c r="A2274" s="1"/>
      <c r="B2274" s="19"/>
      <c r="C2274" s="24"/>
      <c r="D2274" s="1"/>
      <c r="E2274" s="25"/>
      <c r="F2274" s="26"/>
      <c r="G2274" s="26"/>
      <c r="L2274" s="25"/>
      <c r="M2274" s="24"/>
      <c r="N2274" s="26"/>
      <c r="O2274" s="26"/>
      <c r="P2274" s="26"/>
      <c r="Q2274" s="26"/>
      <c r="R2274" s="26"/>
      <c r="S2274" s="26"/>
      <c r="T2274" s="26"/>
      <c r="U2274" s="26"/>
      <c r="V2274" s="26"/>
      <c r="W2274" s="26"/>
      <c r="X2274" s="26"/>
      <c r="Y2274" s="26"/>
      <c r="Z2274" s="26"/>
      <c r="AA2274" s="26"/>
      <c r="AB2274" s="26"/>
      <c r="AC2274" s="27"/>
    </row>
    <row r="2275" spans="1:29" x14ac:dyDescent="0.25">
      <c r="A2275" s="1"/>
      <c r="B2275" s="19"/>
      <c r="C2275" s="24"/>
      <c r="D2275" s="1"/>
      <c r="E2275" s="25"/>
      <c r="F2275" s="26"/>
      <c r="G2275" s="26"/>
      <c r="L2275" s="25"/>
      <c r="M2275" s="24"/>
      <c r="N2275" s="26"/>
      <c r="O2275" s="26"/>
      <c r="P2275" s="26"/>
      <c r="Q2275" s="26"/>
      <c r="R2275" s="26"/>
      <c r="S2275" s="26"/>
      <c r="T2275" s="26"/>
      <c r="U2275" s="26"/>
      <c r="V2275" s="26"/>
      <c r="W2275" s="26"/>
      <c r="X2275" s="26"/>
      <c r="Y2275" s="26"/>
      <c r="Z2275" s="26"/>
      <c r="AA2275" s="26"/>
      <c r="AB2275" s="26"/>
      <c r="AC2275" s="27"/>
    </row>
    <row r="2276" spans="1:29" x14ac:dyDescent="0.25">
      <c r="A2276" s="1"/>
      <c r="B2276" s="19"/>
      <c r="C2276" s="24"/>
      <c r="D2276" s="1"/>
      <c r="E2276" s="25"/>
      <c r="F2276" s="26"/>
      <c r="G2276" s="26"/>
      <c r="L2276" s="25"/>
      <c r="M2276" s="24"/>
      <c r="N2276" s="26"/>
      <c r="O2276" s="26"/>
      <c r="P2276" s="26"/>
      <c r="Q2276" s="26"/>
      <c r="R2276" s="26"/>
      <c r="S2276" s="26"/>
      <c r="T2276" s="26"/>
      <c r="U2276" s="26"/>
      <c r="V2276" s="26"/>
      <c r="W2276" s="26"/>
      <c r="X2276" s="26"/>
      <c r="Y2276" s="26"/>
      <c r="Z2276" s="26"/>
      <c r="AA2276" s="26"/>
      <c r="AB2276" s="26"/>
      <c r="AC2276" s="27"/>
    </row>
    <row r="2277" spans="1:29" x14ac:dyDescent="0.25">
      <c r="A2277" s="1"/>
      <c r="B2277" s="19"/>
      <c r="C2277" s="24"/>
      <c r="D2277" s="1"/>
      <c r="E2277" s="25"/>
      <c r="F2277" s="26"/>
      <c r="G2277" s="26"/>
      <c r="L2277" s="25"/>
      <c r="M2277" s="24"/>
      <c r="N2277" s="26"/>
      <c r="O2277" s="26"/>
      <c r="P2277" s="26"/>
      <c r="Q2277" s="26"/>
      <c r="R2277" s="26"/>
      <c r="S2277" s="26"/>
      <c r="T2277" s="26"/>
      <c r="U2277" s="26"/>
      <c r="V2277" s="26"/>
      <c r="W2277" s="26"/>
      <c r="X2277" s="26"/>
      <c r="Y2277" s="26"/>
      <c r="Z2277" s="26"/>
      <c r="AA2277" s="26"/>
      <c r="AB2277" s="26"/>
      <c r="AC2277" s="27"/>
    </row>
    <row r="2278" spans="1:29" x14ac:dyDescent="0.25">
      <c r="A2278" s="1"/>
      <c r="B2278" s="19"/>
      <c r="C2278" s="24"/>
      <c r="D2278" s="1"/>
      <c r="E2278" s="25"/>
      <c r="F2278" s="26"/>
      <c r="G2278" s="26"/>
      <c r="L2278" s="25"/>
      <c r="M2278" s="24"/>
      <c r="N2278" s="26"/>
      <c r="O2278" s="26"/>
      <c r="P2278" s="26"/>
      <c r="Q2278" s="26"/>
      <c r="R2278" s="26"/>
      <c r="S2278" s="26"/>
      <c r="T2278" s="26"/>
      <c r="U2278" s="26"/>
      <c r="V2278" s="26"/>
      <c r="W2278" s="26"/>
      <c r="X2278" s="26"/>
      <c r="Y2278" s="26"/>
      <c r="Z2278" s="26"/>
      <c r="AA2278" s="26"/>
      <c r="AB2278" s="26"/>
      <c r="AC2278" s="27"/>
    </row>
    <row r="2279" spans="1:29" x14ac:dyDescent="0.25">
      <c r="A2279" s="1"/>
      <c r="B2279" s="19"/>
      <c r="C2279" s="24"/>
      <c r="D2279" s="1"/>
      <c r="E2279" s="25"/>
      <c r="F2279" s="26"/>
      <c r="G2279" s="26"/>
      <c r="L2279" s="25"/>
      <c r="M2279" s="24"/>
      <c r="N2279" s="26"/>
      <c r="O2279" s="26"/>
      <c r="P2279" s="26"/>
      <c r="Q2279" s="26"/>
      <c r="R2279" s="26"/>
      <c r="S2279" s="26"/>
      <c r="T2279" s="26"/>
      <c r="U2279" s="26"/>
      <c r="V2279" s="26"/>
      <c r="W2279" s="26"/>
      <c r="X2279" s="26"/>
      <c r="Y2279" s="26"/>
      <c r="Z2279" s="26"/>
      <c r="AA2279" s="26"/>
      <c r="AB2279" s="26"/>
      <c r="AC2279" s="27"/>
    </row>
    <row r="2280" spans="1:29" x14ac:dyDescent="0.25">
      <c r="A2280" s="1"/>
      <c r="B2280" s="19"/>
      <c r="C2280" s="24"/>
      <c r="D2280" s="1"/>
      <c r="E2280" s="25"/>
      <c r="F2280" s="26"/>
      <c r="G2280" s="26"/>
      <c r="L2280" s="25"/>
      <c r="M2280" s="24"/>
      <c r="N2280" s="26"/>
      <c r="O2280" s="26"/>
      <c r="P2280" s="26"/>
      <c r="Q2280" s="26"/>
      <c r="R2280" s="26"/>
      <c r="S2280" s="26"/>
      <c r="T2280" s="26"/>
      <c r="U2280" s="26"/>
      <c r="V2280" s="26"/>
      <c r="W2280" s="26"/>
      <c r="X2280" s="26"/>
      <c r="Y2280" s="26"/>
      <c r="Z2280" s="26"/>
      <c r="AA2280" s="26"/>
      <c r="AB2280" s="26"/>
      <c r="AC2280" s="27"/>
    </row>
    <row r="2281" spans="1:29" x14ac:dyDescent="0.25">
      <c r="A2281" s="1"/>
      <c r="B2281" s="19"/>
      <c r="C2281" s="24"/>
      <c r="D2281" s="1"/>
      <c r="E2281" s="25"/>
      <c r="F2281" s="26"/>
      <c r="G2281" s="26"/>
      <c r="L2281" s="25"/>
      <c r="M2281" s="24"/>
      <c r="N2281" s="26"/>
      <c r="O2281" s="26"/>
      <c r="P2281" s="26"/>
      <c r="Q2281" s="26"/>
      <c r="R2281" s="26"/>
      <c r="S2281" s="26"/>
      <c r="T2281" s="26"/>
      <c r="U2281" s="26"/>
      <c r="V2281" s="26"/>
      <c r="W2281" s="26"/>
      <c r="X2281" s="26"/>
      <c r="Y2281" s="26"/>
      <c r="Z2281" s="26"/>
      <c r="AA2281" s="26"/>
      <c r="AB2281" s="26"/>
      <c r="AC2281" s="27"/>
    </row>
    <row r="2282" spans="1:29" x14ac:dyDescent="0.25">
      <c r="A2282" s="1"/>
      <c r="B2282" s="19"/>
      <c r="C2282" s="24"/>
      <c r="D2282" s="1"/>
      <c r="E2282" s="25"/>
      <c r="F2282" s="26"/>
      <c r="G2282" s="26"/>
      <c r="L2282" s="25"/>
      <c r="M2282" s="24"/>
      <c r="N2282" s="26"/>
      <c r="O2282" s="26"/>
      <c r="P2282" s="26"/>
      <c r="Q2282" s="26"/>
      <c r="R2282" s="26"/>
      <c r="S2282" s="26"/>
      <c r="T2282" s="26"/>
      <c r="U2282" s="26"/>
      <c r="V2282" s="26"/>
      <c r="W2282" s="26"/>
      <c r="X2282" s="26"/>
      <c r="Y2282" s="26"/>
      <c r="Z2282" s="26"/>
      <c r="AA2282" s="26"/>
      <c r="AB2282" s="26"/>
      <c r="AC2282" s="27"/>
    </row>
    <row r="2283" spans="1:29" x14ac:dyDescent="0.25">
      <c r="A2283" s="1"/>
      <c r="B2283" s="19"/>
      <c r="C2283" s="24"/>
      <c r="D2283" s="1"/>
      <c r="E2283" s="25"/>
      <c r="F2283" s="26"/>
      <c r="G2283" s="26"/>
      <c r="L2283" s="25"/>
      <c r="M2283" s="24"/>
      <c r="N2283" s="26"/>
      <c r="O2283" s="26"/>
      <c r="P2283" s="26"/>
      <c r="Q2283" s="26"/>
      <c r="R2283" s="26"/>
      <c r="S2283" s="26"/>
      <c r="T2283" s="26"/>
      <c r="U2283" s="26"/>
      <c r="V2283" s="26"/>
      <c r="W2283" s="26"/>
      <c r="X2283" s="26"/>
      <c r="Y2283" s="26"/>
      <c r="Z2283" s="26"/>
      <c r="AA2283" s="26"/>
      <c r="AB2283" s="26"/>
      <c r="AC2283" s="27"/>
    </row>
    <row r="2284" spans="1:29" x14ac:dyDescent="0.25">
      <c r="A2284" s="1"/>
      <c r="B2284" s="19"/>
      <c r="C2284" s="24"/>
      <c r="D2284" s="1"/>
      <c r="E2284" s="25"/>
      <c r="F2284" s="26"/>
      <c r="G2284" s="26"/>
      <c r="L2284" s="25"/>
      <c r="M2284" s="24"/>
      <c r="N2284" s="26"/>
      <c r="O2284" s="26"/>
      <c r="P2284" s="26"/>
      <c r="Q2284" s="26"/>
      <c r="R2284" s="26"/>
      <c r="S2284" s="26"/>
      <c r="T2284" s="26"/>
      <c r="U2284" s="26"/>
      <c r="V2284" s="26"/>
      <c r="W2284" s="26"/>
      <c r="X2284" s="26"/>
      <c r="Y2284" s="26"/>
      <c r="Z2284" s="26"/>
      <c r="AA2284" s="26"/>
      <c r="AB2284" s="26"/>
      <c r="AC2284" s="27"/>
    </row>
    <row r="2285" spans="1:29" x14ac:dyDescent="0.25">
      <c r="A2285" s="1"/>
      <c r="B2285" s="19"/>
      <c r="C2285" s="24"/>
      <c r="D2285" s="1"/>
      <c r="E2285" s="25"/>
      <c r="F2285" s="26"/>
      <c r="G2285" s="26"/>
      <c r="L2285" s="25"/>
      <c r="M2285" s="24"/>
      <c r="N2285" s="26"/>
      <c r="O2285" s="26"/>
      <c r="P2285" s="26"/>
      <c r="Q2285" s="26"/>
      <c r="R2285" s="26"/>
      <c r="S2285" s="26"/>
      <c r="T2285" s="26"/>
      <c r="U2285" s="26"/>
      <c r="V2285" s="26"/>
      <c r="W2285" s="26"/>
      <c r="X2285" s="26"/>
      <c r="Y2285" s="26"/>
      <c r="Z2285" s="26"/>
      <c r="AA2285" s="26"/>
      <c r="AB2285" s="26"/>
      <c r="AC2285" s="27"/>
    </row>
    <row r="2286" spans="1:29" x14ac:dyDescent="0.25">
      <c r="A2286" s="1"/>
      <c r="B2286" s="19"/>
      <c r="C2286" s="24"/>
      <c r="D2286" s="1"/>
      <c r="E2286" s="25"/>
      <c r="F2286" s="26"/>
      <c r="G2286" s="26"/>
      <c r="L2286" s="25"/>
      <c r="M2286" s="24"/>
      <c r="N2286" s="26"/>
      <c r="O2286" s="26"/>
      <c r="P2286" s="26"/>
      <c r="Q2286" s="26"/>
      <c r="R2286" s="26"/>
      <c r="S2286" s="26"/>
      <c r="T2286" s="26"/>
      <c r="U2286" s="26"/>
      <c r="V2286" s="26"/>
      <c r="W2286" s="26"/>
      <c r="X2286" s="26"/>
      <c r="Y2286" s="26"/>
      <c r="Z2286" s="26"/>
      <c r="AA2286" s="26"/>
      <c r="AB2286" s="26"/>
      <c r="AC2286" s="27"/>
    </row>
    <row r="2287" spans="1:29" x14ac:dyDescent="0.25">
      <c r="A2287" s="1"/>
      <c r="B2287" s="19"/>
      <c r="C2287" s="24"/>
      <c r="D2287" s="1"/>
      <c r="E2287" s="25"/>
      <c r="F2287" s="26"/>
      <c r="G2287" s="26"/>
      <c r="L2287" s="25"/>
      <c r="M2287" s="24"/>
      <c r="N2287" s="26"/>
      <c r="O2287" s="26"/>
      <c r="P2287" s="26"/>
      <c r="Q2287" s="26"/>
      <c r="R2287" s="26"/>
      <c r="S2287" s="26"/>
      <c r="T2287" s="26"/>
      <c r="U2287" s="26"/>
      <c r="V2287" s="26"/>
      <c r="W2287" s="26"/>
      <c r="X2287" s="26"/>
      <c r="Y2287" s="26"/>
      <c r="Z2287" s="26"/>
      <c r="AA2287" s="26"/>
      <c r="AB2287" s="26"/>
      <c r="AC2287" s="27"/>
    </row>
    <row r="2288" spans="1:29" x14ac:dyDescent="0.25">
      <c r="A2288" s="1"/>
      <c r="B2288" s="19"/>
      <c r="C2288" s="24"/>
      <c r="D2288" s="1"/>
      <c r="E2288" s="25"/>
      <c r="F2288" s="26"/>
      <c r="G2288" s="26"/>
      <c r="L2288" s="25"/>
      <c r="M2288" s="24"/>
      <c r="N2288" s="26"/>
      <c r="O2288" s="26"/>
      <c r="P2288" s="26"/>
      <c r="Q2288" s="26"/>
      <c r="R2288" s="26"/>
      <c r="S2288" s="26"/>
      <c r="T2288" s="26"/>
      <c r="U2288" s="26"/>
      <c r="V2288" s="26"/>
      <c r="W2288" s="26"/>
      <c r="X2288" s="26"/>
      <c r="Y2288" s="26"/>
      <c r="Z2288" s="26"/>
      <c r="AA2288" s="26"/>
      <c r="AB2288" s="26"/>
      <c r="AC2288" s="27"/>
    </row>
    <row r="2289" spans="1:29" x14ac:dyDescent="0.25">
      <c r="A2289" s="1"/>
      <c r="B2289" s="19"/>
      <c r="C2289" s="24"/>
      <c r="D2289" s="1"/>
      <c r="E2289" s="25"/>
      <c r="F2289" s="26"/>
      <c r="G2289" s="26"/>
      <c r="L2289" s="25"/>
      <c r="M2289" s="24"/>
      <c r="N2289" s="26"/>
      <c r="O2289" s="26"/>
      <c r="P2289" s="26"/>
      <c r="Q2289" s="26"/>
      <c r="R2289" s="26"/>
      <c r="S2289" s="26"/>
      <c r="T2289" s="26"/>
      <c r="U2289" s="26"/>
      <c r="V2289" s="26"/>
      <c r="W2289" s="26"/>
      <c r="X2289" s="26"/>
      <c r="Y2289" s="26"/>
      <c r="Z2289" s="26"/>
      <c r="AA2289" s="26"/>
      <c r="AB2289" s="26"/>
      <c r="AC2289" s="27"/>
    </row>
    <row r="2290" spans="1:29" x14ac:dyDescent="0.25">
      <c r="A2290" s="1"/>
      <c r="B2290" s="19"/>
      <c r="C2290" s="24"/>
      <c r="D2290" s="1"/>
      <c r="E2290" s="25"/>
      <c r="F2290" s="26"/>
      <c r="G2290" s="26"/>
      <c r="L2290" s="25"/>
      <c r="M2290" s="24"/>
      <c r="N2290" s="26"/>
      <c r="O2290" s="26"/>
      <c r="P2290" s="26"/>
      <c r="Q2290" s="26"/>
      <c r="R2290" s="26"/>
      <c r="S2290" s="26"/>
      <c r="T2290" s="26"/>
      <c r="U2290" s="26"/>
      <c r="V2290" s="26"/>
      <c r="W2290" s="26"/>
      <c r="X2290" s="26"/>
      <c r="Y2290" s="26"/>
      <c r="Z2290" s="26"/>
      <c r="AA2290" s="26"/>
      <c r="AB2290" s="26"/>
      <c r="AC2290" s="27"/>
    </row>
    <row r="2291" spans="1:29" x14ac:dyDescent="0.25">
      <c r="A2291" s="1"/>
      <c r="B2291" s="19"/>
      <c r="C2291" s="24"/>
      <c r="D2291" s="1"/>
      <c r="E2291" s="25"/>
      <c r="F2291" s="26"/>
      <c r="G2291" s="26"/>
      <c r="L2291" s="25"/>
      <c r="M2291" s="24"/>
      <c r="N2291" s="26"/>
      <c r="O2291" s="26"/>
      <c r="P2291" s="26"/>
      <c r="Q2291" s="26"/>
      <c r="R2291" s="26"/>
      <c r="S2291" s="26"/>
      <c r="T2291" s="26"/>
      <c r="U2291" s="26"/>
      <c r="V2291" s="26"/>
      <c r="W2291" s="26"/>
      <c r="X2291" s="26"/>
      <c r="Y2291" s="26"/>
      <c r="Z2291" s="26"/>
      <c r="AA2291" s="26"/>
      <c r="AB2291" s="26"/>
      <c r="AC2291" s="27"/>
    </row>
    <row r="2292" spans="1:29" x14ac:dyDescent="0.25">
      <c r="A2292" s="1"/>
      <c r="B2292" s="19"/>
      <c r="C2292" s="24"/>
      <c r="D2292" s="1"/>
      <c r="E2292" s="25"/>
      <c r="F2292" s="26"/>
      <c r="G2292" s="26"/>
      <c r="L2292" s="25"/>
      <c r="M2292" s="24"/>
      <c r="N2292" s="26"/>
      <c r="O2292" s="26"/>
      <c r="P2292" s="26"/>
      <c r="Q2292" s="26"/>
      <c r="R2292" s="26"/>
      <c r="S2292" s="26"/>
      <c r="T2292" s="26"/>
      <c r="U2292" s="26"/>
      <c r="V2292" s="26"/>
      <c r="W2292" s="26"/>
      <c r="X2292" s="26"/>
      <c r="Y2292" s="26"/>
      <c r="Z2292" s="26"/>
      <c r="AA2292" s="26"/>
      <c r="AB2292" s="26"/>
      <c r="AC2292" s="27"/>
    </row>
    <row r="2293" spans="1:29" x14ac:dyDescent="0.25">
      <c r="A2293" s="1"/>
      <c r="B2293" s="19"/>
      <c r="C2293" s="24"/>
      <c r="D2293" s="1"/>
      <c r="E2293" s="25"/>
      <c r="F2293" s="26"/>
      <c r="G2293" s="26"/>
      <c r="L2293" s="25"/>
      <c r="M2293" s="24"/>
      <c r="N2293" s="26"/>
      <c r="O2293" s="26"/>
      <c r="P2293" s="26"/>
      <c r="Q2293" s="26"/>
      <c r="R2293" s="26"/>
      <c r="S2293" s="26"/>
      <c r="T2293" s="26"/>
      <c r="U2293" s="26"/>
      <c r="V2293" s="26"/>
      <c r="W2293" s="26"/>
      <c r="X2293" s="26"/>
      <c r="Y2293" s="26"/>
      <c r="Z2293" s="26"/>
      <c r="AA2293" s="26"/>
      <c r="AB2293" s="26"/>
      <c r="AC2293" s="27"/>
    </row>
    <row r="2294" spans="1:29" x14ac:dyDescent="0.25">
      <c r="A2294" s="1"/>
      <c r="B2294" s="19"/>
      <c r="C2294" s="24"/>
      <c r="D2294" s="1"/>
      <c r="E2294" s="25"/>
      <c r="F2294" s="26"/>
      <c r="G2294" s="26"/>
      <c r="L2294" s="25"/>
      <c r="M2294" s="24"/>
      <c r="N2294" s="26"/>
      <c r="O2294" s="26"/>
      <c r="P2294" s="26"/>
      <c r="Q2294" s="26"/>
      <c r="R2294" s="26"/>
      <c r="S2294" s="26"/>
      <c r="T2294" s="26"/>
      <c r="U2294" s="26"/>
      <c r="V2294" s="26"/>
      <c r="W2294" s="26"/>
      <c r="X2294" s="26"/>
      <c r="Y2294" s="26"/>
      <c r="Z2294" s="26"/>
      <c r="AA2294" s="26"/>
      <c r="AB2294" s="26"/>
      <c r="AC2294" s="27"/>
    </row>
    <row r="2295" spans="1:29" x14ac:dyDescent="0.25">
      <c r="A2295" s="1"/>
      <c r="B2295" s="19"/>
      <c r="C2295" s="24"/>
      <c r="D2295" s="1"/>
      <c r="E2295" s="25"/>
      <c r="F2295" s="26"/>
      <c r="G2295" s="26"/>
      <c r="L2295" s="25"/>
      <c r="M2295" s="24"/>
      <c r="N2295" s="26"/>
      <c r="O2295" s="26"/>
      <c r="P2295" s="26"/>
      <c r="Q2295" s="26"/>
      <c r="R2295" s="26"/>
      <c r="S2295" s="26"/>
      <c r="T2295" s="26"/>
      <c r="U2295" s="26"/>
      <c r="V2295" s="26"/>
      <c r="W2295" s="26"/>
      <c r="X2295" s="26"/>
      <c r="Y2295" s="26"/>
      <c r="Z2295" s="26"/>
      <c r="AA2295" s="26"/>
      <c r="AB2295" s="26"/>
      <c r="AC2295" s="27"/>
    </row>
    <row r="2296" spans="1:29" x14ac:dyDescent="0.25">
      <c r="A2296" s="1"/>
      <c r="B2296" s="19"/>
      <c r="C2296" s="24"/>
      <c r="D2296" s="1"/>
      <c r="E2296" s="25"/>
      <c r="F2296" s="26"/>
      <c r="G2296" s="26"/>
      <c r="L2296" s="25"/>
      <c r="M2296" s="24"/>
      <c r="N2296" s="26"/>
      <c r="O2296" s="26"/>
      <c r="P2296" s="26"/>
      <c r="Q2296" s="26"/>
      <c r="R2296" s="26"/>
      <c r="S2296" s="26"/>
      <c r="T2296" s="26"/>
      <c r="U2296" s="26"/>
      <c r="V2296" s="26"/>
      <c r="W2296" s="26"/>
      <c r="X2296" s="26"/>
      <c r="Y2296" s="26"/>
      <c r="Z2296" s="26"/>
      <c r="AA2296" s="26"/>
      <c r="AB2296" s="26"/>
      <c r="AC2296" s="27"/>
    </row>
    <row r="2297" spans="1:29" x14ac:dyDescent="0.25">
      <c r="A2297" s="1"/>
      <c r="B2297" s="19"/>
      <c r="C2297" s="24"/>
      <c r="D2297" s="1"/>
      <c r="E2297" s="25"/>
      <c r="F2297" s="26"/>
      <c r="G2297" s="26"/>
      <c r="L2297" s="25"/>
      <c r="M2297" s="24"/>
      <c r="N2297" s="26"/>
      <c r="O2297" s="26"/>
      <c r="P2297" s="26"/>
      <c r="Q2297" s="26"/>
      <c r="R2297" s="26"/>
      <c r="S2297" s="26"/>
      <c r="T2297" s="26"/>
      <c r="U2297" s="26"/>
      <c r="V2297" s="26"/>
      <c r="W2297" s="26"/>
      <c r="X2297" s="26"/>
      <c r="Y2297" s="26"/>
      <c r="Z2297" s="26"/>
      <c r="AA2297" s="26"/>
      <c r="AB2297" s="26"/>
      <c r="AC2297" s="27"/>
    </row>
    <row r="2298" spans="1:29" x14ac:dyDescent="0.25">
      <c r="A2298" s="1"/>
      <c r="B2298" s="19"/>
      <c r="C2298" s="24"/>
      <c r="D2298" s="1"/>
      <c r="E2298" s="25"/>
      <c r="F2298" s="26"/>
      <c r="G2298" s="26"/>
      <c r="L2298" s="25"/>
      <c r="M2298" s="24"/>
      <c r="N2298" s="26"/>
      <c r="O2298" s="26"/>
      <c r="P2298" s="26"/>
      <c r="Q2298" s="26"/>
      <c r="R2298" s="26"/>
      <c r="S2298" s="26"/>
      <c r="T2298" s="26"/>
      <c r="U2298" s="26"/>
      <c r="V2298" s="26"/>
      <c r="W2298" s="26"/>
      <c r="X2298" s="26"/>
      <c r="Y2298" s="26"/>
      <c r="Z2298" s="26"/>
      <c r="AA2298" s="26"/>
      <c r="AB2298" s="26"/>
      <c r="AC2298" s="27"/>
    </row>
    <row r="2299" spans="1:29" x14ac:dyDescent="0.25">
      <c r="A2299" s="1"/>
      <c r="B2299" s="19"/>
      <c r="C2299" s="24"/>
      <c r="D2299" s="1"/>
      <c r="E2299" s="25"/>
      <c r="F2299" s="26"/>
      <c r="G2299" s="26"/>
      <c r="L2299" s="25"/>
      <c r="M2299" s="24"/>
      <c r="N2299" s="26"/>
      <c r="O2299" s="26"/>
      <c r="P2299" s="26"/>
      <c r="Q2299" s="26"/>
      <c r="R2299" s="26"/>
      <c r="S2299" s="26"/>
      <c r="T2299" s="26"/>
      <c r="U2299" s="26"/>
      <c r="V2299" s="26"/>
      <c r="W2299" s="26"/>
      <c r="X2299" s="26"/>
      <c r="Y2299" s="26"/>
      <c r="Z2299" s="26"/>
      <c r="AA2299" s="26"/>
      <c r="AB2299" s="26"/>
      <c r="AC2299" s="27"/>
    </row>
    <row r="2300" spans="1:29" x14ac:dyDescent="0.25">
      <c r="A2300" s="1"/>
      <c r="B2300" s="19"/>
      <c r="C2300" s="24"/>
      <c r="D2300" s="1"/>
      <c r="E2300" s="25"/>
      <c r="F2300" s="26"/>
      <c r="G2300" s="26"/>
      <c r="L2300" s="25"/>
      <c r="M2300" s="24"/>
      <c r="N2300" s="26"/>
      <c r="O2300" s="26"/>
      <c r="P2300" s="26"/>
      <c r="Q2300" s="26"/>
      <c r="R2300" s="26"/>
      <c r="S2300" s="26"/>
      <c r="T2300" s="26"/>
      <c r="U2300" s="26"/>
      <c r="V2300" s="26"/>
      <c r="W2300" s="26"/>
      <c r="X2300" s="26"/>
      <c r="Y2300" s="26"/>
      <c r="Z2300" s="26"/>
      <c r="AA2300" s="26"/>
      <c r="AB2300" s="26"/>
      <c r="AC2300" s="27"/>
    </row>
    <row r="2301" spans="1:29" x14ac:dyDescent="0.25">
      <c r="A2301" s="1"/>
      <c r="B2301" s="19"/>
      <c r="C2301" s="24"/>
      <c r="D2301" s="1"/>
      <c r="E2301" s="25"/>
      <c r="F2301" s="26"/>
      <c r="G2301" s="26"/>
      <c r="L2301" s="25"/>
      <c r="M2301" s="24"/>
      <c r="N2301" s="26"/>
      <c r="O2301" s="26"/>
      <c r="P2301" s="26"/>
      <c r="Q2301" s="26"/>
      <c r="R2301" s="26"/>
      <c r="S2301" s="26"/>
      <c r="T2301" s="26"/>
      <c r="U2301" s="26"/>
      <c r="V2301" s="26"/>
      <c r="W2301" s="26"/>
      <c r="X2301" s="26"/>
      <c r="Y2301" s="26"/>
      <c r="Z2301" s="26"/>
      <c r="AA2301" s="26"/>
      <c r="AB2301" s="26"/>
      <c r="AC2301" s="27"/>
    </row>
    <row r="2302" spans="1:29" x14ac:dyDescent="0.25">
      <c r="A2302" s="1"/>
      <c r="B2302" s="19"/>
      <c r="C2302" s="24"/>
      <c r="D2302" s="1"/>
      <c r="E2302" s="25"/>
      <c r="F2302" s="26"/>
      <c r="G2302" s="26"/>
      <c r="L2302" s="25"/>
      <c r="M2302" s="24"/>
      <c r="N2302" s="26"/>
      <c r="O2302" s="26"/>
      <c r="P2302" s="26"/>
      <c r="Q2302" s="26"/>
      <c r="R2302" s="26"/>
      <c r="S2302" s="26"/>
      <c r="T2302" s="26"/>
      <c r="U2302" s="26"/>
      <c r="V2302" s="26"/>
      <c r="W2302" s="26"/>
      <c r="X2302" s="26"/>
      <c r="Y2302" s="26"/>
      <c r="Z2302" s="26"/>
      <c r="AA2302" s="26"/>
      <c r="AB2302" s="26"/>
      <c r="AC2302" s="27"/>
    </row>
    <row r="2303" spans="1:29" x14ac:dyDescent="0.25">
      <c r="A2303" s="1"/>
      <c r="B2303" s="19"/>
      <c r="C2303" s="24"/>
      <c r="D2303" s="1"/>
      <c r="E2303" s="25"/>
      <c r="F2303" s="26"/>
      <c r="G2303" s="26"/>
      <c r="L2303" s="25"/>
      <c r="M2303" s="24"/>
      <c r="N2303" s="26"/>
      <c r="O2303" s="26"/>
      <c r="P2303" s="26"/>
      <c r="Q2303" s="26"/>
      <c r="R2303" s="26"/>
      <c r="S2303" s="26"/>
      <c r="T2303" s="26"/>
      <c r="U2303" s="26"/>
      <c r="V2303" s="26"/>
      <c r="W2303" s="26"/>
      <c r="X2303" s="26"/>
      <c r="Y2303" s="26"/>
      <c r="Z2303" s="26"/>
      <c r="AA2303" s="26"/>
      <c r="AB2303" s="26"/>
      <c r="AC2303" s="27"/>
    </row>
    <row r="2304" spans="1:29" x14ac:dyDescent="0.25">
      <c r="A2304" s="1"/>
      <c r="B2304" s="19"/>
      <c r="C2304" s="24"/>
      <c r="D2304" s="1"/>
      <c r="E2304" s="25"/>
      <c r="F2304" s="26"/>
      <c r="G2304" s="26"/>
      <c r="L2304" s="25"/>
      <c r="M2304" s="24"/>
      <c r="N2304" s="26"/>
      <c r="O2304" s="26"/>
      <c r="P2304" s="26"/>
      <c r="Q2304" s="26"/>
      <c r="R2304" s="26"/>
      <c r="S2304" s="26"/>
      <c r="T2304" s="26"/>
      <c r="U2304" s="26"/>
      <c r="V2304" s="26"/>
      <c r="W2304" s="26"/>
      <c r="X2304" s="26"/>
      <c r="Y2304" s="26"/>
      <c r="Z2304" s="26"/>
      <c r="AA2304" s="26"/>
      <c r="AB2304" s="26"/>
      <c r="AC2304" s="27"/>
    </row>
    <row r="2305" spans="1:29" x14ac:dyDescent="0.25">
      <c r="A2305" s="1"/>
      <c r="B2305" s="19"/>
      <c r="C2305" s="24"/>
      <c r="D2305" s="1"/>
      <c r="E2305" s="25"/>
      <c r="F2305" s="26"/>
      <c r="G2305" s="26"/>
      <c r="L2305" s="25"/>
      <c r="M2305" s="24"/>
      <c r="N2305" s="26"/>
      <c r="O2305" s="26"/>
      <c r="P2305" s="26"/>
      <c r="Q2305" s="26"/>
      <c r="R2305" s="26"/>
      <c r="S2305" s="26"/>
      <c r="T2305" s="26"/>
      <c r="U2305" s="26"/>
      <c r="V2305" s="26"/>
      <c r="W2305" s="26"/>
      <c r="X2305" s="26"/>
      <c r="Y2305" s="26"/>
      <c r="Z2305" s="26"/>
      <c r="AA2305" s="26"/>
      <c r="AB2305" s="26"/>
      <c r="AC2305" s="27"/>
    </row>
    <row r="2306" spans="1:29" x14ac:dyDescent="0.25">
      <c r="A2306" s="1"/>
      <c r="B2306" s="19"/>
      <c r="C2306" s="24"/>
      <c r="D2306" s="1"/>
      <c r="E2306" s="25"/>
      <c r="F2306" s="26"/>
      <c r="G2306" s="26"/>
      <c r="L2306" s="25"/>
      <c r="M2306" s="24"/>
      <c r="N2306" s="26"/>
      <c r="O2306" s="26"/>
      <c r="P2306" s="26"/>
      <c r="Q2306" s="26"/>
      <c r="R2306" s="26"/>
      <c r="S2306" s="26"/>
      <c r="T2306" s="26"/>
      <c r="U2306" s="26"/>
      <c r="V2306" s="26"/>
      <c r="W2306" s="26"/>
      <c r="X2306" s="26"/>
      <c r="Y2306" s="26"/>
      <c r="Z2306" s="26"/>
      <c r="AA2306" s="26"/>
      <c r="AB2306" s="26"/>
      <c r="AC2306" s="27"/>
    </row>
    <row r="2307" spans="1:29" x14ac:dyDescent="0.25">
      <c r="A2307" s="1"/>
      <c r="B2307" s="19"/>
      <c r="C2307" s="24"/>
      <c r="D2307" s="1"/>
      <c r="E2307" s="25"/>
      <c r="F2307" s="26"/>
      <c r="G2307" s="26"/>
      <c r="L2307" s="25"/>
      <c r="M2307" s="24"/>
      <c r="N2307" s="26"/>
      <c r="O2307" s="26"/>
      <c r="P2307" s="26"/>
      <c r="Q2307" s="26"/>
      <c r="R2307" s="26"/>
      <c r="S2307" s="26"/>
      <c r="T2307" s="26"/>
      <c r="U2307" s="26"/>
      <c r="V2307" s="26"/>
      <c r="W2307" s="26"/>
      <c r="X2307" s="26"/>
      <c r="Y2307" s="26"/>
      <c r="Z2307" s="26"/>
      <c r="AA2307" s="26"/>
      <c r="AB2307" s="26"/>
      <c r="AC2307" s="27"/>
    </row>
    <row r="2308" spans="1:29" x14ac:dyDescent="0.25">
      <c r="A2308" s="1"/>
      <c r="B2308" s="19"/>
      <c r="C2308" s="24"/>
      <c r="D2308" s="1"/>
      <c r="E2308" s="25"/>
      <c r="F2308" s="26"/>
      <c r="G2308" s="26"/>
      <c r="L2308" s="25"/>
      <c r="M2308" s="24"/>
      <c r="N2308" s="26"/>
      <c r="O2308" s="26"/>
      <c r="P2308" s="26"/>
      <c r="Q2308" s="26"/>
      <c r="R2308" s="26"/>
      <c r="S2308" s="26"/>
      <c r="T2308" s="26"/>
      <c r="U2308" s="26"/>
      <c r="V2308" s="26"/>
      <c r="W2308" s="26"/>
      <c r="X2308" s="26"/>
      <c r="Y2308" s="26"/>
      <c r="Z2308" s="26"/>
      <c r="AA2308" s="26"/>
      <c r="AB2308" s="26"/>
      <c r="AC2308" s="27"/>
    </row>
    <row r="2309" spans="1:29" x14ac:dyDescent="0.25">
      <c r="A2309" s="1"/>
      <c r="B2309" s="19"/>
      <c r="C2309" s="24"/>
      <c r="D2309" s="1"/>
      <c r="E2309" s="25"/>
      <c r="F2309" s="26"/>
      <c r="G2309" s="26"/>
      <c r="L2309" s="25"/>
      <c r="M2309" s="24"/>
      <c r="N2309" s="26"/>
      <c r="O2309" s="26"/>
      <c r="P2309" s="26"/>
      <c r="Q2309" s="26"/>
      <c r="R2309" s="26"/>
      <c r="S2309" s="26"/>
      <c r="T2309" s="26"/>
      <c r="U2309" s="26"/>
      <c r="V2309" s="26"/>
      <c r="W2309" s="26"/>
      <c r="X2309" s="26"/>
      <c r="Y2309" s="26"/>
      <c r="Z2309" s="26"/>
      <c r="AA2309" s="26"/>
      <c r="AB2309" s="26"/>
      <c r="AC2309" s="27"/>
    </row>
    <row r="2310" spans="1:29" x14ac:dyDescent="0.25">
      <c r="A2310" s="1"/>
      <c r="B2310" s="19"/>
      <c r="C2310" s="24"/>
      <c r="D2310" s="1"/>
      <c r="E2310" s="25"/>
      <c r="F2310" s="26"/>
      <c r="G2310" s="26"/>
      <c r="L2310" s="25"/>
      <c r="M2310" s="24"/>
      <c r="N2310" s="26"/>
      <c r="O2310" s="26"/>
      <c r="P2310" s="26"/>
      <c r="Q2310" s="26"/>
      <c r="R2310" s="26"/>
      <c r="S2310" s="26"/>
      <c r="T2310" s="26"/>
      <c r="U2310" s="26"/>
      <c r="V2310" s="26"/>
      <c r="W2310" s="26"/>
      <c r="X2310" s="26"/>
      <c r="Y2310" s="26"/>
      <c r="Z2310" s="26"/>
      <c r="AA2310" s="26"/>
      <c r="AB2310" s="26"/>
      <c r="AC2310" s="27"/>
    </row>
    <row r="2311" spans="1:29" x14ac:dyDescent="0.25">
      <c r="A2311" s="1"/>
      <c r="B2311" s="19"/>
      <c r="C2311" s="24"/>
      <c r="D2311" s="1"/>
      <c r="E2311" s="25"/>
      <c r="F2311" s="26"/>
      <c r="G2311" s="26"/>
      <c r="L2311" s="25"/>
      <c r="M2311" s="24"/>
      <c r="N2311" s="26"/>
      <c r="O2311" s="26"/>
      <c r="P2311" s="26"/>
      <c r="Q2311" s="26"/>
      <c r="R2311" s="26"/>
      <c r="S2311" s="26"/>
      <c r="T2311" s="26"/>
      <c r="U2311" s="26"/>
      <c r="V2311" s="26"/>
      <c r="W2311" s="26"/>
      <c r="X2311" s="26"/>
      <c r="Y2311" s="26"/>
      <c r="Z2311" s="26"/>
      <c r="AA2311" s="26"/>
      <c r="AB2311" s="26"/>
      <c r="AC2311" s="27"/>
    </row>
    <row r="2312" spans="1:29" x14ac:dyDescent="0.25">
      <c r="A2312" s="1"/>
      <c r="B2312" s="19"/>
      <c r="C2312" s="24"/>
      <c r="D2312" s="1"/>
      <c r="E2312" s="25"/>
      <c r="F2312" s="26"/>
      <c r="G2312" s="26"/>
      <c r="L2312" s="25"/>
      <c r="M2312" s="24"/>
      <c r="N2312" s="26"/>
      <c r="O2312" s="26"/>
      <c r="P2312" s="26"/>
      <c r="Q2312" s="26"/>
      <c r="R2312" s="26"/>
      <c r="S2312" s="26"/>
      <c r="T2312" s="26"/>
      <c r="U2312" s="26"/>
      <c r="V2312" s="26"/>
      <c r="W2312" s="26"/>
      <c r="X2312" s="26"/>
      <c r="Y2312" s="26"/>
      <c r="Z2312" s="26"/>
      <c r="AA2312" s="26"/>
      <c r="AB2312" s="26"/>
      <c r="AC2312" s="27"/>
    </row>
    <row r="2313" spans="1:29" x14ac:dyDescent="0.25">
      <c r="A2313" s="1"/>
      <c r="B2313" s="19"/>
      <c r="C2313" s="24"/>
      <c r="D2313" s="1"/>
      <c r="E2313" s="25"/>
      <c r="F2313" s="26"/>
      <c r="G2313" s="26"/>
      <c r="L2313" s="25"/>
      <c r="M2313" s="24"/>
      <c r="N2313" s="26"/>
      <c r="O2313" s="26"/>
      <c r="P2313" s="26"/>
      <c r="Q2313" s="26"/>
      <c r="R2313" s="26"/>
      <c r="S2313" s="26"/>
      <c r="T2313" s="26"/>
      <c r="U2313" s="26"/>
      <c r="V2313" s="26"/>
      <c r="W2313" s="26"/>
      <c r="X2313" s="26"/>
      <c r="Y2313" s="26"/>
      <c r="Z2313" s="26"/>
      <c r="AA2313" s="26"/>
      <c r="AB2313" s="26"/>
      <c r="AC2313" s="27"/>
    </row>
    <row r="2314" spans="1:29" x14ac:dyDescent="0.25">
      <c r="A2314" s="1"/>
      <c r="B2314" s="19"/>
      <c r="C2314" s="24"/>
      <c r="D2314" s="1"/>
      <c r="E2314" s="25"/>
      <c r="F2314" s="26"/>
      <c r="G2314" s="26"/>
      <c r="L2314" s="25"/>
      <c r="M2314" s="24"/>
      <c r="N2314" s="26"/>
      <c r="O2314" s="26"/>
      <c r="P2314" s="26"/>
      <c r="Q2314" s="26"/>
      <c r="R2314" s="26"/>
      <c r="S2314" s="26"/>
      <c r="T2314" s="26"/>
      <c r="U2314" s="26"/>
      <c r="V2314" s="26"/>
      <c r="W2314" s="26"/>
      <c r="X2314" s="26"/>
      <c r="Y2314" s="26"/>
      <c r="Z2314" s="26"/>
      <c r="AA2314" s="26"/>
      <c r="AB2314" s="26"/>
      <c r="AC2314" s="27"/>
    </row>
    <row r="2315" spans="1:29" x14ac:dyDescent="0.25">
      <c r="A2315" s="1"/>
      <c r="B2315" s="19"/>
      <c r="C2315" s="24"/>
      <c r="D2315" s="1"/>
      <c r="E2315" s="25"/>
      <c r="F2315" s="26"/>
      <c r="G2315" s="26"/>
      <c r="L2315" s="25"/>
      <c r="M2315" s="24"/>
      <c r="N2315" s="26"/>
      <c r="O2315" s="26"/>
      <c r="P2315" s="26"/>
      <c r="Q2315" s="26"/>
      <c r="R2315" s="26"/>
      <c r="S2315" s="26"/>
      <c r="T2315" s="26"/>
      <c r="U2315" s="26"/>
      <c r="V2315" s="26"/>
      <c r="W2315" s="26"/>
      <c r="X2315" s="26"/>
      <c r="Y2315" s="26"/>
      <c r="Z2315" s="26"/>
      <c r="AA2315" s="26"/>
      <c r="AB2315" s="26"/>
      <c r="AC2315" s="27"/>
    </row>
    <row r="2316" spans="1:29" x14ac:dyDescent="0.25">
      <c r="A2316" s="1"/>
      <c r="B2316" s="19"/>
      <c r="C2316" s="24"/>
      <c r="D2316" s="1"/>
      <c r="E2316" s="25"/>
      <c r="F2316" s="26"/>
      <c r="G2316" s="26"/>
      <c r="L2316" s="25"/>
      <c r="M2316" s="24"/>
      <c r="N2316" s="26"/>
      <c r="O2316" s="26"/>
      <c r="P2316" s="26"/>
      <c r="Q2316" s="26"/>
      <c r="R2316" s="26"/>
      <c r="S2316" s="26"/>
      <c r="T2316" s="26"/>
      <c r="U2316" s="26"/>
      <c r="V2316" s="26"/>
      <c r="W2316" s="26"/>
      <c r="X2316" s="26"/>
      <c r="Y2316" s="26"/>
      <c r="Z2316" s="26"/>
      <c r="AA2316" s="26"/>
      <c r="AB2316" s="26"/>
      <c r="AC2316" s="27"/>
    </row>
    <row r="2317" spans="1:29" x14ac:dyDescent="0.25">
      <c r="A2317" s="1"/>
      <c r="B2317" s="19"/>
      <c r="C2317" s="24"/>
      <c r="D2317" s="1"/>
      <c r="E2317" s="25"/>
      <c r="F2317" s="26"/>
      <c r="G2317" s="26"/>
      <c r="L2317" s="25"/>
      <c r="M2317" s="24"/>
      <c r="N2317" s="26"/>
      <c r="O2317" s="26"/>
      <c r="P2317" s="26"/>
      <c r="Q2317" s="26"/>
      <c r="R2317" s="26"/>
      <c r="S2317" s="26"/>
      <c r="T2317" s="26"/>
      <c r="U2317" s="26"/>
      <c r="V2317" s="26"/>
      <c r="W2317" s="26"/>
      <c r="X2317" s="26"/>
      <c r="Y2317" s="26"/>
      <c r="Z2317" s="26"/>
      <c r="AA2317" s="26"/>
      <c r="AB2317" s="26"/>
      <c r="AC2317" s="27"/>
    </row>
    <row r="2318" spans="1:29" x14ac:dyDescent="0.25">
      <c r="A2318" s="1"/>
      <c r="B2318" s="19"/>
      <c r="C2318" s="24"/>
      <c r="D2318" s="1"/>
      <c r="E2318" s="25"/>
      <c r="F2318" s="26"/>
      <c r="G2318" s="26"/>
      <c r="L2318" s="25"/>
      <c r="M2318" s="24"/>
      <c r="N2318" s="26"/>
      <c r="O2318" s="26"/>
      <c r="P2318" s="26"/>
      <c r="Q2318" s="26"/>
      <c r="R2318" s="26"/>
      <c r="S2318" s="26"/>
      <c r="T2318" s="26"/>
      <c r="U2318" s="26"/>
      <c r="V2318" s="26"/>
      <c r="W2318" s="26"/>
      <c r="X2318" s="26"/>
      <c r="Y2318" s="26"/>
      <c r="Z2318" s="26"/>
      <c r="AA2318" s="26"/>
      <c r="AB2318" s="26"/>
      <c r="AC2318" s="27"/>
    </row>
    <row r="2319" spans="1:29" x14ac:dyDescent="0.25">
      <c r="A2319" s="1"/>
      <c r="B2319" s="19"/>
      <c r="C2319" s="24"/>
      <c r="D2319" s="1"/>
      <c r="E2319" s="25"/>
      <c r="F2319" s="26"/>
      <c r="G2319" s="26"/>
      <c r="L2319" s="25"/>
      <c r="M2319" s="24"/>
      <c r="N2319" s="26"/>
      <c r="O2319" s="26"/>
      <c r="P2319" s="26"/>
      <c r="Q2319" s="26"/>
      <c r="R2319" s="26"/>
      <c r="S2319" s="26"/>
      <c r="T2319" s="26"/>
      <c r="U2319" s="26"/>
      <c r="V2319" s="26"/>
      <c r="W2319" s="26"/>
      <c r="X2319" s="26"/>
      <c r="Y2319" s="26"/>
      <c r="Z2319" s="26"/>
      <c r="AA2319" s="26"/>
      <c r="AB2319" s="26"/>
      <c r="AC2319" s="27"/>
    </row>
    <row r="2320" spans="1:29" x14ac:dyDescent="0.25">
      <c r="A2320" s="1"/>
      <c r="B2320" s="19"/>
      <c r="C2320" s="24"/>
      <c r="D2320" s="1"/>
      <c r="E2320" s="25"/>
      <c r="F2320" s="26"/>
      <c r="G2320" s="26"/>
      <c r="L2320" s="25"/>
      <c r="M2320" s="24"/>
      <c r="N2320" s="26"/>
      <c r="O2320" s="26"/>
      <c r="P2320" s="26"/>
      <c r="Q2320" s="26"/>
      <c r="R2320" s="26"/>
      <c r="S2320" s="26"/>
      <c r="T2320" s="26"/>
      <c r="U2320" s="26"/>
      <c r="V2320" s="26"/>
      <c r="W2320" s="26"/>
      <c r="X2320" s="26"/>
      <c r="Y2320" s="26"/>
      <c r="Z2320" s="26"/>
      <c r="AA2320" s="26"/>
      <c r="AB2320" s="26"/>
      <c r="AC2320" s="27"/>
    </row>
    <row r="2321" spans="1:29" x14ac:dyDescent="0.25">
      <c r="A2321" s="1"/>
      <c r="B2321" s="19"/>
      <c r="C2321" s="24"/>
      <c r="D2321" s="1"/>
      <c r="E2321" s="25"/>
      <c r="F2321" s="26"/>
      <c r="G2321" s="26"/>
      <c r="L2321" s="25"/>
      <c r="M2321" s="24"/>
      <c r="N2321" s="26"/>
      <c r="O2321" s="26"/>
      <c r="P2321" s="26"/>
      <c r="Q2321" s="26"/>
      <c r="R2321" s="26"/>
      <c r="S2321" s="26"/>
      <c r="T2321" s="26"/>
      <c r="U2321" s="26"/>
      <c r="V2321" s="26"/>
      <c r="W2321" s="26"/>
      <c r="X2321" s="26"/>
      <c r="Y2321" s="26"/>
      <c r="Z2321" s="26"/>
      <c r="AA2321" s="26"/>
      <c r="AB2321" s="26"/>
      <c r="AC2321" s="27"/>
    </row>
    <row r="2322" spans="1:29" x14ac:dyDescent="0.25">
      <c r="A2322" s="1"/>
      <c r="B2322" s="19"/>
      <c r="C2322" s="24"/>
      <c r="D2322" s="1"/>
      <c r="E2322" s="25"/>
      <c r="F2322" s="26"/>
      <c r="G2322" s="26"/>
      <c r="L2322" s="25"/>
      <c r="M2322" s="24"/>
      <c r="N2322" s="26"/>
      <c r="O2322" s="26"/>
      <c r="P2322" s="26"/>
      <c r="Q2322" s="26"/>
      <c r="R2322" s="26"/>
      <c r="S2322" s="26"/>
      <c r="T2322" s="26"/>
      <c r="U2322" s="26"/>
      <c r="V2322" s="26"/>
      <c r="W2322" s="26"/>
      <c r="X2322" s="26"/>
      <c r="Y2322" s="26"/>
      <c r="Z2322" s="26"/>
      <c r="AA2322" s="26"/>
      <c r="AB2322" s="26"/>
      <c r="AC2322" s="27"/>
    </row>
    <row r="2323" spans="1:29" x14ac:dyDescent="0.25">
      <c r="A2323" s="1"/>
      <c r="B2323" s="19"/>
      <c r="C2323" s="24"/>
      <c r="D2323" s="1"/>
      <c r="E2323" s="25"/>
      <c r="F2323" s="26"/>
      <c r="G2323" s="26"/>
      <c r="L2323" s="25"/>
      <c r="M2323" s="24"/>
      <c r="N2323" s="26"/>
      <c r="O2323" s="26"/>
      <c r="P2323" s="26"/>
      <c r="Q2323" s="26"/>
      <c r="R2323" s="26"/>
      <c r="S2323" s="26"/>
      <c r="T2323" s="26"/>
      <c r="U2323" s="26"/>
      <c r="V2323" s="26"/>
      <c r="W2323" s="26"/>
      <c r="X2323" s="26"/>
      <c r="Y2323" s="26"/>
      <c r="Z2323" s="26"/>
      <c r="AA2323" s="26"/>
      <c r="AB2323" s="26"/>
      <c r="AC2323" s="27"/>
    </row>
    <row r="2324" spans="1:29" x14ac:dyDescent="0.25">
      <c r="A2324" s="1"/>
      <c r="B2324" s="19"/>
      <c r="C2324" s="24"/>
      <c r="D2324" s="1"/>
      <c r="E2324" s="25"/>
      <c r="F2324" s="26"/>
      <c r="G2324" s="26"/>
      <c r="L2324" s="25"/>
      <c r="M2324" s="24"/>
      <c r="N2324" s="26"/>
      <c r="O2324" s="26"/>
      <c r="P2324" s="26"/>
      <c r="Q2324" s="26"/>
      <c r="R2324" s="26"/>
      <c r="S2324" s="26"/>
      <c r="T2324" s="26"/>
      <c r="U2324" s="26"/>
      <c r="V2324" s="26"/>
      <c r="W2324" s="26"/>
      <c r="X2324" s="26"/>
      <c r="Y2324" s="26"/>
      <c r="Z2324" s="26"/>
      <c r="AA2324" s="26"/>
      <c r="AB2324" s="26"/>
      <c r="AC2324" s="27"/>
    </row>
    <row r="2325" spans="1:29" x14ac:dyDescent="0.25">
      <c r="A2325" s="1"/>
      <c r="B2325" s="19"/>
      <c r="C2325" s="24"/>
      <c r="D2325" s="1"/>
      <c r="E2325" s="25"/>
      <c r="F2325" s="26"/>
      <c r="G2325" s="26"/>
      <c r="L2325" s="25"/>
      <c r="M2325" s="24"/>
      <c r="N2325" s="26"/>
      <c r="O2325" s="26"/>
      <c r="P2325" s="26"/>
      <c r="Q2325" s="26"/>
      <c r="R2325" s="26"/>
      <c r="S2325" s="26"/>
      <c r="T2325" s="26"/>
      <c r="U2325" s="26"/>
      <c r="V2325" s="26"/>
      <c r="W2325" s="26"/>
      <c r="X2325" s="26"/>
      <c r="Y2325" s="26"/>
      <c r="Z2325" s="26"/>
      <c r="AA2325" s="26"/>
      <c r="AB2325" s="26"/>
      <c r="AC2325" s="27"/>
    </row>
    <row r="2326" spans="1:29" x14ac:dyDescent="0.25">
      <c r="A2326" s="1"/>
      <c r="B2326" s="19"/>
      <c r="C2326" s="24"/>
      <c r="D2326" s="1"/>
      <c r="E2326" s="25"/>
      <c r="F2326" s="26"/>
      <c r="G2326" s="26"/>
      <c r="L2326" s="25"/>
      <c r="M2326" s="24"/>
      <c r="N2326" s="26"/>
      <c r="O2326" s="26"/>
      <c r="P2326" s="26"/>
      <c r="Q2326" s="26"/>
      <c r="R2326" s="26"/>
      <c r="S2326" s="26"/>
      <c r="T2326" s="26"/>
      <c r="U2326" s="26"/>
      <c r="V2326" s="26"/>
      <c r="W2326" s="26"/>
      <c r="X2326" s="26"/>
      <c r="Y2326" s="26"/>
      <c r="Z2326" s="26"/>
      <c r="AA2326" s="26"/>
      <c r="AB2326" s="26"/>
      <c r="AC2326" s="27"/>
    </row>
    <row r="2327" spans="1:29" x14ac:dyDescent="0.25">
      <c r="A2327" s="1"/>
      <c r="B2327" s="19"/>
      <c r="C2327" s="24"/>
      <c r="D2327" s="1"/>
      <c r="E2327" s="25"/>
      <c r="F2327" s="26"/>
      <c r="G2327" s="26"/>
      <c r="L2327" s="25"/>
      <c r="M2327" s="24"/>
      <c r="N2327" s="26"/>
      <c r="O2327" s="26"/>
      <c r="P2327" s="26"/>
      <c r="Q2327" s="26"/>
      <c r="R2327" s="26"/>
      <c r="S2327" s="26"/>
      <c r="T2327" s="26"/>
      <c r="U2327" s="26"/>
      <c r="V2327" s="26"/>
      <c r="W2327" s="26"/>
      <c r="X2327" s="26"/>
      <c r="Y2327" s="26"/>
      <c r="Z2327" s="26"/>
      <c r="AA2327" s="26"/>
      <c r="AB2327" s="26"/>
      <c r="AC2327" s="27"/>
    </row>
    <row r="2328" spans="1:29" x14ac:dyDescent="0.25">
      <c r="A2328" s="1"/>
      <c r="B2328" s="19"/>
      <c r="C2328" s="24"/>
      <c r="D2328" s="1"/>
      <c r="E2328" s="25"/>
      <c r="F2328" s="26"/>
      <c r="G2328" s="26"/>
      <c r="L2328" s="25"/>
      <c r="M2328" s="24"/>
      <c r="N2328" s="26"/>
      <c r="O2328" s="26"/>
      <c r="P2328" s="26"/>
      <c r="Q2328" s="26"/>
      <c r="R2328" s="26"/>
      <c r="S2328" s="26"/>
      <c r="T2328" s="26"/>
      <c r="U2328" s="26"/>
      <c r="V2328" s="26"/>
      <c r="W2328" s="26"/>
      <c r="X2328" s="26"/>
      <c r="Y2328" s="26"/>
      <c r="Z2328" s="26"/>
      <c r="AA2328" s="26"/>
      <c r="AB2328" s="26"/>
      <c r="AC2328" s="27"/>
    </row>
    <row r="2329" spans="1:29" x14ac:dyDescent="0.25">
      <c r="A2329" s="1"/>
      <c r="B2329" s="19"/>
      <c r="C2329" s="24"/>
      <c r="D2329" s="1"/>
      <c r="E2329" s="25"/>
      <c r="F2329" s="26"/>
      <c r="G2329" s="26"/>
      <c r="L2329" s="25"/>
      <c r="M2329" s="24"/>
      <c r="N2329" s="26"/>
      <c r="O2329" s="26"/>
      <c r="P2329" s="26"/>
      <c r="Q2329" s="26"/>
      <c r="R2329" s="26"/>
      <c r="S2329" s="26"/>
      <c r="T2329" s="26"/>
      <c r="U2329" s="26"/>
      <c r="V2329" s="26"/>
      <c r="W2329" s="26"/>
      <c r="X2329" s="26"/>
      <c r="Y2329" s="26"/>
      <c r="Z2329" s="26"/>
      <c r="AA2329" s="26"/>
      <c r="AB2329" s="26"/>
      <c r="AC2329" s="27"/>
    </row>
    <row r="2330" spans="1:29" x14ac:dyDescent="0.25">
      <c r="A2330" s="1"/>
      <c r="B2330" s="19"/>
      <c r="C2330" s="24"/>
      <c r="D2330" s="1"/>
      <c r="E2330" s="25"/>
      <c r="F2330" s="26"/>
      <c r="G2330" s="26"/>
      <c r="L2330" s="25"/>
      <c r="M2330" s="24"/>
      <c r="N2330" s="26"/>
      <c r="O2330" s="26"/>
      <c r="P2330" s="26"/>
      <c r="Q2330" s="26"/>
      <c r="R2330" s="26"/>
      <c r="S2330" s="26"/>
      <c r="T2330" s="26"/>
      <c r="U2330" s="26"/>
      <c r="V2330" s="26"/>
      <c r="W2330" s="26"/>
      <c r="X2330" s="26"/>
      <c r="Y2330" s="26"/>
      <c r="Z2330" s="26"/>
      <c r="AA2330" s="26"/>
      <c r="AB2330" s="26"/>
      <c r="AC2330" s="27"/>
    </row>
    <row r="2331" spans="1:29" x14ac:dyDescent="0.25">
      <c r="A2331" s="1"/>
      <c r="B2331" s="19"/>
      <c r="C2331" s="24"/>
      <c r="D2331" s="1"/>
      <c r="E2331" s="25"/>
      <c r="F2331" s="26"/>
      <c r="G2331" s="26"/>
      <c r="L2331" s="25"/>
      <c r="M2331" s="24"/>
      <c r="N2331" s="26"/>
      <c r="O2331" s="26"/>
      <c r="P2331" s="26"/>
      <c r="Q2331" s="26"/>
      <c r="R2331" s="26"/>
      <c r="S2331" s="26"/>
      <c r="T2331" s="26"/>
      <c r="U2331" s="26"/>
      <c r="V2331" s="26"/>
      <c r="W2331" s="26"/>
      <c r="X2331" s="26"/>
      <c r="Y2331" s="26"/>
      <c r="Z2331" s="26"/>
      <c r="AA2331" s="26"/>
      <c r="AB2331" s="26"/>
      <c r="AC2331" s="27"/>
    </row>
    <row r="2332" spans="1:29" x14ac:dyDescent="0.25">
      <c r="A2332" s="1"/>
      <c r="B2332" s="19"/>
      <c r="C2332" s="24"/>
      <c r="D2332" s="1"/>
      <c r="E2332" s="25"/>
      <c r="F2332" s="26"/>
      <c r="G2332" s="26"/>
      <c r="L2332" s="25"/>
      <c r="M2332" s="24"/>
      <c r="N2332" s="26"/>
      <c r="O2332" s="26"/>
      <c r="P2332" s="26"/>
      <c r="Q2332" s="26"/>
      <c r="R2332" s="26"/>
      <c r="S2332" s="26"/>
      <c r="T2332" s="26"/>
      <c r="U2332" s="26"/>
      <c r="V2332" s="26"/>
      <c r="W2332" s="26"/>
      <c r="X2332" s="26"/>
      <c r="Y2332" s="26"/>
      <c r="Z2332" s="26"/>
      <c r="AA2332" s="26"/>
      <c r="AB2332" s="26"/>
      <c r="AC2332" s="27"/>
    </row>
    <row r="2333" spans="1:29" x14ac:dyDescent="0.25">
      <c r="A2333" s="1"/>
      <c r="B2333" s="19"/>
      <c r="C2333" s="24"/>
      <c r="D2333" s="1"/>
      <c r="E2333" s="25"/>
      <c r="F2333" s="26"/>
      <c r="G2333" s="26"/>
      <c r="L2333" s="25"/>
      <c r="M2333" s="24"/>
      <c r="N2333" s="26"/>
      <c r="O2333" s="26"/>
      <c r="P2333" s="26"/>
      <c r="Q2333" s="26"/>
      <c r="R2333" s="26"/>
      <c r="S2333" s="26"/>
      <c r="T2333" s="26"/>
      <c r="U2333" s="26"/>
      <c r="V2333" s="26"/>
      <c r="W2333" s="26"/>
      <c r="X2333" s="26"/>
      <c r="Y2333" s="26"/>
      <c r="Z2333" s="26"/>
      <c r="AA2333" s="26"/>
      <c r="AB2333" s="26"/>
      <c r="AC2333" s="27"/>
    </row>
    <row r="2334" spans="1:29" x14ac:dyDescent="0.25">
      <c r="A2334" s="1"/>
      <c r="B2334" s="19"/>
      <c r="C2334" s="24"/>
      <c r="D2334" s="1"/>
      <c r="E2334" s="25"/>
      <c r="F2334" s="26"/>
      <c r="G2334" s="26"/>
      <c r="L2334" s="25"/>
      <c r="M2334" s="24"/>
      <c r="N2334" s="26"/>
      <c r="O2334" s="26"/>
      <c r="P2334" s="26"/>
      <c r="Q2334" s="26"/>
      <c r="R2334" s="26"/>
      <c r="S2334" s="26"/>
      <c r="T2334" s="26"/>
      <c r="U2334" s="26"/>
      <c r="V2334" s="26"/>
      <c r="W2334" s="26"/>
      <c r="X2334" s="26"/>
      <c r="Y2334" s="26"/>
      <c r="Z2334" s="26"/>
      <c r="AA2334" s="26"/>
      <c r="AB2334" s="26"/>
      <c r="AC2334" s="27"/>
    </row>
    <row r="2335" spans="1:29" x14ac:dyDescent="0.25">
      <c r="A2335" s="1"/>
      <c r="B2335" s="19"/>
      <c r="C2335" s="24"/>
      <c r="D2335" s="1"/>
      <c r="E2335" s="25"/>
      <c r="F2335" s="26"/>
      <c r="G2335" s="26"/>
      <c r="L2335" s="25"/>
      <c r="M2335" s="24"/>
      <c r="N2335" s="26"/>
      <c r="O2335" s="26"/>
      <c r="P2335" s="26"/>
      <c r="Q2335" s="26"/>
      <c r="R2335" s="26"/>
      <c r="S2335" s="26"/>
      <c r="T2335" s="26"/>
      <c r="U2335" s="26"/>
      <c r="V2335" s="26"/>
      <c r="W2335" s="26"/>
      <c r="X2335" s="26"/>
      <c r="Y2335" s="26"/>
      <c r="Z2335" s="26"/>
      <c r="AA2335" s="26"/>
      <c r="AB2335" s="26"/>
      <c r="AC2335" s="27"/>
    </row>
    <row r="2336" spans="1:29" x14ac:dyDescent="0.25">
      <c r="A2336" s="1"/>
      <c r="B2336" s="19"/>
      <c r="C2336" s="24"/>
      <c r="D2336" s="1"/>
      <c r="E2336" s="25"/>
      <c r="F2336" s="26"/>
      <c r="G2336" s="26"/>
      <c r="L2336" s="25"/>
      <c r="M2336" s="24"/>
      <c r="N2336" s="26"/>
      <c r="O2336" s="26"/>
      <c r="P2336" s="26"/>
      <c r="Q2336" s="26"/>
      <c r="R2336" s="26"/>
      <c r="S2336" s="26"/>
      <c r="T2336" s="26"/>
      <c r="U2336" s="26"/>
      <c r="V2336" s="26"/>
      <c r="W2336" s="26"/>
      <c r="X2336" s="26"/>
      <c r="Y2336" s="26"/>
      <c r="Z2336" s="26"/>
      <c r="AA2336" s="26"/>
      <c r="AB2336" s="26"/>
      <c r="AC2336" s="27"/>
    </row>
    <row r="2337" spans="1:29" x14ac:dyDescent="0.25">
      <c r="A2337" s="1"/>
      <c r="B2337" s="19"/>
      <c r="C2337" s="24"/>
      <c r="D2337" s="1"/>
      <c r="E2337" s="25"/>
      <c r="F2337" s="26"/>
      <c r="G2337" s="26"/>
      <c r="L2337" s="25"/>
      <c r="M2337" s="24"/>
      <c r="N2337" s="26"/>
      <c r="O2337" s="26"/>
      <c r="P2337" s="26"/>
      <c r="Q2337" s="26"/>
      <c r="R2337" s="26"/>
      <c r="S2337" s="26"/>
      <c r="T2337" s="26"/>
      <c r="U2337" s="26"/>
      <c r="V2337" s="26"/>
      <c r="W2337" s="26"/>
      <c r="X2337" s="26"/>
      <c r="Y2337" s="26"/>
      <c r="Z2337" s="26"/>
      <c r="AA2337" s="26"/>
      <c r="AB2337" s="26"/>
      <c r="AC2337" s="27"/>
    </row>
    <row r="2338" spans="1:29" x14ac:dyDescent="0.25">
      <c r="A2338" s="1"/>
      <c r="B2338" s="19"/>
      <c r="C2338" s="24"/>
      <c r="D2338" s="1"/>
      <c r="E2338" s="25"/>
      <c r="F2338" s="26"/>
      <c r="G2338" s="26"/>
      <c r="L2338" s="25"/>
      <c r="M2338" s="24"/>
      <c r="N2338" s="26"/>
      <c r="O2338" s="26"/>
      <c r="P2338" s="26"/>
      <c r="Q2338" s="26"/>
      <c r="R2338" s="26"/>
      <c r="S2338" s="26"/>
      <c r="T2338" s="26"/>
      <c r="U2338" s="26"/>
      <c r="V2338" s="26"/>
      <c r="W2338" s="26"/>
      <c r="X2338" s="26"/>
      <c r="Y2338" s="26"/>
      <c r="Z2338" s="26"/>
      <c r="AA2338" s="26"/>
      <c r="AB2338" s="26"/>
      <c r="AC2338" s="27"/>
    </row>
    <row r="2339" spans="1:29" x14ac:dyDescent="0.25">
      <c r="A2339" s="1"/>
      <c r="B2339" s="19"/>
      <c r="C2339" s="24"/>
      <c r="D2339" s="1"/>
      <c r="E2339" s="25"/>
      <c r="F2339" s="26"/>
      <c r="G2339" s="26"/>
      <c r="L2339" s="25"/>
      <c r="M2339" s="24"/>
      <c r="N2339" s="26"/>
      <c r="O2339" s="26"/>
      <c r="P2339" s="26"/>
      <c r="Q2339" s="26"/>
      <c r="R2339" s="26"/>
      <c r="S2339" s="26"/>
      <c r="T2339" s="26"/>
      <c r="U2339" s="26"/>
      <c r="V2339" s="26"/>
      <c r="W2339" s="26"/>
      <c r="X2339" s="26"/>
      <c r="Y2339" s="26"/>
      <c r="Z2339" s="26"/>
      <c r="AA2339" s="26"/>
      <c r="AB2339" s="26"/>
      <c r="AC2339" s="27"/>
    </row>
    <row r="2340" spans="1:29" x14ac:dyDescent="0.25">
      <c r="A2340" s="1"/>
      <c r="B2340" s="19"/>
      <c r="C2340" s="24"/>
      <c r="D2340" s="1"/>
      <c r="E2340" s="25"/>
      <c r="F2340" s="26"/>
      <c r="G2340" s="26"/>
      <c r="L2340" s="25"/>
      <c r="M2340" s="24"/>
      <c r="N2340" s="26"/>
      <c r="O2340" s="26"/>
      <c r="P2340" s="26"/>
      <c r="Q2340" s="26"/>
      <c r="R2340" s="26"/>
      <c r="S2340" s="26"/>
      <c r="T2340" s="26"/>
      <c r="U2340" s="26"/>
      <c r="V2340" s="26"/>
      <c r="W2340" s="26"/>
      <c r="X2340" s="26"/>
      <c r="Y2340" s="26"/>
      <c r="Z2340" s="26"/>
      <c r="AA2340" s="26"/>
      <c r="AB2340" s="26"/>
      <c r="AC2340" s="27"/>
    </row>
    <row r="2341" spans="1:29" x14ac:dyDescent="0.25">
      <c r="A2341" s="1"/>
      <c r="B2341" s="19"/>
      <c r="C2341" s="24"/>
      <c r="D2341" s="1"/>
      <c r="E2341" s="25"/>
      <c r="F2341" s="26"/>
      <c r="G2341" s="26"/>
      <c r="L2341" s="25"/>
      <c r="M2341" s="24"/>
      <c r="N2341" s="26"/>
      <c r="O2341" s="26"/>
      <c r="P2341" s="26"/>
      <c r="Q2341" s="26"/>
      <c r="R2341" s="26"/>
      <c r="S2341" s="26"/>
      <c r="T2341" s="26"/>
      <c r="U2341" s="26"/>
      <c r="V2341" s="26"/>
      <c r="W2341" s="26"/>
      <c r="X2341" s="26"/>
      <c r="Y2341" s="26"/>
      <c r="Z2341" s="26"/>
      <c r="AA2341" s="26"/>
      <c r="AB2341" s="26"/>
      <c r="AC2341" s="27"/>
    </row>
    <row r="2342" spans="1:29" x14ac:dyDescent="0.25">
      <c r="A2342" s="1"/>
      <c r="B2342" s="19"/>
      <c r="C2342" s="24"/>
      <c r="D2342" s="1"/>
      <c r="E2342" s="25"/>
      <c r="F2342" s="26"/>
      <c r="G2342" s="26"/>
      <c r="L2342" s="25"/>
      <c r="M2342" s="24"/>
      <c r="N2342" s="26"/>
      <c r="O2342" s="26"/>
      <c r="P2342" s="26"/>
      <c r="Q2342" s="26"/>
      <c r="R2342" s="26"/>
      <c r="S2342" s="26"/>
      <c r="T2342" s="26"/>
      <c r="U2342" s="26"/>
      <c r="V2342" s="26"/>
      <c r="W2342" s="26"/>
      <c r="X2342" s="26"/>
      <c r="Y2342" s="26"/>
      <c r="Z2342" s="26"/>
      <c r="AA2342" s="26"/>
      <c r="AB2342" s="26"/>
      <c r="AC2342" s="27"/>
    </row>
    <row r="2343" spans="1:29" x14ac:dyDescent="0.25">
      <c r="A2343" s="1"/>
      <c r="B2343" s="19"/>
      <c r="C2343" s="24"/>
      <c r="D2343" s="1"/>
      <c r="E2343" s="25"/>
      <c r="F2343" s="26"/>
      <c r="G2343" s="26"/>
      <c r="L2343" s="25"/>
      <c r="M2343" s="24"/>
      <c r="N2343" s="26"/>
      <c r="O2343" s="26"/>
      <c r="P2343" s="26"/>
      <c r="Q2343" s="26"/>
      <c r="R2343" s="26"/>
      <c r="S2343" s="26"/>
      <c r="T2343" s="26"/>
      <c r="U2343" s="26"/>
      <c r="V2343" s="26"/>
      <c r="W2343" s="26"/>
      <c r="X2343" s="26"/>
      <c r="Y2343" s="26"/>
      <c r="Z2343" s="26"/>
      <c r="AA2343" s="26"/>
      <c r="AB2343" s="26"/>
      <c r="AC2343" s="27"/>
    </row>
    <row r="2344" spans="1:29" x14ac:dyDescent="0.25">
      <c r="A2344" s="1"/>
      <c r="B2344" s="19"/>
      <c r="C2344" s="24"/>
      <c r="D2344" s="1"/>
      <c r="E2344" s="25"/>
      <c r="F2344" s="26"/>
      <c r="G2344" s="26"/>
      <c r="L2344" s="25"/>
      <c r="M2344" s="24"/>
      <c r="N2344" s="26"/>
      <c r="O2344" s="26"/>
      <c r="P2344" s="26"/>
      <c r="Q2344" s="26"/>
      <c r="R2344" s="26"/>
      <c r="S2344" s="26"/>
      <c r="T2344" s="26"/>
      <c r="U2344" s="26"/>
      <c r="V2344" s="26"/>
      <c r="W2344" s="26"/>
      <c r="X2344" s="26"/>
      <c r="Y2344" s="26"/>
      <c r="Z2344" s="26"/>
      <c r="AA2344" s="26"/>
      <c r="AB2344" s="26"/>
      <c r="AC2344" s="27"/>
    </row>
    <row r="2345" spans="1:29" x14ac:dyDescent="0.25">
      <c r="A2345" s="1"/>
      <c r="B2345" s="19"/>
      <c r="C2345" s="24"/>
      <c r="D2345" s="1"/>
      <c r="E2345" s="25"/>
      <c r="F2345" s="26"/>
      <c r="G2345" s="26"/>
      <c r="L2345" s="25"/>
      <c r="M2345" s="24"/>
      <c r="N2345" s="26"/>
      <c r="O2345" s="26"/>
      <c r="P2345" s="26"/>
      <c r="Q2345" s="26"/>
      <c r="R2345" s="26"/>
      <c r="S2345" s="26"/>
      <c r="T2345" s="26"/>
      <c r="U2345" s="26"/>
      <c r="V2345" s="26"/>
      <c r="W2345" s="26"/>
      <c r="X2345" s="26"/>
      <c r="Y2345" s="26"/>
      <c r="Z2345" s="26"/>
      <c r="AA2345" s="26"/>
      <c r="AB2345" s="26"/>
      <c r="AC2345" s="27"/>
    </row>
    <row r="2346" spans="1:29" x14ac:dyDescent="0.25">
      <c r="A2346" s="1"/>
      <c r="B2346" s="19"/>
      <c r="C2346" s="24"/>
      <c r="D2346" s="1"/>
      <c r="E2346" s="25"/>
      <c r="F2346" s="26"/>
      <c r="G2346" s="26"/>
      <c r="L2346" s="25"/>
      <c r="M2346" s="24"/>
      <c r="N2346" s="26"/>
      <c r="O2346" s="26"/>
      <c r="P2346" s="26"/>
      <c r="Q2346" s="26"/>
      <c r="R2346" s="26"/>
      <c r="S2346" s="26"/>
      <c r="T2346" s="26"/>
      <c r="U2346" s="26"/>
      <c r="V2346" s="26"/>
      <c r="W2346" s="26"/>
      <c r="X2346" s="26"/>
      <c r="Y2346" s="26"/>
      <c r="Z2346" s="26"/>
      <c r="AA2346" s="26"/>
      <c r="AB2346" s="26"/>
      <c r="AC2346" s="27"/>
    </row>
    <row r="2347" spans="1:29" x14ac:dyDescent="0.25">
      <c r="A2347" s="1"/>
      <c r="B2347" s="19"/>
      <c r="C2347" s="24"/>
      <c r="D2347" s="1"/>
      <c r="E2347" s="25"/>
      <c r="F2347" s="26"/>
      <c r="G2347" s="26"/>
      <c r="L2347" s="25"/>
      <c r="M2347" s="24"/>
      <c r="N2347" s="26"/>
      <c r="O2347" s="26"/>
      <c r="P2347" s="26"/>
      <c r="Q2347" s="26"/>
      <c r="R2347" s="26"/>
      <c r="S2347" s="26"/>
      <c r="T2347" s="26"/>
      <c r="U2347" s="26"/>
      <c r="V2347" s="26"/>
      <c r="W2347" s="26"/>
      <c r="X2347" s="26"/>
      <c r="Y2347" s="26"/>
      <c r="Z2347" s="26"/>
      <c r="AA2347" s="26"/>
      <c r="AB2347" s="26"/>
      <c r="AC2347" s="27"/>
    </row>
    <row r="2348" spans="1:29" x14ac:dyDescent="0.25">
      <c r="A2348" s="1"/>
      <c r="B2348" s="19"/>
      <c r="C2348" s="24"/>
      <c r="D2348" s="1"/>
      <c r="E2348" s="25"/>
      <c r="F2348" s="26"/>
      <c r="G2348" s="26"/>
      <c r="L2348" s="25"/>
      <c r="M2348" s="24"/>
      <c r="N2348" s="26"/>
      <c r="O2348" s="26"/>
      <c r="P2348" s="26"/>
      <c r="Q2348" s="26"/>
      <c r="R2348" s="26"/>
      <c r="S2348" s="26"/>
      <c r="T2348" s="26"/>
      <c r="U2348" s="26"/>
      <c r="V2348" s="26"/>
      <c r="W2348" s="26"/>
      <c r="X2348" s="26"/>
      <c r="Y2348" s="26"/>
      <c r="Z2348" s="26"/>
      <c r="AA2348" s="26"/>
      <c r="AB2348" s="26"/>
      <c r="AC2348" s="27"/>
    </row>
    <row r="2349" spans="1:29" x14ac:dyDescent="0.25">
      <c r="A2349" s="1"/>
      <c r="B2349" s="19"/>
      <c r="C2349" s="24"/>
      <c r="D2349" s="1"/>
      <c r="E2349" s="25"/>
      <c r="F2349" s="26"/>
      <c r="G2349" s="26"/>
      <c r="L2349" s="25"/>
      <c r="M2349" s="24"/>
      <c r="N2349" s="26"/>
      <c r="O2349" s="26"/>
      <c r="P2349" s="26"/>
      <c r="Q2349" s="26"/>
      <c r="R2349" s="26"/>
      <c r="S2349" s="26"/>
      <c r="T2349" s="26"/>
      <c r="U2349" s="26"/>
      <c r="V2349" s="26"/>
      <c r="W2349" s="26"/>
      <c r="X2349" s="26"/>
      <c r="Y2349" s="26"/>
      <c r="Z2349" s="26"/>
      <c r="AA2349" s="26"/>
      <c r="AB2349" s="26"/>
      <c r="AC2349" s="27"/>
    </row>
    <row r="2350" spans="1:29" x14ac:dyDescent="0.25">
      <c r="A2350" s="1"/>
      <c r="B2350" s="19"/>
      <c r="C2350" s="24"/>
      <c r="D2350" s="1"/>
      <c r="E2350" s="25"/>
      <c r="F2350" s="26"/>
      <c r="G2350" s="26"/>
      <c r="L2350" s="25"/>
      <c r="M2350" s="24"/>
      <c r="N2350" s="26"/>
      <c r="O2350" s="26"/>
      <c r="P2350" s="26"/>
      <c r="Q2350" s="26"/>
      <c r="R2350" s="26"/>
      <c r="S2350" s="26"/>
      <c r="T2350" s="26"/>
      <c r="U2350" s="26"/>
      <c r="V2350" s="26"/>
      <c r="W2350" s="26"/>
      <c r="X2350" s="26"/>
      <c r="Y2350" s="26"/>
      <c r="Z2350" s="26"/>
      <c r="AA2350" s="26"/>
      <c r="AB2350" s="26"/>
      <c r="AC2350" s="27"/>
    </row>
    <row r="2351" spans="1:29" x14ac:dyDescent="0.25">
      <c r="A2351" s="1"/>
      <c r="B2351" s="19"/>
      <c r="C2351" s="24"/>
      <c r="D2351" s="1"/>
      <c r="E2351" s="25"/>
      <c r="F2351" s="26"/>
      <c r="G2351" s="26"/>
      <c r="L2351" s="25"/>
      <c r="M2351" s="24"/>
      <c r="N2351" s="26"/>
      <c r="O2351" s="26"/>
      <c r="P2351" s="26"/>
      <c r="Q2351" s="26"/>
      <c r="R2351" s="26"/>
      <c r="S2351" s="26"/>
      <c r="T2351" s="26"/>
      <c r="U2351" s="26"/>
      <c r="V2351" s="26"/>
      <c r="W2351" s="26"/>
      <c r="X2351" s="26"/>
      <c r="Y2351" s="26"/>
      <c r="Z2351" s="26"/>
      <c r="AA2351" s="26"/>
      <c r="AB2351" s="26"/>
      <c r="AC2351" s="27"/>
    </row>
    <row r="2352" spans="1:29" x14ac:dyDescent="0.25">
      <c r="A2352" s="1"/>
      <c r="B2352" s="19"/>
      <c r="C2352" s="24"/>
      <c r="D2352" s="1"/>
      <c r="E2352" s="25"/>
      <c r="F2352" s="26"/>
      <c r="G2352" s="26"/>
      <c r="L2352" s="25"/>
      <c r="M2352" s="24"/>
      <c r="N2352" s="26"/>
      <c r="O2352" s="26"/>
      <c r="P2352" s="26"/>
      <c r="Q2352" s="26"/>
      <c r="R2352" s="26"/>
      <c r="S2352" s="26"/>
      <c r="T2352" s="26"/>
      <c r="U2352" s="26"/>
      <c r="V2352" s="26"/>
      <c r="W2352" s="26"/>
      <c r="X2352" s="26"/>
      <c r="Y2352" s="26"/>
      <c r="Z2352" s="26"/>
      <c r="AA2352" s="26"/>
      <c r="AB2352" s="26"/>
      <c r="AC2352" s="27"/>
    </row>
    <row r="2353" spans="1:29" x14ac:dyDescent="0.25">
      <c r="A2353" s="1"/>
      <c r="B2353" s="19"/>
      <c r="C2353" s="24"/>
      <c r="D2353" s="1"/>
      <c r="E2353" s="25"/>
      <c r="F2353" s="26"/>
      <c r="G2353" s="26"/>
      <c r="L2353" s="25"/>
      <c r="M2353" s="24"/>
      <c r="N2353" s="26"/>
      <c r="O2353" s="26"/>
      <c r="P2353" s="26"/>
      <c r="Q2353" s="26"/>
      <c r="R2353" s="26"/>
      <c r="S2353" s="26"/>
      <c r="T2353" s="26"/>
      <c r="U2353" s="26"/>
      <c r="V2353" s="26"/>
      <c r="W2353" s="26"/>
      <c r="X2353" s="26"/>
      <c r="Y2353" s="26"/>
      <c r="Z2353" s="26"/>
      <c r="AA2353" s="26"/>
      <c r="AB2353" s="26"/>
      <c r="AC2353" s="27"/>
    </row>
    <row r="2354" spans="1:29" x14ac:dyDescent="0.25">
      <c r="A2354" s="1"/>
      <c r="B2354" s="19"/>
      <c r="C2354" s="24"/>
      <c r="D2354" s="1"/>
      <c r="E2354" s="25"/>
      <c r="F2354" s="26"/>
      <c r="G2354" s="26"/>
      <c r="L2354" s="25"/>
      <c r="M2354" s="24"/>
      <c r="N2354" s="26"/>
      <c r="O2354" s="26"/>
      <c r="P2354" s="26"/>
      <c r="Q2354" s="26"/>
      <c r="R2354" s="26"/>
      <c r="S2354" s="26"/>
      <c r="T2354" s="26"/>
      <c r="U2354" s="26"/>
      <c r="V2354" s="26"/>
      <c r="W2354" s="26"/>
      <c r="X2354" s="26"/>
      <c r="Y2354" s="26"/>
      <c r="Z2354" s="26"/>
      <c r="AA2354" s="26"/>
      <c r="AB2354" s="26"/>
      <c r="AC2354" s="27"/>
    </row>
    <row r="2355" spans="1:29" x14ac:dyDescent="0.25">
      <c r="A2355" s="1"/>
      <c r="B2355" s="19"/>
      <c r="C2355" s="24"/>
      <c r="D2355" s="1"/>
      <c r="E2355" s="25"/>
      <c r="F2355" s="26"/>
      <c r="G2355" s="26"/>
      <c r="L2355" s="25"/>
      <c r="M2355" s="24"/>
      <c r="N2355" s="26"/>
      <c r="O2355" s="26"/>
      <c r="P2355" s="26"/>
      <c r="Q2355" s="26"/>
      <c r="R2355" s="26"/>
      <c r="S2355" s="26"/>
      <c r="T2355" s="26"/>
      <c r="U2355" s="26"/>
      <c r="V2355" s="26"/>
      <c r="W2355" s="26"/>
      <c r="X2355" s="26"/>
      <c r="Y2355" s="26"/>
      <c r="Z2355" s="26"/>
      <c r="AA2355" s="26"/>
      <c r="AB2355" s="26"/>
      <c r="AC2355" s="27"/>
    </row>
    <row r="2356" spans="1:29" x14ac:dyDescent="0.25">
      <c r="A2356" s="1"/>
      <c r="B2356" s="19"/>
      <c r="C2356" s="24"/>
      <c r="D2356" s="1"/>
      <c r="E2356" s="25"/>
      <c r="F2356" s="26"/>
      <c r="G2356" s="26"/>
      <c r="L2356" s="25"/>
      <c r="M2356" s="24"/>
      <c r="N2356" s="26"/>
      <c r="O2356" s="26"/>
      <c r="P2356" s="26"/>
      <c r="Q2356" s="26"/>
      <c r="R2356" s="26"/>
      <c r="S2356" s="26"/>
      <c r="T2356" s="26"/>
      <c r="U2356" s="26"/>
      <c r="V2356" s="26"/>
      <c r="W2356" s="26"/>
      <c r="X2356" s="26"/>
      <c r="Y2356" s="26"/>
      <c r="Z2356" s="26"/>
      <c r="AA2356" s="26"/>
      <c r="AB2356" s="26"/>
      <c r="AC2356" s="27"/>
    </row>
    <row r="2357" spans="1:29" x14ac:dyDescent="0.25">
      <c r="A2357" s="1"/>
      <c r="B2357" s="19"/>
      <c r="C2357" s="24"/>
      <c r="D2357" s="1"/>
      <c r="E2357" s="25"/>
      <c r="F2357" s="26"/>
      <c r="G2357" s="26"/>
      <c r="L2357" s="25"/>
      <c r="M2357" s="24"/>
      <c r="N2357" s="26"/>
      <c r="O2357" s="26"/>
      <c r="P2357" s="26"/>
      <c r="Q2357" s="26"/>
      <c r="R2357" s="26"/>
      <c r="S2357" s="26"/>
      <c r="T2357" s="26"/>
      <c r="U2357" s="26"/>
      <c r="V2357" s="26"/>
      <c r="W2357" s="26"/>
      <c r="X2357" s="26"/>
      <c r="Y2357" s="26"/>
      <c r="Z2357" s="26"/>
      <c r="AA2357" s="26"/>
      <c r="AB2357" s="26"/>
      <c r="AC2357" s="27"/>
    </row>
    <row r="2358" spans="1:29" x14ac:dyDescent="0.25">
      <c r="A2358" s="1"/>
      <c r="B2358" s="19"/>
      <c r="C2358" s="24"/>
      <c r="D2358" s="1"/>
      <c r="E2358" s="25"/>
      <c r="F2358" s="26"/>
      <c r="G2358" s="26"/>
      <c r="L2358" s="25"/>
      <c r="M2358" s="24"/>
      <c r="N2358" s="26"/>
      <c r="O2358" s="26"/>
      <c r="P2358" s="26"/>
      <c r="Q2358" s="26"/>
      <c r="R2358" s="26"/>
      <c r="S2358" s="26"/>
      <c r="T2358" s="26"/>
      <c r="U2358" s="26"/>
      <c r="V2358" s="26"/>
      <c r="W2358" s="26"/>
      <c r="X2358" s="26"/>
      <c r="Y2358" s="26"/>
      <c r="Z2358" s="26"/>
      <c r="AA2358" s="26"/>
      <c r="AB2358" s="26"/>
      <c r="AC2358" s="27"/>
    </row>
    <row r="2359" spans="1:29" x14ac:dyDescent="0.25">
      <c r="A2359" s="1"/>
      <c r="B2359" s="19"/>
      <c r="C2359" s="24"/>
      <c r="D2359" s="1"/>
      <c r="E2359" s="25"/>
      <c r="F2359" s="26"/>
      <c r="G2359" s="26"/>
      <c r="L2359" s="25"/>
      <c r="M2359" s="24"/>
      <c r="N2359" s="26"/>
      <c r="O2359" s="26"/>
      <c r="P2359" s="26"/>
      <c r="Q2359" s="26"/>
      <c r="R2359" s="26"/>
      <c r="S2359" s="26"/>
      <c r="T2359" s="26"/>
      <c r="U2359" s="26"/>
      <c r="V2359" s="26"/>
      <c r="W2359" s="26"/>
      <c r="X2359" s="26"/>
      <c r="Y2359" s="26"/>
      <c r="Z2359" s="26"/>
      <c r="AA2359" s="26"/>
      <c r="AB2359" s="26"/>
      <c r="AC2359" s="27"/>
    </row>
    <row r="2360" spans="1:29" x14ac:dyDescent="0.25">
      <c r="A2360" s="1"/>
      <c r="B2360" s="19"/>
      <c r="C2360" s="24"/>
      <c r="D2360" s="1"/>
      <c r="E2360" s="25"/>
      <c r="F2360" s="26"/>
      <c r="G2360" s="26"/>
      <c r="L2360" s="25"/>
      <c r="M2360" s="24"/>
      <c r="N2360" s="26"/>
      <c r="O2360" s="26"/>
      <c r="P2360" s="26"/>
      <c r="Q2360" s="26"/>
      <c r="R2360" s="26"/>
      <c r="S2360" s="26"/>
      <c r="T2360" s="26"/>
      <c r="U2360" s="26"/>
      <c r="V2360" s="26"/>
      <c r="W2360" s="26"/>
      <c r="X2360" s="26"/>
      <c r="Y2360" s="26"/>
      <c r="Z2360" s="26"/>
      <c r="AA2360" s="26"/>
      <c r="AB2360" s="26"/>
      <c r="AC2360" s="27"/>
    </row>
    <row r="2361" spans="1:29" x14ac:dyDescent="0.25">
      <c r="A2361" s="1"/>
      <c r="B2361" s="19"/>
      <c r="C2361" s="24"/>
      <c r="D2361" s="1"/>
      <c r="E2361" s="25"/>
      <c r="F2361" s="26"/>
      <c r="G2361" s="26"/>
      <c r="L2361" s="25"/>
      <c r="M2361" s="24"/>
      <c r="N2361" s="26"/>
      <c r="O2361" s="26"/>
      <c r="P2361" s="26"/>
      <c r="Q2361" s="26"/>
      <c r="R2361" s="26"/>
      <c r="S2361" s="26"/>
      <c r="T2361" s="26"/>
      <c r="U2361" s="26"/>
      <c r="V2361" s="26"/>
      <c r="W2361" s="26"/>
      <c r="X2361" s="26"/>
      <c r="Y2361" s="26"/>
      <c r="Z2361" s="26"/>
      <c r="AA2361" s="26"/>
      <c r="AB2361" s="26"/>
      <c r="AC2361" s="27"/>
    </row>
    <row r="2362" spans="1:29" x14ac:dyDescent="0.25">
      <c r="A2362" s="1"/>
      <c r="B2362" s="19"/>
      <c r="C2362" s="24"/>
      <c r="D2362" s="1"/>
      <c r="E2362" s="25"/>
      <c r="F2362" s="26"/>
      <c r="G2362" s="26"/>
      <c r="L2362" s="25"/>
      <c r="M2362" s="24"/>
      <c r="N2362" s="26"/>
      <c r="O2362" s="26"/>
      <c r="P2362" s="26"/>
      <c r="Q2362" s="26"/>
      <c r="R2362" s="26"/>
      <c r="S2362" s="26"/>
      <c r="T2362" s="26"/>
      <c r="U2362" s="26"/>
      <c r="V2362" s="26"/>
      <c r="W2362" s="26"/>
      <c r="X2362" s="26"/>
      <c r="Y2362" s="26"/>
      <c r="Z2362" s="26"/>
      <c r="AA2362" s="26"/>
      <c r="AB2362" s="26"/>
      <c r="AC2362" s="27"/>
    </row>
    <row r="2363" spans="1:29" x14ac:dyDescent="0.25">
      <c r="A2363" s="1"/>
      <c r="B2363" s="19"/>
      <c r="C2363" s="24"/>
      <c r="D2363" s="1"/>
      <c r="E2363" s="25"/>
      <c r="F2363" s="26"/>
      <c r="G2363" s="26"/>
      <c r="L2363" s="25"/>
      <c r="M2363" s="24"/>
      <c r="N2363" s="26"/>
      <c r="O2363" s="26"/>
      <c r="P2363" s="26"/>
      <c r="Q2363" s="26"/>
      <c r="R2363" s="26"/>
      <c r="S2363" s="26"/>
      <c r="T2363" s="26"/>
      <c r="U2363" s="26"/>
      <c r="V2363" s="26"/>
      <c r="W2363" s="26"/>
      <c r="X2363" s="26"/>
      <c r="Y2363" s="26"/>
      <c r="Z2363" s="26"/>
      <c r="AA2363" s="26"/>
      <c r="AB2363" s="26"/>
      <c r="AC2363" s="27"/>
    </row>
    <row r="2364" spans="1:29" x14ac:dyDescent="0.25">
      <c r="A2364" s="1"/>
      <c r="B2364" s="19"/>
      <c r="C2364" s="24"/>
      <c r="D2364" s="1"/>
      <c r="E2364" s="25"/>
      <c r="F2364" s="26"/>
      <c r="G2364" s="26"/>
      <c r="L2364" s="25"/>
      <c r="M2364" s="24"/>
      <c r="N2364" s="26"/>
      <c r="O2364" s="26"/>
      <c r="P2364" s="26"/>
      <c r="Q2364" s="26"/>
      <c r="R2364" s="26"/>
      <c r="S2364" s="26"/>
      <c r="T2364" s="26"/>
      <c r="U2364" s="26"/>
      <c r="V2364" s="26"/>
      <c r="W2364" s="26"/>
      <c r="X2364" s="26"/>
      <c r="Y2364" s="26"/>
      <c r="Z2364" s="26"/>
      <c r="AA2364" s="26"/>
      <c r="AB2364" s="26"/>
      <c r="AC2364" s="27"/>
    </row>
    <row r="2365" spans="1:29" x14ac:dyDescent="0.25">
      <c r="A2365" s="1"/>
      <c r="B2365" s="19"/>
      <c r="C2365" s="24"/>
      <c r="D2365" s="1"/>
      <c r="E2365" s="25"/>
      <c r="F2365" s="26"/>
      <c r="G2365" s="26"/>
      <c r="L2365" s="25"/>
      <c r="M2365" s="24"/>
      <c r="N2365" s="26"/>
      <c r="O2365" s="26"/>
      <c r="P2365" s="26"/>
      <c r="Q2365" s="26"/>
      <c r="R2365" s="26"/>
      <c r="S2365" s="26"/>
      <c r="T2365" s="26"/>
      <c r="U2365" s="26"/>
      <c r="V2365" s="26"/>
      <c r="W2365" s="26"/>
      <c r="X2365" s="26"/>
      <c r="Y2365" s="26"/>
      <c r="Z2365" s="26"/>
      <c r="AA2365" s="26"/>
      <c r="AB2365" s="26"/>
      <c r="AC2365" s="27"/>
    </row>
    <row r="2366" spans="1:29" x14ac:dyDescent="0.25">
      <c r="A2366" s="1"/>
      <c r="B2366" s="19"/>
      <c r="C2366" s="24"/>
      <c r="D2366" s="1"/>
      <c r="E2366" s="25"/>
      <c r="F2366" s="26"/>
      <c r="G2366" s="26"/>
      <c r="L2366" s="25"/>
      <c r="M2366" s="24"/>
      <c r="N2366" s="26"/>
      <c r="O2366" s="26"/>
      <c r="P2366" s="26"/>
      <c r="Q2366" s="26"/>
      <c r="R2366" s="26"/>
      <c r="S2366" s="26"/>
      <c r="T2366" s="26"/>
      <c r="U2366" s="26"/>
      <c r="V2366" s="26"/>
      <c r="W2366" s="26"/>
      <c r="X2366" s="26"/>
      <c r="Y2366" s="26"/>
      <c r="Z2366" s="26"/>
      <c r="AA2366" s="26"/>
      <c r="AB2366" s="26"/>
      <c r="AC2366" s="27"/>
    </row>
    <row r="2367" spans="1:29" x14ac:dyDescent="0.25">
      <c r="A2367" s="1"/>
      <c r="B2367" s="19"/>
      <c r="C2367" s="24"/>
      <c r="D2367" s="1"/>
      <c r="E2367" s="25"/>
      <c r="F2367" s="26"/>
      <c r="G2367" s="26"/>
      <c r="L2367" s="25"/>
      <c r="M2367" s="24"/>
      <c r="N2367" s="26"/>
      <c r="O2367" s="26"/>
      <c r="P2367" s="26"/>
      <c r="Q2367" s="26"/>
      <c r="R2367" s="26"/>
      <c r="S2367" s="26"/>
      <c r="T2367" s="26"/>
      <c r="U2367" s="26"/>
      <c r="V2367" s="26"/>
      <c r="W2367" s="26"/>
      <c r="X2367" s="26"/>
      <c r="Y2367" s="26"/>
      <c r="Z2367" s="26"/>
      <c r="AA2367" s="26"/>
      <c r="AB2367" s="26"/>
      <c r="AC2367" s="27"/>
    </row>
    <row r="2368" spans="1:29" x14ac:dyDescent="0.25">
      <c r="A2368" s="1"/>
      <c r="B2368" s="19"/>
      <c r="C2368" s="24"/>
      <c r="D2368" s="1"/>
      <c r="E2368" s="25"/>
      <c r="F2368" s="26"/>
      <c r="G2368" s="26"/>
      <c r="L2368" s="25"/>
      <c r="M2368" s="24"/>
      <c r="N2368" s="26"/>
      <c r="O2368" s="26"/>
      <c r="P2368" s="26"/>
      <c r="Q2368" s="26"/>
      <c r="R2368" s="26"/>
      <c r="S2368" s="26"/>
      <c r="T2368" s="26"/>
      <c r="U2368" s="26"/>
      <c r="V2368" s="26"/>
      <c r="W2368" s="26"/>
      <c r="X2368" s="26"/>
      <c r="Y2368" s="26"/>
      <c r="Z2368" s="26"/>
      <c r="AA2368" s="26"/>
      <c r="AB2368" s="26"/>
      <c r="AC2368" s="27"/>
    </row>
    <row r="2369" spans="1:29" x14ac:dyDescent="0.25">
      <c r="A2369" s="1"/>
      <c r="B2369" s="19"/>
      <c r="C2369" s="24"/>
      <c r="D2369" s="1"/>
      <c r="E2369" s="25"/>
      <c r="F2369" s="26"/>
      <c r="G2369" s="26"/>
      <c r="L2369" s="25"/>
      <c r="M2369" s="24"/>
      <c r="N2369" s="26"/>
      <c r="O2369" s="26"/>
      <c r="P2369" s="26"/>
      <c r="Q2369" s="26"/>
      <c r="R2369" s="26"/>
      <c r="S2369" s="26"/>
      <c r="T2369" s="26"/>
      <c r="U2369" s="26"/>
      <c r="V2369" s="26"/>
      <c r="W2369" s="26"/>
      <c r="X2369" s="26"/>
      <c r="Y2369" s="26"/>
      <c r="Z2369" s="26"/>
      <c r="AA2369" s="26"/>
      <c r="AB2369" s="26"/>
      <c r="AC2369" s="27"/>
    </row>
    <row r="2370" spans="1:29" x14ac:dyDescent="0.25">
      <c r="A2370" s="1"/>
      <c r="B2370" s="19"/>
      <c r="C2370" s="24"/>
      <c r="D2370" s="1"/>
      <c r="E2370" s="25"/>
      <c r="F2370" s="26"/>
      <c r="G2370" s="26"/>
      <c r="L2370" s="25"/>
      <c r="M2370" s="24"/>
      <c r="N2370" s="26"/>
      <c r="O2370" s="26"/>
      <c r="P2370" s="26"/>
      <c r="Q2370" s="26"/>
      <c r="R2370" s="26"/>
      <c r="S2370" s="26"/>
      <c r="T2370" s="26"/>
      <c r="U2370" s="26"/>
      <c r="V2370" s="26"/>
      <c r="W2370" s="26"/>
      <c r="X2370" s="26"/>
      <c r="Y2370" s="26"/>
      <c r="Z2370" s="26"/>
      <c r="AA2370" s="26"/>
      <c r="AB2370" s="26"/>
      <c r="AC2370" s="27"/>
    </row>
    <row r="2371" spans="1:29" x14ac:dyDescent="0.25">
      <c r="A2371" s="1"/>
      <c r="B2371" s="19"/>
      <c r="C2371" s="24"/>
      <c r="D2371" s="1"/>
      <c r="E2371" s="25"/>
      <c r="F2371" s="26"/>
      <c r="G2371" s="26"/>
      <c r="L2371" s="25"/>
      <c r="M2371" s="24"/>
      <c r="N2371" s="26"/>
      <c r="O2371" s="26"/>
      <c r="P2371" s="26"/>
      <c r="Q2371" s="26"/>
      <c r="R2371" s="26"/>
      <c r="S2371" s="26"/>
      <c r="T2371" s="26"/>
      <c r="U2371" s="26"/>
      <c r="V2371" s="26"/>
      <c r="W2371" s="26"/>
      <c r="X2371" s="26"/>
      <c r="Y2371" s="26"/>
      <c r="Z2371" s="26"/>
      <c r="AA2371" s="26"/>
      <c r="AB2371" s="26"/>
      <c r="AC2371" s="27"/>
    </row>
    <row r="2372" spans="1:29" x14ac:dyDescent="0.25">
      <c r="A2372" s="1"/>
      <c r="B2372" s="19"/>
      <c r="C2372" s="24"/>
      <c r="D2372" s="1"/>
      <c r="E2372" s="25"/>
      <c r="F2372" s="26"/>
      <c r="G2372" s="26"/>
      <c r="L2372" s="25"/>
      <c r="M2372" s="24"/>
      <c r="N2372" s="26"/>
      <c r="O2372" s="26"/>
      <c r="P2372" s="26"/>
      <c r="Q2372" s="26"/>
      <c r="R2372" s="26"/>
      <c r="S2372" s="26"/>
      <c r="T2372" s="26"/>
      <c r="U2372" s="26"/>
      <c r="V2372" s="26"/>
      <c r="W2372" s="26"/>
      <c r="X2372" s="26"/>
      <c r="Y2372" s="26"/>
      <c r="Z2372" s="26"/>
      <c r="AA2372" s="26"/>
      <c r="AB2372" s="26"/>
      <c r="AC2372" s="27"/>
    </row>
    <row r="2373" spans="1:29" x14ac:dyDescent="0.25">
      <c r="A2373" s="1"/>
      <c r="B2373" s="19"/>
      <c r="C2373" s="24"/>
      <c r="D2373" s="1"/>
      <c r="E2373" s="25"/>
      <c r="F2373" s="26"/>
      <c r="G2373" s="26"/>
      <c r="L2373" s="25"/>
      <c r="M2373" s="24"/>
      <c r="N2373" s="26"/>
      <c r="O2373" s="26"/>
      <c r="P2373" s="26"/>
      <c r="Q2373" s="26"/>
      <c r="R2373" s="26"/>
      <c r="S2373" s="26"/>
      <c r="T2373" s="26"/>
      <c r="U2373" s="26"/>
      <c r="V2373" s="26"/>
      <c r="W2373" s="26"/>
      <c r="X2373" s="26"/>
      <c r="Y2373" s="26"/>
      <c r="Z2373" s="26"/>
      <c r="AA2373" s="26"/>
      <c r="AB2373" s="26"/>
      <c r="AC2373" s="27"/>
    </row>
    <row r="2374" spans="1:29" x14ac:dyDescent="0.25">
      <c r="A2374" s="1"/>
      <c r="B2374" s="19"/>
      <c r="C2374" s="24"/>
      <c r="D2374" s="1"/>
      <c r="E2374" s="25"/>
      <c r="F2374" s="26"/>
      <c r="G2374" s="26"/>
      <c r="L2374" s="25"/>
      <c r="M2374" s="24"/>
      <c r="N2374" s="26"/>
      <c r="O2374" s="26"/>
      <c r="P2374" s="26"/>
      <c r="Q2374" s="26"/>
      <c r="R2374" s="26"/>
      <c r="S2374" s="26"/>
      <c r="T2374" s="26"/>
      <c r="U2374" s="26"/>
      <c r="V2374" s="26"/>
      <c r="W2374" s="26"/>
      <c r="X2374" s="26"/>
      <c r="Y2374" s="26"/>
      <c r="Z2374" s="26"/>
      <c r="AA2374" s="26"/>
      <c r="AB2374" s="26"/>
      <c r="AC2374" s="27"/>
    </row>
    <row r="2375" spans="1:29" x14ac:dyDescent="0.25">
      <c r="A2375" s="1"/>
      <c r="B2375" s="19"/>
      <c r="C2375" s="24"/>
      <c r="D2375" s="1"/>
      <c r="E2375" s="25"/>
      <c r="F2375" s="26"/>
      <c r="G2375" s="26"/>
      <c r="L2375" s="25"/>
      <c r="M2375" s="24"/>
      <c r="N2375" s="26"/>
      <c r="O2375" s="26"/>
      <c r="P2375" s="26"/>
      <c r="Q2375" s="26"/>
      <c r="R2375" s="26"/>
      <c r="S2375" s="26"/>
      <c r="T2375" s="26"/>
      <c r="U2375" s="26"/>
      <c r="V2375" s="26"/>
      <c r="W2375" s="26"/>
      <c r="X2375" s="26"/>
      <c r="Y2375" s="26"/>
      <c r="Z2375" s="26"/>
      <c r="AA2375" s="26"/>
      <c r="AB2375" s="26"/>
      <c r="AC2375" s="27"/>
    </row>
    <row r="2376" spans="1:29" x14ac:dyDescent="0.25">
      <c r="A2376" s="1"/>
      <c r="B2376" s="19"/>
      <c r="C2376" s="24"/>
      <c r="D2376" s="1"/>
      <c r="E2376" s="25"/>
      <c r="F2376" s="26"/>
      <c r="G2376" s="26"/>
      <c r="L2376" s="25"/>
      <c r="M2376" s="24"/>
      <c r="N2376" s="26"/>
      <c r="O2376" s="26"/>
      <c r="P2376" s="26"/>
      <c r="Q2376" s="26"/>
      <c r="R2376" s="26"/>
      <c r="S2376" s="26"/>
      <c r="T2376" s="26"/>
      <c r="U2376" s="26"/>
      <c r="V2376" s="26"/>
      <c r="W2376" s="26"/>
      <c r="X2376" s="26"/>
      <c r="Y2376" s="26"/>
      <c r="Z2376" s="26"/>
      <c r="AA2376" s="26"/>
      <c r="AB2376" s="26"/>
      <c r="AC2376" s="27"/>
    </row>
    <row r="2377" spans="1:29" x14ac:dyDescent="0.25">
      <c r="A2377" s="1"/>
      <c r="B2377" s="19"/>
      <c r="C2377" s="24"/>
      <c r="D2377" s="1"/>
      <c r="E2377" s="25"/>
      <c r="F2377" s="26"/>
      <c r="G2377" s="26"/>
      <c r="L2377" s="25"/>
      <c r="M2377" s="24"/>
      <c r="N2377" s="26"/>
      <c r="O2377" s="26"/>
      <c r="P2377" s="26"/>
      <c r="Q2377" s="26"/>
      <c r="R2377" s="26"/>
      <c r="S2377" s="26"/>
      <c r="T2377" s="26"/>
      <c r="U2377" s="26"/>
      <c r="V2377" s="26"/>
      <c r="W2377" s="26"/>
      <c r="X2377" s="26"/>
      <c r="Y2377" s="26"/>
      <c r="Z2377" s="26"/>
      <c r="AA2377" s="26"/>
      <c r="AB2377" s="26"/>
      <c r="AC2377" s="27"/>
    </row>
    <row r="2378" spans="1:29" x14ac:dyDescent="0.25">
      <c r="A2378" s="1"/>
      <c r="B2378" s="19"/>
      <c r="C2378" s="24"/>
      <c r="D2378" s="1"/>
      <c r="E2378" s="25"/>
      <c r="F2378" s="26"/>
      <c r="G2378" s="26"/>
      <c r="L2378" s="25"/>
      <c r="M2378" s="24"/>
      <c r="N2378" s="26"/>
      <c r="O2378" s="26"/>
      <c r="P2378" s="26"/>
      <c r="Q2378" s="26"/>
      <c r="R2378" s="26"/>
      <c r="S2378" s="26"/>
      <c r="T2378" s="26"/>
      <c r="U2378" s="26"/>
      <c r="V2378" s="26"/>
      <c r="W2378" s="26"/>
      <c r="X2378" s="26"/>
      <c r="Y2378" s="26"/>
      <c r="Z2378" s="26"/>
      <c r="AA2378" s="26"/>
      <c r="AB2378" s="26"/>
      <c r="AC2378" s="27"/>
    </row>
    <row r="2379" spans="1:29" x14ac:dyDescent="0.25">
      <c r="A2379" s="1"/>
      <c r="B2379" s="19"/>
      <c r="C2379" s="24"/>
      <c r="D2379" s="1"/>
      <c r="E2379" s="25"/>
      <c r="F2379" s="26"/>
      <c r="G2379" s="26"/>
      <c r="L2379" s="25"/>
      <c r="M2379" s="24"/>
      <c r="N2379" s="26"/>
      <c r="O2379" s="26"/>
      <c r="P2379" s="26"/>
      <c r="Q2379" s="26"/>
      <c r="R2379" s="26"/>
      <c r="S2379" s="26"/>
      <c r="T2379" s="26"/>
      <c r="U2379" s="26"/>
      <c r="V2379" s="26"/>
      <c r="W2379" s="26"/>
      <c r="X2379" s="26"/>
      <c r="Y2379" s="26"/>
      <c r="Z2379" s="26"/>
      <c r="AA2379" s="26"/>
      <c r="AB2379" s="26"/>
      <c r="AC2379" s="27"/>
    </row>
    <row r="2380" spans="1:29" x14ac:dyDescent="0.25">
      <c r="A2380" s="1"/>
      <c r="B2380" s="19"/>
      <c r="C2380" s="24"/>
      <c r="D2380" s="1"/>
      <c r="E2380" s="25"/>
      <c r="F2380" s="26"/>
      <c r="G2380" s="26"/>
      <c r="L2380" s="25"/>
      <c r="M2380" s="24"/>
      <c r="N2380" s="26"/>
      <c r="O2380" s="26"/>
      <c r="P2380" s="26"/>
      <c r="Q2380" s="26"/>
      <c r="R2380" s="26"/>
      <c r="S2380" s="26"/>
      <c r="T2380" s="26"/>
      <c r="U2380" s="26"/>
      <c r="V2380" s="26"/>
      <c r="W2380" s="26"/>
      <c r="X2380" s="26"/>
      <c r="Y2380" s="26"/>
      <c r="Z2380" s="26"/>
      <c r="AA2380" s="26"/>
      <c r="AB2380" s="26"/>
      <c r="AC2380" s="27"/>
    </row>
    <row r="2381" spans="1:29" x14ac:dyDescent="0.25">
      <c r="A2381" s="1"/>
      <c r="B2381" s="19"/>
      <c r="C2381" s="24"/>
      <c r="D2381" s="1"/>
      <c r="E2381" s="25"/>
      <c r="F2381" s="26"/>
      <c r="G2381" s="26"/>
      <c r="L2381" s="25"/>
      <c r="M2381" s="24"/>
      <c r="N2381" s="26"/>
      <c r="O2381" s="26"/>
      <c r="P2381" s="26"/>
      <c r="Q2381" s="26"/>
      <c r="R2381" s="26"/>
      <c r="S2381" s="26"/>
      <c r="T2381" s="26"/>
      <c r="U2381" s="26"/>
      <c r="V2381" s="26"/>
      <c r="W2381" s="26"/>
      <c r="X2381" s="26"/>
      <c r="Y2381" s="26"/>
      <c r="Z2381" s="26"/>
      <c r="AA2381" s="26"/>
      <c r="AB2381" s="26"/>
      <c r="AC2381" s="27"/>
    </row>
    <row r="2382" spans="1:29" x14ac:dyDescent="0.25">
      <c r="A2382" s="1"/>
      <c r="B2382" s="19"/>
      <c r="C2382" s="24"/>
      <c r="D2382" s="1"/>
      <c r="E2382" s="25"/>
      <c r="F2382" s="26"/>
      <c r="G2382" s="26"/>
      <c r="L2382" s="25"/>
      <c r="M2382" s="24"/>
      <c r="N2382" s="26"/>
      <c r="O2382" s="26"/>
      <c r="P2382" s="26"/>
      <c r="Q2382" s="26"/>
      <c r="R2382" s="26"/>
      <c r="S2382" s="26"/>
      <c r="T2382" s="26"/>
      <c r="U2382" s="26"/>
      <c r="V2382" s="26"/>
      <c r="W2382" s="26"/>
      <c r="X2382" s="26"/>
      <c r="Y2382" s="26"/>
      <c r="Z2382" s="26"/>
      <c r="AA2382" s="26"/>
      <c r="AB2382" s="26"/>
      <c r="AC2382" s="27"/>
    </row>
    <row r="2383" spans="1:29" x14ac:dyDescent="0.25">
      <c r="A2383" s="1"/>
      <c r="B2383" s="19"/>
      <c r="C2383" s="24"/>
      <c r="D2383" s="1"/>
      <c r="E2383" s="25"/>
      <c r="F2383" s="26"/>
      <c r="G2383" s="26"/>
      <c r="L2383" s="25"/>
      <c r="M2383" s="24"/>
      <c r="N2383" s="26"/>
      <c r="O2383" s="26"/>
      <c r="P2383" s="26"/>
      <c r="Q2383" s="26"/>
      <c r="R2383" s="26"/>
      <c r="S2383" s="26"/>
      <c r="T2383" s="26"/>
      <c r="U2383" s="26"/>
      <c r="V2383" s="26"/>
      <c r="W2383" s="26"/>
      <c r="X2383" s="26"/>
      <c r="Y2383" s="26"/>
      <c r="Z2383" s="26"/>
      <c r="AA2383" s="26"/>
      <c r="AB2383" s="26"/>
      <c r="AC2383" s="27"/>
    </row>
    <row r="2384" spans="1:29" x14ac:dyDescent="0.25">
      <c r="A2384" s="1"/>
      <c r="B2384" s="19"/>
      <c r="C2384" s="24"/>
      <c r="D2384" s="1"/>
      <c r="E2384" s="25"/>
      <c r="F2384" s="26"/>
      <c r="G2384" s="26"/>
      <c r="L2384" s="25"/>
      <c r="M2384" s="24"/>
      <c r="N2384" s="26"/>
      <c r="O2384" s="26"/>
      <c r="P2384" s="26"/>
      <c r="Q2384" s="26"/>
      <c r="R2384" s="26"/>
      <c r="S2384" s="26"/>
      <c r="T2384" s="26"/>
      <c r="U2384" s="26"/>
      <c r="V2384" s="26"/>
      <c r="W2384" s="26"/>
      <c r="X2384" s="26"/>
      <c r="Y2384" s="26"/>
      <c r="Z2384" s="26"/>
      <c r="AA2384" s="26"/>
      <c r="AB2384" s="26"/>
      <c r="AC2384" s="27"/>
    </row>
    <row r="2385" spans="1:29" x14ac:dyDescent="0.25">
      <c r="A2385" s="1"/>
      <c r="B2385" s="19"/>
      <c r="C2385" s="24"/>
      <c r="D2385" s="1"/>
      <c r="E2385" s="25"/>
      <c r="F2385" s="26"/>
      <c r="G2385" s="26"/>
      <c r="L2385" s="25"/>
      <c r="M2385" s="24"/>
      <c r="N2385" s="26"/>
      <c r="O2385" s="26"/>
      <c r="P2385" s="26"/>
      <c r="Q2385" s="26"/>
      <c r="R2385" s="26"/>
      <c r="S2385" s="26"/>
      <c r="T2385" s="26"/>
      <c r="U2385" s="26"/>
      <c r="V2385" s="26"/>
      <c r="W2385" s="26"/>
      <c r="X2385" s="26"/>
      <c r="Y2385" s="26"/>
      <c r="Z2385" s="26"/>
      <c r="AA2385" s="26"/>
      <c r="AB2385" s="26"/>
      <c r="AC2385" s="27"/>
    </row>
    <row r="2386" spans="1:29" x14ac:dyDescent="0.25">
      <c r="A2386" s="1"/>
      <c r="B2386" s="19"/>
      <c r="C2386" s="24"/>
      <c r="D2386" s="1"/>
      <c r="E2386" s="25"/>
      <c r="F2386" s="26"/>
      <c r="G2386" s="26"/>
      <c r="L2386" s="25"/>
      <c r="M2386" s="24"/>
      <c r="N2386" s="26"/>
      <c r="O2386" s="26"/>
      <c r="P2386" s="26"/>
      <c r="Q2386" s="26"/>
      <c r="R2386" s="26"/>
      <c r="S2386" s="26"/>
      <c r="T2386" s="26"/>
      <c r="U2386" s="26"/>
      <c r="V2386" s="26"/>
      <c r="W2386" s="26"/>
      <c r="X2386" s="26"/>
      <c r="Y2386" s="26"/>
      <c r="Z2386" s="26"/>
      <c r="AA2386" s="26"/>
      <c r="AB2386" s="26"/>
      <c r="AC2386" s="27"/>
    </row>
    <row r="2387" spans="1:29" x14ac:dyDescent="0.25">
      <c r="A2387" s="1"/>
      <c r="B2387" s="19"/>
      <c r="C2387" s="24"/>
      <c r="D2387" s="1"/>
      <c r="E2387" s="25"/>
      <c r="F2387" s="26"/>
      <c r="G2387" s="26"/>
      <c r="L2387" s="25"/>
      <c r="M2387" s="24"/>
      <c r="N2387" s="26"/>
      <c r="O2387" s="26"/>
      <c r="P2387" s="26"/>
      <c r="Q2387" s="26"/>
      <c r="R2387" s="26"/>
      <c r="S2387" s="26"/>
      <c r="T2387" s="26"/>
      <c r="U2387" s="26"/>
      <c r="V2387" s="26"/>
      <c r="W2387" s="26"/>
      <c r="X2387" s="26"/>
      <c r="Y2387" s="26"/>
      <c r="Z2387" s="26"/>
      <c r="AA2387" s="26"/>
      <c r="AB2387" s="26"/>
      <c r="AC2387" s="27"/>
    </row>
    <row r="2388" spans="1:29" x14ac:dyDescent="0.25">
      <c r="A2388" s="1"/>
      <c r="B2388" s="19"/>
      <c r="C2388" s="24"/>
      <c r="D2388" s="1"/>
      <c r="E2388" s="25"/>
      <c r="F2388" s="26"/>
      <c r="G2388" s="26"/>
      <c r="L2388" s="25"/>
      <c r="M2388" s="24"/>
      <c r="N2388" s="26"/>
      <c r="O2388" s="26"/>
      <c r="P2388" s="26"/>
      <c r="Q2388" s="26"/>
      <c r="R2388" s="26"/>
      <c r="S2388" s="26"/>
      <c r="T2388" s="26"/>
      <c r="U2388" s="26"/>
      <c r="V2388" s="26"/>
      <c r="W2388" s="26"/>
      <c r="X2388" s="26"/>
      <c r="Y2388" s="26"/>
      <c r="Z2388" s="26"/>
      <c r="AA2388" s="26"/>
      <c r="AB2388" s="26"/>
      <c r="AC2388" s="27"/>
    </row>
    <row r="2389" spans="1:29" x14ac:dyDescent="0.25">
      <c r="A2389" s="1"/>
      <c r="B2389" s="19"/>
      <c r="C2389" s="24"/>
      <c r="D2389" s="1"/>
      <c r="E2389" s="25"/>
      <c r="F2389" s="26"/>
      <c r="G2389" s="26"/>
      <c r="L2389" s="25"/>
      <c r="M2389" s="24"/>
      <c r="N2389" s="26"/>
      <c r="O2389" s="26"/>
      <c r="P2389" s="26"/>
      <c r="Q2389" s="26"/>
      <c r="R2389" s="26"/>
      <c r="S2389" s="26"/>
      <c r="T2389" s="26"/>
      <c r="U2389" s="26"/>
      <c r="V2389" s="26"/>
      <c r="W2389" s="26"/>
      <c r="X2389" s="26"/>
      <c r="Y2389" s="26"/>
      <c r="Z2389" s="26"/>
      <c r="AA2389" s="26"/>
      <c r="AB2389" s="26"/>
      <c r="AC2389" s="27"/>
    </row>
    <row r="2390" spans="1:29" x14ac:dyDescent="0.25">
      <c r="A2390" s="1"/>
      <c r="B2390" s="19"/>
      <c r="C2390" s="24"/>
      <c r="D2390" s="1"/>
      <c r="E2390" s="25"/>
      <c r="F2390" s="26"/>
      <c r="G2390" s="26"/>
      <c r="L2390" s="25"/>
      <c r="M2390" s="24"/>
      <c r="N2390" s="26"/>
      <c r="O2390" s="26"/>
      <c r="P2390" s="26"/>
      <c r="Q2390" s="26"/>
      <c r="R2390" s="26"/>
      <c r="S2390" s="26"/>
      <c r="T2390" s="26"/>
      <c r="U2390" s="26"/>
      <c r="V2390" s="26"/>
      <c r="W2390" s="26"/>
      <c r="X2390" s="26"/>
      <c r="Y2390" s="26"/>
      <c r="Z2390" s="26"/>
      <c r="AA2390" s="26"/>
      <c r="AB2390" s="26"/>
      <c r="AC2390" s="27"/>
    </row>
    <row r="2391" spans="1:29" x14ac:dyDescent="0.25">
      <c r="A2391" s="1"/>
      <c r="B2391" s="19"/>
      <c r="C2391" s="24"/>
      <c r="D2391" s="1"/>
      <c r="E2391" s="25"/>
      <c r="F2391" s="26"/>
      <c r="G2391" s="26"/>
      <c r="L2391" s="25"/>
      <c r="M2391" s="24"/>
      <c r="N2391" s="26"/>
      <c r="O2391" s="26"/>
      <c r="P2391" s="26"/>
      <c r="Q2391" s="26"/>
      <c r="R2391" s="26"/>
      <c r="S2391" s="26"/>
      <c r="T2391" s="26"/>
      <c r="U2391" s="26"/>
      <c r="V2391" s="26"/>
      <c r="W2391" s="26"/>
      <c r="X2391" s="26"/>
      <c r="Y2391" s="26"/>
      <c r="Z2391" s="26"/>
      <c r="AA2391" s="26"/>
      <c r="AB2391" s="26"/>
      <c r="AC2391" s="27"/>
    </row>
    <row r="2392" spans="1:29" x14ac:dyDescent="0.25">
      <c r="A2392" s="1"/>
      <c r="B2392" s="19"/>
      <c r="C2392" s="24"/>
      <c r="D2392" s="1"/>
      <c r="E2392" s="25"/>
      <c r="F2392" s="26"/>
      <c r="G2392" s="26"/>
      <c r="L2392" s="25"/>
      <c r="M2392" s="24"/>
      <c r="N2392" s="26"/>
      <c r="O2392" s="26"/>
      <c r="P2392" s="26"/>
      <c r="Q2392" s="26"/>
      <c r="R2392" s="26"/>
      <c r="S2392" s="26"/>
      <c r="T2392" s="26"/>
      <c r="U2392" s="26"/>
      <c r="V2392" s="26"/>
      <c r="W2392" s="26"/>
      <c r="X2392" s="26"/>
      <c r="Y2392" s="26"/>
      <c r="Z2392" s="26"/>
      <c r="AA2392" s="26"/>
      <c r="AB2392" s="26"/>
      <c r="AC2392" s="27"/>
    </row>
    <row r="2393" spans="1:29" x14ac:dyDescent="0.25">
      <c r="A2393" s="1"/>
      <c r="B2393" s="19"/>
      <c r="C2393" s="24"/>
      <c r="D2393" s="1"/>
      <c r="E2393" s="25"/>
      <c r="F2393" s="26"/>
      <c r="G2393" s="26"/>
      <c r="L2393" s="25"/>
      <c r="M2393" s="24"/>
      <c r="N2393" s="26"/>
      <c r="O2393" s="26"/>
      <c r="P2393" s="26"/>
      <c r="Q2393" s="26"/>
      <c r="R2393" s="26"/>
      <c r="S2393" s="26"/>
      <c r="T2393" s="26"/>
      <c r="U2393" s="26"/>
      <c r="V2393" s="26"/>
      <c r="W2393" s="26"/>
      <c r="X2393" s="26"/>
      <c r="Y2393" s="26"/>
      <c r="Z2393" s="26"/>
      <c r="AA2393" s="26"/>
      <c r="AB2393" s="26"/>
      <c r="AC2393" s="27"/>
    </row>
    <row r="2394" spans="1:29" x14ac:dyDescent="0.25">
      <c r="A2394" s="1"/>
      <c r="B2394" s="19"/>
      <c r="C2394" s="24"/>
      <c r="D2394" s="1"/>
      <c r="E2394" s="25"/>
      <c r="F2394" s="26"/>
      <c r="G2394" s="26"/>
      <c r="L2394" s="25"/>
      <c r="M2394" s="24"/>
      <c r="N2394" s="26"/>
      <c r="O2394" s="26"/>
      <c r="P2394" s="26"/>
      <c r="Q2394" s="26"/>
      <c r="R2394" s="26"/>
      <c r="S2394" s="26"/>
      <c r="T2394" s="26"/>
      <c r="U2394" s="26"/>
      <c r="V2394" s="26"/>
      <c r="W2394" s="26"/>
      <c r="X2394" s="26"/>
      <c r="Y2394" s="26"/>
      <c r="Z2394" s="26"/>
      <c r="AA2394" s="26"/>
      <c r="AB2394" s="26"/>
      <c r="AC2394" s="27"/>
    </row>
    <row r="2395" spans="1:29" x14ac:dyDescent="0.25">
      <c r="A2395" s="1"/>
      <c r="B2395" s="19"/>
      <c r="C2395" s="24"/>
      <c r="D2395" s="1"/>
      <c r="E2395" s="25"/>
      <c r="F2395" s="26"/>
      <c r="G2395" s="26"/>
      <c r="L2395" s="25"/>
      <c r="M2395" s="24"/>
      <c r="N2395" s="26"/>
      <c r="O2395" s="26"/>
      <c r="P2395" s="26"/>
      <c r="Q2395" s="26"/>
      <c r="R2395" s="26"/>
      <c r="S2395" s="26"/>
      <c r="T2395" s="26"/>
      <c r="U2395" s="26"/>
      <c r="V2395" s="26"/>
      <c r="W2395" s="26"/>
      <c r="X2395" s="26"/>
      <c r="Y2395" s="26"/>
      <c r="Z2395" s="26"/>
      <c r="AA2395" s="26"/>
      <c r="AB2395" s="26"/>
      <c r="AC2395" s="27"/>
    </row>
    <row r="2396" spans="1:29" x14ac:dyDescent="0.25">
      <c r="A2396" s="1"/>
      <c r="B2396" s="19"/>
      <c r="C2396" s="24"/>
      <c r="D2396" s="1"/>
      <c r="E2396" s="25"/>
      <c r="F2396" s="26"/>
      <c r="G2396" s="26"/>
      <c r="L2396" s="25"/>
      <c r="M2396" s="24"/>
      <c r="N2396" s="26"/>
      <c r="O2396" s="26"/>
      <c r="P2396" s="26"/>
      <c r="Q2396" s="26"/>
      <c r="R2396" s="26"/>
      <c r="S2396" s="26"/>
      <c r="T2396" s="26"/>
      <c r="U2396" s="26"/>
      <c r="V2396" s="26"/>
      <c r="W2396" s="26"/>
      <c r="X2396" s="26"/>
      <c r="Y2396" s="26"/>
      <c r="Z2396" s="26"/>
      <c r="AA2396" s="26"/>
      <c r="AB2396" s="26"/>
      <c r="AC2396" s="27"/>
    </row>
    <row r="2397" spans="1:29" x14ac:dyDescent="0.25">
      <c r="A2397" s="1"/>
      <c r="B2397" s="19"/>
      <c r="C2397" s="24"/>
      <c r="D2397" s="1"/>
      <c r="E2397" s="25"/>
      <c r="F2397" s="26"/>
      <c r="G2397" s="26"/>
      <c r="L2397" s="25"/>
      <c r="M2397" s="24"/>
      <c r="N2397" s="26"/>
      <c r="O2397" s="26"/>
      <c r="P2397" s="26"/>
      <c r="Q2397" s="26"/>
      <c r="R2397" s="26"/>
      <c r="S2397" s="26"/>
      <c r="T2397" s="26"/>
      <c r="U2397" s="26"/>
      <c r="V2397" s="26"/>
      <c r="W2397" s="26"/>
      <c r="X2397" s="26"/>
      <c r="Y2397" s="26"/>
      <c r="Z2397" s="26"/>
      <c r="AA2397" s="26"/>
      <c r="AB2397" s="26"/>
      <c r="AC2397" s="27"/>
    </row>
    <row r="2398" spans="1:29" x14ac:dyDescent="0.25">
      <c r="A2398" s="1"/>
      <c r="B2398" s="19"/>
      <c r="C2398" s="24"/>
      <c r="D2398" s="1"/>
      <c r="E2398" s="25"/>
      <c r="F2398" s="26"/>
      <c r="G2398" s="26"/>
      <c r="L2398" s="25"/>
      <c r="M2398" s="24"/>
      <c r="N2398" s="26"/>
      <c r="O2398" s="26"/>
      <c r="P2398" s="26"/>
      <c r="Q2398" s="26"/>
      <c r="R2398" s="26"/>
      <c r="S2398" s="26"/>
      <c r="T2398" s="26"/>
      <c r="U2398" s="26"/>
      <c r="V2398" s="26"/>
      <c r="W2398" s="26"/>
      <c r="X2398" s="26"/>
      <c r="Y2398" s="26"/>
      <c r="Z2398" s="26"/>
      <c r="AA2398" s="26"/>
      <c r="AB2398" s="26"/>
      <c r="AC2398" s="27"/>
    </row>
    <row r="2399" spans="1:29" x14ac:dyDescent="0.25">
      <c r="A2399" s="1"/>
      <c r="B2399" s="19"/>
      <c r="C2399" s="24"/>
      <c r="D2399" s="1"/>
      <c r="E2399" s="25"/>
      <c r="F2399" s="26"/>
      <c r="G2399" s="26"/>
      <c r="L2399" s="25"/>
      <c r="M2399" s="24"/>
      <c r="N2399" s="26"/>
      <c r="O2399" s="26"/>
      <c r="P2399" s="26"/>
      <c r="Q2399" s="26"/>
      <c r="R2399" s="26"/>
      <c r="S2399" s="26"/>
      <c r="T2399" s="26"/>
      <c r="U2399" s="26"/>
      <c r="V2399" s="26"/>
      <c r="W2399" s="26"/>
      <c r="X2399" s="26"/>
      <c r="Y2399" s="26"/>
      <c r="Z2399" s="26"/>
      <c r="AA2399" s="26"/>
      <c r="AB2399" s="26"/>
      <c r="AC2399" s="27"/>
    </row>
    <row r="2400" spans="1:29" x14ac:dyDescent="0.25">
      <c r="A2400" s="1"/>
      <c r="B2400" s="19"/>
      <c r="C2400" s="24"/>
      <c r="D2400" s="1"/>
      <c r="E2400" s="25"/>
      <c r="F2400" s="26"/>
      <c r="G2400" s="26"/>
      <c r="L2400" s="25"/>
      <c r="M2400" s="24"/>
      <c r="N2400" s="26"/>
      <c r="O2400" s="26"/>
      <c r="P2400" s="26"/>
      <c r="Q2400" s="26"/>
      <c r="R2400" s="26"/>
      <c r="S2400" s="26"/>
      <c r="T2400" s="26"/>
      <c r="U2400" s="26"/>
      <c r="V2400" s="26"/>
      <c r="W2400" s="26"/>
      <c r="X2400" s="26"/>
      <c r="Y2400" s="26"/>
      <c r="Z2400" s="26"/>
      <c r="AA2400" s="26"/>
      <c r="AB2400" s="26"/>
      <c r="AC2400" s="27"/>
    </row>
    <row r="2401" spans="1:29" x14ac:dyDescent="0.25">
      <c r="A2401" s="1"/>
      <c r="B2401" s="19"/>
      <c r="C2401" s="24"/>
      <c r="D2401" s="1"/>
      <c r="E2401" s="25"/>
      <c r="F2401" s="26"/>
      <c r="G2401" s="26"/>
      <c r="L2401" s="25"/>
      <c r="M2401" s="24"/>
      <c r="N2401" s="26"/>
      <c r="O2401" s="26"/>
      <c r="P2401" s="26"/>
      <c r="Q2401" s="26"/>
      <c r="R2401" s="26"/>
      <c r="S2401" s="26"/>
      <c r="T2401" s="26"/>
      <c r="U2401" s="26"/>
      <c r="V2401" s="26"/>
      <c r="W2401" s="26"/>
      <c r="X2401" s="26"/>
      <c r="Y2401" s="26"/>
      <c r="Z2401" s="26"/>
      <c r="AA2401" s="26"/>
      <c r="AB2401" s="26"/>
      <c r="AC2401" s="27"/>
    </row>
    <row r="2402" spans="1:29" x14ac:dyDescent="0.25">
      <c r="A2402" s="1"/>
      <c r="B2402" s="19"/>
      <c r="C2402" s="24"/>
      <c r="D2402" s="1"/>
      <c r="E2402" s="25"/>
      <c r="F2402" s="26"/>
      <c r="G2402" s="26"/>
      <c r="L2402" s="25"/>
      <c r="M2402" s="24"/>
      <c r="N2402" s="26"/>
      <c r="O2402" s="26"/>
      <c r="P2402" s="26"/>
      <c r="Q2402" s="26"/>
      <c r="R2402" s="26"/>
      <c r="S2402" s="26"/>
      <c r="T2402" s="26"/>
      <c r="U2402" s="26"/>
      <c r="V2402" s="26"/>
      <c r="W2402" s="26"/>
      <c r="X2402" s="26"/>
      <c r="Y2402" s="26"/>
      <c r="Z2402" s="26"/>
      <c r="AA2402" s="26"/>
      <c r="AB2402" s="26"/>
      <c r="AC2402" s="27"/>
    </row>
    <row r="2403" spans="1:29" x14ac:dyDescent="0.25">
      <c r="A2403" s="1"/>
      <c r="B2403" s="19"/>
      <c r="C2403" s="24"/>
      <c r="D2403" s="1"/>
      <c r="E2403" s="25"/>
      <c r="F2403" s="26"/>
      <c r="G2403" s="26"/>
      <c r="L2403" s="25"/>
      <c r="M2403" s="24"/>
      <c r="N2403" s="26"/>
      <c r="O2403" s="26"/>
      <c r="P2403" s="26"/>
      <c r="Q2403" s="26"/>
      <c r="R2403" s="26"/>
      <c r="S2403" s="26"/>
      <c r="T2403" s="26"/>
      <c r="U2403" s="26"/>
      <c r="V2403" s="26"/>
      <c r="W2403" s="26"/>
      <c r="X2403" s="26"/>
      <c r="Y2403" s="26"/>
      <c r="Z2403" s="26"/>
      <c r="AA2403" s="26"/>
      <c r="AB2403" s="26"/>
      <c r="AC2403" s="27"/>
    </row>
    <row r="2404" spans="1:29" x14ac:dyDescent="0.25">
      <c r="A2404" s="1"/>
      <c r="B2404" s="19"/>
      <c r="C2404" s="24"/>
      <c r="D2404" s="1"/>
      <c r="E2404" s="25"/>
      <c r="F2404" s="26"/>
      <c r="G2404" s="26"/>
      <c r="L2404" s="25"/>
      <c r="M2404" s="24"/>
      <c r="N2404" s="26"/>
      <c r="O2404" s="26"/>
      <c r="P2404" s="26"/>
      <c r="Q2404" s="26"/>
      <c r="R2404" s="26"/>
      <c r="S2404" s="26"/>
      <c r="T2404" s="26"/>
      <c r="U2404" s="26"/>
      <c r="V2404" s="26"/>
      <c r="W2404" s="26"/>
      <c r="X2404" s="26"/>
      <c r="Y2404" s="26"/>
      <c r="Z2404" s="26"/>
      <c r="AA2404" s="26"/>
      <c r="AB2404" s="26"/>
      <c r="AC2404" s="27"/>
    </row>
    <row r="2405" spans="1:29" x14ac:dyDescent="0.25">
      <c r="A2405" s="1"/>
      <c r="B2405" s="19"/>
      <c r="C2405" s="24"/>
      <c r="D2405" s="1"/>
      <c r="E2405" s="25"/>
      <c r="F2405" s="26"/>
      <c r="G2405" s="26"/>
      <c r="L2405" s="25"/>
      <c r="M2405" s="24"/>
      <c r="N2405" s="26"/>
      <c r="O2405" s="26"/>
      <c r="P2405" s="26"/>
      <c r="Q2405" s="26"/>
      <c r="R2405" s="26"/>
      <c r="S2405" s="26"/>
      <c r="T2405" s="26"/>
      <c r="U2405" s="26"/>
      <c r="V2405" s="26"/>
      <c r="W2405" s="26"/>
      <c r="X2405" s="26"/>
      <c r="Y2405" s="26"/>
      <c r="Z2405" s="26"/>
      <c r="AA2405" s="26"/>
      <c r="AB2405" s="26"/>
      <c r="AC2405" s="27"/>
    </row>
    <row r="2406" spans="1:29" x14ac:dyDescent="0.25">
      <c r="A2406" s="1"/>
      <c r="B2406" s="19"/>
      <c r="C2406" s="24"/>
      <c r="D2406" s="1"/>
      <c r="E2406" s="25"/>
      <c r="F2406" s="26"/>
      <c r="G2406" s="26"/>
      <c r="L2406" s="25"/>
      <c r="M2406" s="24"/>
      <c r="N2406" s="26"/>
      <c r="O2406" s="26"/>
      <c r="P2406" s="26"/>
      <c r="Q2406" s="26"/>
      <c r="R2406" s="26"/>
      <c r="S2406" s="26"/>
      <c r="T2406" s="26"/>
      <c r="U2406" s="26"/>
      <c r="V2406" s="26"/>
      <c r="W2406" s="26"/>
      <c r="X2406" s="26"/>
      <c r="Y2406" s="26"/>
      <c r="Z2406" s="26"/>
      <c r="AA2406" s="26"/>
      <c r="AB2406" s="26"/>
      <c r="AC2406" s="27"/>
    </row>
    <row r="2407" spans="1:29" x14ac:dyDescent="0.25">
      <c r="A2407" s="1"/>
      <c r="B2407" s="19"/>
      <c r="C2407" s="24"/>
      <c r="D2407" s="1"/>
      <c r="E2407" s="25"/>
      <c r="F2407" s="26"/>
      <c r="G2407" s="26"/>
      <c r="L2407" s="25"/>
      <c r="M2407" s="24"/>
      <c r="N2407" s="26"/>
      <c r="O2407" s="26"/>
      <c r="P2407" s="26"/>
      <c r="Q2407" s="26"/>
      <c r="R2407" s="26"/>
      <c r="S2407" s="26"/>
      <c r="T2407" s="26"/>
      <c r="U2407" s="26"/>
      <c r="V2407" s="26"/>
      <c r="W2407" s="26"/>
      <c r="X2407" s="26"/>
      <c r="Y2407" s="26"/>
      <c r="Z2407" s="26"/>
      <c r="AA2407" s="26"/>
      <c r="AB2407" s="26"/>
      <c r="AC2407" s="27"/>
    </row>
    <row r="2408" spans="1:29" x14ac:dyDescent="0.25">
      <c r="A2408" s="1"/>
      <c r="B2408" s="19"/>
      <c r="C2408" s="24"/>
      <c r="D2408" s="1"/>
      <c r="E2408" s="25"/>
      <c r="F2408" s="26"/>
      <c r="G2408" s="26"/>
      <c r="L2408" s="25"/>
      <c r="M2408" s="24"/>
      <c r="N2408" s="26"/>
      <c r="O2408" s="26"/>
      <c r="P2408" s="26"/>
      <c r="Q2408" s="26"/>
      <c r="R2408" s="26"/>
      <c r="S2408" s="26"/>
      <c r="T2408" s="26"/>
      <c r="U2408" s="26"/>
      <c r="V2408" s="26"/>
      <c r="W2408" s="26"/>
      <c r="X2408" s="26"/>
      <c r="Y2408" s="26"/>
      <c r="Z2408" s="26"/>
      <c r="AA2408" s="26"/>
      <c r="AB2408" s="26"/>
      <c r="AC2408" s="27"/>
    </row>
    <row r="2409" spans="1:29" x14ac:dyDescent="0.25">
      <c r="A2409" s="1"/>
      <c r="B2409" s="19"/>
      <c r="C2409" s="24"/>
      <c r="D2409" s="1"/>
      <c r="E2409" s="25"/>
      <c r="F2409" s="26"/>
      <c r="G2409" s="26"/>
      <c r="L2409" s="25"/>
      <c r="M2409" s="24"/>
      <c r="N2409" s="26"/>
      <c r="O2409" s="26"/>
      <c r="P2409" s="26"/>
      <c r="Q2409" s="26"/>
      <c r="R2409" s="26"/>
      <c r="S2409" s="26"/>
      <c r="T2409" s="26"/>
      <c r="U2409" s="26"/>
      <c r="V2409" s="26"/>
      <c r="W2409" s="26"/>
      <c r="X2409" s="26"/>
      <c r="Y2409" s="26"/>
      <c r="Z2409" s="26"/>
      <c r="AA2409" s="26"/>
      <c r="AB2409" s="26"/>
      <c r="AC2409" s="27"/>
    </row>
    <row r="2410" spans="1:29" x14ac:dyDescent="0.25">
      <c r="A2410" s="1"/>
      <c r="B2410" s="19"/>
      <c r="C2410" s="24"/>
      <c r="D2410" s="1"/>
      <c r="E2410" s="25"/>
      <c r="F2410" s="26"/>
      <c r="G2410" s="26"/>
      <c r="L2410" s="25"/>
      <c r="M2410" s="24"/>
      <c r="N2410" s="26"/>
      <c r="O2410" s="26"/>
      <c r="P2410" s="26"/>
      <c r="Q2410" s="26"/>
      <c r="R2410" s="26"/>
      <c r="S2410" s="26"/>
      <c r="T2410" s="26"/>
      <c r="U2410" s="26"/>
      <c r="V2410" s="26"/>
      <c r="W2410" s="26"/>
      <c r="X2410" s="26"/>
      <c r="Y2410" s="26"/>
      <c r="Z2410" s="26"/>
      <c r="AA2410" s="26"/>
      <c r="AB2410" s="26"/>
      <c r="AC2410" s="27"/>
    </row>
    <row r="2411" spans="1:29" x14ac:dyDescent="0.25">
      <c r="A2411" s="1"/>
      <c r="B2411" s="19"/>
      <c r="C2411" s="24"/>
      <c r="D2411" s="1"/>
      <c r="E2411" s="25"/>
      <c r="F2411" s="26"/>
      <c r="G2411" s="26"/>
      <c r="L2411" s="25"/>
      <c r="M2411" s="24"/>
      <c r="N2411" s="26"/>
      <c r="O2411" s="26"/>
      <c r="P2411" s="26"/>
      <c r="Q2411" s="26"/>
      <c r="R2411" s="26"/>
      <c r="S2411" s="26"/>
      <c r="T2411" s="26"/>
      <c r="U2411" s="26"/>
      <c r="V2411" s="26"/>
      <c r="W2411" s="26"/>
      <c r="X2411" s="26"/>
      <c r="Y2411" s="26"/>
      <c r="Z2411" s="26"/>
      <c r="AA2411" s="26"/>
      <c r="AB2411" s="26"/>
      <c r="AC2411" s="27"/>
    </row>
    <row r="2412" spans="1:29" x14ac:dyDescent="0.25">
      <c r="A2412" s="1"/>
      <c r="B2412" s="19"/>
      <c r="C2412" s="24"/>
      <c r="D2412" s="1"/>
      <c r="E2412" s="25"/>
      <c r="F2412" s="26"/>
      <c r="G2412" s="26"/>
      <c r="L2412" s="25"/>
      <c r="M2412" s="24"/>
      <c r="N2412" s="26"/>
      <c r="O2412" s="26"/>
      <c r="P2412" s="26"/>
      <c r="Q2412" s="26"/>
      <c r="R2412" s="26"/>
      <c r="S2412" s="26"/>
      <c r="T2412" s="26"/>
      <c r="U2412" s="26"/>
      <c r="V2412" s="26"/>
      <c r="W2412" s="26"/>
      <c r="X2412" s="26"/>
      <c r="Y2412" s="26"/>
      <c r="Z2412" s="26"/>
      <c r="AA2412" s="26"/>
      <c r="AB2412" s="26"/>
      <c r="AC2412" s="27"/>
    </row>
    <row r="2413" spans="1:29" x14ac:dyDescent="0.25">
      <c r="A2413" s="1"/>
      <c r="B2413" s="19"/>
      <c r="C2413" s="24"/>
      <c r="D2413" s="1"/>
      <c r="E2413" s="25"/>
      <c r="F2413" s="26"/>
      <c r="G2413" s="26"/>
      <c r="L2413" s="25"/>
      <c r="M2413" s="24"/>
      <c r="N2413" s="26"/>
      <c r="O2413" s="26"/>
      <c r="P2413" s="26"/>
      <c r="Q2413" s="26"/>
      <c r="R2413" s="26"/>
      <c r="S2413" s="26"/>
      <c r="T2413" s="26"/>
      <c r="U2413" s="26"/>
      <c r="V2413" s="26"/>
      <c r="W2413" s="26"/>
      <c r="X2413" s="26"/>
      <c r="Y2413" s="26"/>
      <c r="Z2413" s="26"/>
      <c r="AA2413" s="26"/>
      <c r="AB2413" s="26"/>
      <c r="AC2413" s="27"/>
    </row>
    <row r="2414" spans="1:29" x14ac:dyDescent="0.25">
      <c r="A2414" s="1"/>
      <c r="B2414" s="19"/>
      <c r="C2414" s="24"/>
      <c r="D2414" s="1"/>
      <c r="E2414" s="25"/>
      <c r="F2414" s="26"/>
      <c r="G2414" s="26"/>
      <c r="L2414" s="25"/>
      <c r="M2414" s="24"/>
      <c r="N2414" s="26"/>
      <c r="O2414" s="26"/>
      <c r="P2414" s="26"/>
      <c r="Q2414" s="26"/>
      <c r="R2414" s="26"/>
      <c r="S2414" s="26"/>
      <c r="T2414" s="26"/>
      <c r="U2414" s="26"/>
      <c r="V2414" s="26"/>
      <c r="W2414" s="26"/>
      <c r="X2414" s="26"/>
      <c r="Y2414" s="26"/>
      <c r="Z2414" s="26"/>
      <c r="AA2414" s="26"/>
      <c r="AB2414" s="26"/>
      <c r="AC2414" s="27"/>
    </row>
    <row r="2415" spans="1:29" x14ac:dyDescent="0.25">
      <c r="A2415" s="1"/>
      <c r="B2415" s="19"/>
      <c r="C2415" s="24"/>
      <c r="D2415" s="1"/>
      <c r="E2415" s="25"/>
      <c r="F2415" s="26"/>
      <c r="G2415" s="26"/>
      <c r="L2415" s="25"/>
      <c r="M2415" s="24"/>
      <c r="N2415" s="26"/>
      <c r="O2415" s="26"/>
      <c r="P2415" s="26"/>
      <c r="Q2415" s="26"/>
      <c r="R2415" s="26"/>
      <c r="S2415" s="26"/>
      <c r="T2415" s="26"/>
      <c r="U2415" s="26"/>
      <c r="V2415" s="26"/>
      <c r="W2415" s="26"/>
      <c r="X2415" s="26"/>
      <c r="Y2415" s="26"/>
      <c r="Z2415" s="26"/>
      <c r="AA2415" s="26"/>
      <c r="AB2415" s="26"/>
      <c r="AC2415" s="27"/>
    </row>
    <row r="2416" spans="1:29" x14ac:dyDescent="0.25">
      <c r="A2416" s="1"/>
      <c r="B2416" s="19"/>
      <c r="C2416" s="24"/>
      <c r="D2416" s="1"/>
      <c r="E2416" s="25"/>
      <c r="F2416" s="26"/>
      <c r="G2416" s="26"/>
      <c r="L2416" s="25"/>
      <c r="M2416" s="24"/>
      <c r="N2416" s="26"/>
      <c r="O2416" s="26"/>
      <c r="P2416" s="26"/>
      <c r="Q2416" s="26"/>
      <c r="R2416" s="26"/>
      <c r="S2416" s="26"/>
      <c r="T2416" s="26"/>
      <c r="U2416" s="26"/>
      <c r="V2416" s="26"/>
      <c r="W2416" s="26"/>
      <c r="X2416" s="26"/>
      <c r="Y2416" s="26"/>
      <c r="Z2416" s="26"/>
      <c r="AA2416" s="26"/>
      <c r="AB2416" s="26"/>
      <c r="AC2416" s="27"/>
    </row>
    <row r="2417" spans="1:29" x14ac:dyDescent="0.25">
      <c r="A2417" s="1"/>
      <c r="B2417" s="19"/>
      <c r="C2417" s="24"/>
      <c r="D2417" s="1"/>
      <c r="E2417" s="25"/>
      <c r="F2417" s="26"/>
      <c r="G2417" s="26"/>
      <c r="L2417" s="25"/>
      <c r="M2417" s="24"/>
      <c r="N2417" s="26"/>
      <c r="O2417" s="26"/>
      <c r="P2417" s="26"/>
      <c r="Q2417" s="26"/>
      <c r="R2417" s="26"/>
      <c r="S2417" s="26"/>
      <c r="T2417" s="26"/>
      <c r="U2417" s="26"/>
      <c r="V2417" s="26"/>
      <c r="W2417" s="26"/>
      <c r="X2417" s="26"/>
      <c r="Y2417" s="26"/>
      <c r="Z2417" s="26"/>
      <c r="AA2417" s="26"/>
      <c r="AB2417" s="26"/>
      <c r="AC2417" s="27"/>
    </row>
    <row r="2418" spans="1:29" x14ac:dyDescent="0.25">
      <c r="A2418" s="1"/>
      <c r="B2418" s="19"/>
      <c r="C2418" s="24"/>
      <c r="D2418" s="1"/>
      <c r="E2418" s="25"/>
      <c r="F2418" s="26"/>
      <c r="G2418" s="26"/>
      <c r="L2418" s="25"/>
      <c r="M2418" s="24"/>
      <c r="N2418" s="26"/>
      <c r="O2418" s="26"/>
      <c r="P2418" s="26"/>
      <c r="Q2418" s="26"/>
      <c r="R2418" s="26"/>
      <c r="S2418" s="26"/>
      <c r="T2418" s="26"/>
      <c r="U2418" s="26"/>
      <c r="V2418" s="26"/>
      <c r="W2418" s="26"/>
      <c r="X2418" s="26"/>
      <c r="Y2418" s="26"/>
      <c r="Z2418" s="26"/>
      <c r="AA2418" s="26"/>
      <c r="AB2418" s="26"/>
      <c r="AC2418" s="27"/>
    </row>
    <row r="2419" spans="1:29" x14ac:dyDescent="0.25">
      <c r="A2419" s="1"/>
      <c r="B2419" s="19"/>
      <c r="C2419" s="24"/>
      <c r="D2419" s="1"/>
      <c r="E2419" s="25"/>
      <c r="F2419" s="26"/>
      <c r="G2419" s="26"/>
      <c r="L2419" s="25"/>
      <c r="M2419" s="24"/>
      <c r="N2419" s="26"/>
      <c r="O2419" s="26"/>
      <c r="P2419" s="26"/>
      <c r="Q2419" s="26"/>
      <c r="R2419" s="26"/>
      <c r="S2419" s="26"/>
      <c r="T2419" s="26"/>
      <c r="U2419" s="26"/>
      <c r="V2419" s="26"/>
      <c r="W2419" s="26"/>
      <c r="X2419" s="26"/>
      <c r="Y2419" s="26"/>
      <c r="Z2419" s="26"/>
      <c r="AA2419" s="26"/>
      <c r="AB2419" s="26"/>
      <c r="AC2419" s="27"/>
    </row>
    <row r="2420" spans="1:29" x14ac:dyDescent="0.25">
      <c r="A2420" s="1"/>
      <c r="B2420" s="19"/>
      <c r="C2420" s="24"/>
      <c r="D2420" s="1"/>
      <c r="E2420" s="25"/>
      <c r="F2420" s="26"/>
      <c r="G2420" s="26"/>
      <c r="L2420" s="25"/>
      <c r="M2420" s="24"/>
      <c r="N2420" s="26"/>
      <c r="O2420" s="26"/>
      <c r="P2420" s="26"/>
      <c r="Q2420" s="26"/>
      <c r="R2420" s="26"/>
      <c r="S2420" s="26"/>
      <c r="T2420" s="26"/>
      <c r="U2420" s="26"/>
      <c r="V2420" s="26"/>
      <c r="W2420" s="26"/>
      <c r="X2420" s="26"/>
      <c r="Y2420" s="26"/>
      <c r="Z2420" s="26"/>
      <c r="AA2420" s="26"/>
      <c r="AB2420" s="26"/>
      <c r="AC2420" s="27"/>
    </row>
    <row r="2421" spans="1:29" x14ac:dyDescent="0.25">
      <c r="A2421" s="1"/>
      <c r="B2421" s="19"/>
      <c r="C2421" s="24"/>
      <c r="D2421" s="1"/>
      <c r="E2421" s="25"/>
      <c r="F2421" s="26"/>
      <c r="G2421" s="26"/>
      <c r="L2421" s="25"/>
      <c r="M2421" s="24"/>
      <c r="N2421" s="26"/>
      <c r="O2421" s="26"/>
      <c r="P2421" s="26"/>
      <c r="Q2421" s="26"/>
      <c r="R2421" s="26"/>
      <c r="S2421" s="26"/>
      <c r="T2421" s="26"/>
      <c r="U2421" s="26"/>
      <c r="V2421" s="26"/>
      <c r="W2421" s="26"/>
      <c r="X2421" s="26"/>
      <c r="Y2421" s="26"/>
      <c r="Z2421" s="26"/>
      <c r="AA2421" s="26"/>
      <c r="AB2421" s="26"/>
      <c r="AC2421" s="27"/>
    </row>
    <row r="2422" spans="1:29" x14ac:dyDescent="0.25">
      <c r="A2422" s="1"/>
      <c r="B2422" s="19"/>
      <c r="C2422" s="24"/>
      <c r="D2422" s="1"/>
      <c r="E2422" s="25"/>
      <c r="F2422" s="26"/>
      <c r="G2422" s="26"/>
      <c r="L2422" s="25"/>
      <c r="M2422" s="24"/>
      <c r="N2422" s="26"/>
      <c r="O2422" s="26"/>
      <c r="P2422" s="26"/>
      <c r="Q2422" s="26"/>
      <c r="R2422" s="26"/>
      <c r="S2422" s="26"/>
      <c r="T2422" s="26"/>
      <c r="U2422" s="26"/>
      <c r="V2422" s="26"/>
      <c r="W2422" s="26"/>
      <c r="X2422" s="26"/>
      <c r="Y2422" s="26"/>
      <c r="Z2422" s="26"/>
      <c r="AA2422" s="26"/>
      <c r="AB2422" s="26"/>
      <c r="AC2422" s="27"/>
    </row>
    <row r="2423" spans="1:29" x14ac:dyDescent="0.25">
      <c r="A2423" s="1"/>
      <c r="B2423" s="19"/>
      <c r="C2423" s="24"/>
      <c r="D2423" s="1"/>
      <c r="E2423" s="25"/>
      <c r="F2423" s="26"/>
      <c r="G2423" s="26"/>
      <c r="L2423" s="25"/>
      <c r="M2423" s="24"/>
      <c r="N2423" s="26"/>
      <c r="O2423" s="26"/>
      <c r="P2423" s="26"/>
      <c r="Q2423" s="26"/>
      <c r="R2423" s="26"/>
      <c r="S2423" s="26"/>
      <c r="T2423" s="26"/>
      <c r="U2423" s="26"/>
      <c r="V2423" s="26"/>
      <c r="W2423" s="26"/>
      <c r="X2423" s="26"/>
      <c r="Y2423" s="26"/>
      <c r="Z2423" s="26"/>
      <c r="AA2423" s="26"/>
      <c r="AB2423" s="26"/>
      <c r="AC2423" s="27"/>
    </row>
    <row r="2424" spans="1:29" x14ac:dyDescent="0.25">
      <c r="A2424" s="1"/>
      <c r="B2424" s="19"/>
      <c r="C2424" s="24"/>
      <c r="D2424" s="1"/>
      <c r="E2424" s="25"/>
      <c r="F2424" s="26"/>
      <c r="G2424" s="26"/>
      <c r="L2424" s="25"/>
      <c r="M2424" s="24"/>
      <c r="N2424" s="26"/>
      <c r="O2424" s="26"/>
      <c r="P2424" s="26"/>
      <c r="Q2424" s="26"/>
      <c r="R2424" s="26"/>
      <c r="S2424" s="26"/>
      <c r="T2424" s="26"/>
      <c r="U2424" s="26"/>
      <c r="V2424" s="26"/>
      <c r="W2424" s="26"/>
      <c r="X2424" s="26"/>
      <c r="Y2424" s="26"/>
      <c r="Z2424" s="26"/>
      <c r="AA2424" s="26"/>
      <c r="AB2424" s="26"/>
      <c r="AC2424" s="27"/>
    </row>
    <row r="2425" spans="1:29" x14ac:dyDescent="0.25">
      <c r="A2425" s="1"/>
      <c r="B2425" s="19"/>
      <c r="C2425" s="24"/>
      <c r="D2425" s="1"/>
      <c r="E2425" s="25"/>
      <c r="F2425" s="26"/>
      <c r="G2425" s="26"/>
      <c r="L2425" s="25"/>
      <c r="M2425" s="24"/>
      <c r="N2425" s="26"/>
      <c r="O2425" s="26"/>
      <c r="P2425" s="26"/>
      <c r="Q2425" s="26"/>
      <c r="R2425" s="26"/>
      <c r="S2425" s="26"/>
      <c r="T2425" s="26"/>
      <c r="U2425" s="26"/>
      <c r="V2425" s="26"/>
      <c r="W2425" s="26"/>
      <c r="X2425" s="26"/>
      <c r="Y2425" s="26"/>
      <c r="Z2425" s="26"/>
      <c r="AA2425" s="26"/>
      <c r="AB2425" s="26"/>
      <c r="AC2425" s="27"/>
    </row>
    <row r="2426" spans="1:29" x14ac:dyDescent="0.25">
      <c r="A2426" s="1"/>
      <c r="B2426" s="19"/>
      <c r="C2426" s="24"/>
      <c r="D2426" s="1"/>
      <c r="E2426" s="25"/>
      <c r="F2426" s="26"/>
      <c r="G2426" s="26"/>
      <c r="L2426" s="25"/>
      <c r="M2426" s="24"/>
      <c r="N2426" s="26"/>
      <c r="O2426" s="26"/>
      <c r="P2426" s="26"/>
      <c r="Q2426" s="26"/>
      <c r="R2426" s="26"/>
      <c r="S2426" s="26"/>
      <c r="T2426" s="26"/>
      <c r="U2426" s="26"/>
      <c r="V2426" s="26"/>
      <c r="W2426" s="26"/>
      <c r="X2426" s="26"/>
      <c r="Y2426" s="26"/>
      <c r="Z2426" s="26"/>
      <c r="AA2426" s="26"/>
      <c r="AB2426" s="26"/>
      <c r="AC2426" s="27"/>
    </row>
    <row r="2427" spans="1:29" x14ac:dyDescent="0.25">
      <c r="A2427" s="1"/>
      <c r="B2427" s="19"/>
      <c r="C2427" s="24"/>
      <c r="D2427" s="1"/>
      <c r="E2427" s="25"/>
      <c r="F2427" s="26"/>
      <c r="G2427" s="26"/>
      <c r="L2427" s="25"/>
      <c r="M2427" s="24"/>
      <c r="N2427" s="26"/>
      <c r="O2427" s="26"/>
      <c r="P2427" s="26"/>
      <c r="Q2427" s="26"/>
      <c r="R2427" s="26"/>
      <c r="S2427" s="26"/>
      <c r="T2427" s="26"/>
      <c r="U2427" s="26"/>
      <c r="V2427" s="26"/>
      <c r="W2427" s="26"/>
      <c r="X2427" s="26"/>
      <c r="Y2427" s="26"/>
      <c r="Z2427" s="26"/>
      <c r="AA2427" s="26"/>
      <c r="AB2427" s="26"/>
      <c r="AC2427" s="27"/>
    </row>
    <row r="2428" spans="1:29" x14ac:dyDescent="0.25">
      <c r="A2428" s="1"/>
      <c r="B2428" s="19"/>
      <c r="C2428" s="24"/>
      <c r="D2428" s="1"/>
      <c r="E2428" s="25"/>
      <c r="F2428" s="26"/>
      <c r="G2428" s="26"/>
      <c r="L2428" s="25"/>
      <c r="M2428" s="24"/>
      <c r="N2428" s="26"/>
      <c r="O2428" s="26"/>
      <c r="P2428" s="26"/>
      <c r="Q2428" s="26"/>
      <c r="R2428" s="26"/>
      <c r="S2428" s="26"/>
      <c r="T2428" s="26"/>
      <c r="U2428" s="26"/>
      <c r="V2428" s="26"/>
      <c r="W2428" s="26"/>
      <c r="X2428" s="26"/>
      <c r="Y2428" s="26"/>
      <c r="Z2428" s="26"/>
      <c r="AA2428" s="26"/>
      <c r="AB2428" s="26"/>
      <c r="AC2428" s="27"/>
    </row>
    <row r="2429" spans="1:29" x14ac:dyDescent="0.25">
      <c r="A2429" s="1"/>
      <c r="B2429" s="19"/>
      <c r="C2429" s="24"/>
      <c r="D2429" s="1"/>
      <c r="E2429" s="25"/>
      <c r="F2429" s="26"/>
      <c r="G2429" s="26"/>
      <c r="L2429" s="25"/>
      <c r="M2429" s="24"/>
      <c r="N2429" s="26"/>
      <c r="O2429" s="26"/>
      <c r="P2429" s="26"/>
      <c r="Q2429" s="26"/>
      <c r="R2429" s="26"/>
      <c r="S2429" s="26"/>
      <c r="T2429" s="26"/>
      <c r="U2429" s="26"/>
      <c r="V2429" s="26"/>
      <c r="W2429" s="26"/>
      <c r="X2429" s="26"/>
      <c r="Y2429" s="26"/>
      <c r="Z2429" s="26"/>
      <c r="AA2429" s="26"/>
      <c r="AB2429" s="26"/>
      <c r="AC2429" s="27"/>
    </row>
    <row r="2430" spans="1:29" x14ac:dyDescent="0.25">
      <c r="A2430" s="1"/>
      <c r="B2430" s="19"/>
      <c r="C2430" s="24"/>
      <c r="D2430" s="1"/>
      <c r="E2430" s="25"/>
      <c r="F2430" s="26"/>
      <c r="G2430" s="26"/>
      <c r="L2430" s="25"/>
      <c r="M2430" s="24"/>
      <c r="N2430" s="26"/>
      <c r="O2430" s="26"/>
      <c r="P2430" s="26"/>
      <c r="Q2430" s="26"/>
      <c r="R2430" s="26"/>
      <c r="S2430" s="26"/>
      <c r="T2430" s="26"/>
      <c r="U2430" s="26"/>
      <c r="V2430" s="26"/>
      <c r="W2430" s="26"/>
      <c r="X2430" s="26"/>
      <c r="Y2430" s="26"/>
      <c r="Z2430" s="26"/>
      <c r="AA2430" s="26"/>
      <c r="AB2430" s="26"/>
      <c r="AC2430" s="27"/>
    </row>
    <row r="2431" spans="1:29" x14ac:dyDescent="0.25">
      <c r="A2431" s="1"/>
      <c r="B2431" s="19"/>
      <c r="C2431" s="24"/>
      <c r="D2431" s="1"/>
      <c r="E2431" s="25"/>
      <c r="F2431" s="26"/>
      <c r="G2431" s="26"/>
      <c r="L2431" s="25"/>
      <c r="M2431" s="24"/>
      <c r="N2431" s="26"/>
      <c r="O2431" s="26"/>
      <c r="P2431" s="26"/>
      <c r="Q2431" s="26"/>
      <c r="R2431" s="26"/>
      <c r="S2431" s="26"/>
      <c r="T2431" s="26"/>
      <c r="U2431" s="26"/>
      <c r="V2431" s="26"/>
      <c r="W2431" s="26"/>
      <c r="X2431" s="26"/>
      <c r="Y2431" s="26"/>
      <c r="Z2431" s="26"/>
      <c r="AA2431" s="26"/>
      <c r="AB2431" s="26"/>
      <c r="AC2431" s="27"/>
    </row>
    <row r="2432" spans="1:29" x14ac:dyDescent="0.25">
      <c r="A2432" s="1"/>
      <c r="B2432" s="19"/>
      <c r="C2432" s="24"/>
      <c r="D2432" s="1"/>
      <c r="E2432" s="25"/>
      <c r="F2432" s="26"/>
      <c r="G2432" s="26"/>
      <c r="L2432" s="25"/>
      <c r="M2432" s="24"/>
      <c r="N2432" s="26"/>
      <c r="O2432" s="26"/>
      <c r="P2432" s="26"/>
      <c r="Q2432" s="26"/>
      <c r="R2432" s="26"/>
      <c r="S2432" s="26"/>
      <c r="T2432" s="26"/>
      <c r="U2432" s="26"/>
      <c r="V2432" s="26"/>
      <c r="W2432" s="26"/>
      <c r="X2432" s="26"/>
      <c r="Y2432" s="26"/>
      <c r="Z2432" s="26"/>
      <c r="AA2432" s="26"/>
      <c r="AB2432" s="26"/>
      <c r="AC2432" s="27"/>
    </row>
    <row r="2433" spans="1:29" x14ac:dyDescent="0.25">
      <c r="A2433" s="1"/>
      <c r="B2433" s="19"/>
      <c r="C2433" s="24"/>
      <c r="D2433" s="1"/>
      <c r="E2433" s="25"/>
      <c r="F2433" s="26"/>
      <c r="G2433" s="26"/>
      <c r="L2433" s="25"/>
      <c r="M2433" s="24"/>
      <c r="N2433" s="26"/>
      <c r="O2433" s="26"/>
      <c r="P2433" s="26"/>
      <c r="Q2433" s="26"/>
      <c r="R2433" s="26"/>
      <c r="S2433" s="26"/>
      <c r="T2433" s="26"/>
      <c r="U2433" s="26"/>
      <c r="V2433" s="26"/>
      <c r="W2433" s="26"/>
      <c r="X2433" s="26"/>
      <c r="Y2433" s="26"/>
      <c r="Z2433" s="26"/>
      <c r="AA2433" s="26"/>
      <c r="AB2433" s="26"/>
      <c r="AC2433" s="27"/>
    </row>
    <row r="2434" spans="1:29" x14ac:dyDescent="0.25">
      <c r="A2434" s="1"/>
      <c r="B2434" s="19"/>
      <c r="C2434" s="24"/>
      <c r="D2434" s="1"/>
      <c r="E2434" s="25"/>
      <c r="F2434" s="26"/>
      <c r="G2434" s="26"/>
      <c r="L2434" s="25"/>
      <c r="M2434" s="24"/>
      <c r="N2434" s="26"/>
      <c r="O2434" s="26"/>
      <c r="P2434" s="26"/>
      <c r="Q2434" s="26"/>
      <c r="R2434" s="26"/>
      <c r="S2434" s="26"/>
      <c r="T2434" s="26"/>
      <c r="U2434" s="26"/>
      <c r="V2434" s="26"/>
      <c r="W2434" s="26"/>
      <c r="X2434" s="26"/>
      <c r="Y2434" s="26"/>
      <c r="Z2434" s="26"/>
      <c r="AA2434" s="26"/>
      <c r="AB2434" s="26"/>
      <c r="AC2434" s="27"/>
    </row>
    <row r="2435" spans="1:29" x14ac:dyDescent="0.25">
      <c r="A2435" s="1"/>
      <c r="B2435" s="19"/>
      <c r="C2435" s="24"/>
      <c r="D2435" s="1"/>
      <c r="E2435" s="25"/>
      <c r="F2435" s="26"/>
      <c r="G2435" s="26"/>
      <c r="L2435" s="25"/>
      <c r="M2435" s="24"/>
      <c r="N2435" s="26"/>
      <c r="O2435" s="26"/>
      <c r="P2435" s="26"/>
      <c r="Q2435" s="26"/>
      <c r="R2435" s="26"/>
      <c r="S2435" s="26"/>
      <c r="T2435" s="26"/>
      <c r="U2435" s="26"/>
      <c r="V2435" s="26"/>
      <c r="W2435" s="26"/>
      <c r="X2435" s="26"/>
      <c r="Y2435" s="26"/>
      <c r="Z2435" s="26"/>
      <c r="AA2435" s="26"/>
      <c r="AB2435" s="26"/>
      <c r="AC2435" s="27"/>
    </row>
    <row r="2436" spans="1:29" x14ac:dyDescent="0.25">
      <c r="A2436" s="1"/>
      <c r="B2436" s="19"/>
      <c r="C2436" s="24"/>
      <c r="D2436" s="1"/>
      <c r="E2436" s="25"/>
      <c r="F2436" s="26"/>
      <c r="G2436" s="26"/>
      <c r="L2436" s="25"/>
      <c r="M2436" s="24"/>
      <c r="N2436" s="26"/>
      <c r="O2436" s="26"/>
      <c r="P2436" s="26"/>
      <c r="Q2436" s="26"/>
      <c r="R2436" s="26"/>
      <c r="S2436" s="26"/>
      <c r="T2436" s="26"/>
      <c r="U2436" s="26"/>
      <c r="V2436" s="26"/>
      <c r="W2436" s="26"/>
      <c r="X2436" s="26"/>
      <c r="Y2436" s="26"/>
      <c r="Z2436" s="26"/>
      <c r="AA2436" s="26"/>
      <c r="AB2436" s="26"/>
      <c r="AC2436" s="27"/>
    </row>
    <row r="2437" spans="1:29" x14ac:dyDescent="0.25">
      <c r="A2437" s="1"/>
      <c r="B2437" s="19"/>
      <c r="C2437" s="24"/>
      <c r="D2437" s="1"/>
      <c r="E2437" s="25"/>
      <c r="F2437" s="26"/>
      <c r="G2437" s="26"/>
      <c r="L2437" s="25"/>
      <c r="M2437" s="24"/>
      <c r="N2437" s="26"/>
      <c r="O2437" s="26"/>
      <c r="P2437" s="26"/>
      <c r="Q2437" s="26"/>
      <c r="R2437" s="26"/>
      <c r="S2437" s="26"/>
      <c r="T2437" s="26"/>
      <c r="U2437" s="26"/>
      <c r="V2437" s="26"/>
      <c r="W2437" s="26"/>
      <c r="X2437" s="26"/>
      <c r="Y2437" s="26"/>
      <c r="Z2437" s="26"/>
      <c r="AA2437" s="26"/>
      <c r="AB2437" s="26"/>
      <c r="AC2437" s="27"/>
    </row>
    <row r="2438" spans="1:29" x14ac:dyDescent="0.25">
      <c r="A2438" s="1"/>
      <c r="B2438" s="19"/>
      <c r="C2438" s="24"/>
      <c r="D2438" s="1"/>
      <c r="E2438" s="25"/>
      <c r="F2438" s="26"/>
      <c r="G2438" s="26"/>
      <c r="L2438" s="25"/>
      <c r="M2438" s="24"/>
      <c r="N2438" s="26"/>
      <c r="O2438" s="26"/>
      <c r="P2438" s="26"/>
      <c r="Q2438" s="26"/>
      <c r="R2438" s="26"/>
      <c r="S2438" s="26"/>
      <c r="T2438" s="26"/>
      <c r="U2438" s="26"/>
      <c r="V2438" s="26"/>
      <c r="W2438" s="26"/>
      <c r="X2438" s="26"/>
      <c r="Y2438" s="26"/>
      <c r="Z2438" s="26"/>
      <c r="AA2438" s="26"/>
      <c r="AB2438" s="26"/>
      <c r="AC2438" s="27"/>
    </row>
    <row r="2439" spans="1:29" x14ac:dyDescent="0.25">
      <c r="A2439" s="1"/>
      <c r="B2439" s="19"/>
      <c r="C2439" s="24"/>
      <c r="D2439" s="1"/>
      <c r="E2439" s="25"/>
      <c r="F2439" s="26"/>
      <c r="G2439" s="26"/>
      <c r="L2439" s="25"/>
      <c r="M2439" s="24"/>
      <c r="N2439" s="26"/>
      <c r="O2439" s="26"/>
      <c r="P2439" s="26"/>
      <c r="Q2439" s="26"/>
      <c r="R2439" s="26"/>
      <c r="S2439" s="26"/>
      <c r="T2439" s="26"/>
      <c r="U2439" s="26"/>
      <c r="V2439" s="26"/>
      <c r="W2439" s="26"/>
      <c r="X2439" s="26"/>
      <c r="Y2439" s="26"/>
      <c r="Z2439" s="26"/>
      <c r="AA2439" s="26"/>
      <c r="AB2439" s="26"/>
      <c r="AC2439" s="27"/>
    </row>
    <row r="2440" spans="1:29" x14ac:dyDescent="0.25">
      <c r="A2440" s="1"/>
      <c r="B2440" s="19"/>
      <c r="C2440" s="24"/>
      <c r="D2440" s="1"/>
      <c r="E2440" s="25"/>
      <c r="F2440" s="26"/>
      <c r="G2440" s="26"/>
      <c r="L2440" s="25"/>
      <c r="M2440" s="24"/>
      <c r="N2440" s="26"/>
      <c r="O2440" s="26"/>
      <c r="P2440" s="26"/>
      <c r="Q2440" s="26"/>
      <c r="R2440" s="26"/>
      <c r="S2440" s="26"/>
      <c r="T2440" s="26"/>
      <c r="U2440" s="26"/>
      <c r="V2440" s="26"/>
      <c r="W2440" s="26"/>
      <c r="X2440" s="26"/>
      <c r="Y2440" s="26"/>
      <c r="Z2440" s="26"/>
      <c r="AA2440" s="26"/>
      <c r="AB2440" s="26"/>
      <c r="AC2440" s="27"/>
    </row>
    <row r="2441" spans="1:29" x14ac:dyDescent="0.25">
      <c r="A2441" s="1"/>
      <c r="B2441" s="19"/>
      <c r="C2441" s="24"/>
      <c r="D2441" s="1"/>
      <c r="E2441" s="25"/>
      <c r="F2441" s="26"/>
      <c r="G2441" s="26"/>
      <c r="L2441" s="25"/>
      <c r="M2441" s="24"/>
      <c r="N2441" s="26"/>
      <c r="O2441" s="26"/>
      <c r="P2441" s="26"/>
      <c r="Q2441" s="26"/>
      <c r="R2441" s="26"/>
      <c r="S2441" s="26"/>
      <c r="T2441" s="26"/>
      <c r="U2441" s="26"/>
      <c r="V2441" s="26"/>
      <c r="W2441" s="26"/>
      <c r="X2441" s="26"/>
      <c r="Y2441" s="26"/>
      <c r="Z2441" s="26"/>
      <c r="AA2441" s="26"/>
      <c r="AB2441" s="26"/>
      <c r="AC2441" s="27"/>
    </row>
    <row r="2442" spans="1:29" x14ac:dyDescent="0.25">
      <c r="A2442" s="1"/>
      <c r="B2442" s="19"/>
      <c r="C2442" s="24"/>
      <c r="D2442" s="1"/>
      <c r="E2442" s="25"/>
      <c r="F2442" s="26"/>
      <c r="G2442" s="26"/>
      <c r="L2442" s="25"/>
      <c r="M2442" s="24"/>
      <c r="N2442" s="26"/>
      <c r="O2442" s="26"/>
      <c r="P2442" s="26"/>
      <c r="Q2442" s="26"/>
      <c r="R2442" s="26"/>
      <c r="S2442" s="26"/>
      <c r="T2442" s="26"/>
      <c r="U2442" s="26"/>
      <c r="V2442" s="26"/>
      <c r="W2442" s="26"/>
      <c r="X2442" s="26"/>
      <c r="Y2442" s="26"/>
      <c r="Z2442" s="26"/>
      <c r="AA2442" s="26"/>
      <c r="AB2442" s="26"/>
      <c r="AC2442" s="27"/>
    </row>
    <row r="2443" spans="1:29" x14ac:dyDescent="0.25">
      <c r="A2443" s="1"/>
      <c r="B2443" s="19"/>
      <c r="C2443" s="24"/>
      <c r="D2443" s="1"/>
      <c r="E2443" s="25"/>
      <c r="F2443" s="26"/>
      <c r="G2443" s="26"/>
      <c r="L2443" s="25"/>
      <c r="M2443" s="24"/>
      <c r="N2443" s="26"/>
      <c r="O2443" s="26"/>
      <c r="P2443" s="26"/>
      <c r="Q2443" s="26"/>
      <c r="R2443" s="26"/>
      <c r="S2443" s="26"/>
      <c r="T2443" s="26"/>
      <c r="U2443" s="26"/>
      <c r="V2443" s="26"/>
      <c r="W2443" s="26"/>
      <c r="X2443" s="26"/>
      <c r="Y2443" s="26"/>
      <c r="Z2443" s="26"/>
      <c r="AA2443" s="26"/>
      <c r="AB2443" s="26"/>
      <c r="AC2443" s="27"/>
    </row>
    <row r="2444" spans="1:29" x14ac:dyDescent="0.25">
      <c r="A2444" s="1"/>
      <c r="B2444" s="19"/>
      <c r="C2444" s="24"/>
      <c r="D2444" s="1"/>
      <c r="E2444" s="25"/>
      <c r="F2444" s="26"/>
      <c r="G2444" s="26"/>
      <c r="L2444" s="25"/>
      <c r="M2444" s="24"/>
      <c r="N2444" s="26"/>
      <c r="O2444" s="26"/>
      <c r="P2444" s="26"/>
      <c r="Q2444" s="26"/>
      <c r="R2444" s="26"/>
      <c r="S2444" s="26"/>
      <c r="T2444" s="26"/>
      <c r="U2444" s="26"/>
      <c r="V2444" s="26"/>
      <c r="W2444" s="26"/>
      <c r="X2444" s="26"/>
      <c r="Y2444" s="26"/>
      <c r="Z2444" s="26"/>
      <c r="AA2444" s="26"/>
      <c r="AB2444" s="26"/>
      <c r="AC2444" s="27"/>
    </row>
    <row r="2445" spans="1:29" x14ac:dyDescent="0.25">
      <c r="A2445" s="1"/>
      <c r="B2445" s="19"/>
      <c r="C2445" s="24"/>
      <c r="D2445" s="1"/>
      <c r="E2445" s="25"/>
      <c r="F2445" s="26"/>
      <c r="G2445" s="26"/>
      <c r="L2445" s="25"/>
      <c r="M2445" s="24"/>
      <c r="N2445" s="26"/>
      <c r="O2445" s="26"/>
      <c r="P2445" s="26"/>
      <c r="Q2445" s="26"/>
      <c r="R2445" s="26"/>
      <c r="S2445" s="26"/>
      <c r="T2445" s="26"/>
      <c r="U2445" s="26"/>
      <c r="V2445" s="26"/>
      <c r="W2445" s="26"/>
      <c r="X2445" s="26"/>
      <c r="Y2445" s="26"/>
      <c r="Z2445" s="26"/>
      <c r="AA2445" s="26"/>
      <c r="AB2445" s="26"/>
      <c r="AC2445" s="27"/>
    </row>
    <row r="2446" spans="1:29" x14ac:dyDescent="0.25">
      <c r="A2446" s="1"/>
      <c r="B2446" s="19"/>
      <c r="C2446" s="24"/>
      <c r="D2446" s="1"/>
      <c r="E2446" s="25"/>
      <c r="F2446" s="26"/>
      <c r="G2446" s="26"/>
      <c r="L2446" s="25"/>
      <c r="M2446" s="24"/>
      <c r="N2446" s="26"/>
      <c r="O2446" s="26"/>
      <c r="P2446" s="26"/>
      <c r="Q2446" s="26"/>
      <c r="R2446" s="26"/>
      <c r="S2446" s="26"/>
      <c r="T2446" s="26"/>
      <c r="U2446" s="26"/>
      <c r="V2446" s="26"/>
      <c r="W2446" s="26"/>
      <c r="X2446" s="26"/>
      <c r="Y2446" s="26"/>
      <c r="Z2446" s="26"/>
      <c r="AA2446" s="26"/>
      <c r="AB2446" s="26"/>
      <c r="AC2446" s="27"/>
    </row>
    <row r="2447" spans="1:29" x14ac:dyDescent="0.25">
      <c r="A2447" s="1"/>
      <c r="B2447" s="19"/>
      <c r="C2447" s="24"/>
      <c r="D2447" s="1"/>
      <c r="E2447" s="25"/>
      <c r="F2447" s="26"/>
      <c r="G2447" s="26"/>
      <c r="L2447" s="25"/>
      <c r="M2447" s="24"/>
      <c r="N2447" s="26"/>
      <c r="O2447" s="26"/>
      <c r="P2447" s="26"/>
      <c r="Q2447" s="26"/>
      <c r="R2447" s="26"/>
      <c r="S2447" s="26"/>
      <c r="T2447" s="26"/>
      <c r="U2447" s="26"/>
      <c r="V2447" s="26"/>
      <c r="W2447" s="26"/>
      <c r="X2447" s="26"/>
      <c r="Y2447" s="26"/>
      <c r="Z2447" s="26"/>
      <c r="AA2447" s="26"/>
      <c r="AB2447" s="26"/>
      <c r="AC2447" s="27"/>
    </row>
    <row r="2448" spans="1:29" x14ac:dyDescent="0.25">
      <c r="A2448" s="1"/>
      <c r="B2448" s="19"/>
      <c r="C2448" s="24"/>
      <c r="D2448" s="1"/>
      <c r="E2448" s="25"/>
      <c r="F2448" s="26"/>
      <c r="G2448" s="26"/>
      <c r="L2448" s="25"/>
      <c r="M2448" s="24"/>
      <c r="N2448" s="26"/>
      <c r="O2448" s="26"/>
      <c r="P2448" s="26"/>
      <c r="Q2448" s="26"/>
      <c r="R2448" s="26"/>
      <c r="S2448" s="26"/>
      <c r="T2448" s="26"/>
      <c r="U2448" s="26"/>
      <c r="V2448" s="26"/>
      <c r="W2448" s="26"/>
      <c r="X2448" s="26"/>
      <c r="Y2448" s="26"/>
      <c r="Z2448" s="26"/>
      <c r="AA2448" s="26"/>
      <c r="AB2448" s="26"/>
      <c r="AC2448" s="27"/>
    </row>
    <row r="2449" spans="1:29" x14ac:dyDescent="0.25">
      <c r="A2449" s="1"/>
      <c r="B2449" s="19"/>
      <c r="C2449" s="24"/>
      <c r="D2449" s="1"/>
      <c r="E2449" s="25"/>
      <c r="F2449" s="26"/>
      <c r="G2449" s="26"/>
      <c r="L2449" s="25"/>
      <c r="M2449" s="24"/>
      <c r="N2449" s="26"/>
      <c r="O2449" s="26"/>
      <c r="P2449" s="26"/>
      <c r="Q2449" s="26"/>
      <c r="R2449" s="26"/>
      <c r="S2449" s="26"/>
      <c r="T2449" s="26"/>
      <c r="U2449" s="26"/>
      <c r="V2449" s="26"/>
      <c r="W2449" s="26"/>
      <c r="X2449" s="26"/>
      <c r="Y2449" s="26"/>
      <c r="Z2449" s="26"/>
      <c r="AA2449" s="26"/>
      <c r="AB2449" s="26"/>
      <c r="AC2449" s="27"/>
    </row>
    <row r="2450" spans="1:29" x14ac:dyDescent="0.25">
      <c r="A2450" s="1"/>
      <c r="B2450" s="19"/>
      <c r="C2450" s="24"/>
      <c r="D2450" s="1"/>
      <c r="E2450" s="25"/>
      <c r="F2450" s="26"/>
      <c r="G2450" s="26"/>
      <c r="L2450" s="25"/>
      <c r="M2450" s="24"/>
      <c r="N2450" s="26"/>
      <c r="O2450" s="26"/>
      <c r="P2450" s="26"/>
      <c r="Q2450" s="26"/>
      <c r="R2450" s="26"/>
      <c r="S2450" s="26"/>
      <c r="T2450" s="26"/>
      <c r="U2450" s="26"/>
      <c r="V2450" s="26"/>
      <c r="W2450" s="26"/>
      <c r="X2450" s="26"/>
      <c r="Y2450" s="26"/>
      <c r="Z2450" s="26"/>
      <c r="AA2450" s="26"/>
      <c r="AB2450" s="26"/>
      <c r="AC2450" s="27"/>
    </row>
    <row r="2451" spans="1:29" x14ac:dyDescent="0.25">
      <c r="A2451" s="1"/>
      <c r="B2451" s="19"/>
      <c r="C2451" s="24"/>
      <c r="D2451" s="1"/>
      <c r="E2451" s="25"/>
      <c r="F2451" s="26"/>
      <c r="G2451" s="26"/>
      <c r="L2451" s="25"/>
      <c r="M2451" s="24"/>
      <c r="N2451" s="26"/>
      <c r="O2451" s="26"/>
      <c r="P2451" s="26"/>
      <c r="Q2451" s="26"/>
      <c r="R2451" s="26"/>
      <c r="S2451" s="26"/>
      <c r="T2451" s="26"/>
      <c r="U2451" s="26"/>
      <c r="V2451" s="26"/>
      <c r="W2451" s="26"/>
      <c r="X2451" s="26"/>
      <c r="Y2451" s="26"/>
      <c r="Z2451" s="26"/>
      <c r="AA2451" s="26"/>
      <c r="AB2451" s="26"/>
      <c r="AC2451" s="27"/>
    </row>
    <row r="2452" spans="1:29" x14ac:dyDescent="0.25">
      <c r="A2452" s="1"/>
      <c r="B2452" s="19"/>
      <c r="C2452" s="24"/>
      <c r="D2452" s="1"/>
      <c r="E2452" s="25"/>
      <c r="F2452" s="26"/>
      <c r="G2452" s="26"/>
      <c r="L2452" s="25"/>
      <c r="M2452" s="24"/>
      <c r="N2452" s="26"/>
      <c r="O2452" s="26"/>
      <c r="P2452" s="26"/>
      <c r="Q2452" s="26"/>
      <c r="R2452" s="26"/>
      <c r="S2452" s="26"/>
      <c r="T2452" s="26"/>
      <c r="U2452" s="26"/>
      <c r="V2452" s="26"/>
      <c r="W2452" s="26"/>
      <c r="X2452" s="26"/>
      <c r="Y2452" s="26"/>
      <c r="Z2452" s="26"/>
      <c r="AA2452" s="26"/>
      <c r="AB2452" s="26"/>
      <c r="AC2452" s="27"/>
    </row>
    <row r="2453" spans="1:29" x14ac:dyDescent="0.25">
      <c r="A2453" s="1"/>
      <c r="B2453" s="19"/>
      <c r="C2453" s="24"/>
      <c r="D2453" s="1"/>
      <c r="E2453" s="25"/>
      <c r="F2453" s="26"/>
      <c r="G2453" s="26"/>
      <c r="L2453" s="25"/>
      <c r="M2453" s="24"/>
      <c r="N2453" s="26"/>
      <c r="O2453" s="26"/>
      <c r="P2453" s="26"/>
      <c r="Q2453" s="26"/>
      <c r="R2453" s="26"/>
      <c r="S2453" s="26"/>
      <c r="T2453" s="26"/>
      <c r="U2453" s="26"/>
      <c r="V2453" s="26"/>
      <c r="W2453" s="26"/>
      <c r="X2453" s="26"/>
      <c r="Y2453" s="26"/>
      <c r="Z2453" s="26"/>
      <c r="AA2453" s="26"/>
      <c r="AB2453" s="26"/>
      <c r="AC2453" s="27"/>
    </row>
    <row r="2454" spans="1:29" x14ac:dyDescent="0.25">
      <c r="A2454" s="1"/>
      <c r="B2454" s="19"/>
      <c r="C2454" s="24"/>
      <c r="D2454" s="1"/>
      <c r="E2454" s="25"/>
      <c r="F2454" s="26"/>
      <c r="G2454" s="26"/>
      <c r="L2454" s="25"/>
      <c r="M2454" s="24"/>
      <c r="N2454" s="26"/>
      <c r="O2454" s="26"/>
      <c r="P2454" s="26"/>
      <c r="Q2454" s="26"/>
      <c r="R2454" s="26"/>
      <c r="S2454" s="26"/>
      <c r="T2454" s="26"/>
      <c r="U2454" s="26"/>
      <c r="V2454" s="26"/>
      <c r="W2454" s="26"/>
      <c r="X2454" s="26"/>
      <c r="Y2454" s="26"/>
      <c r="Z2454" s="26"/>
      <c r="AA2454" s="26"/>
      <c r="AB2454" s="26"/>
      <c r="AC2454" s="27"/>
    </row>
    <row r="2455" spans="1:29" x14ac:dyDescent="0.25">
      <c r="A2455" s="1"/>
      <c r="B2455" s="19"/>
      <c r="C2455" s="24"/>
      <c r="D2455" s="1"/>
      <c r="E2455" s="25"/>
      <c r="F2455" s="26"/>
      <c r="G2455" s="26"/>
      <c r="L2455" s="25"/>
      <c r="M2455" s="24"/>
      <c r="N2455" s="26"/>
      <c r="O2455" s="26"/>
      <c r="P2455" s="26"/>
      <c r="Q2455" s="26"/>
      <c r="R2455" s="26"/>
      <c r="S2455" s="26"/>
      <c r="T2455" s="26"/>
      <c r="U2455" s="26"/>
      <c r="V2455" s="26"/>
      <c r="W2455" s="26"/>
      <c r="X2455" s="26"/>
      <c r="Y2455" s="26"/>
      <c r="Z2455" s="26"/>
      <c r="AA2455" s="26"/>
      <c r="AB2455" s="26"/>
      <c r="AC2455" s="27"/>
    </row>
    <row r="2456" spans="1:29" x14ac:dyDescent="0.25">
      <c r="A2456" s="1"/>
      <c r="B2456" s="19"/>
      <c r="C2456" s="24"/>
      <c r="D2456" s="1"/>
      <c r="E2456" s="25"/>
      <c r="F2456" s="26"/>
      <c r="G2456" s="26"/>
      <c r="L2456" s="25"/>
      <c r="M2456" s="24"/>
      <c r="N2456" s="26"/>
      <c r="O2456" s="26"/>
      <c r="P2456" s="26"/>
      <c r="Q2456" s="26"/>
      <c r="R2456" s="26"/>
      <c r="S2456" s="26"/>
      <c r="T2456" s="26"/>
      <c r="U2456" s="26"/>
      <c r="V2456" s="26"/>
      <c r="W2456" s="26"/>
      <c r="X2456" s="26"/>
      <c r="Y2456" s="26"/>
      <c r="Z2456" s="26"/>
      <c r="AA2456" s="26"/>
      <c r="AB2456" s="26"/>
      <c r="AC2456" s="27"/>
    </row>
    <row r="2457" spans="1:29" x14ac:dyDescent="0.25">
      <c r="A2457" s="1"/>
      <c r="B2457" s="19"/>
      <c r="C2457" s="24"/>
      <c r="D2457" s="1"/>
      <c r="E2457" s="25"/>
      <c r="F2457" s="26"/>
      <c r="G2457" s="26"/>
      <c r="L2457" s="25"/>
      <c r="M2457" s="24"/>
      <c r="N2457" s="26"/>
      <c r="O2457" s="26"/>
      <c r="P2457" s="26"/>
      <c r="Q2457" s="26"/>
      <c r="R2457" s="26"/>
      <c r="S2457" s="26"/>
      <c r="T2457" s="26"/>
      <c r="U2457" s="26"/>
      <c r="V2457" s="26"/>
      <c r="W2457" s="26"/>
      <c r="X2457" s="26"/>
      <c r="Y2457" s="26"/>
      <c r="Z2457" s="26"/>
      <c r="AA2457" s="26"/>
      <c r="AB2457" s="26"/>
      <c r="AC2457" s="27"/>
    </row>
    <row r="2458" spans="1:29" x14ac:dyDescent="0.25">
      <c r="A2458" s="1"/>
      <c r="B2458" s="19"/>
      <c r="C2458" s="24"/>
      <c r="D2458" s="1"/>
      <c r="E2458" s="25"/>
      <c r="F2458" s="26"/>
      <c r="G2458" s="26"/>
      <c r="L2458" s="25"/>
      <c r="M2458" s="24"/>
      <c r="N2458" s="26"/>
      <c r="O2458" s="26"/>
      <c r="P2458" s="26"/>
      <c r="Q2458" s="26"/>
      <c r="R2458" s="26"/>
      <c r="S2458" s="26"/>
      <c r="T2458" s="26"/>
      <c r="U2458" s="26"/>
      <c r="V2458" s="26"/>
      <c r="W2458" s="26"/>
      <c r="X2458" s="26"/>
      <c r="Y2458" s="26"/>
      <c r="Z2458" s="26"/>
      <c r="AA2458" s="26"/>
      <c r="AB2458" s="26"/>
      <c r="AC2458" s="27"/>
    </row>
    <row r="2459" spans="1:29" x14ac:dyDescent="0.25">
      <c r="A2459" s="1"/>
      <c r="B2459" s="19"/>
      <c r="C2459" s="24"/>
      <c r="D2459" s="1"/>
      <c r="E2459" s="25"/>
      <c r="F2459" s="26"/>
      <c r="G2459" s="26"/>
      <c r="L2459" s="25"/>
      <c r="M2459" s="24"/>
      <c r="N2459" s="26"/>
      <c r="O2459" s="26"/>
      <c r="P2459" s="26"/>
      <c r="Q2459" s="26"/>
      <c r="R2459" s="26"/>
      <c r="S2459" s="26"/>
      <c r="T2459" s="26"/>
      <c r="U2459" s="26"/>
      <c r="V2459" s="26"/>
      <c r="W2459" s="26"/>
      <c r="X2459" s="26"/>
      <c r="Y2459" s="26"/>
      <c r="Z2459" s="26"/>
      <c r="AA2459" s="26"/>
      <c r="AB2459" s="26"/>
      <c r="AC2459" s="27"/>
    </row>
    <row r="2460" spans="1:29" x14ac:dyDescent="0.25">
      <c r="A2460" s="1"/>
      <c r="B2460" s="19"/>
      <c r="C2460" s="24"/>
      <c r="D2460" s="1"/>
      <c r="E2460" s="25"/>
      <c r="F2460" s="26"/>
      <c r="G2460" s="26"/>
      <c r="L2460" s="25"/>
      <c r="M2460" s="24"/>
      <c r="N2460" s="26"/>
      <c r="O2460" s="26"/>
      <c r="P2460" s="26"/>
      <c r="Q2460" s="26"/>
      <c r="R2460" s="26"/>
      <c r="S2460" s="26"/>
      <c r="T2460" s="26"/>
      <c r="U2460" s="26"/>
      <c r="V2460" s="26"/>
      <c r="W2460" s="26"/>
      <c r="X2460" s="26"/>
      <c r="Y2460" s="26"/>
      <c r="Z2460" s="26"/>
      <c r="AA2460" s="26"/>
      <c r="AB2460" s="26"/>
      <c r="AC2460" s="27"/>
    </row>
    <row r="2461" spans="1:29" x14ac:dyDescent="0.25">
      <c r="A2461" s="1"/>
      <c r="B2461" s="19"/>
      <c r="C2461" s="24"/>
      <c r="D2461" s="1"/>
      <c r="E2461" s="25"/>
      <c r="F2461" s="26"/>
      <c r="G2461" s="26"/>
      <c r="L2461" s="25"/>
      <c r="M2461" s="24"/>
      <c r="N2461" s="26"/>
      <c r="O2461" s="26"/>
      <c r="P2461" s="26"/>
      <c r="Q2461" s="26"/>
      <c r="R2461" s="26"/>
      <c r="S2461" s="26"/>
      <c r="T2461" s="26"/>
      <c r="U2461" s="26"/>
      <c r="V2461" s="26"/>
      <c r="W2461" s="26"/>
      <c r="X2461" s="26"/>
      <c r="Y2461" s="26"/>
      <c r="Z2461" s="26"/>
      <c r="AA2461" s="26"/>
      <c r="AB2461" s="26"/>
      <c r="AC2461" s="27"/>
    </row>
    <row r="2462" spans="1:29" x14ac:dyDescent="0.25">
      <c r="A2462" s="1"/>
      <c r="B2462" s="19"/>
      <c r="C2462" s="24"/>
      <c r="D2462" s="1"/>
      <c r="E2462" s="25"/>
      <c r="F2462" s="26"/>
      <c r="G2462" s="26"/>
      <c r="L2462" s="25"/>
      <c r="M2462" s="24"/>
      <c r="N2462" s="26"/>
      <c r="O2462" s="26"/>
      <c r="P2462" s="26"/>
      <c r="Q2462" s="26"/>
      <c r="R2462" s="26"/>
      <c r="S2462" s="26"/>
      <c r="T2462" s="26"/>
      <c r="U2462" s="26"/>
      <c r="V2462" s="26"/>
      <c r="W2462" s="26"/>
      <c r="X2462" s="26"/>
      <c r="Y2462" s="26"/>
      <c r="Z2462" s="26"/>
      <c r="AA2462" s="26"/>
      <c r="AB2462" s="26"/>
      <c r="AC2462" s="27"/>
    </row>
    <row r="2463" spans="1:29" x14ac:dyDescent="0.25">
      <c r="A2463" s="1"/>
      <c r="B2463" s="19"/>
      <c r="C2463" s="24"/>
      <c r="D2463" s="1"/>
      <c r="E2463" s="25"/>
      <c r="F2463" s="26"/>
      <c r="G2463" s="26"/>
      <c r="L2463" s="25"/>
      <c r="M2463" s="24"/>
      <c r="N2463" s="26"/>
      <c r="O2463" s="26"/>
      <c r="P2463" s="26"/>
      <c r="Q2463" s="26"/>
      <c r="R2463" s="26"/>
      <c r="S2463" s="26"/>
      <c r="T2463" s="26"/>
      <c r="U2463" s="26"/>
      <c r="V2463" s="26"/>
      <c r="W2463" s="26"/>
      <c r="X2463" s="26"/>
      <c r="Y2463" s="26"/>
      <c r="Z2463" s="26"/>
      <c r="AA2463" s="26"/>
      <c r="AB2463" s="26"/>
      <c r="AC2463" s="27"/>
    </row>
    <row r="2464" spans="1:29" x14ac:dyDescent="0.25">
      <c r="A2464" s="1"/>
      <c r="B2464" s="19"/>
      <c r="C2464" s="24"/>
      <c r="D2464" s="1"/>
      <c r="E2464" s="25"/>
      <c r="F2464" s="26"/>
      <c r="G2464" s="26"/>
      <c r="L2464" s="25"/>
      <c r="M2464" s="24"/>
      <c r="N2464" s="26"/>
      <c r="O2464" s="26"/>
      <c r="P2464" s="26"/>
      <c r="Q2464" s="26"/>
      <c r="R2464" s="26"/>
      <c r="S2464" s="26"/>
      <c r="T2464" s="26"/>
      <c r="U2464" s="26"/>
      <c r="V2464" s="26"/>
      <c r="W2464" s="26"/>
      <c r="X2464" s="26"/>
      <c r="Y2464" s="26"/>
      <c r="Z2464" s="26"/>
      <c r="AA2464" s="26"/>
      <c r="AB2464" s="26"/>
      <c r="AC2464" s="27"/>
    </row>
    <row r="2465" spans="1:29" x14ac:dyDescent="0.25">
      <c r="A2465" s="1"/>
      <c r="B2465" s="19"/>
      <c r="C2465" s="24"/>
      <c r="D2465" s="1"/>
      <c r="E2465" s="25"/>
      <c r="F2465" s="26"/>
      <c r="G2465" s="26"/>
      <c r="L2465" s="25"/>
      <c r="M2465" s="24"/>
      <c r="N2465" s="26"/>
      <c r="O2465" s="26"/>
      <c r="P2465" s="26"/>
      <c r="Q2465" s="26"/>
      <c r="R2465" s="26"/>
      <c r="S2465" s="26"/>
      <c r="T2465" s="26"/>
      <c r="U2465" s="26"/>
      <c r="V2465" s="26"/>
      <c r="W2465" s="26"/>
      <c r="X2465" s="26"/>
      <c r="Y2465" s="26"/>
      <c r="Z2465" s="26"/>
      <c r="AA2465" s="26"/>
      <c r="AB2465" s="26"/>
      <c r="AC2465" s="27"/>
    </row>
    <row r="2466" spans="1:29" x14ac:dyDescent="0.25">
      <c r="A2466" s="1"/>
      <c r="B2466" s="19"/>
      <c r="C2466" s="24"/>
      <c r="D2466" s="1"/>
      <c r="E2466" s="25"/>
      <c r="F2466" s="26"/>
      <c r="G2466" s="26"/>
      <c r="L2466" s="25"/>
      <c r="M2466" s="24"/>
      <c r="N2466" s="26"/>
      <c r="O2466" s="26"/>
      <c r="P2466" s="26"/>
      <c r="Q2466" s="26"/>
      <c r="R2466" s="26"/>
      <c r="S2466" s="26"/>
      <c r="T2466" s="26"/>
      <c r="U2466" s="26"/>
      <c r="V2466" s="26"/>
      <c r="W2466" s="26"/>
      <c r="X2466" s="26"/>
      <c r="Y2466" s="26"/>
      <c r="Z2466" s="26"/>
      <c r="AA2466" s="26"/>
      <c r="AB2466" s="26"/>
      <c r="AC2466" s="27"/>
    </row>
    <row r="2467" spans="1:29" x14ac:dyDescent="0.25">
      <c r="A2467" s="1"/>
      <c r="B2467" s="19"/>
      <c r="C2467" s="24"/>
      <c r="D2467" s="1"/>
      <c r="E2467" s="25"/>
      <c r="F2467" s="26"/>
      <c r="G2467" s="26"/>
      <c r="L2467" s="25"/>
      <c r="M2467" s="24"/>
      <c r="N2467" s="26"/>
      <c r="O2467" s="26"/>
      <c r="P2467" s="26"/>
      <c r="Q2467" s="26"/>
      <c r="R2467" s="26"/>
      <c r="S2467" s="26"/>
      <c r="T2467" s="26"/>
      <c r="U2467" s="26"/>
      <c r="V2467" s="26"/>
      <c r="W2467" s="26"/>
      <c r="X2467" s="26"/>
      <c r="Y2467" s="26"/>
      <c r="Z2467" s="26"/>
      <c r="AA2467" s="26"/>
      <c r="AB2467" s="26"/>
      <c r="AC2467" s="27"/>
    </row>
    <row r="2468" spans="1:29" x14ac:dyDescent="0.25">
      <c r="A2468" s="1"/>
      <c r="B2468" s="19"/>
      <c r="C2468" s="24"/>
      <c r="D2468" s="1"/>
      <c r="E2468" s="25"/>
      <c r="F2468" s="26"/>
      <c r="G2468" s="26"/>
      <c r="L2468" s="25"/>
      <c r="M2468" s="24"/>
      <c r="N2468" s="26"/>
      <c r="O2468" s="26"/>
      <c r="P2468" s="26"/>
      <c r="Q2468" s="26"/>
      <c r="R2468" s="26"/>
      <c r="S2468" s="26"/>
      <c r="T2468" s="26"/>
      <c r="U2468" s="26"/>
      <c r="V2468" s="26"/>
      <c r="W2468" s="26"/>
      <c r="X2468" s="26"/>
      <c r="Y2468" s="26"/>
      <c r="Z2468" s="26"/>
      <c r="AA2468" s="26"/>
      <c r="AB2468" s="26"/>
      <c r="AC2468" s="27"/>
    </row>
    <row r="2469" spans="1:29" x14ac:dyDescent="0.25">
      <c r="A2469" s="1"/>
      <c r="B2469" s="19"/>
      <c r="C2469" s="24"/>
      <c r="D2469" s="1"/>
      <c r="E2469" s="25"/>
      <c r="F2469" s="26"/>
      <c r="G2469" s="26"/>
      <c r="L2469" s="25"/>
      <c r="M2469" s="24"/>
      <c r="N2469" s="26"/>
      <c r="O2469" s="26"/>
      <c r="P2469" s="26"/>
      <c r="Q2469" s="26"/>
      <c r="R2469" s="26"/>
      <c r="S2469" s="26"/>
      <c r="T2469" s="26"/>
      <c r="U2469" s="26"/>
      <c r="V2469" s="26"/>
      <c r="W2469" s="26"/>
      <c r="X2469" s="26"/>
      <c r="Y2469" s="26"/>
      <c r="Z2469" s="26"/>
      <c r="AA2469" s="26"/>
      <c r="AB2469" s="26"/>
      <c r="AC2469" s="27"/>
    </row>
    <row r="2470" spans="1:29" x14ac:dyDescent="0.25">
      <c r="A2470" s="1"/>
      <c r="B2470" s="19"/>
      <c r="C2470" s="24"/>
      <c r="D2470" s="1"/>
      <c r="E2470" s="25"/>
      <c r="F2470" s="26"/>
      <c r="G2470" s="26"/>
      <c r="L2470" s="25"/>
      <c r="M2470" s="24"/>
      <c r="N2470" s="26"/>
      <c r="O2470" s="26"/>
      <c r="P2470" s="26"/>
      <c r="Q2470" s="26"/>
      <c r="R2470" s="26"/>
      <c r="S2470" s="26"/>
      <c r="T2470" s="26"/>
      <c r="U2470" s="26"/>
      <c r="V2470" s="26"/>
      <c r="W2470" s="26"/>
      <c r="X2470" s="26"/>
      <c r="Y2470" s="26"/>
      <c r="Z2470" s="26"/>
      <c r="AA2470" s="26"/>
      <c r="AB2470" s="26"/>
      <c r="AC2470" s="27"/>
    </row>
    <row r="2471" spans="1:29" x14ac:dyDescent="0.25">
      <c r="A2471" s="1"/>
      <c r="B2471" s="19"/>
      <c r="C2471" s="24"/>
      <c r="D2471" s="1"/>
      <c r="E2471" s="25"/>
      <c r="F2471" s="26"/>
      <c r="G2471" s="26"/>
      <c r="L2471" s="25"/>
      <c r="M2471" s="24"/>
      <c r="N2471" s="26"/>
      <c r="O2471" s="26"/>
      <c r="P2471" s="26"/>
      <c r="Q2471" s="26"/>
      <c r="R2471" s="26"/>
      <c r="S2471" s="26"/>
      <c r="T2471" s="26"/>
      <c r="U2471" s="26"/>
      <c r="V2471" s="26"/>
      <c r="W2471" s="26"/>
      <c r="X2471" s="26"/>
      <c r="Y2471" s="26"/>
      <c r="Z2471" s="26"/>
      <c r="AA2471" s="26"/>
      <c r="AB2471" s="26"/>
      <c r="AC2471" s="27"/>
    </row>
    <row r="2472" spans="1:29" x14ac:dyDescent="0.25">
      <c r="A2472" s="1"/>
      <c r="B2472" s="19"/>
      <c r="C2472" s="24"/>
      <c r="D2472" s="1"/>
      <c r="E2472" s="25"/>
      <c r="F2472" s="26"/>
      <c r="G2472" s="26"/>
      <c r="L2472" s="25"/>
      <c r="M2472" s="24"/>
      <c r="N2472" s="26"/>
      <c r="O2472" s="26"/>
      <c r="P2472" s="26"/>
      <c r="Q2472" s="26"/>
      <c r="R2472" s="26"/>
      <c r="S2472" s="26"/>
      <c r="T2472" s="26"/>
      <c r="U2472" s="26"/>
      <c r="V2472" s="26"/>
      <c r="W2472" s="26"/>
      <c r="X2472" s="26"/>
      <c r="Y2472" s="26"/>
      <c r="Z2472" s="26"/>
      <c r="AA2472" s="26"/>
      <c r="AB2472" s="26"/>
      <c r="AC2472" s="27"/>
    </row>
    <row r="2473" spans="1:29" x14ac:dyDescent="0.25">
      <c r="A2473" s="1"/>
      <c r="B2473" s="19"/>
      <c r="C2473" s="24"/>
      <c r="D2473" s="1"/>
      <c r="E2473" s="25"/>
      <c r="F2473" s="26"/>
      <c r="G2473" s="26"/>
      <c r="L2473" s="25"/>
      <c r="M2473" s="24"/>
      <c r="N2473" s="26"/>
      <c r="O2473" s="26"/>
      <c r="P2473" s="26"/>
      <c r="Q2473" s="26"/>
      <c r="R2473" s="26"/>
      <c r="S2473" s="26"/>
      <c r="T2473" s="26"/>
      <c r="U2473" s="26"/>
      <c r="V2473" s="26"/>
      <c r="W2473" s="26"/>
      <c r="X2473" s="26"/>
      <c r="Y2473" s="26"/>
      <c r="Z2473" s="26"/>
      <c r="AA2473" s="26"/>
      <c r="AB2473" s="26"/>
      <c r="AC2473" s="27"/>
    </row>
    <row r="2474" spans="1:29" x14ac:dyDescent="0.25">
      <c r="A2474" s="1"/>
      <c r="B2474" s="19"/>
      <c r="C2474" s="24"/>
      <c r="D2474" s="1"/>
      <c r="E2474" s="25"/>
      <c r="F2474" s="26"/>
      <c r="G2474" s="26"/>
      <c r="L2474" s="25"/>
      <c r="M2474" s="24"/>
      <c r="N2474" s="26"/>
      <c r="O2474" s="26"/>
      <c r="P2474" s="26"/>
      <c r="Q2474" s="26"/>
      <c r="R2474" s="26"/>
      <c r="S2474" s="26"/>
      <c r="T2474" s="26"/>
      <c r="U2474" s="26"/>
      <c r="V2474" s="26"/>
      <c r="W2474" s="26"/>
      <c r="X2474" s="26"/>
      <c r="Y2474" s="26"/>
      <c r="Z2474" s="26"/>
      <c r="AA2474" s="26"/>
      <c r="AB2474" s="26"/>
      <c r="AC2474" s="27"/>
    </row>
    <row r="2475" spans="1:29" x14ac:dyDescent="0.25">
      <c r="A2475" s="1"/>
      <c r="B2475" s="19"/>
      <c r="C2475" s="24"/>
      <c r="D2475" s="1"/>
      <c r="E2475" s="25"/>
      <c r="F2475" s="26"/>
      <c r="G2475" s="26"/>
      <c r="L2475" s="25"/>
      <c r="M2475" s="24"/>
      <c r="N2475" s="26"/>
      <c r="O2475" s="26"/>
      <c r="P2475" s="26"/>
      <c r="Q2475" s="26"/>
      <c r="R2475" s="26"/>
      <c r="S2475" s="26"/>
      <c r="T2475" s="26"/>
      <c r="U2475" s="26"/>
      <c r="V2475" s="26"/>
      <c r="W2475" s="26"/>
      <c r="X2475" s="26"/>
      <c r="Y2475" s="26"/>
      <c r="Z2475" s="26"/>
      <c r="AA2475" s="26"/>
      <c r="AB2475" s="26"/>
      <c r="AC2475" s="27"/>
    </row>
    <row r="2476" spans="1:29" x14ac:dyDescent="0.25">
      <c r="A2476" s="1"/>
      <c r="B2476" s="19"/>
      <c r="C2476" s="24"/>
      <c r="D2476" s="1"/>
      <c r="E2476" s="25"/>
      <c r="F2476" s="26"/>
      <c r="G2476" s="26"/>
      <c r="L2476" s="25"/>
      <c r="M2476" s="24"/>
      <c r="N2476" s="26"/>
      <c r="O2476" s="26"/>
      <c r="P2476" s="26"/>
      <c r="Q2476" s="26"/>
      <c r="R2476" s="26"/>
      <c r="S2476" s="26"/>
      <c r="T2476" s="26"/>
      <c r="U2476" s="26"/>
      <c r="V2476" s="26"/>
      <c r="W2476" s="26"/>
      <c r="X2476" s="26"/>
      <c r="Y2476" s="26"/>
      <c r="Z2476" s="26"/>
      <c r="AA2476" s="26"/>
      <c r="AB2476" s="26"/>
      <c r="AC2476" s="27"/>
    </row>
    <row r="2477" spans="1:29" x14ac:dyDescent="0.25">
      <c r="A2477" s="1"/>
      <c r="B2477" s="19"/>
      <c r="C2477" s="24"/>
      <c r="D2477" s="1"/>
      <c r="E2477" s="25"/>
      <c r="F2477" s="26"/>
      <c r="G2477" s="26"/>
      <c r="L2477" s="25"/>
      <c r="M2477" s="24"/>
      <c r="N2477" s="26"/>
      <c r="O2477" s="26"/>
      <c r="P2477" s="26"/>
      <c r="Q2477" s="26"/>
      <c r="R2477" s="26"/>
      <c r="S2477" s="26"/>
      <c r="T2477" s="26"/>
      <c r="U2477" s="26"/>
      <c r="V2477" s="26"/>
      <c r="W2477" s="26"/>
      <c r="X2477" s="26"/>
      <c r="Y2477" s="26"/>
      <c r="Z2477" s="26"/>
      <c r="AA2477" s="26"/>
      <c r="AB2477" s="26"/>
      <c r="AC2477" s="27"/>
    </row>
    <row r="2478" spans="1:29" x14ac:dyDescent="0.25">
      <c r="A2478" s="1"/>
      <c r="B2478" s="19"/>
      <c r="C2478" s="24"/>
      <c r="D2478" s="1"/>
      <c r="E2478" s="25"/>
      <c r="F2478" s="26"/>
      <c r="G2478" s="26"/>
      <c r="L2478" s="25"/>
      <c r="M2478" s="24"/>
      <c r="N2478" s="26"/>
      <c r="O2478" s="26"/>
      <c r="P2478" s="26"/>
      <c r="Q2478" s="26"/>
      <c r="R2478" s="26"/>
      <c r="S2478" s="26"/>
      <c r="T2478" s="26"/>
      <c r="U2478" s="26"/>
      <c r="V2478" s="26"/>
      <c r="W2478" s="26"/>
      <c r="X2478" s="26"/>
      <c r="Y2478" s="26"/>
      <c r="Z2478" s="26"/>
      <c r="AA2478" s="26"/>
      <c r="AB2478" s="26"/>
      <c r="AC2478" s="27"/>
    </row>
    <row r="2479" spans="1:29" x14ac:dyDescent="0.25">
      <c r="A2479" s="1"/>
      <c r="B2479" s="19"/>
      <c r="C2479" s="24"/>
      <c r="D2479" s="1"/>
      <c r="E2479" s="25"/>
      <c r="F2479" s="26"/>
      <c r="G2479" s="26"/>
      <c r="L2479" s="25"/>
      <c r="M2479" s="24"/>
      <c r="N2479" s="26"/>
      <c r="O2479" s="26"/>
      <c r="P2479" s="26"/>
      <c r="Q2479" s="26"/>
      <c r="R2479" s="26"/>
      <c r="S2479" s="26"/>
      <c r="T2479" s="26"/>
      <c r="U2479" s="26"/>
      <c r="V2479" s="26"/>
      <c r="W2479" s="26"/>
      <c r="X2479" s="26"/>
      <c r="Y2479" s="26"/>
      <c r="Z2479" s="26"/>
      <c r="AA2479" s="26"/>
      <c r="AB2479" s="26"/>
      <c r="AC2479" s="27"/>
    </row>
    <row r="2480" spans="1:29" x14ac:dyDescent="0.25">
      <c r="A2480" s="1"/>
      <c r="B2480" s="19"/>
      <c r="C2480" s="24"/>
      <c r="D2480" s="1"/>
      <c r="E2480" s="25"/>
      <c r="F2480" s="26"/>
      <c r="G2480" s="26"/>
      <c r="L2480" s="25"/>
      <c r="M2480" s="24"/>
      <c r="N2480" s="26"/>
      <c r="O2480" s="26"/>
      <c r="P2480" s="26"/>
      <c r="Q2480" s="26"/>
      <c r="R2480" s="26"/>
      <c r="S2480" s="26"/>
      <c r="T2480" s="26"/>
      <c r="U2480" s="26"/>
      <c r="V2480" s="26"/>
      <c r="W2480" s="26"/>
      <c r="X2480" s="26"/>
      <c r="Y2480" s="26"/>
      <c r="Z2480" s="26"/>
      <c r="AA2480" s="26"/>
      <c r="AB2480" s="26"/>
      <c r="AC2480" s="27"/>
    </row>
    <row r="2481" spans="1:29" x14ac:dyDescent="0.25">
      <c r="A2481" s="1"/>
      <c r="B2481" s="19"/>
      <c r="C2481" s="24"/>
      <c r="D2481" s="1"/>
      <c r="E2481" s="25"/>
      <c r="F2481" s="26"/>
      <c r="G2481" s="26"/>
      <c r="L2481" s="25"/>
      <c r="M2481" s="24"/>
      <c r="N2481" s="26"/>
      <c r="O2481" s="26"/>
      <c r="P2481" s="26"/>
      <c r="Q2481" s="26"/>
      <c r="R2481" s="26"/>
      <c r="S2481" s="26"/>
      <c r="T2481" s="26"/>
      <c r="U2481" s="26"/>
      <c r="V2481" s="26"/>
      <c r="W2481" s="26"/>
      <c r="X2481" s="26"/>
      <c r="Y2481" s="26"/>
      <c r="Z2481" s="26"/>
      <c r="AA2481" s="26"/>
      <c r="AB2481" s="26"/>
      <c r="AC2481" s="27"/>
    </row>
    <row r="2482" spans="1:29" x14ac:dyDescent="0.25">
      <c r="A2482" s="1"/>
      <c r="B2482" s="19"/>
      <c r="C2482" s="24"/>
      <c r="D2482" s="1"/>
      <c r="E2482" s="25"/>
      <c r="F2482" s="26"/>
      <c r="G2482" s="26"/>
      <c r="L2482" s="25"/>
      <c r="M2482" s="24"/>
      <c r="N2482" s="26"/>
      <c r="O2482" s="26"/>
      <c r="P2482" s="26"/>
      <c r="Q2482" s="26"/>
      <c r="R2482" s="26"/>
      <c r="S2482" s="26"/>
      <c r="T2482" s="26"/>
      <c r="U2482" s="26"/>
      <c r="V2482" s="26"/>
      <c r="W2482" s="26"/>
      <c r="X2482" s="26"/>
      <c r="Y2482" s="26"/>
      <c r="Z2482" s="26"/>
      <c r="AA2482" s="26"/>
      <c r="AB2482" s="26"/>
      <c r="AC2482" s="27"/>
    </row>
    <row r="2483" spans="1:29" x14ac:dyDescent="0.25">
      <c r="A2483" s="1"/>
      <c r="B2483" s="19"/>
      <c r="C2483" s="24"/>
      <c r="D2483" s="1"/>
      <c r="E2483" s="25"/>
      <c r="F2483" s="26"/>
      <c r="G2483" s="26"/>
      <c r="L2483" s="25"/>
      <c r="M2483" s="24"/>
      <c r="N2483" s="26"/>
      <c r="O2483" s="26"/>
      <c r="P2483" s="26"/>
      <c r="Q2483" s="26"/>
      <c r="R2483" s="26"/>
      <c r="S2483" s="26"/>
      <c r="T2483" s="26"/>
      <c r="U2483" s="26"/>
      <c r="V2483" s="26"/>
      <c r="W2483" s="26"/>
      <c r="X2483" s="26"/>
      <c r="Y2483" s="26"/>
      <c r="Z2483" s="26"/>
      <c r="AA2483" s="26"/>
      <c r="AB2483" s="26"/>
      <c r="AC2483" s="27"/>
    </row>
    <row r="2484" spans="1:29" x14ac:dyDescent="0.25">
      <c r="A2484" s="1"/>
      <c r="B2484" s="19"/>
      <c r="C2484" s="24"/>
      <c r="D2484" s="1"/>
      <c r="E2484" s="25"/>
      <c r="F2484" s="26"/>
      <c r="G2484" s="26"/>
      <c r="L2484" s="25"/>
      <c r="M2484" s="24"/>
      <c r="N2484" s="26"/>
      <c r="O2484" s="26"/>
      <c r="P2484" s="26"/>
      <c r="Q2484" s="26"/>
      <c r="R2484" s="26"/>
      <c r="S2484" s="26"/>
      <c r="T2484" s="26"/>
      <c r="U2484" s="26"/>
      <c r="V2484" s="26"/>
      <c r="W2484" s="26"/>
      <c r="X2484" s="26"/>
      <c r="Y2484" s="26"/>
      <c r="Z2484" s="26"/>
      <c r="AA2484" s="26"/>
      <c r="AB2484" s="26"/>
      <c r="AC2484" s="27"/>
    </row>
    <row r="2485" spans="1:29" x14ac:dyDescent="0.25">
      <c r="A2485" s="1"/>
      <c r="B2485" s="19"/>
      <c r="C2485" s="24"/>
      <c r="D2485" s="1"/>
      <c r="E2485" s="25"/>
      <c r="F2485" s="26"/>
      <c r="G2485" s="26"/>
      <c r="L2485" s="25"/>
      <c r="M2485" s="24"/>
      <c r="N2485" s="26"/>
      <c r="O2485" s="26"/>
      <c r="P2485" s="26"/>
      <c r="Q2485" s="26"/>
      <c r="R2485" s="26"/>
      <c r="S2485" s="26"/>
      <c r="T2485" s="26"/>
      <c r="U2485" s="26"/>
      <c r="V2485" s="26"/>
      <c r="W2485" s="26"/>
      <c r="X2485" s="26"/>
      <c r="Y2485" s="26"/>
      <c r="Z2485" s="26"/>
      <c r="AA2485" s="26"/>
      <c r="AB2485" s="26"/>
      <c r="AC2485" s="27"/>
    </row>
    <row r="2486" spans="1:29" x14ac:dyDescent="0.25">
      <c r="A2486" s="1"/>
      <c r="B2486" s="19"/>
      <c r="C2486" s="24"/>
      <c r="D2486" s="1"/>
      <c r="E2486" s="25"/>
      <c r="F2486" s="26"/>
      <c r="G2486" s="26"/>
      <c r="L2486" s="25"/>
      <c r="M2486" s="24"/>
      <c r="N2486" s="26"/>
      <c r="O2486" s="26"/>
      <c r="P2486" s="26"/>
      <c r="Q2486" s="26"/>
      <c r="R2486" s="26"/>
      <c r="S2486" s="26"/>
      <c r="T2486" s="26"/>
      <c r="U2486" s="26"/>
      <c r="V2486" s="26"/>
      <c r="W2486" s="26"/>
      <c r="X2486" s="26"/>
      <c r="Y2486" s="26"/>
      <c r="Z2486" s="26"/>
      <c r="AA2486" s="26"/>
      <c r="AB2486" s="26"/>
      <c r="AC2486" s="27"/>
    </row>
    <row r="2487" spans="1:29" x14ac:dyDescent="0.25">
      <c r="A2487" s="1"/>
      <c r="B2487" s="19"/>
      <c r="C2487" s="24"/>
      <c r="D2487" s="1"/>
      <c r="E2487" s="25"/>
      <c r="F2487" s="26"/>
      <c r="G2487" s="26"/>
      <c r="L2487" s="25"/>
      <c r="M2487" s="24"/>
      <c r="N2487" s="26"/>
      <c r="O2487" s="26"/>
      <c r="P2487" s="26"/>
      <c r="Q2487" s="26"/>
      <c r="R2487" s="26"/>
      <c r="S2487" s="26"/>
      <c r="T2487" s="26"/>
      <c r="U2487" s="26"/>
      <c r="V2487" s="26"/>
      <c r="W2487" s="26"/>
      <c r="X2487" s="26"/>
      <c r="Y2487" s="26"/>
      <c r="Z2487" s="26"/>
      <c r="AA2487" s="26"/>
      <c r="AB2487" s="26"/>
      <c r="AC2487" s="27"/>
    </row>
    <row r="2488" spans="1:29" x14ac:dyDescent="0.25">
      <c r="A2488" s="1"/>
      <c r="B2488" s="19"/>
      <c r="C2488" s="24"/>
      <c r="D2488" s="1"/>
      <c r="E2488" s="25"/>
      <c r="F2488" s="26"/>
      <c r="G2488" s="26"/>
      <c r="L2488" s="25"/>
      <c r="M2488" s="24"/>
      <c r="N2488" s="26"/>
      <c r="O2488" s="26"/>
      <c r="P2488" s="26"/>
      <c r="Q2488" s="26"/>
      <c r="R2488" s="26"/>
      <c r="S2488" s="26"/>
      <c r="T2488" s="26"/>
      <c r="U2488" s="26"/>
      <c r="V2488" s="26"/>
      <c r="W2488" s="26"/>
      <c r="X2488" s="26"/>
      <c r="Y2488" s="26"/>
      <c r="Z2488" s="26"/>
      <c r="AA2488" s="26"/>
      <c r="AB2488" s="26"/>
      <c r="AC2488" s="27"/>
    </row>
    <row r="2489" spans="1:29" x14ac:dyDescent="0.25">
      <c r="A2489" s="1"/>
      <c r="B2489" s="19"/>
      <c r="C2489" s="24"/>
      <c r="D2489" s="1"/>
      <c r="E2489" s="25"/>
      <c r="F2489" s="26"/>
      <c r="G2489" s="26"/>
      <c r="L2489" s="25"/>
      <c r="M2489" s="24"/>
      <c r="N2489" s="26"/>
      <c r="O2489" s="26"/>
      <c r="P2489" s="26"/>
      <c r="Q2489" s="26"/>
      <c r="R2489" s="26"/>
      <c r="S2489" s="26"/>
      <c r="T2489" s="26"/>
      <c r="U2489" s="26"/>
      <c r="V2489" s="26"/>
      <c r="W2489" s="26"/>
      <c r="X2489" s="26"/>
      <c r="Y2489" s="26"/>
      <c r="Z2489" s="26"/>
      <c r="AA2489" s="26"/>
      <c r="AB2489" s="26"/>
      <c r="AC2489" s="27"/>
    </row>
    <row r="2490" spans="1:29" x14ac:dyDescent="0.25">
      <c r="A2490" s="1"/>
      <c r="B2490" s="19"/>
      <c r="C2490" s="24"/>
      <c r="D2490" s="1"/>
      <c r="E2490" s="25"/>
      <c r="F2490" s="26"/>
      <c r="G2490" s="26"/>
      <c r="L2490" s="25"/>
      <c r="M2490" s="24"/>
      <c r="N2490" s="26"/>
      <c r="O2490" s="26"/>
      <c r="P2490" s="26"/>
      <c r="Q2490" s="26"/>
      <c r="R2490" s="26"/>
      <c r="S2490" s="26"/>
      <c r="T2490" s="26"/>
      <c r="U2490" s="26"/>
      <c r="V2490" s="26"/>
      <c r="W2490" s="26"/>
      <c r="X2490" s="26"/>
      <c r="Y2490" s="26"/>
      <c r="Z2490" s="26"/>
      <c r="AA2490" s="26"/>
      <c r="AB2490" s="26"/>
      <c r="AC2490" s="27"/>
    </row>
    <row r="2491" spans="1:29" x14ac:dyDescent="0.25">
      <c r="A2491" s="1"/>
      <c r="B2491" s="19"/>
      <c r="C2491" s="24"/>
      <c r="D2491" s="1"/>
      <c r="E2491" s="25"/>
      <c r="F2491" s="26"/>
      <c r="G2491" s="26"/>
      <c r="L2491" s="25"/>
      <c r="M2491" s="24"/>
      <c r="N2491" s="26"/>
      <c r="O2491" s="26"/>
      <c r="P2491" s="26"/>
      <c r="Q2491" s="26"/>
      <c r="R2491" s="26"/>
      <c r="S2491" s="26"/>
      <c r="T2491" s="26"/>
      <c r="U2491" s="26"/>
      <c r="V2491" s="26"/>
      <c r="W2491" s="26"/>
      <c r="X2491" s="26"/>
      <c r="Y2491" s="26"/>
      <c r="Z2491" s="26"/>
      <c r="AA2491" s="26"/>
      <c r="AB2491" s="26"/>
      <c r="AC2491" s="27"/>
    </row>
    <row r="2492" spans="1:29" x14ac:dyDescent="0.25">
      <c r="A2492" s="1"/>
      <c r="B2492" s="19"/>
      <c r="C2492" s="24"/>
      <c r="D2492" s="1"/>
      <c r="E2492" s="25"/>
      <c r="F2492" s="26"/>
      <c r="G2492" s="26"/>
      <c r="L2492" s="25"/>
      <c r="M2492" s="24"/>
      <c r="N2492" s="26"/>
      <c r="O2492" s="26"/>
      <c r="P2492" s="26"/>
      <c r="Q2492" s="26"/>
      <c r="R2492" s="26"/>
      <c r="S2492" s="26"/>
      <c r="T2492" s="26"/>
      <c r="U2492" s="26"/>
      <c r="V2492" s="26"/>
      <c r="W2492" s="26"/>
      <c r="X2492" s="26"/>
      <c r="Y2492" s="26"/>
      <c r="Z2492" s="26"/>
      <c r="AA2492" s="26"/>
      <c r="AB2492" s="26"/>
      <c r="AC2492" s="27"/>
    </row>
    <row r="2493" spans="1:29" x14ac:dyDescent="0.25">
      <c r="A2493" s="1"/>
      <c r="B2493" s="19"/>
      <c r="C2493" s="24"/>
      <c r="D2493" s="1"/>
      <c r="E2493" s="25"/>
      <c r="F2493" s="26"/>
      <c r="G2493" s="26"/>
      <c r="L2493" s="25"/>
      <c r="M2493" s="24"/>
      <c r="N2493" s="26"/>
      <c r="O2493" s="26"/>
      <c r="P2493" s="26"/>
      <c r="Q2493" s="26"/>
      <c r="R2493" s="26"/>
      <c r="S2493" s="26"/>
      <c r="T2493" s="26"/>
      <c r="U2493" s="26"/>
      <c r="V2493" s="26"/>
      <c r="W2493" s="26"/>
      <c r="X2493" s="26"/>
      <c r="Y2493" s="26"/>
      <c r="Z2493" s="26"/>
      <c r="AA2493" s="26"/>
      <c r="AB2493" s="26"/>
      <c r="AC2493" s="27"/>
    </row>
    <row r="2494" spans="1:29" x14ac:dyDescent="0.25">
      <c r="A2494" s="1"/>
      <c r="B2494" s="19"/>
      <c r="C2494" s="24"/>
      <c r="D2494" s="1"/>
      <c r="E2494" s="25"/>
      <c r="F2494" s="26"/>
      <c r="G2494" s="26"/>
      <c r="L2494" s="25"/>
      <c r="M2494" s="24"/>
      <c r="N2494" s="26"/>
      <c r="O2494" s="26"/>
      <c r="P2494" s="26"/>
      <c r="Q2494" s="26"/>
      <c r="R2494" s="26"/>
      <c r="S2494" s="26"/>
      <c r="T2494" s="26"/>
      <c r="U2494" s="26"/>
      <c r="V2494" s="26"/>
      <c r="W2494" s="26"/>
      <c r="X2494" s="26"/>
      <c r="Y2494" s="26"/>
      <c r="Z2494" s="26"/>
      <c r="AA2494" s="26"/>
      <c r="AB2494" s="26"/>
      <c r="AC2494" s="27"/>
    </row>
    <row r="2495" spans="1:29" x14ac:dyDescent="0.25">
      <c r="A2495" s="1"/>
      <c r="B2495" s="19"/>
      <c r="C2495" s="24"/>
      <c r="D2495" s="1"/>
      <c r="E2495" s="25"/>
      <c r="F2495" s="26"/>
      <c r="G2495" s="26"/>
      <c r="L2495" s="25"/>
      <c r="M2495" s="24"/>
      <c r="N2495" s="26"/>
      <c r="O2495" s="26"/>
      <c r="P2495" s="26"/>
      <c r="Q2495" s="26"/>
      <c r="R2495" s="26"/>
      <c r="S2495" s="26"/>
      <c r="T2495" s="26"/>
      <c r="U2495" s="26"/>
      <c r="V2495" s="26"/>
      <c r="W2495" s="26"/>
      <c r="X2495" s="26"/>
      <c r="Y2495" s="26"/>
      <c r="Z2495" s="26"/>
      <c r="AA2495" s="26"/>
      <c r="AB2495" s="26"/>
      <c r="AC2495" s="27"/>
    </row>
    <row r="2496" spans="1:29" x14ac:dyDescent="0.25">
      <c r="A2496" s="1"/>
      <c r="B2496" s="19"/>
      <c r="C2496" s="24"/>
      <c r="D2496" s="1"/>
      <c r="E2496" s="25"/>
      <c r="F2496" s="26"/>
      <c r="G2496" s="26"/>
      <c r="L2496" s="25"/>
      <c r="M2496" s="24"/>
      <c r="N2496" s="26"/>
      <c r="O2496" s="26"/>
      <c r="P2496" s="26"/>
      <c r="Q2496" s="26"/>
      <c r="R2496" s="26"/>
      <c r="S2496" s="26"/>
      <c r="T2496" s="26"/>
      <c r="U2496" s="26"/>
      <c r="V2496" s="26"/>
      <c r="W2496" s="26"/>
      <c r="X2496" s="26"/>
      <c r="Y2496" s="26"/>
      <c r="Z2496" s="26"/>
      <c r="AA2496" s="26"/>
      <c r="AB2496" s="26"/>
      <c r="AC2496" s="27"/>
    </row>
    <row r="2497" spans="1:29" x14ac:dyDescent="0.25">
      <c r="A2497" s="1"/>
      <c r="B2497" s="19"/>
      <c r="C2497" s="24"/>
      <c r="D2497" s="1"/>
      <c r="E2497" s="25"/>
      <c r="F2497" s="26"/>
      <c r="G2497" s="26"/>
      <c r="L2497" s="25"/>
      <c r="M2497" s="24"/>
      <c r="N2497" s="26"/>
      <c r="O2497" s="26"/>
      <c r="P2497" s="26"/>
      <c r="Q2497" s="26"/>
      <c r="R2497" s="26"/>
      <c r="S2497" s="26"/>
      <c r="T2497" s="26"/>
      <c r="U2497" s="26"/>
      <c r="V2497" s="26"/>
      <c r="W2497" s="26"/>
      <c r="X2497" s="26"/>
      <c r="Y2497" s="26"/>
      <c r="Z2497" s="26"/>
      <c r="AA2497" s="26"/>
      <c r="AB2497" s="26"/>
      <c r="AC2497" s="27"/>
    </row>
    <row r="2498" spans="1:29" x14ac:dyDescent="0.25">
      <c r="A2498" s="1"/>
      <c r="B2498" s="19"/>
      <c r="C2498" s="24"/>
      <c r="D2498" s="1"/>
      <c r="E2498" s="25"/>
      <c r="F2498" s="26"/>
      <c r="G2498" s="26"/>
      <c r="L2498" s="25"/>
      <c r="M2498" s="24"/>
      <c r="N2498" s="26"/>
      <c r="O2498" s="26"/>
      <c r="P2498" s="26"/>
      <c r="Q2498" s="26"/>
      <c r="R2498" s="26"/>
      <c r="S2498" s="26"/>
      <c r="T2498" s="26"/>
      <c r="U2498" s="26"/>
      <c r="V2498" s="26"/>
      <c r="W2498" s="26"/>
      <c r="X2498" s="26"/>
      <c r="Y2498" s="26"/>
      <c r="Z2498" s="26"/>
      <c r="AA2498" s="26"/>
      <c r="AB2498" s="26"/>
      <c r="AC2498" s="27"/>
    </row>
    <row r="2499" spans="1:29" x14ac:dyDescent="0.25">
      <c r="A2499" s="1"/>
      <c r="B2499" s="19"/>
      <c r="C2499" s="24"/>
      <c r="D2499" s="1"/>
      <c r="E2499" s="25"/>
      <c r="F2499" s="26"/>
      <c r="G2499" s="26"/>
      <c r="L2499" s="25"/>
      <c r="M2499" s="24"/>
      <c r="N2499" s="26"/>
      <c r="O2499" s="26"/>
      <c r="P2499" s="26"/>
      <c r="Q2499" s="26"/>
      <c r="R2499" s="26"/>
      <c r="S2499" s="26"/>
      <c r="T2499" s="26"/>
      <c r="U2499" s="26"/>
      <c r="V2499" s="26"/>
      <c r="W2499" s="26"/>
      <c r="X2499" s="26"/>
      <c r="Y2499" s="26"/>
      <c r="Z2499" s="26"/>
      <c r="AA2499" s="26"/>
      <c r="AB2499" s="26"/>
      <c r="AC2499" s="27"/>
    </row>
    <row r="2500" spans="1:29" x14ac:dyDescent="0.25">
      <c r="A2500" s="1"/>
      <c r="B2500" s="19"/>
      <c r="C2500" s="24"/>
      <c r="D2500" s="1"/>
      <c r="E2500" s="25"/>
      <c r="F2500" s="26"/>
      <c r="G2500" s="26"/>
      <c r="L2500" s="25"/>
      <c r="M2500" s="24"/>
      <c r="N2500" s="26"/>
      <c r="O2500" s="26"/>
      <c r="P2500" s="26"/>
      <c r="Q2500" s="26"/>
      <c r="R2500" s="26"/>
      <c r="S2500" s="26"/>
      <c r="T2500" s="26"/>
      <c r="U2500" s="26"/>
      <c r="V2500" s="26"/>
      <c r="W2500" s="26"/>
      <c r="X2500" s="26"/>
      <c r="Y2500" s="26"/>
      <c r="Z2500" s="26"/>
      <c r="AA2500" s="26"/>
      <c r="AB2500" s="26"/>
      <c r="AC2500" s="27"/>
    </row>
    <row r="2501" spans="1:29" x14ac:dyDescent="0.25">
      <c r="A2501" s="1"/>
      <c r="B2501" s="19"/>
      <c r="C2501" s="24"/>
      <c r="D2501" s="1"/>
      <c r="E2501" s="25"/>
      <c r="F2501" s="26"/>
      <c r="G2501" s="26"/>
      <c r="L2501" s="25"/>
      <c r="M2501" s="24"/>
      <c r="N2501" s="26"/>
      <c r="O2501" s="26"/>
      <c r="P2501" s="26"/>
      <c r="Q2501" s="26"/>
      <c r="R2501" s="26"/>
      <c r="S2501" s="26"/>
      <c r="T2501" s="26"/>
      <c r="U2501" s="26"/>
      <c r="V2501" s="26"/>
      <c r="W2501" s="26"/>
      <c r="X2501" s="26"/>
      <c r="Y2501" s="26"/>
      <c r="Z2501" s="26"/>
      <c r="AA2501" s="26"/>
      <c r="AB2501" s="26"/>
      <c r="AC2501" s="27"/>
    </row>
    <row r="2502" spans="1:29" x14ac:dyDescent="0.25">
      <c r="A2502" s="1"/>
      <c r="B2502" s="19"/>
      <c r="C2502" s="24"/>
      <c r="D2502" s="1"/>
      <c r="E2502" s="25"/>
      <c r="F2502" s="26"/>
      <c r="G2502" s="26"/>
      <c r="L2502" s="25"/>
      <c r="M2502" s="24"/>
      <c r="N2502" s="26"/>
      <c r="O2502" s="26"/>
      <c r="P2502" s="26"/>
      <c r="Q2502" s="26"/>
      <c r="R2502" s="26"/>
      <c r="S2502" s="26"/>
      <c r="T2502" s="26"/>
      <c r="U2502" s="26"/>
      <c r="V2502" s="26"/>
      <c r="W2502" s="26"/>
      <c r="X2502" s="26"/>
      <c r="Y2502" s="26"/>
      <c r="Z2502" s="26"/>
      <c r="AA2502" s="26"/>
      <c r="AB2502" s="26"/>
      <c r="AC2502" s="27"/>
    </row>
    <row r="2503" spans="1:29" x14ac:dyDescent="0.25">
      <c r="A2503" s="1"/>
      <c r="B2503" s="19"/>
      <c r="C2503" s="24"/>
      <c r="D2503" s="1"/>
      <c r="E2503" s="25"/>
      <c r="F2503" s="26"/>
      <c r="G2503" s="26"/>
      <c r="L2503" s="25"/>
      <c r="M2503" s="24"/>
      <c r="N2503" s="26"/>
      <c r="O2503" s="26"/>
      <c r="P2503" s="26"/>
      <c r="Q2503" s="26"/>
      <c r="R2503" s="26"/>
      <c r="S2503" s="26"/>
      <c r="T2503" s="26"/>
      <c r="U2503" s="26"/>
      <c r="V2503" s="26"/>
      <c r="W2503" s="26"/>
      <c r="X2503" s="26"/>
      <c r="Y2503" s="26"/>
      <c r="Z2503" s="26"/>
      <c r="AA2503" s="26"/>
      <c r="AB2503" s="26"/>
      <c r="AC2503" s="27"/>
    </row>
    <row r="2504" spans="1:29" x14ac:dyDescent="0.25">
      <c r="A2504" s="1"/>
      <c r="B2504" s="19"/>
      <c r="C2504" s="24"/>
      <c r="D2504" s="1"/>
      <c r="E2504" s="25"/>
      <c r="F2504" s="26"/>
      <c r="G2504" s="26"/>
      <c r="L2504" s="25"/>
      <c r="M2504" s="24"/>
      <c r="N2504" s="26"/>
      <c r="O2504" s="26"/>
      <c r="P2504" s="26"/>
      <c r="Q2504" s="26"/>
      <c r="R2504" s="26"/>
      <c r="S2504" s="26"/>
      <c r="T2504" s="26"/>
      <c r="U2504" s="26"/>
      <c r="V2504" s="26"/>
      <c r="W2504" s="26"/>
      <c r="X2504" s="26"/>
      <c r="Y2504" s="26"/>
      <c r="Z2504" s="26"/>
      <c r="AA2504" s="26"/>
      <c r="AB2504" s="26"/>
      <c r="AC2504" s="27"/>
    </row>
    <row r="2505" spans="1:29" x14ac:dyDescent="0.25">
      <c r="A2505" s="1"/>
      <c r="B2505" s="19"/>
      <c r="C2505" s="24"/>
      <c r="D2505" s="1"/>
      <c r="E2505" s="25"/>
      <c r="F2505" s="26"/>
      <c r="G2505" s="26"/>
      <c r="L2505" s="25"/>
      <c r="M2505" s="24"/>
      <c r="N2505" s="26"/>
      <c r="O2505" s="26"/>
      <c r="P2505" s="26"/>
      <c r="Q2505" s="26"/>
      <c r="R2505" s="26"/>
      <c r="S2505" s="26"/>
      <c r="T2505" s="26"/>
      <c r="U2505" s="26"/>
      <c r="V2505" s="26"/>
      <c r="W2505" s="26"/>
      <c r="X2505" s="26"/>
      <c r="Y2505" s="26"/>
      <c r="Z2505" s="26"/>
      <c r="AA2505" s="26"/>
      <c r="AB2505" s="26"/>
      <c r="AC2505" s="27"/>
    </row>
    <row r="2506" spans="1:29" x14ac:dyDescent="0.25">
      <c r="A2506" s="1"/>
      <c r="B2506" s="19"/>
      <c r="C2506" s="24"/>
      <c r="D2506" s="1"/>
      <c r="E2506" s="25"/>
      <c r="F2506" s="26"/>
      <c r="G2506" s="26"/>
      <c r="L2506" s="25"/>
      <c r="M2506" s="24"/>
      <c r="N2506" s="26"/>
      <c r="O2506" s="26"/>
      <c r="P2506" s="26"/>
      <c r="Q2506" s="26"/>
      <c r="R2506" s="26"/>
      <c r="S2506" s="26"/>
      <c r="T2506" s="26"/>
      <c r="U2506" s="26"/>
      <c r="V2506" s="26"/>
      <c r="W2506" s="26"/>
      <c r="X2506" s="26"/>
      <c r="Y2506" s="26"/>
      <c r="Z2506" s="26"/>
      <c r="AA2506" s="26"/>
      <c r="AB2506" s="26"/>
      <c r="AC2506" s="27"/>
    </row>
    <row r="2507" spans="1:29" x14ac:dyDescent="0.25">
      <c r="A2507" s="1"/>
      <c r="B2507" s="19"/>
      <c r="C2507" s="24"/>
      <c r="D2507" s="1"/>
      <c r="E2507" s="25"/>
      <c r="F2507" s="26"/>
      <c r="G2507" s="26"/>
      <c r="L2507" s="25"/>
      <c r="M2507" s="24"/>
      <c r="N2507" s="26"/>
      <c r="O2507" s="26"/>
      <c r="P2507" s="26"/>
      <c r="Q2507" s="26"/>
      <c r="R2507" s="26"/>
      <c r="S2507" s="26"/>
      <c r="T2507" s="26"/>
      <c r="U2507" s="26"/>
      <c r="V2507" s="26"/>
      <c r="W2507" s="26"/>
      <c r="X2507" s="26"/>
      <c r="Y2507" s="26"/>
      <c r="Z2507" s="26"/>
      <c r="AA2507" s="26"/>
      <c r="AB2507" s="26"/>
      <c r="AC2507" s="27"/>
    </row>
    <row r="2508" spans="1:29" x14ac:dyDescent="0.25">
      <c r="A2508" s="1"/>
      <c r="B2508" s="19"/>
      <c r="C2508" s="24"/>
      <c r="D2508" s="1"/>
      <c r="E2508" s="25"/>
      <c r="F2508" s="26"/>
      <c r="G2508" s="26"/>
      <c r="L2508" s="25"/>
      <c r="M2508" s="24"/>
      <c r="N2508" s="26"/>
      <c r="O2508" s="26"/>
      <c r="P2508" s="26"/>
      <c r="Q2508" s="26"/>
      <c r="R2508" s="26"/>
      <c r="S2508" s="26"/>
      <c r="T2508" s="26"/>
      <c r="U2508" s="26"/>
      <c r="V2508" s="26"/>
      <c r="W2508" s="26"/>
      <c r="X2508" s="26"/>
      <c r="Y2508" s="26"/>
      <c r="Z2508" s="26"/>
      <c r="AA2508" s="26"/>
      <c r="AB2508" s="26"/>
      <c r="AC2508" s="27"/>
    </row>
    <row r="2509" spans="1:29" x14ac:dyDescent="0.25">
      <c r="A2509" s="1"/>
      <c r="B2509" s="19"/>
      <c r="C2509" s="24"/>
      <c r="D2509" s="1"/>
      <c r="E2509" s="25"/>
      <c r="F2509" s="26"/>
      <c r="G2509" s="26"/>
      <c r="L2509" s="25"/>
      <c r="M2509" s="24"/>
      <c r="N2509" s="26"/>
      <c r="O2509" s="26"/>
      <c r="P2509" s="26"/>
      <c r="Q2509" s="26"/>
      <c r="R2509" s="26"/>
      <c r="S2509" s="26"/>
      <c r="T2509" s="26"/>
      <c r="U2509" s="26"/>
      <c r="V2509" s="26"/>
      <c r="W2509" s="26"/>
      <c r="X2509" s="26"/>
      <c r="Y2509" s="26"/>
      <c r="Z2509" s="26"/>
      <c r="AA2509" s="26"/>
      <c r="AB2509" s="26"/>
      <c r="AC2509" s="27"/>
    </row>
    <row r="2510" spans="1:29" x14ac:dyDescent="0.25">
      <c r="A2510" s="1"/>
      <c r="B2510" s="19"/>
      <c r="C2510" s="24"/>
      <c r="D2510" s="1"/>
      <c r="E2510" s="25"/>
      <c r="F2510" s="26"/>
      <c r="G2510" s="26"/>
      <c r="L2510" s="25"/>
      <c r="M2510" s="24"/>
      <c r="N2510" s="26"/>
      <c r="O2510" s="26"/>
      <c r="P2510" s="26"/>
      <c r="Q2510" s="26"/>
      <c r="R2510" s="26"/>
      <c r="S2510" s="26"/>
      <c r="T2510" s="26"/>
      <c r="U2510" s="26"/>
      <c r="V2510" s="26"/>
      <c r="W2510" s="26"/>
      <c r="X2510" s="26"/>
      <c r="Y2510" s="26"/>
      <c r="Z2510" s="26"/>
      <c r="AA2510" s="26"/>
      <c r="AB2510" s="26"/>
      <c r="AC2510" s="27"/>
    </row>
    <row r="2511" spans="1:29" x14ac:dyDescent="0.25">
      <c r="A2511" s="1"/>
      <c r="B2511" s="19"/>
      <c r="C2511" s="24"/>
      <c r="D2511" s="1"/>
      <c r="E2511" s="25"/>
      <c r="F2511" s="26"/>
      <c r="G2511" s="26"/>
      <c r="L2511" s="25"/>
      <c r="M2511" s="24"/>
      <c r="N2511" s="26"/>
      <c r="O2511" s="26"/>
      <c r="P2511" s="26"/>
      <c r="Q2511" s="26"/>
      <c r="R2511" s="26"/>
      <c r="S2511" s="26"/>
      <c r="T2511" s="26"/>
      <c r="U2511" s="26"/>
      <c r="V2511" s="26"/>
      <c r="W2511" s="26"/>
      <c r="X2511" s="26"/>
      <c r="Y2511" s="26"/>
      <c r="Z2511" s="26"/>
      <c r="AA2511" s="26"/>
      <c r="AB2511" s="26"/>
      <c r="AC2511" s="27"/>
    </row>
    <row r="2512" spans="1:29" x14ac:dyDescent="0.25">
      <c r="A2512" s="1"/>
      <c r="B2512" s="19"/>
      <c r="C2512" s="24"/>
      <c r="D2512" s="1"/>
      <c r="E2512" s="25"/>
      <c r="F2512" s="26"/>
      <c r="G2512" s="26"/>
      <c r="L2512" s="25"/>
      <c r="M2512" s="24"/>
      <c r="N2512" s="26"/>
      <c r="O2512" s="26"/>
      <c r="P2512" s="26"/>
      <c r="Q2512" s="26"/>
      <c r="R2512" s="26"/>
      <c r="S2512" s="26"/>
      <c r="T2512" s="26"/>
      <c r="U2512" s="26"/>
      <c r="V2512" s="26"/>
      <c r="W2512" s="26"/>
      <c r="X2512" s="26"/>
      <c r="Y2512" s="26"/>
      <c r="Z2512" s="26"/>
      <c r="AA2512" s="26"/>
      <c r="AB2512" s="26"/>
      <c r="AC2512" s="27"/>
    </row>
    <row r="2513" spans="1:29" x14ac:dyDescent="0.25">
      <c r="A2513" s="1"/>
      <c r="B2513" s="19"/>
      <c r="C2513" s="24"/>
      <c r="D2513" s="1"/>
      <c r="E2513" s="25"/>
      <c r="F2513" s="26"/>
      <c r="G2513" s="26"/>
      <c r="L2513" s="25"/>
      <c r="M2513" s="24"/>
      <c r="N2513" s="26"/>
      <c r="O2513" s="26"/>
      <c r="P2513" s="26"/>
      <c r="Q2513" s="26"/>
      <c r="R2513" s="26"/>
      <c r="S2513" s="26"/>
      <c r="T2513" s="26"/>
      <c r="U2513" s="26"/>
      <c r="V2513" s="26"/>
      <c r="W2513" s="26"/>
      <c r="X2513" s="26"/>
      <c r="Y2513" s="26"/>
      <c r="Z2513" s="26"/>
      <c r="AA2513" s="26"/>
      <c r="AB2513" s="26"/>
      <c r="AC2513" s="27"/>
    </row>
    <row r="2514" spans="1:29" x14ac:dyDescent="0.25">
      <c r="A2514" s="1"/>
      <c r="B2514" s="19"/>
      <c r="C2514" s="24"/>
      <c r="D2514" s="1"/>
      <c r="E2514" s="25"/>
      <c r="F2514" s="26"/>
      <c r="G2514" s="26"/>
      <c r="L2514" s="25"/>
      <c r="M2514" s="24"/>
      <c r="N2514" s="26"/>
      <c r="O2514" s="26"/>
      <c r="P2514" s="26"/>
      <c r="Q2514" s="26"/>
      <c r="R2514" s="26"/>
      <c r="S2514" s="26"/>
      <c r="T2514" s="26"/>
      <c r="U2514" s="26"/>
      <c r="V2514" s="26"/>
      <c r="W2514" s="26"/>
      <c r="X2514" s="26"/>
      <c r="Y2514" s="26"/>
      <c r="Z2514" s="26"/>
      <c r="AA2514" s="26"/>
      <c r="AB2514" s="26"/>
      <c r="AC2514" s="27"/>
    </row>
    <row r="2515" spans="1:29" x14ac:dyDescent="0.25">
      <c r="A2515" s="1"/>
      <c r="B2515" s="19"/>
      <c r="C2515" s="24"/>
      <c r="D2515" s="1"/>
      <c r="E2515" s="25"/>
      <c r="F2515" s="26"/>
      <c r="G2515" s="26"/>
      <c r="L2515" s="25"/>
      <c r="M2515" s="24"/>
      <c r="N2515" s="26"/>
      <c r="O2515" s="26"/>
      <c r="P2515" s="26"/>
      <c r="Q2515" s="26"/>
      <c r="R2515" s="26"/>
      <c r="S2515" s="26"/>
      <c r="T2515" s="26"/>
      <c r="U2515" s="26"/>
      <c r="V2515" s="26"/>
      <c r="W2515" s="26"/>
      <c r="X2515" s="26"/>
      <c r="Y2515" s="26"/>
      <c r="Z2515" s="26"/>
      <c r="AA2515" s="26"/>
      <c r="AB2515" s="26"/>
      <c r="AC2515" s="27"/>
    </row>
    <row r="2516" spans="1:29" x14ac:dyDescent="0.25">
      <c r="A2516" s="1"/>
      <c r="B2516" s="19"/>
      <c r="C2516" s="24"/>
      <c r="D2516" s="1"/>
      <c r="E2516" s="25"/>
      <c r="F2516" s="26"/>
      <c r="G2516" s="26"/>
      <c r="L2516" s="25"/>
      <c r="M2516" s="24"/>
      <c r="N2516" s="26"/>
      <c r="O2516" s="26"/>
      <c r="P2516" s="26"/>
      <c r="Q2516" s="26"/>
      <c r="R2516" s="26"/>
      <c r="S2516" s="26"/>
      <c r="T2516" s="26"/>
      <c r="U2516" s="26"/>
      <c r="V2516" s="26"/>
      <c r="W2516" s="26"/>
      <c r="X2516" s="26"/>
      <c r="Y2516" s="26"/>
      <c r="Z2516" s="26"/>
      <c r="AA2516" s="26"/>
      <c r="AB2516" s="26"/>
      <c r="AC2516" s="27"/>
    </row>
    <row r="2517" spans="1:29" x14ac:dyDescent="0.25">
      <c r="A2517" s="1"/>
      <c r="B2517" s="19"/>
      <c r="C2517" s="24"/>
      <c r="D2517" s="1"/>
      <c r="E2517" s="25"/>
      <c r="F2517" s="26"/>
      <c r="G2517" s="26"/>
      <c r="L2517" s="25"/>
      <c r="M2517" s="24"/>
      <c r="N2517" s="26"/>
      <c r="O2517" s="26"/>
      <c r="P2517" s="26"/>
      <c r="Q2517" s="26"/>
      <c r="R2517" s="26"/>
      <c r="S2517" s="26"/>
      <c r="T2517" s="26"/>
      <c r="U2517" s="26"/>
      <c r="V2517" s="26"/>
      <c r="W2517" s="26"/>
      <c r="X2517" s="26"/>
      <c r="Y2517" s="26"/>
      <c r="Z2517" s="26"/>
      <c r="AA2517" s="26"/>
      <c r="AB2517" s="26"/>
      <c r="AC2517" s="27"/>
    </row>
    <row r="2518" spans="1:29" x14ac:dyDescent="0.25">
      <c r="A2518" s="1"/>
      <c r="B2518" s="19"/>
      <c r="C2518" s="24"/>
      <c r="D2518" s="1"/>
      <c r="E2518" s="25"/>
      <c r="F2518" s="26"/>
      <c r="G2518" s="26"/>
      <c r="L2518" s="25"/>
      <c r="M2518" s="24"/>
      <c r="N2518" s="26"/>
      <c r="O2518" s="26"/>
      <c r="P2518" s="26"/>
      <c r="Q2518" s="26"/>
      <c r="R2518" s="26"/>
      <c r="S2518" s="26"/>
      <c r="T2518" s="26"/>
      <c r="U2518" s="26"/>
      <c r="V2518" s="26"/>
      <c r="W2518" s="26"/>
      <c r="X2518" s="26"/>
      <c r="Y2518" s="26"/>
      <c r="Z2518" s="26"/>
      <c r="AA2518" s="26"/>
      <c r="AB2518" s="26"/>
      <c r="AC2518" s="27"/>
    </row>
    <row r="2519" spans="1:29" x14ac:dyDescent="0.25">
      <c r="A2519" s="1"/>
      <c r="B2519" s="19"/>
      <c r="C2519" s="24"/>
      <c r="D2519" s="1"/>
      <c r="E2519" s="25"/>
      <c r="F2519" s="26"/>
      <c r="G2519" s="26"/>
      <c r="L2519" s="25"/>
      <c r="M2519" s="24"/>
      <c r="N2519" s="26"/>
      <c r="O2519" s="26"/>
      <c r="P2519" s="26"/>
      <c r="Q2519" s="26"/>
      <c r="R2519" s="26"/>
      <c r="S2519" s="26"/>
      <c r="T2519" s="26"/>
      <c r="U2519" s="26"/>
      <c r="V2519" s="26"/>
      <c r="W2519" s="26"/>
      <c r="X2519" s="26"/>
      <c r="Y2519" s="26"/>
      <c r="Z2519" s="26"/>
      <c r="AA2519" s="26"/>
      <c r="AB2519" s="26"/>
      <c r="AC2519" s="27"/>
    </row>
    <row r="2520" spans="1:29" x14ac:dyDescent="0.25">
      <c r="A2520" s="1"/>
      <c r="B2520" s="19"/>
      <c r="C2520" s="24"/>
      <c r="D2520" s="1"/>
      <c r="E2520" s="25"/>
      <c r="F2520" s="26"/>
      <c r="G2520" s="26"/>
      <c r="L2520" s="25"/>
      <c r="M2520" s="24"/>
      <c r="N2520" s="26"/>
      <c r="O2520" s="26"/>
      <c r="P2520" s="26"/>
      <c r="Q2520" s="26"/>
      <c r="R2520" s="26"/>
      <c r="S2520" s="26"/>
      <c r="T2520" s="26"/>
      <c r="U2520" s="26"/>
      <c r="V2520" s="26"/>
      <c r="W2520" s="26"/>
      <c r="X2520" s="26"/>
      <c r="Y2520" s="26"/>
      <c r="Z2520" s="26"/>
      <c r="AA2520" s="26"/>
      <c r="AB2520" s="26"/>
      <c r="AC2520" s="27"/>
    </row>
    <row r="2521" spans="1:29" x14ac:dyDescent="0.25">
      <c r="A2521" s="1"/>
      <c r="B2521" s="19"/>
      <c r="C2521" s="24"/>
      <c r="D2521" s="1"/>
      <c r="E2521" s="25"/>
      <c r="F2521" s="26"/>
      <c r="G2521" s="26"/>
      <c r="L2521" s="25"/>
      <c r="M2521" s="24"/>
      <c r="N2521" s="26"/>
      <c r="O2521" s="26"/>
      <c r="P2521" s="26"/>
      <c r="Q2521" s="26"/>
      <c r="R2521" s="26"/>
      <c r="S2521" s="26"/>
      <c r="T2521" s="26"/>
      <c r="U2521" s="26"/>
      <c r="V2521" s="26"/>
      <c r="W2521" s="26"/>
      <c r="X2521" s="26"/>
      <c r="Y2521" s="26"/>
      <c r="Z2521" s="26"/>
      <c r="AA2521" s="26"/>
      <c r="AB2521" s="26"/>
      <c r="AC2521" s="27"/>
    </row>
    <row r="2522" spans="1:29" x14ac:dyDescent="0.25">
      <c r="A2522" s="1"/>
      <c r="B2522" s="19"/>
      <c r="C2522" s="24"/>
      <c r="D2522" s="1"/>
      <c r="E2522" s="25"/>
      <c r="F2522" s="26"/>
      <c r="G2522" s="26"/>
      <c r="L2522" s="25"/>
      <c r="M2522" s="24"/>
      <c r="N2522" s="26"/>
      <c r="O2522" s="26"/>
      <c r="P2522" s="26"/>
      <c r="Q2522" s="26"/>
      <c r="R2522" s="26"/>
      <c r="S2522" s="26"/>
      <c r="T2522" s="26"/>
      <c r="U2522" s="26"/>
      <c r="V2522" s="26"/>
      <c r="W2522" s="26"/>
      <c r="X2522" s="26"/>
      <c r="Y2522" s="26"/>
      <c r="Z2522" s="26"/>
      <c r="AA2522" s="26"/>
      <c r="AB2522" s="26"/>
      <c r="AC2522" s="27"/>
    </row>
    <row r="2523" spans="1:29" x14ac:dyDescent="0.25">
      <c r="A2523" s="1"/>
      <c r="B2523" s="19"/>
      <c r="C2523" s="24"/>
      <c r="D2523" s="1"/>
      <c r="E2523" s="25"/>
      <c r="F2523" s="26"/>
      <c r="G2523" s="26"/>
      <c r="L2523" s="25"/>
      <c r="M2523" s="24"/>
      <c r="N2523" s="26"/>
      <c r="O2523" s="26"/>
      <c r="P2523" s="26"/>
      <c r="Q2523" s="26"/>
      <c r="R2523" s="26"/>
      <c r="S2523" s="26"/>
      <c r="T2523" s="26"/>
      <c r="U2523" s="26"/>
      <c r="V2523" s="26"/>
      <c r="W2523" s="26"/>
      <c r="X2523" s="26"/>
      <c r="Y2523" s="26"/>
      <c r="Z2523" s="26"/>
      <c r="AA2523" s="26"/>
      <c r="AB2523" s="26"/>
      <c r="AC2523" s="27"/>
    </row>
    <row r="2524" spans="1:29" x14ac:dyDescent="0.25">
      <c r="A2524" s="1"/>
      <c r="B2524" s="19"/>
      <c r="C2524" s="24"/>
      <c r="D2524" s="1"/>
      <c r="E2524" s="25"/>
      <c r="F2524" s="26"/>
      <c r="G2524" s="26"/>
      <c r="L2524" s="25"/>
      <c r="M2524" s="24"/>
      <c r="N2524" s="26"/>
      <c r="O2524" s="26"/>
      <c r="P2524" s="26"/>
      <c r="Q2524" s="26"/>
      <c r="R2524" s="26"/>
      <c r="S2524" s="26"/>
      <c r="T2524" s="26"/>
      <c r="U2524" s="26"/>
      <c r="V2524" s="26"/>
      <c r="W2524" s="26"/>
      <c r="X2524" s="26"/>
      <c r="Y2524" s="26"/>
      <c r="Z2524" s="26"/>
      <c r="AA2524" s="26"/>
      <c r="AB2524" s="26"/>
      <c r="AC2524" s="27"/>
    </row>
    <row r="2525" spans="1:29" x14ac:dyDescent="0.25">
      <c r="A2525" s="1"/>
      <c r="B2525" s="19"/>
      <c r="C2525" s="24"/>
      <c r="D2525" s="1"/>
      <c r="E2525" s="25"/>
      <c r="F2525" s="26"/>
      <c r="G2525" s="26"/>
      <c r="L2525" s="25"/>
      <c r="M2525" s="24"/>
      <c r="N2525" s="26"/>
      <c r="O2525" s="26"/>
      <c r="P2525" s="26"/>
      <c r="Q2525" s="26"/>
      <c r="R2525" s="26"/>
      <c r="S2525" s="26"/>
      <c r="T2525" s="26"/>
      <c r="U2525" s="26"/>
      <c r="V2525" s="26"/>
      <c r="W2525" s="26"/>
      <c r="X2525" s="26"/>
      <c r="Y2525" s="26"/>
      <c r="Z2525" s="26"/>
      <c r="AA2525" s="26"/>
      <c r="AB2525" s="26"/>
      <c r="AC2525" s="27"/>
    </row>
    <row r="2526" spans="1:29" x14ac:dyDescent="0.25">
      <c r="A2526" s="1"/>
      <c r="B2526" s="19"/>
      <c r="C2526" s="24"/>
      <c r="D2526" s="1"/>
      <c r="E2526" s="25"/>
      <c r="F2526" s="26"/>
      <c r="G2526" s="26"/>
      <c r="L2526" s="25"/>
      <c r="M2526" s="24"/>
      <c r="N2526" s="26"/>
      <c r="O2526" s="26"/>
      <c r="P2526" s="26"/>
      <c r="Q2526" s="26"/>
      <c r="R2526" s="26"/>
      <c r="S2526" s="26"/>
      <c r="T2526" s="26"/>
      <c r="U2526" s="26"/>
      <c r="V2526" s="26"/>
      <c r="W2526" s="26"/>
      <c r="X2526" s="26"/>
      <c r="Y2526" s="26"/>
      <c r="Z2526" s="26"/>
      <c r="AA2526" s="26"/>
      <c r="AB2526" s="26"/>
      <c r="AC2526" s="27"/>
    </row>
    <row r="2527" spans="1:29" x14ac:dyDescent="0.25">
      <c r="A2527" s="1"/>
      <c r="B2527" s="19"/>
      <c r="C2527" s="24"/>
      <c r="D2527" s="1"/>
      <c r="E2527" s="25"/>
      <c r="F2527" s="26"/>
      <c r="G2527" s="26"/>
      <c r="L2527" s="25"/>
      <c r="M2527" s="24"/>
      <c r="N2527" s="26"/>
      <c r="O2527" s="26"/>
      <c r="P2527" s="26"/>
      <c r="Q2527" s="26"/>
      <c r="R2527" s="26"/>
      <c r="S2527" s="26"/>
      <c r="T2527" s="26"/>
      <c r="U2527" s="26"/>
      <c r="V2527" s="26"/>
      <c r="W2527" s="26"/>
      <c r="X2527" s="26"/>
      <c r="Y2527" s="26"/>
      <c r="Z2527" s="26"/>
      <c r="AA2527" s="26"/>
      <c r="AB2527" s="26"/>
      <c r="AC2527" s="27"/>
    </row>
    <row r="2528" spans="1:29" x14ac:dyDescent="0.25">
      <c r="A2528" s="1"/>
      <c r="B2528" s="19"/>
      <c r="C2528" s="24"/>
      <c r="D2528" s="1"/>
      <c r="E2528" s="25"/>
      <c r="F2528" s="26"/>
      <c r="G2528" s="26"/>
      <c r="L2528" s="25"/>
      <c r="M2528" s="24"/>
      <c r="N2528" s="26"/>
      <c r="O2528" s="26"/>
      <c r="P2528" s="26"/>
      <c r="Q2528" s="26"/>
      <c r="R2528" s="26"/>
      <c r="S2528" s="26"/>
      <c r="T2528" s="26"/>
      <c r="U2528" s="26"/>
      <c r="V2528" s="26"/>
      <c r="W2528" s="26"/>
      <c r="X2528" s="26"/>
      <c r="Y2528" s="26"/>
      <c r="Z2528" s="26"/>
      <c r="AA2528" s="26"/>
      <c r="AB2528" s="26"/>
      <c r="AC2528" s="27"/>
    </row>
    <row r="2529" spans="1:29" x14ac:dyDescent="0.25">
      <c r="A2529" s="1"/>
      <c r="B2529" s="19"/>
      <c r="C2529" s="24"/>
      <c r="D2529" s="1"/>
      <c r="E2529" s="25"/>
      <c r="F2529" s="26"/>
      <c r="G2529" s="26"/>
      <c r="L2529" s="25"/>
      <c r="M2529" s="24"/>
      <c r="N2529" s="26"/>
      <c r="O2529" s="26"/>
      <c r="P2529" s="26"/>
      <c r="Q2529" s="26"/>
      <c r="R2529" s="26"/>
      <c r="S2529" s="26"/>
      <c r="T2529" s="26"/>
      <c r="U2529" s="26"/>
      <c r="V2529" s="26"/>
      <c r="W2529" s="26"/>
      <c r="X2529" s="26"/>
      <c r="Y2529" s="26"/>
      <c r="Z2529" s="26"/>
      <c r="AA2529" s="26"/>
      <c r="AB2529" s="26"/>
      <c r="AC2529" s="27"/>
    </row>
    <row r="2530" spans="1:29" x14ac:dyDescent="0.25">
      <c r="A2530" s="1"/>
      <c r="B2530" s="19"/>
      <c r="C2530" s="24"/>
      <c r="D2530" s="1"/>
      <c r="E2530" s="25"/>
      <c r="F2530" s="26"/>
      <c r="G2530" s="26"/>
      <c r="L2530" s="25"/>
      <c r="M2530" s="24"/>
      <c r="N2530" s="26"/>
      <c r="O2530" s="26"/>
      <c r="P2530" s="26"/>
      <c r="Q2530" s="26"/>
      <c r="R2530" s="26"/>
      <c r="S2530" s="26"/>
      <c r="T2530" s="26"/>
      <c r="U2530" s="26"/>
      <c r="V2530" s="26"/>
      <c r="W2530" s="26"/>
      <c r="X2530" s="26"/>
      <c r="Y2530" s="26"/>
      <c r="Z2530" s="26"/>
      <c r="AA2530" s="26"/>
      <c r="AB2530" s="26"/>
      <c r="AC2530" s="27"/>
    </row>
    <row r="2531" spans="1:29" x14ac:dyDescent="0.25">
      <c r="A2531" s="1"/>
      <c r="B2531" s="19"/>
      <c r="C2531" s="24"/>
      <c r="D2531" s="1"/>
      <c r="E2531" s="25"/>
      <c r="F2531" s="26"/>
      <c r="G2531" s="26"/>
      <c r="L2531" s="25"/>
      <c r="M2531" s="24"/>
      <c r="N2531" s="26"/>
      <c r="O2531" s="26"/>
      <c r="P2531" s="26"/>
      <c r="Q2531" s="26"/>
      <c r="R2531" s="26"/>
      <c r="S2531" s="26"/>
      <c r="T2531" s="26"/>
      <c r="U2531" s="26"/>
      <c r="V2531" s="26"/>
      <c r="W2531" s="26"/>
      <c r="X2531" s="26"/>
      <c r="Y2531" s="26"/>
      <c r="Z2531" s="26"/>
      <c r="AA2531" s="26"/>
      <c r="AB2531" s="26"/>
      <c r="AC2531" s="27"/>
    </row>
    <row r="2532" spans="1:29" x14ac:dyDescent="0.25">
      <c r="A2532" s="1"/>
      <c r="B2532" s="19"/>
      <c r="C2532" s="24"/>
      <c r="D2532" s="1"/>
      <c r="E2532" s="25"/>
      <c r="F2532" s="26"/>
      <c r="G2532" s="26"/>
      <c r="L2532" s="25"/>
      <c r="M2532" s="24"/>
      <c r="N2532" s="26"/>
      <c r="O2532" s="26"/>
      <c r="P2532" s="26"/>
      <c r="Q2532" s="26"/>
      <c r="R2532" s="26"/>
      <c r="S2532" s="26"/>
      <c r="T2532" s="26"/>
      <c r="U2532" s="26"/>
      <c r="V2532" s="26"/>
      <c r="W2532" s="26"/>
      <c r="X2532" s="26"/>
      <c r="Y2532" s="26"/>
      <c r="Z2532" s="26"/>
      <c r="AA2532" s="26"/>
      <c r="AB2532" s="26"/>
      <c r="AC2532" s="27"/>
    </row>
    <row r="2533" spans="1:29" x14ac:dyDescent="0.25">
      <c r="A2533" s="1"/>
      <c r="B2533" s="19"/>
      <c r="C2533" s="24"/>
      <c r="D2533" s="1"/>
      <c r="E2533" s="25"/>
      <c r="F2533" s="26"/>
      <c r="G2533" s="26"/>
      <c r="L2533" s="25"/>
      <c r="M2533" s="24"/>
      <c r="N2533" s="26"/>
      <c r="O2533" s="26"/>
      <c r="P2533" s="26"/>
      <c r="Q2533" s="26"/>
      <c r="R2533" s="26"/>
      <c r="S2533" s="26"/>
      <c r="T2533" s="26"/>
      <c r="U2533" s="26"/>
      <c r="V2533" s="26"/>
      <c r="W2533" s="26"/>
      <c r="X2533" s="26"/>
      <c r="Y2533" s="26"/>
      <c r="Z2533" s="26"/>
      <c r="AA2533" s="26"/>
      <c r="AB2533" s="26"/>
      <c r="AC2533" s="27"/>
    </row>
    <row r="2534" spans="1:29" x14ac:dyDescent="0.25">
      <c r="A2534" s="1"/>
      <c r="B2534" s="19"/>
      <c r="C2534" s="24"/>
      <c r="D2534" s="1"/>
      <c r="E2534" s="25"/>
      <c r="F2534" s="26"/>
      <c r="G2534" s="26"/>
      <c r="L2534" s="25"/>
      <c r="M2534" s="24"/>
      <c r="N2534" s="26"/>
      <c r="O2534" s="26"/>
      <c r="P2534" s="26"/>
      <c r="Q2534" s="26"/>
      <c r="R2534" s="26"/>
      <c r="S2534" s="26"/>
      <c r="T2534" s="26"/>
      <c r="U2534" s="26"/>
      <c r="V2534" s="26"/>
      <c r="W2534" s="26"/>
      <c r="X2534" s="26"/>
      <c r="Y2534" s="26"/>
      <c r="Z2534" s="26"/>
      <c r="AA2534" s="26"/>
      <c r="AB2534" s="26"/>
      <c r="AC2534" s="27"/>
    </row>
    <row r="2535" spans="1:29" x14ac:dyDescent="0.25">
      <c r="A2535" s="1"/>
      <c r="B2535" s="19"/>
      <c r="C2535" s="24"/>
      <c r="D2535" s="1"/>
      <c r="E2535" s="25"/>
      <c r="F2535" s="26"/>
      <c r="G2535" s="26"/>
      <c r="L2535" s="25"/>
      <c r="M2535" s="24"/>
      <c r="N2535" s="26"/>
      <c r="O2535" s="26"/>
      <c r="P2535" s="26"/>
      <c r="Q2535" s="26"/>
      <c r="R2535" s="26"/>
      <c r="S2535" s="26"/>
      <c r="T2535" s="26"/>
      <c r="U2535" s="26"/>
      <c r="V2535" s="26"/>
      <c r="W2535" s="26"/>
      <c r="X2535" s="26"/>
      <c r="Y2535" s="26"/>
      <c r="Z2535" s="26"/>
      <c r="AA2535" s="26"/>
      <c r="AB2535" s="26"/>
      <c r="AC2535" s="27"/>
    </row>
    <row r="2536" spans="1:29" x14ac:dyDescent="0.25">
      <c r="A2536" s="1"/>
      <c r="B2536" s="19"/>
      <c r="C2536" s="24"/>
      <c r="D2536" s="1"/>
      <c r="E2536" s="25"/>
      <c r="F2536" s="26"/>
      <c r="G2536" s="26"/>
      <c r="L2536" s="25"/>
      <c r="M2536" s="24"/>
      <c r="N2536" s="26"/>
      <c r="O2536" s="26"/>
      <c r="P2536" s="26"/>
      <c r="Q2536" s="26"/>
      <c r="R2536" s="26"/>
      <c r="S2536" s="26"/>
      <c r="T2536" s="26"/>
      <c r="U2536" s="26"/>
      <c r="V2536" s="26"/>
      <c r="W2536" s="26"/>
      <c r="X2536" s="26"/>
      <c r="Y2536" s="26"/>
      <c r="Z2536" s="26"/>
      <c r="AA2536" s="26"/>
      <c r="AB2536" s="26"/>
      <c r="AC2536" s="27"/>
    </row>
    <row r="2537" spans="1:29" x14ac:dyDescent="0.25">
      <c r="A2537" s="1"/>
      <c r="B2537" s="19"/>
      <c r="C2537" s="24"/>
      <c r="D2537" s="1"/>
      <c r="E2537" s="25"/>
      <c r="F2537" s="26"/>
      <c r="G2537" s="26"/>
      <c r="L2537" s="25"/>
      <c r="M2537" s="24"/>
      <c r="N2537" s="26"/>
      <c r="O2537" s="26"/>
      <c r="P2537" s="26"/>
      <c r="Q2537" s="26"/>
      <c r="R2537" s="26"/>
      <c r="S2537" s="26"/>
      <c r="T2537" s="26"/>
      <c r="U2537" s="26"/>
      <c r="V2537" s="26"/>
      <c r="W2537" s="26"/>
      <c r="X2537" s="26"/>
      <c r="Y2537" s="26"/>
      <c r="Z2537" s="26"/>
      <c r="AA2537" s="26"/>
      <c r="AB2537" s="26"/>
      <c r="AC2537" s="27"/>
    </row>
    <row r="2538" spans="1:29" x14ac:dyDescent="0.25">
      <c r="A2538" s="1"/>
      <c r="B2538" s="19"/>
      <c r="C2538" s="24"/>
      <c r="D2538" s="1"/>
      <c r="E2538" s="25"/>
      <c r="F2538" s="26"/>
      <c r="G2538" s="26"/>
      <c r="L2538" s="25"/>
      <c r="M2538" s="24"/>
      <c r="N2538" s="26"/>
      <c r="O2538" s="26"/>
      <c r="P2538" s="26"/>
      <c r="Q2538" s="26"/>
      <c r="R2538" s="26"/>
      <c r="S2538" s="26"/>
      <c r="T2538" s="26"/>
      <c r="U2538" s="26"/>
      <c r="V2538" s="26"/>
      <c r="W2538" s="26"/>
      <c r="X2538" s="26"/>
      <c r="Y2538" s="26"/>
      <c r="Z2538" s="26"/>
      <c r="AA2538" s="26"/>
      <c r="AB2538" s="26"/>
      <c r="AC2538" s="27"/>
    </row>
    <row r="2539" spans="1:29" x14ac:dyDescent="0.25">
      <c r="A2539" s="1"/>
      <c r="B2539" s="19"/>
      <c r="C2539" s="24"/>
      <c r="D2539" s="1"/>
      <c r="E2539" s="25"/>
      <c r="F2539" s="26"/>
      <c r="G2539" s="26"/>
      <c r="L2539" s="25"/>
      <c r="M2539" s="24"/>
      <c r="N2539" s="26"/>
      <c r="O2539" s="26"/>
      <c r="P2539" s="26"/>
      <c r="Q2539" s="26"/>
      <c r="R2539" s="26"/>
      <c r="S2539" s="26"/>
      <c r="T2539" s="26"/>
      <c r="U2539" s="26"/>
      <c r="V2539" s="26"/>
      <c r="W2539" s="26"/>
      <c r="X2539" s="26"/>
      <c r="Y2539" s="26"/>
      <c r="Z2539" s="26"/>
      <c r="AA2539" s="26"/>
      <c r="AB2539" s="26"/>
      <c r="AC2539" s="27"/>
    </row>
    <row r="2540" spans="1:29" x14ac:dyDescent="0.25">
      <c r="A2540" s="1"/>
      <c r="B2540" s="19"/>
      <c r="C2540" s="24"/>
      <c r="D2540" s="1"/>
      <c r="E2540" s="25"/>
      <c r="F2540" s="26"/>
      <c r="G2540" s="26"/>
      <c r="L2540" s="25"/>
      <c r="M2540" s="24"/>
      <c r="N2540" s="26"/>
      <c r="O2540" s="26"/>
      <c r="P2540" s="26"/>
      <c r="Q2540" s="26"/>
      <c r="R2540" s="26"/>
      <c r="S2540" s="26"/>
      <c r="T2540" s="26"/>
      <c r="U2540" s="26"/>
      <c r="V2540" s="26"/>
      <c r="W2540" s="26"/>
      <c r="X2540" s="26"/>
      <c r="Y2540" s="26"/>
      <c r="Z2540" s="26"/>
      <c r="AA2540" s="26"/>
      <c r="AB2540" s="26"/>
      <c r="AC2540" s="27"/>
    </row>
    <row r="2541" spans="1:29" x14ac:dyDescent="0.25">
      <c r="A2541" s="1"/>
      <c r="B2541" s="19"/>
      <c r="C2541" s="24"/>
      <c r="D2541" s="1"/>
      <c r="E2541" s="25"/>
      <c r="F2541" s="26"/>
      <c r="G2541" s="26"/>
      <c r="L2541" s="25"/>
      <c r="M2541" s="24"/>
      <c r="N2541" s="26"/>
      <c r="O2541" s="26"/>
      <c r="P2541" s="26"/>
      <c r="Q2541" s="26"/>
      <c r="R2541" s="26"/>
      <c r="S2541" s="26"/>
      <c r="T2541" s="26"/>
      <c r="U2541" s="26"/>
      <c r="V2541" s="26"/>
      <c r="W2541" s="26"/>
      <c r="X2541" s="26"/>
      <c r="Y2541" s="26"/>
      <c r="Z2541" s="26"/>
      <c r="AA2541" s="26"/>
      <c r="AB2541" s="26"/>
      <c r="AC2541" s="27"/>
    </row>
    <row r="2542" spans="1:29" x14ac:dyDescent="0.25">
      <c r="A2542" s="1"/>
      <c r="B2542" s="19"/>
      <c r="C2542" s="24"/>
      <c r="D2542" s="1"/>
      <c r="E2542" s="25"/>
      <c r="F2542" s="26"/>
      <c r="G2542" s="26"/>
      <c r="L2542" s="25"/>
      <c r="M2542" s="24"/>
      <c r="N2542" s="26"/>
      <c r="O2542" s="26"/>
      <c r="P2542" s="26"/>
      <c r="Q2542" s="26"/>
      <c r="R2542" s="26"/>
      <c r="S2542" s="26"/>
      <c r="T2542" s="26"/>
      <c r="U2542" s="26"/>
      <c r="V2542" s="26"/>
      <c r="W2542" s="26"/>
      <c r="X2542" s="26"/>
      <c r="Y2542" s="26"/>
      <c r="Z2542" s="26"/>
      <c r="AA2542" s="26"/>
      <c r="AB2542" s="26"/>
      <c r="AC2542" s="27"/>
    </row>
    <row r="2543" spans="1:29" x14ac:dyDescent="0.25">
      <c r="A2543" s="1"/>
      <c r="B2543" s="19"/>
      <c r="C2543" s="24"/>
      <c r="D2543" s="1"/>
      <c r="E2543" s="25"/>
      <c r="F2543" s="26"/>
      <c r="G2543" s="26"/>
      <c r="L2543" s="25"/>
      <c r="M2543" s="24"/>
      <c r="N2543" s="26"/>
      <c r="O2543" s="26"/>
      <c r="P2543" s="26"/>
      <c r="Q2543" s="26"/>
      <c r="R2543" s="26"/>
      <c r="S2543" s="26"/>
      <c r="T2543" s="26"/>
      <c r="U2543" s="26"/>
      <c r="V2543" s="26"/>
      <c r="W2543" s="26"/>
      <c r="X2543" s="26"/>
      <c r="Y2543" s="26"/>
      <c r="Z2543" s="26"/>
      <c r="AA2543" s="26"/>
      <c r="AB2543" s="26"/>
      <c r="AC2543" s="27"/>
    </row>
    <row r="2544" spans="1:29" x14ac:dyDescent="0.25">
      <c r="A2544" s="1"/>
      <c r="B2544" s="19"/>
      <c r="C2544" s="24"/>
      <c r="D2544" s="1"/>
      <c r="E2544" s="25"/>
      <c r="F2544" s="26"/>
      <c r="G2544" s="26"/>
      <c r="L2544" s="25"/>
      <c r="M2544" s="24"/>
      <c r="N2544" s="26"/>
      <c r="O2544" s="26"/>
      <c r="P2544" s="26"/>
      <c r="Q2544" s="26"/>
      <c r="R2544" s="26"/>
      <c r="S2544" s="26"/>
      <c r="T2544" s="26"/>
      <c r="U2544" s="26"/>
      <c r="V2544" s="26"/>
      <c r="W2544" s="26"/>
      <c r="X2544" s="26"/>
      <c r="Y2544" s="26"/>
      <c r="Z2544" s="26"/>
      <c r="AA2544" s="26"/>
      <c r="AB2544" s="26"/>
      <c r="AC2544" s="27"/>
    </row>
    <row r="2545" spans="1:29" x14ac:dyDescent="0.25">
      <c r="A2545" s="1"/>
      <c r="B2545" s="19"/>
      <c r="C2545" s="24"/>
      <c r="D2545" s="1"/>
      <c r="E2545" s="25"/>
      <c r="F2545" s="26"/>
      <c r="G2545" s="26"/>
      <c r="L2545" s="25"/>
      <c r="M2545" s="24"/>
      <c r="N2545" s="26"/>
      <c r="O2545" s="26"/>
      <c r="P2545" s="26"/>
      <c r="Q2545" s="26"/>
      <c r="R2545" s="26"/>
      <c r="S2545" s="26"/>
      <c r="T2545" s="26"/>
      <c r="U2545" s="26"/>
      <c r="V2545" s="26"/>
      <c r="W2545" s="26"/>
      <c r="X2545" s="26"/>
      <c r="Y2545" s="26"/>
      <c r="Z2545" s="26"/>
      <c r="AA2545" s="26"/>
      <c r="AB2545" s="26"/>
      <c r="AC2545" s="27"/>
    </row>
    <row r="2546" spans="1:29" x14ac:dyDescent="0.25">
      <c r="A2546" s="1"/>
      <c r="B2546" s="19"/>
      <c r="C2546" s="24"/>
      <c r="D2546" s="1"/>
      <c r="E2546" s="25"/>
      <c r="F2546" s="26"/>
      <c r="G2546" s="26"/>
      <c r="L2546" s="25"/>
      <c r="M2546" s="24"/>
      <c r="N2546" s="26"/>
      <c r="O2546" s="26"/>
      <c r="P2546" s="26"/>
      <c r="Q2546" s="26"/>
      <c r="R2546" s="26"/>
      <c r="S2546" s="26"/>
      <c r="T2546" s="26"/>
      <c r="U2546" s="26"/>
      <c r="V2546" s="26"/>
      <c r="W2546" s="26"/>
      <c r="X2546" s="26"/>
      <c r="Y2546" s="26"/>
      <c r="Z2546" s="26"/>
      <c r="AA2546" s="26"/>
      <c r="AB2546" s="26"/>
      <c r="AC2546" s="27"/>
    </row>
    <row r="2547" spans="1:29" x14ac:dyDescent="0.25">
      <c r="A2547" s="1"/>
      <c r="B2547" s="19"/>
      <c r="C2547" s="24"/>
      <c r="D2547" s="1"/>
      <c r="E2547" s="25"/>
      <c r="F2547" s="26"/>
      <c r="G2547" s="26"/>
      <c r="L2547" s="25"/>
      <c r="M2547" s="24"/>
      <c r="N2547" s="26"/>
      <c r="O2547" s="26"/>
      <c r="P2547" s="26"/>
      <c r="Q2547" s="26"/>
      <c r="R2547" s="26"/>
      <c r="S2547" s="26"/>
      <c r="T2547" s="26"/>
      <c r="U2547" s="26"/>
      <c r="V2547" s="26"/>
      <c r="W2547" s="26"/>
      <c r="X2547" s="26"/>
      <c r="Y2547" s="26"/>
      <c r="Z2547" s="26"/>
      <c r="AA2547" s="26"/>
      <c r="AB2547" s="26"/>
      <c r="AC2547" s="27"/>
    </row>
    <row r="2548" spans="1:29" x14ac:dyDescent="0.25">
      <c r="A2548" s="1"/>
      <c r="B2548" s="19"/>
      <c r="C2548" s="24"/>
      <c r="D2548" s="1"/>
      <c r="E2548" s="25"/>
      <c r="F2548" s="26"/>
      <c r="G2548" s="26"/>
      <c r="L2548" s="25"/>
      <c r="M2548" s="24"/>
      <c r="N2548" s="26"/>
      <c r="O2548" s="26"/>
      <c r="P2548" s="26"/>
      <c r="Q2548" s="26"/>
      <c r="R2548" s="26"/>
      <c r="S2548" s="26"/>
      <c r="T2548" s="26"/>
      <c r="U2548" s="26"/>
      <c r="V2548" s="26"/>
      <c r="W2548" s="26"/>
      <c r="X2548" s="26"/>
      <c r="Y2548" s="26"/>
      <c r="Z2548" s="26"/>
      <c r="AA2548" s="26"/>
      <c r="AB2548" s="26"/>
      <c r="AC2548" s="27"/>
    </row>
    <row r="2549" spans="1:29" x14ac:dyDescent="0.25">
      <c r="A2549" s="1"/>
      <c r="B2549" s="19"/>
      <c r="C2549" s="24"/>
      <c r="D2549" s="1"/>
      <c r="E2549" s="25"/>
      <c r="F2549" s="26"/>
      <c r="G2549" s="26"/>
      <c r="L2549" s="25"/>
      <c r="M2549" s="24"/>
      <c r="N2549" s="26"/>
      <c r="O2549" s="26"/>
      <c r="P2549" s="26"/>
      <c r="Q2549" s="26"/>
      <c r="R2549" s="26"/>
      <c r="S2549" s="26"/>
      <c r="T2549" s="26"/>
      <c r="U2549" s="26"/>
      <c r="V2549" s="26"/>
      <c r="W2549" s="26"/>
      <c r="X2549" s="26"/>
      <c r="Y2549" s="26"/>
      <c r="Z2549" s="26"/>
      <c r="AA2549" s="26"/>
      <c r="AB2549" s="26"/>
      <c r="AC2549" s="27"/>
    </row>
    <row r="2550" spans="1:29" x14ac:dyDescent="0.25">
      <c r="A2550" s="1"/>
      <c r="B2550" s="19"/>
      <c r="C2550" s="24"/>
      <c r="D2550" s="1"/>
      <c r="E2550" s="25"/>
      <c r="F2550" s="26"/>
      <c r="G2550" s="26"/>
      <c r="L2550" s="25"/>
      <c r="M2550" s="24"/>
      <c r="N2550" s="26"/>
      <c r="O2550" s="26"/>
      <c r="P2550" s="26"/>
      <c r="Q2550" s="26"/>
      <c r="R2550" s="26"/>
      <c r="S2550" s="26"/>
      <c r="T2550" s="26"/>
      <c r="U2550" s="26"/>
      <c r="V2550" s="26"/>
      <c r="W2550" s="26"/>
      <c r="X2550" s="26"/>
      <c r="Y2550" s="26"/>
      <c r="Z2550" s="26"/>
      <c r="AA2550" s="26"/>
      <c r="AB2550" s="26"/>
      <c r="AC2550" s="27"/>
    </row>
    <row r="2551" spans="1:29" x14ac:dyDescent="0.25">
      <c r="A2551" s="1"/>
      <c r="B2551" s="19"/>
      <c r="C2551" s="24"/>
      <c r="D2551" s="1"/>
      <c r="E2551" s="25"/>
      <c r="F2551" s="26"/>
      <c r="G2551" s="26"/>
      <c r="L2551" s="25"/>
      <c r="M2551" s="24"/>
      <c r="N2551" s="26"/>
      <c r="O2551" s="26"/>
      <c r="P2551" s="26"/>
      <c r="Q2551" s="26"/>
      <c r="R2551" s="26"/>
      <c r="S2551" s="26"/>
      <c r="T2551" s="26"/>
      <c r="U2551" s="26"/>
      <c r="V2551" s="26"/>
      <c r="W2551" s="26"/>
      <c r="X2551" s="26"/>
      <c r="Y2551" s="26"/>
      <c r="Z2551" s="26"/>
      <c r="AA2551" s="26"/>
      <c r="AB2551" s="26"/>
      <c r="AC2551" s="27"/>
    </row>
    <row r="2552" spans="1:29" x14ac:dyDescent="0.25">
      <c r="A2552" s="1"/>
      <c r="B2552" s="19"/>
      <c r="C2552" s="24"/>
      <c r="D2552" s="1"/>
      <c r="E2552" s="25"/>
      <c r="F2552" s="26"/>
      <c r="G2552" s="26"/>
      <c r="L2552" s="25"/>
      <c r="M2552" s="24"/>
      <c r="N2552" s="26"/>
      <c r="O2552" s="26"/>
      <c r="P2552" s="26"/>
      <c r="Q2552" s="26"/>
      <c r="R2552" s="26"/>
      <c r="S2552" s="26"/>
      <c r="T2552" s="26"/>
      <c r="U2552" s="26"/>
      <c r="V2552" s="26"/>
      <c r="W2552" s="26"/>
      <c r="X2552" s="26"/>
      <c r="Y2552" s="26"/>
      <c r="Z2552" s="26"/>
      <c r="AA2552" s="26"/>
      <c r="AB2552" s="26"/>
      <c r="AC2552" s="27"/>
    </row>
    <row r="2553" spans="1:29" x14ac:dyDescent="0.25">
      <c r="A2553" s="1"/>
      <c r="B2553" s="19"/>
      <c r="C2553" s="24"/>
      <c r="D2553" s="1"/>
      <c r="E2553" s="25"/>
      <c r="F2553" s="26"/>
      <c r="G2553" s="26"/>
      <c r="L2553" s="25"/>
      <c r="M2553" s="24"/>
      <c r="N2553" s="26"/>
      <c r="O2553" s="26"/>
      <c r="P2553" s="26"/>
      <c r="Q2553" s="26"/>
      <c r="R2553" s="26"/>
      <c r="S2553" s="26"/>
      <c r="T2553" s="26"/>
      <c r="U2553" s="26"/>
      <c r="V2553" s="26"/>
      <c r="W2553" s="26"/>
      <c r="X2553" s="26"/>
      <c r="Y2553" s="26"/>
      <c r="Z2553" s="26"/>
      <c r="AA2553" s="26"/>
      <c r="AB2553" s="26"/>
      <c r="AC2553" s="27"/>
    </row>
    <row r="2554" spans="1:29" x14ac:dyDescent="0.25">
      <c r="A2554" s="1"/>
      <c r="B2554" s="19"/>
      <c r="C2554" s="24"/>
      <c r="D2554" s="1"/>
      <c r="E2554" s="25"/>
      <c r="F2554" s="26"/>
      <c r="G2554" s="26"/>
      <c r="L2554" s="25"/>
      <c r="M2554" s="24"/>
      <c r="N2554" s="26"/>
      <c r="O2554" s="26"/>
      <c r="P2554" s="26"/>
      <c r="Q2554" s="26"/>
      <c r="R2554" s="26"/>
      <c r="S2554" s="26"/>
      <c r="T2554" s="26"/>
      <c r="U2554" s="26"/>
      <c r="V2554" s="26"/>
      <c r="W2554" s="26"/>
      <c r="X2554" s="26"/>
      <c r="Y2554" s="26"/>
      <c r="Z2554" s="26"/>
      <c r="AA2554" s="26"/>
      <c r="AB2554" s="26"/>
      <c r="AC2554" s="27"/>
    </row>
    <row r="2555" spans="1:29" x14ac:dyDescent="0.25">
      <c r="A2555" s="1"/>
      <c r="B2555" s="19"/>
      <c r="C2555" s="24"/>
      <c r="D2555" s="1"/>
      <c r="E2555" s="25"/>
      <c r="F2555" s="26"/>
      <c r="G2555" s="26"/>
      <c r="L2555" s="25"/>
      <c r="M2555" s="24"/>
      <c r="N2555" s="26"/>
      <c r="O2555" s="26"/>
      <c r="P2555" s="26"/>
      <c r="Q2555" s="26"/>
      <c r="R2555" s="26"/>
      <c r="S2555" s="26"/>
      <c r="T2555" s="26"/>
      <c r="U2555" s="26"/>
      <c r="V2555" s="26"/>
      <c r="W2555" s="26"/>
      <c r="X2555" s="26"/>
      <c r="Y2555" s="26"/>
      <c r="Z2555" s="26"/>
      <c r="AA2555" s="26"/>
      <c r="AB2555" s="26"/>
      <c r="AC2555" s="27"/>
    </row>
    <row r="2556" spans="1:29" x14ac:dyDescent="0.25">
      <c r="A2556" s="1"/>
      <c r="B2556" s="19"/>
      <c r="C2556" s="24"/>
      <c r="D2556" s="1"/>
      <c r="E2556" s="25"/>
      <c r="F2556" s="26"/>
      <c r="G2556" s="26"/>
      <c r="L2556" s="25"/>
      <c r="M2556" s="24"/>
      <c r="N2556" s="26"/>
      <c r="O2556" s="26"/>
      <c r="P2556" s="26"/>
      <c r="Q2556" s="26"/>
      <c r="R2556" s="26"/>
      <c r="S2556" s="26"/>
      <c r="T2556" s="26"/>
      <c r="U2556" s="26"/>
      <c r="V2556" s="26"/>
      <c r="W2556" s="26"/>
      <c r="X2556" s="26"/>
      <c r="Y2556" s="26"/>
      <c r="Z2556" s="26"/>
      <c r="AA2556" s="26"/>
      <c r="AB2556" s="26"/>
      <c r="AC2556" s="27"/>
    </row>
    <row r="2557" spans="1:29" x14ac:dyDescent="0.25">
      <c r="A2557" s="1"/>
      <c r="B2557" s="19"/>
      <c r="C2557" s="24"/>
      <c r="D2557" s="1"/>
      <c r="E2557" s="25"/>
      <c r="F2557" s="26"/>
      <c r="G2557" s="26"/>
      <c r="L2557" s="25"/>
      <c r="M2557" s="24"/>
      <c r="N2557" s="26"/>
      <c r="O2557" s="26"/>
      <c r="P2557" s="26"/>
      <c r="Q2557" s="26"/>
      <c r="R2557" s="26"/>
      <c r="S2557" s="26"/>
      <c r="T2557" s="26"/>
      <c r="U2557" s="26"/>
      <c r="V2557" s="26"/>
      <c r="W2557" s="26"/>
      <c r="X2557" s="26"/>
      <c r="Y2557" s="26"/>
      <c r="Z2557" s="26"/>
      <c r="AA2557" s="26"/>
      <c r="AB2557" s="26"/>
      <c r="AC2557" s="27"/>
    </row>
    <row r="2558" spans="1:29" x14ac:dyDescent="0.25">
      <c r="A2558" s="1"/>
      <c r="B2558" s="19"/>
      <c r="C2558" s="24"/>
      <c r="D2558" s="1"/>
      <c r="E2558" s="25"/>
      <c r="F2558" s="26"/>
      <c r="G2558" s="26"/>
      <c r="L2558" s="25"/>
      <c r="M2558" s="24"/>
      <c r="N2558" s="26"/>
      <c r="O2558" s="26"/>
      <c r="P2558" s="26"/>
      <c r="Q2558" s="26"/>
      <c r="R2558" s="26"/>
      <c r="S2558" s="26"/>
      <c r="T2558" s="26"/>
      <c r="U2558" s="26"/>
      <c r="V2558" s="26"/>
      <c r="W2558" s="26"/>
      <c r="X2558" s="26"/>
      <c r="Y2558" s="26"/>
      <c r="Z2558" s="26"/>
      <c r="AA2558" s="26"/>
      <c r="AB2558" s="26"/>
      <c r="AC2558" s="27"/>
    </row>
    <row r="2559" spans="1:29" x14ac:dyDescent="0.25">
      <c r="A2559" s="1"/>
      <c r="B2559" s="19"/>
      <c r="C2559" s="24"/>
      <c r="D2559" s="1"/>
      <c r="E2559" s="25"/>
      <c r="F2559" s="26"/>
      <c r="G2559" s="26"/>
      <c r="L2559" s="25"/>
      <c r="M2559" s="24"/>
      <c r="N2559" s="26"/>
      <c r="O2559" s="26"/>
      <c r="P2559" s="26"/>
      <c r="Q2559" s="26"/>
      <c r="R2559" s="26"/>
      <c r="S2559" s="26"/>
      <c r="T2559" s="26"/>
      <c r="U2559" s="26"/>
      <c r="V2559" s="26"/>
      <c r="W2559" s="26"/>
      <c r="X2559" s="26"/>
      <c r="Y2559" s="26"/>
      <c r="Z2559" s="26"/>
      <c r="AA2559" s="26"/>
      <c r="AB2559" s="26"/>
      <c r="AC2559" s="27"/>
    </row>
    <row r="2560" spans="1:29" x14ac:dyDescent="0.25">
      <c r="A2560" s="1"/>
      <c r="B2560" s="19"/>
      <c r="C2560" s="24"/>
      <c r="D2560" s="1"/>
      <c r="E2560" s="25"/>
      <c r="F2560" s="26"/>
      <c r="G2560" s="26"/>
      <c r="L2560" s="25"/>
      <c r="M2560" s="24"/>
      <c r="N2560" s="26"/>
      <c r="O2560" s="26"/>
      <c r="P2560" s="26"/>
      <c r="Q2560" s="26"/>
      <c r="R2560" s="26"/>
      <c r="S2560" s="26"/>
      <c r="T2560" s="26"/>
      <c r="U2560" s="26"/>
      <c r="V2560" s="26"/>
      <c r="W2560" s="26"/>
      <c r="X2560" s="26"/>
      <c r="Y2560" s="26"/>
      <c r="Z2560" s="26"/>
      <c r="AA2560" s="26"/>
      <c r="AB2560" s="26"/>
      <c r="AC2560" s="27"/>
    </row>
    <row r="2561" spans="1:29" x14ac:dyDescent="0.25">
      <c r="A2561" s="1"/>
      <c r="B2561" s="19"/>
      <c r="C2561" s="24"/>
      <c r="D2561" s="1"/>
      <c r="E2561" s="25"/>
      <c r="F2561" s="26"/>
      <c r="G2561" s="26"/>
      <c r="L2561" s="25"/>
      <c r="M2561" s="24"/>
      <c r="N2561" s="26"/>
      <c r="O2561" s="26"/>
      <c r="P2561" s="26"/>
      <c r="Q2561" s="26"/>
      <c r="R2561" s="26"/>
      <c r="S2561" s="26"/>
      <c r="T2561" s="26"/>
      <c r="U2561" s="26"/>
      <c r="V2561" s="26"/>
      <c r="W2561" s="26"/>
      <c r="X2561" s="26"/>
      <c r="Y2561" s="26"/>
      <c r="Z2561" s="26"/>
      <c r="AA2561" s="26"/>
      <c r="AB2561" s="26"/>
      <c r="AC2561" s="27"/>
    </row>
    <row r="2562" spans="1:29" x14ac:dyDescent="0.25">
      <c r="A2562" s="1"/>
      <c r="B2562" s="19"/>
      <c r="C2562" s="24"/>
      <c r="D2562" s="1"/>
      <c r="E2562" s="25"/>
      <c r="F2562" s="26"/>
      <c r="G2562" s="26"/>
      <c r="L2562" s="25"/>
      <c r="M2562" s="24"/>
      <c r="N2562" s="26"/>
      <c r="O2562" s="26"/>
      <c r="P2562" s="26"/>
      <c r="Q2562" s="26"/>
      <c r="R2562" s="26"/>
      <c r="S2562" s="26"/>
      <c r="T2562" s="26"/>
      <c r="U2562" s="26"/>
      <c r="V2562" s="26"/>
      <c r="W2562" s="26"/>
      <c r="X2562" s="26"/>
      <c r="Y2562" s="26"/>
      <c r="Z2562" s="26"/>
      <c r="AA2562" s="26"/>
      <c r="AB2562" s="26"/>
      <c r="AC2562" s="27"/>
    </row>
    <row r="2563" spans="1:29" x14ac:dyDescent="0.25">
      <c r="A2563" s="1"/>
      <c r="B2563" s="19"/>
      <c r="C2563" s="24"/>
      <c r="D2563" s="1"/>
      <c r="E2563" s="25"/>
      <c r="F2563" s="26"/>
      <c r="G2563" s="26"/>
      <c r="L2563" s="25"/>
      <c r="M2563" s="24"/>
      <c r="N2563" s="26"/>
      <c r="O2563" s="26"/>
      <c r="P2563" s="26"/>
      <c r="Q2563" s="26"/>
      <c r="R2563" s="26"/>
      <c r="S2563" s="26"/>
      <c r="T2563" s="26"/>
      <c r="U2563" s="26"/>
      <c r="V2563" s="26"/>
      <c r="W2563" s="26"/>
      <c r="X2563" s="26"/>
      <c r="Y2563" s="26"/>
      <c r="Z2563" s="26"/>
      <c r="AA2563" s="26"/>
      <c r="AB2563" s="26"/>
      <c r="AC2563" s="27"/>
    </row>
    <row r="2564" spans="1:29" x14ac:dyDescent="0.25">
      <c r="A2564" s="1"/>
      <c r="B2564" s="19"/>
      <c r="C2564" s="24"/>
      <c r="D2564" s="1"/>
      <c r="E2564" s="25"/>
      <c r="F2564" s="26"/>
      <c r="G2564" s="26"/>
      <c r="L2564" s="25"/>
      <c r="M2564" s="24"/>
      <c r="N2564" s="26"/>
      <c r="O2564" s="26"/>
      <c r="P2564" s="26"/>
      <c r="Q2564" s="26"/>
      <c r="R2564" s="26"/>
      <c r="S2564" s="26"/>
      <c r="T2564" s="26"/>
      <c r="U2564" s="26"/>
      <c r="V2564" s="26"/>
      <c r="W2564" s="26"/>
      <c r="X2564" s="26"/>
      <c r="Y2564" s="26"/>
      <c r="Z2564" s="26"/>
      <c r="AA2564" s="26"/>
      <c r="AB2564" s="26"/>
      <c r="AC2564" s="27"/>
    </row>
    <row r="2565" spans="1:29" x14ac:dyDescent="0.25">
      <c r="A2565" s="1"/>
      <c r="B2565" s="19"/>
      <c r="C2565" s="24"/>
      <c r="D2565" s="1"/>
      <c r="E2565" s="25"/>
      <c r="F2565" s="26"/>
      <c r="G2565" s="26"/>
      <c r="L2565" s="25"/>
      <c r="M2565" s="24"/>
      <c r="N2565" s="26"/>
      <c r="O2565" s="26"/>
      <c r="P2565" s="26"/>
      <c r="Q2565" s="26"/>
      <c r="R2565" s="26"/>
      <c r="S2565" s="26"/>
      <c r="T2565" s="26"/>
      <c r="U2565" s="26"/>
      <c r="V2565" s="26"/>
      <c r="W2565" s="26"/>
      <c r="X2565" s="26"/>
      <c r="Y2565" s="26"/>
      <c r="Z2565" s="26"/>
      <c r="AA2565" s="26"/>
      <c r="AB2565" s="26"/>
      <c r="AC2565" s="27"/>
    </row>
    <row r="2566" spans="1:29" x14ac:dyDescent="0.25">
      <c r="A2566" s="1"/>
      <c r="B2566" s="19"/>
      <c r="C2566" s="24"/>
      <c r="D2566" s="1"/>
      <c r="E2566" s="25"/>
      <c r="F2566" s="26"/>
      <c r="G2566" s="26"/>
      <c r="L2566" s="25"/>
      <c r="M2566" s="24"/>
      <c r="N2566" s="26"/>
      <c r="O2566" s="26"/>
      <c r="P2566" s="26"/>
      <c r="Q2566" s="26"/>
      <c r="R2566" s="26"/>
      <c r="S2566" s="26"/>
      <c r="T2566" s="26"/>
      <c r="U2566" s="26"/>
      <c r="V2566" s="26"/>
      <c r="W2566" s="26"/>
      <c r="X2566" s="26"/>
      <c r="Y2566" s="26"/>
      <c r="Z2566" s="26"/>
      <c r="AA2566" s="26"/>
      <c r="AB2566" s="26"/>
      <c r="AC2566" s="27"/>
    </row>
    <row r="2567" spans="1:29" x14ac:dyDescent="0.25">
      <c r="A2567" s="1"/>
      <c r="B2567" s="19"/>
      <c r="C2567" s="24"/>
      <c r="D2567" s="1"/>
      <c r="E2567" s="25"/>
      <c r="F2567" s="26"/>
      <c r="G2567" s="26"/>
      <c r="L2567" s="25"/>
      <c r="M2567" s="24"/>
      <c r="N2567" s="26"/>
      <c r="O2567" s="26"/>
      <c r="P2567" s="26"/>
      <c r="Q2567" s="26"/>
      <c r="R2567" s="26"/>
      <c r="S2567" s="26"/>
      <c r="T2567" s="26"/>
      <c r="U2567" s="26"/>
      <c r="V2567" s="26"/>
      <c r="W2567" s="26"/>
      <c r="X2567" s="26"/>
      <c r="Y2567" s="26"/>
      <c r="Z2567" s="26"/>
      <c r="AA2567" s="26"/>
      <c r="AB2567" s="26"/>
      <c r="AC2567" s="27"/>
    </row>
    <row r="2568" spans="1:29" x14ac:dyDescent="0.25">
      <c r="A2568" s="1"/>
      <c r="B2568" s="19"/>
      <c r="C2568" s="24"/>
      <c r="D2568" s="1"/>
      <c r="E2568" s="25"/>
      <c r="F2568" s="26"/>
      <c r="G2568" s="26"/>
      <c r="L2568" s="25"/>
      <c r="M2568" s="24"/>
      <c r="N2568" s="26"/>
      <c r="O2568" s="26"/>
      <c r="P2568" s="26"/>
      <c r="Q2568" s="26"/>
      <c r="R2568" s="26"/>
      <c r="S2568" s="26"/>
      <c r="T2568" s="26"/>
      <c r="U2568" s="26"/>
      <c r="V2568" s="26"/>
      <c r="W2568" s="26"/>
      <c r="X2568" s="26"/>
      <c r="Y2568" s="26"/>
      <c r="Z2568" s="26"/>
      <c r="AA2568" s="26"/>
      <c r="AB2568" s="26"/>
      <c r="AC2568" s="27"/>
    </row>
    <row r="2569" spans="1:29" x14ac:dyDescent="0.25">
      <c r="A2569" s="1"/>
      <c r="B2569" s="19"/>
      <c r="C2569" s="24"/>
      <c r="D2569" s="1"/>
      <c r="E2569" s="25"/>
      <c r="F2569" s="26"/>
      <c r="G2569" s="26"/>
      <c r="L2569" s="25"/>
      <c r="M2569" s="24"/>
      <c r="N2569" s="26"/>
      <c r="O2569" s="26"/>
      <c r="P2569" s="26"/>
      <c r="Q2569" s="26"/>
      <c r="R2569" s="26"/>
      <c r="S2569" s="26"/>
      <c r="T2569" s="26"/>
      <c r="U2569" s="26"/>
      <c r="V2569" s="26"/>
      <c r="W2569" s="26"/>
      <c r="X2569" s="26"/>
      <c r="Y2569" s="26"/>
      <c r="Z2569" s="26"/>
      <c r="AA2569" s="26"/>
      <c r="AB2569" s="26"/>
      <c r="AC2569" s="27"/>
    </row>
    <row r="2570" spans="1:29" x14ac:dyDescent="0.25">
      <c r="A2570" s="1"/>
      <c r="B2570" s="19"/>
      <c r="C2570" s="24"/>
      <c r="D2570" s="1"/>
      <c r="E2570" s="25"/>
      <c r="F2570" s="26"/>
      <c r="G2570" s="26"/>
      <c r="L2570" s="25"/>
      <c r="M2570" s="24"/>
      <c r="N2570" s="26"/>
      <c r="O2570" s="26"/>
      <c r="P2570" s="26"/>
      <c r="Q2570" s="26"/>
      <c r="R2570" s="26"/>
      <c r="S2570" s="26"/>
      <c r="T2570" s="26"/>
      <c r="U2570" s="26"/>
      <c r="V2570" s="26"/>
      <c r="W2570" s="26"/>
      <c r="X2570" s="26"/>
      <c r="Y2570" s="26"/>
      <c r="Z2570" s="26"/>
      <c r="AA2570" s="26"/>
      <c r="AB2570" s="26"/>
      <c r="AC2570" s="27"/>
    </row>
    <row r="2571" spans="1:29" x14ac:dyDescent="0.25">
      <c r="A2571" s="1"/>
      <c r="B2571" s="19"/>
      <c r="C2571" s="24"/>
      <c r="D2571" s="1"/>
      <c r="E2571" s="25"/>
      <c r="F2571" s="26"/>
      <c r="G2571" s="26"/>
      <c r="L2571" s="25"/>
      <c r="M2571" s="24"/>
      <c r="N2571" s="26"/>
      <c r="O2571" s="26"/>
      <c r="P2571" s="26"/>
      <c r="Q2571" s="26"/>
      <c r="R2571" s="26"/>
      <c r="S2571" s="26"/>
      <c r="T2571" s="26"/>
      <c r="U2571" s="26"/>
      <c r="V2571" s="26"/>
      <c r="W2571" s="26"/>
      <c r="X2571" s="26"/>
      <c r="Y2571" s="26"/>
      <c r="Z2571" s="26"/>
      <c r="AA2571" s="26"/>
      <c r="AB2571" s="26"/>
      <c r="AC2571" s="27"/>
    </row>
    <row r="2572" spans="1:29" x14ac:dyDescent="0.25">
      <c r="A2572" s="1"/>
      <c r="B2572" s="19"/>
      <c r="C2572" s="24"/>
      <c r="D2572" s="1"/>
      <c r="E2572" s="25"/>
      <c r="F2572" s="26"/>
      <c r="G2572" s="26"/>
      <c r="L2572" s="25"/>
      <c r="M2572" s="24"/>
      <c r="N2572" s="26"/>
      <c r="O2572" s="26"/>
      <c r="P2572" s="26"/>
      <c r="Q2572" s="26"/>
      <c r="R2572" s="26"/>
      <c r="S2572" s="26"/>
      <c r="T2572" s="26"/>
      <c r="U2572" s="26"/>
      <c r="V2572" s="26"/>
      <c r="W2572" s="26"/>
      <c r="X2572" s="26"/>
      <c r="Y2572" s="26"/>
      <c r="Z2572" s="26"/>
      <c r="AA2572" s="26"/>
      <c r="AB2572" s="26"/>
      <c r="AC2572" s="27"/>
    </row>
    <row r="2573" spans="1:29" x14ac:dyDescent="0.25">
      <c r="A2573" s="1"/>
      <c r="B2573" s="19"/>
      <c r="C2573" s="24"/>
      <c r="D2573" s="1"/>
      <c r="E2573" s="25"/>
      <c r="F2573" s="26"/>
      <c r="G2573" s="26"/>
      <c r="L2573" s="25"/>
      <c r="M2573" s="24"/>
      <c r="N2573" s="26"/>
      <c r="O2573" s="26"/>
      <c r="P2573" s="26"/>
      <c r="Q2573" s="26"/>
      <c r="R2573" s="26"/>
      <c r="S2573" s="26"/>
      <c r="T2573" s="26"/>
      <c r="U2573" s="26"/>
      <c r="V2573" s="26"/>
      <c r="W2573" s="26"/>
      <c r="X2573" s="26"/>
      <c r="Y2573" s="26"/>
      <c r="Z2573" s="26"/>
      <c r="AA2573" s="26"/>
      <c r="AB2573" s="26"/>
      <c r="AC2573" s="27"/>
    </row>
    <row r="2574" spans="1:29" x14ac:dyDescent="0.25">
      <c r="A2574" s="1"/>
      <c r="B2574" s="19"/>
      <c r="C2574" s="24"/>
      <c r="D2574" s="1"/>
      <c r="E2574" s="25"/>
      <c r="F2574" s="26"/>
      <c r="G2574" s="26"/>
      <c r="L2574" s="25"/>
      <c r="M2574" s="24"/>
      <c r="N2574" s="26"/>
      <c r="O2574" s="26"/>
      <c r="P2574" s="26"/>
      <c r="Q2574" s="26"/>
      <c r="R2574" s="26"/>
      <c r="S2574" s="26"/>
      <c r="T2574" s="26"/>
      <c r="U2574" s="26"/>
      <c r="V2574" s="26"/>
      <c r="W2574" s="26"/>
      <c r="X2574" s="26"/>
      <c r="Y2574" s="26"/>
      <c r="Z2574" s="26"/>
      <c r="AA2574" s="26"/>
      <c r="AB2574" s="26"/>
      <c r="AC2574" s="27"/>
    </row>
    <row r="2575" spans="1:29" x14ac:dyDescent="0.25">
      <c r="A2575" s="1"/>
      <c r="B2575" s="19"/>
      <c r="C2575" s="24"/>
      <c r="D2575" s="1"/>
      <c r="E2575" s="25"/>
      <c r="F2575" s="26"/>
      <c r="G2575" s="26"/>
      <c r="L2575" s="25"/>
      <c r="M2575" s="24"/>
      <c r="N2575" s="26"/>
      <c r="O2575" s="26"/>
      <c r="P2575" s="26"/>
      <c r="Q2575" s="26"/>
      <c r="R2575" s="26"/>
      <c r="S2575" s="26"/>
      <c r="T2575" s="26"/>
      <c r="U2575" s="26"/>
      <c r="V2575" s="26"/>
      <c r="W2575" s="26"/>
      <c r="X2575" s="26"/>
      <c r="Y2575" s="26"/>
      <c r="Z2575" s="26"/>
      <c r="AA2575" s="26"/>
      <c r="AB2575" s="26"/>
      <c r="AC2575" s="27"/>
    </row>
    <row r="2576" spans="1:29" x14ac:dyDescent="0.25">
      <c r="A2576" s="1"/>
      <c r="B2576" s="19"/>
      <c r="C2576" s="24"/>
      <c r="D2576" s="1"/>
      <c r="E2576" s="25"/>
      <c r="F2576" s="26"/>
      <c r="G2576" s="26"/>
      <c r="L2576" s="25"/>
      <c r="M2576" s="24"/>
      <c r="N2576" s="26"/>
      <c r="O2576" s="26"/>
      <c r="P2576" s="26"/>
      <c r="Q2576" s="26"/>
      <c r="R2576" s="26"/>
      <c r="S2576" s="26"/>
      <c r="T2576" s="26"/>
      <c r="U2576" s="26"/>
      <c r="V2576" s="26"/>
      <c r="W2576" s="26"/>
      <c r="X2576" s="26"/>
      <c r="Y2576" s="26"/>
      <c r="Z2576" s="26"/>
      <c r="AA2576" s="26"/>
      <c r="AB2576" s="26"/>
      <c r="AC2576" s="27"/>
    </row>
    <row r="2577" spans="1:29" x14ac:dyDescent="0.25">
      <c r="A2577" s="1"/>
      <c r="B2577" s="19"/>
      <c r="C2577" s="24"/>
      <c r="D2577" s="1"/>
      <c r="E2577" s="25"/>
      <c r="F2577" s="26"/>
      <c r="G2577" s="26"/>
      <c r="L2577" s="25"/>
      <c r="M2577" s="24"/>
      <c r="N2577" s="26"/>
      <c r="O2577" s="26"/>
      <c r="P2577" s="26"/>
      <c r="Q2577" s="26"/>
      <c r="R2577" s="26"/>
      <c r="S2577" s="26"/>
      <c r="T2577" s="26"/>
      <c r="U2577" s="26"/>
      <c r="V2577" s="26"/>
      <c r="W2577" s="26"/>
      <c r="X2577" s="26"/>
      <c r="Y2577" s="26"/>
      <c r="Z2577" s="26"/>
      <c r="AA2577" s="26"/>
      <c r="AB2577" s="26"/>
      <c r="AC2577" s="27"/>
    </row>
    <row r="2578" spans="1:29" x14ac:dyDescent="0.25">
      <c r="A2578" s="1"/>
      <c r="B2578" s="19"/>
      <c r="C2578" s="24"/>
      <c r="D2578" s="1"/>
      <c r="E2578" s="25"/>
      <c r="F2578" s="26"/>
      <c r="G2578" s="26"/>
      <c r="L2578" s="25"/>
      <c r="M2578" s="24"/>
      <c r="N2578" s="26"/>
      <c r="O2578" s="26"/>
      <c r="P2578" s="26"/>
      <c r="Q2578" s="26"/>
      <c r="R2578" s="26"/>
      <c r="S2578" s="26"/>
      <c r="T2578" s="26"/>
      <c r="U2578" s="26"/>
      <c r="V2578" s="26"/>
      <c r="W2578" s="26"/>
      <c r="X2578" s="26"/>
      <c r="Y2578" s="26"/>
      <c r="Z2578" s="26"/>
      <c r="AA2578" s="26"/>
      <c r="AB2578" s="26"/>
      <c r="AC2578" s="27"/>
    </row>
    <row r="2579" spans="1:29" x14ac:dyDescent="0.25">
      <c r="A2579" s="1"/>
      <c r="B2579" s="19"/>
      <c r="C2579" s="24"/>
      <c r="D2579" s="1"/>
      <c r="E2579" s="25"/>
      <c r="F2579" s="26"/>
      <c r="G2579" s="26"/>
      <c r="L2579" s="25"/>
      <c r="M2579" s="24"/>
      <c r="N2579" s="26"/>
      <c r="O2579" s="26"/>
      <c r="P2579" s="26"/>
      <c r="Q2579" s="26"/>
      <c r="R2579" s="26"/>
      <c r="S2579" s="26"/>
      <c r="T2579" s="26"/>
      <c r="U2579" s="26"/>
      <c r="V2579" s="26"/>
      <c r="W2579" s="26"/>
      <c r="X2579" s="26"/>
      <c r="Y2579" s="26"/>
      <c r="Z2579" s="26"/>
      <c r="AA2579" s="26"/>
      <c r="AB2579" s="26"/>
      <c r="AC2579" s="27"/>
    </row>
    <row r="2580" spans="1:29" x14ac:dyDescent="0.25">
      <c r="A2580" s="1"/>
      <c r="B2580" s="19"/>
      <c r="C2580" s="24"/>
      <c r="D2580" s="1"/>
      <c r="E2580" s="25"/>
      <c r="F2580" s="26"/>
      <c r="G2580" s="26"/>
      <c r="L2580" s="25"/>
      <c r="M2580" s="24"/>
      <c r="N2580" s="26"/>
      <c r="O2580" s="26"/>
      <c r="P2580" s="26"/>
      <c r="Q2580" s="26"/>
      <c r="R2580" s="26"/>
      <c r="S2580" s="26"/>
      <c r="T2580" s="26"/>
      <c r="U2580" s="26"/>
      <c r="V2580" s="26"/>
      <c r="W2580" s="26"/>
      <c r="X2580" s="26"/>
      <c r="Y2580" s="26"/>
      <c r="Z2580" s="26"/>
      <c r="AA2580" s="26"/>
      <c r="AB2580" s="26"/>
      <c r="AC2580" s="27"/>
    </row>
    <row r="2581" spans="1:29" x14ac:dyDescent="0.25">
      <c r="A2581" s="1"/>
      <c r="B2581" s="19"/>
      <c r="C2581" s="24"/>
      <c r="D2581" s="1"/>
      <c r="E2581" s="25"/>
      <c r="F2581" s="26"/>
      <c r="G2581" s="26"/>
      <c r="L2581" s="25"/>
      <c r="M2581" s="24"/>
      <c r="N2581" s="26"/>
      <c r="O2581" s="26"/>
      <c r="P2581" s="26"/>
      <c r="Q2581" s="26"/>
      <c r="R2581" s="26"/>
      <c r="S2581" s="26"/>
      <c r="T2581" s="26"/>
      <c r="U2581" s="26"/>
      <c r="V2581" s="26"/>
      <c r="W2581" s="26"/>
      <c r="X2581" s="26"/>
      <c r="Y2581" s="26"/>
      <c r="Z2581" s="26"/>
      <c r="AA2581" s="26"/>
      <c r="AB2581" s="26"/>
      <c r="AC2581" s="27"/>
    </row>
    <row r="2582" spans="1:29" x14ac:dyDescent="0.25">
      <c r="A2582" s="1"/>
      <c r="B2582" s="19"/>
      <c r="C2582" s="24"/>
      <c r="D2582" s="1"/>
      <c r="E2582" s="25"/>
      <c r="F2582" s="26"/>
      <c r="G2582" s="26"/>
      <c r="L2582" s="25"/>
      <c r="M2582" s="24"/>
      <c r="N2582" s="26"/>
      <c r="O2582" s="26"/>
      <c r="P2582" s="26"/>
      <c r="Q2582" s="26"/>
      <c r="R2582" s="26"/>
      <c r="S2582" s="26"/>
      <c r="T2582" s="26"/>
      <c r="U2582" s="26"/>
      <c r="V2582" s="26"/>
      <c r="W2582" s="26"/>
      <c r="X2582" s="26"/>
      <c r="Y2582" s="26"/>
      <c r="Z2582" s="26"/>
      <c r="AA2582" s="26"/>
      <c r="AB2582" s="26"/>
      <c r="AC2582" s="27"/>
    </row>
    <row r="2583" spans="1:29" x14ac:dyDescent="0.25">
      <c r="A2583" s="1"/>
      <c r="B2583" s="19"/>
      <c r="C2583" s="24"/>
      <c r="D2583" s="1"/>
      <c r="E2583" s="25"/>
      <c r="F2583" s="26"/>
      <c r="G2583" s="26"/>
      <c r="L2583" s="25"/>
      <c r="M2583" s="24"/>
      <c r="N2583" s="26"/>
      <c r="O2583" s="26"/>
      <c r="P2583" s="26"/>
      <c r="Q2583" s="26"/>
      <c r="R2583" s="26"/>
      <c r="S2583" s="26"/>
      <c r="T2583" s="26"/>
      <c r="U2583" s="26"/>
      <c r="V2583" s="26"/>
      <c r="W2583" s="26"/>
      <c r="X2583" s="26"/>
      <c r="Y2583" s="26"/>
      <c r="Z2583" s="26"/>
      <c r="AA2583" s="26"/>
      <c r="AB2583" s="26"/>
      <c r="AC2583" s="27"/>
    </row>
    <row r="2584" spans="1:29" x14ac:dyDescent="0.25">
      <c r="A2584" s="1"/>
      <c r="B2584" s="19"/>
      <c r="C2584" s="24"/>
      <c r="D2584" s="1"/>
      <c r="E2584" s="25"/>
      <c r="F2584" s="26"/>
      <c r="G2584" s="26"/>
      <c r="L2584" s="25"/>
      <c r="M2584" s="24"/>
      <c r="N2584" s="26"/>
      <c r="O2584" s="26"/>
      <c r="P2584" s="26"/>
      <c r="Q2584" s="26"/>
      <c r="R2584" s="26"/>
      <c r="S2584" s="26"/>
      <c r="T2584" s="26"/>
      <c r="U2584" s="26"/>
      <c r="V2584" s="26"/>
      <c r="W2584" s="26"/>
      <c r="X2584" s="26"/>
      <c r="Y2584" s="26"/>
      <c r="Z2584" s="26"/>
      <c r="AA2584" s="26"/>
      <c r="AB2584" s="26"/>
      <c r="AC2584" s="27"/>
    </row>
    <row r="2585" spans="1:29" x14ac:dyDescent="0.25">
      <c r="A2585" s="1"/>
      <c r="B2585" s="19"/>
      <c r="C2585" s="24"/>
      <c r="D2585" s="1"/>
      <c r="E2585" s="25"/>
      <c r="F2585" s="26"/>
      <c r="G2585" s="26"/>
      <c r="L2585" s="25"/>
      <c r="M2585" s="24"/>
      <c r="N2585" s="26"/>
      <c r="O2585" s="26"/>
      <c r="P2585" s="26"/>
      <c r="Q2585" s="26"/>
      <c r="R2585" s="26"/>
      <c r="S2585" s="26"/>
      <c r="T2585" s="26"/>
      <c r="U2585" s="26"/>
      <c r="V2585" s="26"/>
      <c r="W2585" s="26"/>
      <c r="X2585" s="26"/>
      <c r="Y2585" s="26"/>
      <c r="Z2585" s="26"/>
      <c r="AA2585" s="26"/>
      <c r="AB2585" s="26"/>
      <c r="AC2585" s="27"/>
    </row>
    <row r="2586" spans="1:29" x14ac:dyDescent="0.25">
      <c r="A2586" s="1"/>
      <c r="B2586" s="19"/>
      <c r="C2586" s="24"/>
      <c r="D2586" s="1"/>
      <c r="E2586" s="25"/>
      <c r="F2586" s="26"/>
      <c r="G2586" s="26"/>
      <c r="L2586" s="25"/>
      <c r="M2586" s="24"/>
      <c r="N2586" s="26"/>
      <c r="O2586" s="26"/>
      <c r="P2586" s="26"/>
      <c r="Q2586" s="26"/>
      <c r="R2586" s="26"/>
      <c r="S2586" s="26"/>
      <c r="T2586" s="26"/>
      <c r="U2586" s="26"/>
      <c r="V2586" s="26"/>
      <c r="W2586" s="26"/>
      <c r="X2586" s="26"/>
      <c r="Y2586" s="26"/>
      <c r="Z2586" s="26"/>
      <c r="AA2586" s="26"/>
      <c r="AB2586" s="26"/>
      <c r="AC2586" s="27"/>
    </row>
    <row r="2587" spans="1:29" x14ac:dyDescent="0.25">
      <c r="A2587" s="1"/>
      <c r="B2587" s="19"/>
      <c r="C2587" s="24"/>
      <c r="D2587" s="1"/>
      <c r="E2587" s="25"/>
      <c r="F2587" s="26"/>
      <c r="G2587" s="26"/>
      <c r="L2587" s="25"/>
      <c r="M2587" s="24"/>
      <c r="N2587" s="26"/>
      <c r="O2587" s="26"/>
      <c r="P2587" s="26"/>
      <c r="Q2587" s="26"/>
      <c r="R2587" s="26"/>
      <c r="S2587" s="26"/>
      <c r="T2587" s="26"/>
      <c r="U2587" s="26"/>
      <c r="V2587" s="26"/>
      <c r="W2587" s="26"/>
      <c r="X2587" s="26"/>
      <c r="Y2587" s="26"/>
      <c r="Z2587" s="26"/>
      <c r="AA2587" s="26"/>
      <c r="AB2587" s="26"/>
      <c r="AC2587" s="27"/>
    </row>
    <row r="2588" spans="1:29" x14ac:dyDescent="0.25">
      <c r="A2588" s="1"/>
      <c r="B2588" s="19"/>
      <c r="C2588" s="24"/>
      <c r="D2588" s="1"/>
      <c r="E2588" s="25"/>
      <c r="F2588" s="26"/>
      <c r="G2588" s="26"/>
      <c r="L2588" s="25"/>
      <c r="M2588" s="24"/>
      <c r="N2588" s="26"/>
      <c r="O2588" s="26"/>
      <c r="P2588" s="26"/>
      <c r="Q2588" s="26"/>
      <c r="R2588" s="26"/>
      <c r="S2588" s="26"/>
      <c r="T2588" s="26"/>
      <c r="U2588" s="26"/>
      <c r="V2588" s="26"/>
      <c r="W2588" s="26"/>
      <c r="X2588" s="26"/>
      <c r="Y2588" s="26"/>
      <c r="Z2588" s="26"/>
      <c r="AA2588" s="26"/>
      <c r="AB2588" s="26"/>
      <c r="AC2588" s="27"/>
    </row>
    <row r="2589" spans="1:29" x14ac:dyDescent="0.25">
      <c r="A2589" s="1"/>
      <c r="B2589" s="19"/>
      <c r="C2589" s="24"/>
      <c r="D2589" s="1"/>
      <c r="E2589" s="25"/>
      <c r="F2589" s="26"/>
      <c r="G2589" s="26"/>
      <c r="L2589" s="25"/>
      <c r="M2589" s="24"/>
      <c r="N2589" s="26"/>
      <c r="O2589" s="26"/>
      <c r="P2589" s="26"/>
      <c r="Q2589" s="26"/>
      <c r="R2589" s="26"/>
      <c r="S2589" s="26"/>
      <c r="T2589" s="26"/>
      <c r="U2589" s="26"/>
      <c r="V2589" s="26"/>
      <c r="W2589" s="26"/>
      <c r="X2589" s="26"/>
      <c r="Y2589" s="26"/>
      <c r="Z2589" s="26"/>
      <c r="AA2589" s="26"/>
      <c r="AB2589" s="26"/>
      <c r="AC2589" s="27"/>
    </row>
    <row r="2590" spans="1:29" x14ac:dyDescent="0.25">
      <c r="A2590" s="1"/>
      <c r="B2590" s="19"/>
      <c r="C2590" s="24"/>
      <c r="D2590" s="1"/>
      <c r="E2590" s="25"/>
      <c r="F2590" s="26"/>
      <c r="G2590" s="26"/>
      <c r="L2590" s="25"/>
      <c r="M2590" s="24"/>
      <c r="N2590" s="26"/>
      <c r="O2590" s="26"/>
      <c r="P2590" s="26"/>
      <c r="Q2590" s="26"/>
      <c r="R2590" s="26"/>
      <c r="S2590" s="26"/>
      <c r="T2590" s="26"/>
      <c r="U2590" s="26"/>
      <c r="V2590" s="26"/>
      <c r="W2590" s="26"/>
      <c r="X2590" s="26"/>
      <c r="Y2590" s="26"/>
      <c r="Z2590" s="26"/>
      <c r="AA2590" s="26"/>
      <c r="AB2590" s="26"/>
      <c r="AC2590" s="27"/>
    </row>
    <row r="2591" spans="1:29" x14ac:dyDescent="0.25">
      <c r="A2591" s="1"/>
      <c r="B2591" s="19"/>
      <c r="C2591" s="24"/>
      <c r="D2591" s="1"/>
      <c r="E2591" s="25"/>
      <c r="F2591" s="26"/>
      <c r="G2591" s="26"/>
      <c r="L2591" s="25"/>
      <c r="M2591" s="24"/>
      <c r="N2591" s="26"/>
      <c r="O2591" s="26"/>
      <c r="P2591" s="26"/>
      <c r="Q2591" s="26"/>
      <c r="R2591" s="26"/>
      <c r="S2591" s="26"/>
      <c r="T2591" s="26"/>
      <c r="U2591" s="26"/>
      <c r="V2591" s="26"/>
      <c r="W2591" s="26"/>
      <c r="X2591" s="26"/>
      <c r="Y2591" s="26"/>
      <c r="Z2591" s="26"/>
      <c r="AA2591" s="26"/>
      <c r="AB2591" s="26"/>
      <c r="AC2591" s="27"/>
    </row>
    <row r="2592" spans="1:29" x14ac:dyDescent="0.25">
      <c r="A2592" s="1"/>
      <c r="B2592" s="19"/>
      <c r="C2592" s="24"/>
      <c r="D2592" s="1"/>
      <c r="E2592" s="25"/>
      <c r="F2592" s="26"/>
      <c r="G2592" s="26"/>
      <c r="L2592" s="25"/>
      <c r="M2592" s="24"/>
      <c r="N2592" s="26"/>
      <c r="O2592" s="26"/>
      <c r="P2592" s="26"/>
      <c r="Q2592" s="26"/>
      <c r="R2592" s="26"/>
      <c r="S2592" s="26"/>
      <c r="T2592" s="26"/>
      <c r="U2592" s="26"/>
      <c r="V2592" s="26"/>
      <c r="W2592" s="26"/>
      <c r="X2592" s="26"/>
      <c r="Y2592" s="26"/>
      <c r="Z2592" s="26"/>
      <c r="AA2592" s="26"/>
      <c r="AB2592" s="26"/>
      <c r="AC2592" s="27"/>
    </row>
    <row r="2593" spans="1:29" x14ac:dyDescent="0.25">
      <c r="A2593" s="1"/>
      <c r="B2593" s="19"/>
      <c r="C2593" s="24"/>
      <c r="D2593" s="1"/>
      <c r="E2593" s="25"/>
      <c r="F2593" s="26"/>
      <c r="G2593" s="26"/>
      <c r="L2593" s="25"/>
      <c r="M2593" s="24"/>
      <c r="N2593" s="26"/>
      <c r="O2593" s="26"/>
      <c r="P2593" s="26"/>
      <c r="Q2593" s="26"/>
      <c r="R2593" s="26"/>
      <c r="S2593" s="26"/>
      <c r="T2593" s="26"/>
      <c r="U2593" s="26"/>
      <c r="V2593" s="26"/>
      <c r="W2593" s="26"/>
      <c r="X2593" s="26"/>
      <c r="Y2593" s="26"/>
      <c r="Z2593" s="26"/>
      <c r="AA2593" s="26"/>
      <c r="AB2593" s="26"/>
      <c r="AC2593" s="27"/>
    </row>
    <row r="2594" spans="1:29" x14ac:dyDescent="0.25">
      <c r="A2594" s="1"/>
      <c r="B2594" s="19"/>
      <c r="C2594" s="24"/>
      <c r="D2594" s="1"/>
      <c r="E2594" s="25"/>
      <c r="F2594" s="26"/>
      <c r="G2594" s="26"/>
      <c r="L2594" s="25"/>
      <c r="M2594" s="24"/>
      <c r="N2594" s="26"/>
      <c r="O2594" s="26"/>
      <c r="P2594" s="26"/>
      <c r="Q2594" s="26"/>
      <c r="R2594" s="26"/>
      <c r="S2594" s="26"/>
      <c r="T2594" s="26"/>
      <c r="U2594" s="26"/>
      <c r="V2594" s="26"/>
      <c r="W2594" s="26"/>
      <c r="X2594" s="26"/>
      <c r="Y2594" s="26"/>
      <c r="Z2594" s="26"/>
      <c r="AA2594" s="26"/>
      <c r="AB2594" s="26"/>
      <c r="AC2594" s="27"/>
    </row>
    <row r="2595" spans="1:29" x14ac:dyDescent="0.25">
      <c r="A2595" s="1"/>
      <c r="B2595" s="19"/>
      <c r="C2595" s="24"/>
      <c r="D2595" s="1"/>
      <c r="E2595" s="25"/>
      <c r="F2595" s="26"/>
      <c r="G2595" s="26"/>
      <c r="L2595" s="25"/>
      <c r="M2595" s="24"/>
      <c r="N2595" s="26"/>
      <c r="O2595" s="26"/>
      <c r="P2595" s="26"/>
      <c r="Q2595" s="26"/>
      <c r="R2595" s="26"/>
      <c r="S2595" s="26"/>
      <c r="T2595" s="26"/>
      <c r="U2595" s="26"/>
      <c r="V2595" s="26"/>
      <c r="W2595" s="26"/>
      <c r="X2595" s="26"/>
      <c r="Y2595" s="26"/>
      <c r="Z2595" s="26"/>
      <c r="AA2595" s="26"/>
      <c r="AB2595" s="26"/>
      <c r="AC2595" s="27"/>
    </row>
    <row r="2596" spans="1:29" x14ac:dyDescent="0.25">
      <c r="A2596" s="1"/>
      <c r="B2596" s="19"/>
      <c r="C2596" s="24"/>
      <c r="D2596" s="1"/>
      <c r="E2596" s="25"/>
      <c r="F2596" s="26"/>
      <c r="G2596" s="26"/>
      <c r="L2596" s="25"/>
      <c r="M2596" s="24"/>
      <c r="N2596" s="26"/>
      <c r="O2596" s="26"/>
      <c r="P2596" s="26"/>
      <c r="Q2596" s="26"/>
      <c r="R2596" s="26"/>
      <c r="S2596" s="26"/>
      <c r="T2596" s="26"/>
      <c r="U2596" s="26"/>
      <c r="V2596" s="26"/>
      <c r="W2596" s="26"/>
      <c r="X2596" s="26"/>
      <c r="Y2596" s="26"/>
      <c r="Z2596" s="26"/>
      <c r="AA2596" s="26"/>
      <c r="AB2596" s="26"/>
      <c r="AC2596" s="27"/>
    </row>
    <row r="2597" spans="1:29" x14ac:dyDescent="0.25">
      <c r="A2597" s="1"/>
      <c r="B2597" s="19"/>
      <c r="C2597" s="24"/>
      <c r="D2597" s="1"/>
      <c r="E2597" s="25"/>
      <c r="F2597" s="26"/>
      <c r="G2597" s="26"/>
      <c r="L2597" s="25"/>
      <c r="M2597" s="24"/>
      <c r="N2597" s="26"/>
      <c r="O2597" s="26"/>
      <c r="P2597" s="26"/>
      <c r="Q2597" s="26"/>
      <c r="R2597" s="26"/>
      <c r="S2597" s="26"/>
      <c r="T2597" s="26"/>
      <c r="U2597" s="26"/>
      <c r="V2597" s="26"/>
      <c r="W2597" s="26"/>
      <c r="X2597" s="26"/>
      <c r="Y2597" s="26"/>
      <c r="Z2597" s="26"/>
      <c r="AA2597" s="26"/>
      <c r="AB2597" s="26"/>
      <c r="AC2597" s="27"/>
    </row>
    <row r="2598" spans="1:29" x14ac:dyDescent="0.25">
      <c r="A2598" s="1"/>
      <c r="B2598" s="19"/>
      <c r="C2598" s="24"/>
      <c r="D2598" s="1"/>
      <c r="E2598" s="25"/>
      <c r="F2598" s="26"/>
      <c r="G2598" s="26"/>
      <c r="L2598" s="25"/>
      <c r="M2598" s="24"/>
      <c r="N2598" s="26"/>
      <c r="O2598" s="26"/>
      <c r="P2598" s="26"/>
      <c r="Q2598" s="26"/>
      <c r="R2598" s="26"/>
      <c r="S2598" s="26"/>
      <c r="T2598" s="26"/>
      <c r="U2598" s="26"/>
      <c r="V2598" s="26"/>
      <c r="W2598" s="26"/>
      <c r="X2598" s="26"/>
      <c r="Y2598" s="26"/>
      <c r="Z2598" s="26"/>
      <c r="AA2598" s="26"/>
      <c r="AB2598" s="26"/>
      <c r="AC2598" s="27"/>
    </row>
    <row r="2599" spans="1:29" x14ac:dyDescent="0.25">
      <c r="A2599" s="1"/>
      <c r="B2599" s="19"/>
      <c r="C2599" s="24"/>
      <c r="D2599" s="1"/>
      <c r="E2599" s="25"/>
      <c r="F2599" s="26"/>
      <c r="G2599" s="26"/>
      <c r="L2599" s="25"/>
      <c r="M2599" s="24"/>
      <c r="N2599" s="26"/>
      <c r="O2599" s="26"/>
      <c r="P2599" s="26"/>
      <c r="Q2599" s="26"/>
      <c r="R2599" s="26"/>
      <c r="S2599" s="26"/>
      <c r="T2599" s="26"/>
      <c r="U2599" s="26"/>
      <c r="V2599" s="26"/>
      <c r="W2599" s="26"/>
      <c r="X2599" s="26"/>
      <c r="Y2599" s="26"/>
      <c r="Z2599" s="26"/>
      <c r="AA2599" s="26"/>
      <c r="AB2599" s="26"/>
      <c r="AC2599" s="27"/>
    </row>
    <row r="2600" spans="1:29" x14ac:dyDescent="0.25">
      <c r="A2600" s="1"/>
      <c r="B2600" s="19"/>
      <c r="C2600" s="24"/>
      <c r="D2600" s="1"/>
      <c r="E2600" s="25"/>
      <c r="F2600" s="26"/>
      <c r="G2600" s="26"/>
      <c r="L2600" s="25"/>
      <c r="M2600" s="24"/>
      <c r="N2600" s="26"/>
      <c r="O2600" s="26"/>
      <c r="P2600" s="26"/>
      <c r="Q2600" s="26"/>
      <c r="R2600" s="26"/>
      <c r="S2600" s="26"/>
      <c r="T2600" s="26"/>
      <c r="U2600" s="26"/>
      <c r="V2600" s="26"/>
      <c r="W2600" s="26"/>
      <c r="X2600" s="26"/>
      <c r="Y2600" s="26"/>
      <c r="Z2600" s="26"/>
      <c r="AA2600" s="26"/>
      <c r="AB2600" s="26"/>
      <c r="AC2600" s="27"/>
    </row>
    <row r="2601" spans="1:29" x14ac:dyDescent="0.25">
      <c r="A2601" s="1"/>
      <c r="B2601" s="19"/>
      <c r="C2601" s="24"/>
      <c r="D2601" s="1"/>
      <c r="E2601" s="25"/>
      <c r="F2601" s="26"/>
      <c r="G2601" s="26"/>
      <c r="L2601" s="25"/>
      <c r="M2601" s="24"/>
      <c r="N2601" s="26"/>
      <c r="O2601" s="26"/>
      <c r="P2601" s="26"/>
      <c r="Q2601" s="26"/>
      <c r="R2601" s="26"/>
      <c r="S2601" s="26"/>
      <c r="T2601" s="26"/>
      <c r="U2601" s="26"/>
      <c r="V2601" s="26"/>
      <c r="W2601" s="26"/>
      <c r="X2601" s="26"/>
      <c r="Y2601" s="26"/>
      <c r="Z2601" s="26"/>
      <c r="AA2601" s="26"/>
      <c r="AB2601" s="26"/>
      <c r="AC2601" s="27"/>
    </row>
    <row r="2602" spans="1:29" x14ac:dyDescent="0.25">
      <c r="A2602" s="1"/>
      <c r="B2602" s="19"/>
      <c r="C2602" s="24"/>
      <c r="D2602" s="1"/>
      <c r="E2602" s="25"/>
      <c r="F2602" s="26"/>
      <c r="G2602" s="26"/>
      <c r="L2602" s="25"/>
      <c r="M2602" s="24"/>
      <c r="N2602" s="26"/>
      <c r="O2602" s="26"/>
      <c r="P2602" s="26"/>
      <c r="Q2602" s="26"/>
      <c r="R2602" s="26"/>
      <c r="S2602" s="26"/>
      <c r="T2602" s="26"/>
      <c r="U2602" s="26"/>
      <c r="V2602" s="26"/>
      <c r="W2602" s="26"/>
      <c r="X2602" s="26"/>
      <c r="Y2602" s="26"/>
      <c r="Z2602" s="26"/>
      <c r="AA2602" s="26"/>
      <c r="AB2602" s="26"/>
      <c r="AC2602" s="27"/>
    </row>
    <row r="2603" spans="1:29" x14ac:dyDescent="0.25">
      <c r="A2603" s="1"/>
      <c r="B2603" s="19"/>
      <c r="C2603" s="24"/>
      <c r="D2603" s="1"/>
      <c r="E2603" s="25"/>
      <c r="F2603" s="26"/>
      <c r="G2603" s="26"/>
      <c r="L2603" s="25"/>
      <c r="M2603" s="24"/>
      <c r="N2603" s="26"/>
      <c r="O2603" s="26"/>
      <c r="P2603" s="26"/>
      <c r="Q2603" s="26"/>
      <c r="R2603" s="26"/>
      <c r="S2603" s="26"/>
      <c r="T2603" s="26"/>
      <c r="U2603" s="26"/>
      <c r="V2603" s="26"/>
      <c r="W2603" s="26"/>
      <c r="X2603" s="26"/>
      <c r="Y2603" s="26"/>
      <c r="Z2603" s="26"/>
      <c r="AA2603" s="26"/>
      <c r="AB2603" s="26"/>
      <c r="AC2603" s="27"/>
    </row>
    <row r="2604" spans="1:29" x14ac:dyDescent="0.25">
      <c r="A2604" s="1"/>
      <c r="B2604" s="19"/>
      <c r="C2604" s="24"/>
      <c r="D2604" s="1"/>
      <c r="E2604" s="25"/>
      <c r="F2604" s="26"/>
      <c r="G2604" s="26"/>
      <c r="L2604" s="25"/>
      <c r="M2604" s="24"/>
      <c r="N2604" s="26"/>
      <c r="O2604" s="26"/>
      <c r="P2604" s="26"/>
      <c r="Q2604" s="26"/>
      <c r="R2604" s="26"/>
      <c r="S2604" s="26"/>
      <c r="T2604" s="26"/>
      <c r="U2604" s="26"/>
      <c r="V2604" s="26"/>
      <c r="W2604" s="26"/>
      <c r="X2604" s="26"/>
      <c r="Y2604" s="26"/>
      <c r="Z2604" s="26"/>
      <c r="AA2604" s="26"/>
      <c r="AB2604" s="26"/>
      <c r="AC2604" s="27"/>
    </row>
    <row r="2605" spans="1:29" x14ac:dyDescent="0.25">
      <c r="A2605" s="1"/>
      <c r="B2605" s="19"/>
      <c r="C2605" s="24"/>
      <c r="D2605" s="1"/>
      <c r="E2605" s="25"/>
      <c r="F2605" s="26"/>
      <c r="G2605" s="26"/>
      <c r="L2605" s="25"/>
      <c r="M2605" s="24"/>
      <c r="N2605" s="26"/>
      <c r="O2605" s="26"/>
      <c r="P2605" s="26"/>
      <c r="Q2605" s="26"/>
      <c r="R2605" s="26"/>
      <c r="S2605" s="26"/>
      <c r="T2605" s="26"/>
      <c r="U2605" s="26"/>
      <c r="V2605" s="26"/>
      <c r="W2605" s="26"/>
      <c r="X2605" s="26"/>
      <c r="Y2605" s="26"/>
      <c r="Z2605" s="26"/>
      <c r="AA2605" s="26"/>
      <c r="AB2605" s="26"/>
      <c r="AC2605" s="27"/>
    </row>
    <row r="2606" spans="1:29" x14ac:dyDescent="0.25">
      <c r="A2606" s="1"/>
      <c r="B2606" s="19"/>
      <c r="C2606" s="24"/>
      <c r="D2606" s="1"/>
      <c r="E2606" s="25"/>
      <c r="F2606" s="26"/>
      <c r="G2606" s="26"/>
      <c r="L2606" s="25"/>
      <c r="M2606" s="24"/>
      <c r="N2606" s="26"/>
      <c r="O2606" s="26"/>
      <c r="P2606" s="26"/>
      <c r="Q2606" s="26"/>
      <c r="R2606" s="26"/>
      <c r="S2606" s="26"/>
      <c r="T2606" s="26"/>
      <c r="U2606" s="26"/>
      <c r="V2606" s="26"/>
      <c r="W2606" s="26"/>
      <c r="X2606" s="26"/>
      <c r="Y2606" s="26"/>
      <c r="Z2606" s="26"/>
      <c r="AA2606" s="26"/>
      <c r="AB2606" s="26"/>
      <c r="AC2606" s="27"/>
    </row>
    <row r="2607" spans="1:29" x14ac:dyDescent="0.25">
      <c r="A2607" s="1"/>
      <c r="B2607" s="19"/>
      <c r="C2607" s="24"/>
      <c r="D2607" s="1"/>
      <c r="E2607" s="25"/>
      <c r="F2607" s="26"/>
      <c r="G2607" s="26"/>
      <c r="L2607" s="25"/>
      <c r="M2607" s="24"/>
      <c r="N2607" s="26"/>
      <c r="O2607" s="26"/>
      <c r="P2607" s="26"/>
      <c r="Q2607" s="26"/>
      <c r="R2607" s="26"/>
      <c r="S2607" s="26"/>
      <c r="T2607" s="26"/>
      <c r="U2607" s="26"/>
      <c r="V2607" s="26"/>
      <c r="W2607" s="26"/>
      <c r="X2607" s="26"/>
      <c r="Y2607" s="26"/>
      <c r="Z2607" s="26"/>
      <c r="AA2607" s="26"/>
      <c r="AB2607" s="26"/>
      <c r="AC2607" s="27"/>
    </row>
    <row r="2608" spans="1:29" x14ac:dyDescent="0.25">
      <c r="A2608" s="1"/>
      <c r="B2608" s="19"/>
      <c r="C2608" s="24"/>
      <c r="D2608" s="1"/>
      <c r="E2608" s="25"/>
      <c r="F2608" s="26"/>
      <c r="G2608" s="26"/>
      <c r="L2608" s="25"/>
      <c r="M2608" s="24"/>
      <c r="N2608" s="26"/>
      <c r="O2608" s="26"/>
      <c r="P2608" s="26"/>
      <c r="Q2608" s="26"/>
      <c r="R2608" s="26"/>
      <c r="S2608" s="26"/>
      <c r="T2608" s="26"/>
      <c r="U2608" s="26"/>
      <c r="V2608" s="26"/>
      <c r="W2608" s="26"/>
      <c r="X2608" s="26"/>
      <c r="Y2608" s="26"/>
      <c r="Z2608" s="26"/>
      <c r="AA2608" s="26"/>
      <c r="AB2608" s="26"/>
      <c r="AC2608" s="27"/>
    </row>
    <row r="2609" spans="1:29" x14ac:dyDescent="0.25">
      <c r="A2609" s="1"/>
      <c r="B2609" s="19"/>
      <c r="C2609" s="24"/>
      <c r="D2609" s="1"/>
      <c r="E2609" s="25"/>
      <c r="F2609" s="26"/>
      <c r="G2609" s="26"/>
      <c r="L2609" s="25"/>
      <c r="M2609" s="24"/>
      <c r="N2609" s="26"/>
      <c r="O2609" s="26"/>
      <c r="P2609" s="26"/>
      <c r="Q2609" s="26"/>
      <c r="R2609" s="26"/>
      <c r="S2609" s="26"/>
      <c r="T2609" s="26"/>
      <c r="U2609" s="26"/>
      <c r="V2609" s="26"/>
      <c r="W2609" s="26"/>
      <c r="X2609" s="26"/>
      <c r="Y2609" s="26"/>
      <c r="Z2609" s="26"/>
      <c r="AA2609" s="26"/>
      <c r="AB2609" s="26"/>
      <c r="AC2609" s="27"/>
    </row>
    <row r="2610" spans="1:29" x14ac:dyDescent="0.25">
      <c r="A2610" s="1"/>
      <c r="B2610" s="19"/>
      <c r="C2610" s="24"/>
      <c r="D2610" s="1"/>
      <c r="E2610" s="25"/>
      <c r="F2610" s="26"/>
      <c r="G2610" s="26"/>
      <c r="L2610" s="25"/>
      <c r="M2610" s="24"/>
      <c r="N2610" s="26"/>
      <c r="O2610" s="26"/>
      <c r="P2610" s="26"/>
      <c r="Q2610" s="26"/>
      <c r="R2610" s="26"/>
      <c r="S2610" s="26"/>
      <c r="T2610" s="26"/>
      <c r="U2610" s="26"/>
      <c r="V2610" s="26"/>
      <c r="W2610" s="26"/>
      <c r="X2610" s="26"/>
      <c r="Y2610" s="26"/>
      <c r="Z2610" s="26"/>
      <c r="AA2610" s="26"/>
      <c r="AB2610" s="26"/>
      <c r="AC2610" s="27"/>
    </row>
    <row r="2611" spans="1:29" x14ac:dyDescent="0.25">
      <c r="A2611" s="1"/>
      <c r="B2611" s="19"/>
      <c r="C2611" s="24"/>
      <c r="D2611" s="1"/>
      <c r="E2611" s="25"/>
      <c r="F2611" s="26"/>
      <c r="G2611" s="26"/>
      <c r="L2611" s="25"/>
      <c r="M2611" s="24"/>
      <c r="N2611" s="26"/>
      <c r="O2611" s="26"/>
      <c r="P2611" s="26"/>
      <c r="Q2611" s="26"/>
      <c r="R2611" s="26"/>
      <c r="S2611" s="26"/>
      <c r="T2611" s="26"/>
      <c r="U2611" s="26"/>
      <c r="V2611" s="26"/>
      <c r="W2611" s="26"/>
      <c r="X2611" s="26"/>
      <c r="Y2611" s="26"/>
      <c r="Z2611" s="26"/>
      <c r="AA2611" s="26"/>
      <c r="AB2611" s="26"/>
      <c r="AC2611" s="27"/>
    </row>
    <row r="2612" spans="1:29" x14ac:dyDescent="0.25">
      <c r="A2612" s="1"/>
      <c r="B2612" s="19"/>
      <c r="C2612" s="24"/>
      <c r="D2612" s="1"/>
      <c r="E2612" s="25"/>
      <c r="F2612" s="26"/>
      <c r="G2612" s="26"/>
      <c r="L2612" s="25"/>
      <c r="M2612" s="24"/>
      <c r="N2612" s="26"/>
      <c r="O2612" s="26"/>
      <c r="P2612" s="26"/>
      <c r="Q2612" s="26"/>
      <c r="R2612" s="26"/>
      <c r="S2612" s="26"/>
      <c r="T2612" s="26"/>
      <c r="U2612" s="26"/>
      <c r="V2612" s="26"/>
      <c r="W2612" s="26"/>
      <c r="X2612" s="26"/>
      <c r="Y2612" s="26"/>
      <c r="Z2612" s="26"/>
      <c r="AA2612" s="26"/>
      <c r="AB2612" s="26"/>
      <c r="AC2612" s="27"/>
    </row>
    <row r="2613" spans="1:29" x14ac:dyDescent="0.25">
      <c r="A2613" s="1"/>
      <c r="B2613" s="19"/>
      <c r="C2613" s="24"/>
      <c r="D2613" s="1"/>
      <c r="E2613" s="25"/>
      <c r="F2613" s="26"/>
      <c r="G2613" s="26"/>
      <c r="L2613" s="25"/>
      <c r="M2613" s="24"/>
      <c r="N2613" s="26"/>
      <c r="O2613" s="26"/>
      <c r="P2613" s="26"/>
      <c r="Q2613" s="26"/>
      <c r="R2613" s="26"/>
      <c r="S2613" s="26"/>
      <c r="T2613" s="26"/>
      <c r="U2613" s="26"/>
      <c r="V2613" s="26"/>
      <c r="W2613" s="26"/>
      <c r="X2613" s="26"/>
      <c r="Y2613" s="26"/>
      <c r="Z2613" s="26"/>
      <c r="AA2613" s="26"/>
      <c r="AB2613" s="26"/>
      <c r="AC2613" s="27"/>
    </row>
    <row r="2614" spans="1:29" x14ac:dyDescent="0.25">
      <c r="A2614" s="1"/>
      <c r="B2614" s="19"/>
      <c r="C2614" s="24"/>
      <c r="D2614" s="1"/>
      <c r="E2614" s="25"/>
      <c r="F2614" s="26"/>
      <c r="G2614" s="26"/>
      <c r="L2614" s="25"/>
      <c r="M2614" s="24"/>
      <c r="N2614" s="26"/>
      <c r="O2614" s="26"/>
      <c r="P2614" s="26"/>
      <c r="Q2614" s="26"/>
      <c r="R2614" s="26"/>
      <c r="S2614" s="26"/>
      <c r="T2614" s="26"/>
      <c r="U2614" s="26"/>
      <c r="V2614" s="26"/>
      <c r="W2614" s="26"/>
      <c r="X2614" s="26"/>
      <c r="Y2614" s="26"/>
      <c r="Z2614" s="26"/>
      <c r="AA2614" s="26"/>
      <c r="AB2614" s="26"/>
      <c r="AC2614" s="27"/>
    </row>
    <row r="2615" spans="1:29" x14ac:dyDescent="0.25">
      <c r="A2615" s="1"/>
      <c r="B2615" s="19"/>
      <c r="C2615" s="24"/>
      <c r="D2615" s="1"/>
      <c r="E2615" s="25"/>
      <c r="F2615" s="26"/>
      <c r="G2615" s="26"/>
      <c r="L2615" s="25"/>
      <c r="M2615" s="24"/>
      <c r="N2615" s="26"/>
      <c r="O2615" s="26"/>
      <c r="P2615" s="26"/>
      <c r="Q2615" s="26"/>
      <c r="R2615" s="26"/>
      <c r="S2615" s="26"/>
      <c r="T2615" s="26"/>
      <c r="U2615" s="26"/>
      <c r="V2615" s="26"/>
      <c r="W2615" s="26"/>
      <c r="X2615" s="26"/>
      <c r="Y2615" s="26"/>
      <c r="Z2615" s="26"/>
      <c r="AA2615" s="26"/>
      <c r="AB2615" s="26"/>
      <c r="AC2615" s="27"/>
    </row>
    <row r="2616" spans="1:29" x14ac:dyDescent="0.25">
      <c r="A2616" s="1"/>
      <c r="B2616" s="19"/>
      <c r="C2616" s="24"/>
      <c r="D2616" s="1"/>
      <c r="E2616" s="25"/>
      <c r="F2616" s="26"/>
      <c r="G2616" s="26"/>
      <c r="L2616" s="25"/>
      <c r="M2616" s="24"/>
      <c r="N2616" s="26"/>
      <c r="O2616" s="26"/>
      <c r="P2616" s="26"/>
      <c r="Q2616" s="26"/>
      <c r="R2616" s="26"/>
      <c r="S2616" s="26"/>
      <c r="T2616" s="26"/>
      <c r="U2616" s="26"/>
      <c r="V2616" s="26"/>
      <c r="W2616" s="26"/>
      <c r="X2616" s="26"/>
      <c r="Y2616" s="26"/>
      <c r="Z2616" s="26"/>
      <c r="AA2616" s="26"/>
      <c r="AB2616" s="26"/>
      <c r="AC2616" s="27"/>
    </row>
    <row r="2617" spans="1:29" x14ac:dyDescent="0.25">
      <c r="A2617" s="1"/>
      <c r="B2617" s="19"/>
      <c r="C2617" s="24"/>
      <c r="D2617" s="1"/>
      <c r="E2617" s="25"/>
      <c r="F2617" s="26"/>
      <c r="G2617" s="26"/>
      <c r="L2617" s="25"/>
      <c r="M2617" s="24"/>
      <c r="N2617" s="26"/>
      <c r="O2617" s="26"/>
      <c r="P2617" s="26"/>
      <c r="Q2617" s="26"/>
      <c r="R2617" s="26"/>
      <c r="S2617" s="26"/>
      <c r="T2617" s="26"/>
      <c r="U2617" s="26"/>
      <c r="V2617" s="26"/>
      <c r="W2617" s="26"/>
      <c r="X2617" s="26"/>
      <c r="Y2617" s="26"/>
      <c r="Z2617" s="26"/>
      <c r="AA2617" s="26"/>
      <c r="AB2617" s="26"/>
      <c r="AC2617" s="27"/>
    </row>
    <row r="2618" spans="1:29" x14ac:dyDescent="0.25">
      <c r="A2618" s="1"/>
      <c r="B2618" s="19"/>
      <c r="C2618" s="24"/>
      <c r="D2618" s="1"/>
      <c r="E2618" s="25"/>
      <c r="F2618" s="26"/>
      <c r="G2618" s="26"/>
      <c r="L2618" s="25"/>
      <c r="M2618" s="24"/>
      <c r="N2618" s="26"/>
      <c r="O2618" s="26"/>
      <c r="P2618" s="26"/>
      <c r="Q2618" s="26"/>
      <c r="R2618" s="26"/>
      <c r="S2618" s="26"/>
      <c r="T2618" s="26"/>
      <c r="U2618" s="26"/>
      <c r="V2618" s="26"/>
      <c r="W2618" s="26"/>
      <c r="X2618" s="26"/>
      <c r="Y2618" s="26"/>
      <c r="Z2618" s="26"/>
      <c r="AA2618" s="26"/>
      <c r="AB2618" s="26"/>
      <c r="AC2618" s="27"/>
    </row>
    <row r="2619" spans="1:29" x14ac:dyDescent="0.25">
      <c r="A2619" s="1"/>
      <c r="B2619" s="19"/>
      <c r="C2619" s="24"/>
      <c r="D2619" s="1"/>
      <c r="E2619" s="25"/>
      <c r="F2619" s="26"/>
      <c r="G2619" s="26"/>
      <c r="L2619" s="25"/>
      <c r="M2619" s="24"/>
      <c r="N2619" s="26"/>
      <c r="O2619" s="26"/>
      <c r="P2619" s="26"/>
      <c r="Q2619" s="26"/>
      <c r="R2619" s="26"/>
      <c r="S2619" s="26"/>
      <c r="T2619" s="26"/>
      <c r="U2619" s="26"/>
      <c r="V2619" s="26"/>
      <c r="W2619" s="26"/>
      <c r="X2619" s="26"/>
      <c r="Y2619" s="26"/>
      <c r="Z2619" s="26"/>
      <c r="AA2619" s="26"/>
      <c r="AB2619" s="26"/>
      <c r="AC2619" s="27"/>
    </row>
    <row r="2620" spans="1:29" x14ac:dyDescent="0.25">
      <c r="A2620" s="1"/>
      <c r="B2620" s="19"/>
      <c r="C2620" s="24"/>
      <c r="D2620" s="1"/>
      <c r="E2620" s="25"/>
      <c r="F2620" s="26"/>
      <c r="G2620" s="26"/>
      <c r="L2620" s="25"/>
      <c r="M2620" s="24"/>
      <c r="N2620" s="26"/>
      <c r="O2620" s="26"/>
      <c r="P2620" s="26"/>
      <c r="Q2620" s="26"/>
      <c r="R2620" s="26"/>
      <c r="S2620" s="26"/>
      <c r="T2620" s="26"/>
      <c r="U2620" s="26"/>
      <c r="V2620" s="26"/>
      <c r="W2620" s="26"/>
      <c r="X2620" s="26"/>
      <c r="Y2620" s="26"/>
      <c r="Z2620" s="26"/>
      <c r="AA2620" s="26"/>
      <c r="AB2620" s="26"/>
      <c r="AC2620" s="27"/>
    </row>
    <row r="2621" spans="1:29" x14ac:dyDescent="0.25">
      <c r="A2621" s="1"/>
      <c r="B2621" s="19"/>
      <c r="C2621" s="24"/>
      <c r="D2621" s="1"/>
      <c r="E2621" s="25"/>
      <c r="F2621" s="26"/>
      <c r="G2621" s="26"/>
      <c r="L2621" s="25"/>
      <c r="M2621" s="24"/>
      <c r="N2621" s="26"/>
      <c r="O2621" s="26"/>
      <c r="P2621" s="26"/>
      <c r="Q2621" s="26"/>
      <c r="R2621" s="26"/>
      <c r="S2621" s="26"/>
      <c r="T2621" s="26"/>
      <c r="U2621" s="26"/>
      <c r="V2621" s="26"/>
      <c r="W2621" s="26"/>
      <c r="X2621" s="26"/>
      <c r="Y2621" s="26"/>
      <c r="Z2621" s="26"/>
      <c r="AA2621" s="26"/>
      <c r="AB2621" s="26"/>
      <c r="AC2621" s="27"/>
    </row>
    <row r="2622" spans="1:29" x14ac:dyDescent="0.25">
      <c r="A2622" s="1"/>
      <c r="B2622" s="19"/>
      <c r="C2622" s="24"/>
      <c r="D2622" s="1"/>
      <c r="E2622" s="25"/>
      <c r="F2622" s="26"/>
      <c r="G2622" s="26"/>
      <c r="L2622" s="25"/>
      <c r="M2622" s="24"/>
      <c r="N2622" s="26"/>
      <c r="O2622" s="26"/>
      <c r="P2622" s="26"/>
      <c r="Q2622" s="26"/>
      <c r="R2622" s="26"/>
      <c r="S2622" s="26"/>
      <c r="T2622" s="26"/>
      <c r="U2622" s="26"/>
      <c r="V2622" s="26"/>
      <c r="W2622" s="26"/>
      <c r="X2622" s="26"/>
      <c r="Y2622" s="26"/>
      <c r="Z2622" s="26"/>
      <c r="AA2622" s="26"/>
      <c r="AB2622" s="26"/>
      <c r="AC2622" s="27"/>
    </row>
    <row r="2623" spans="1:29" x14ac:dyDescent="0.25">
      <c r="A2623" s="1"/>
      <c r="B2623" s="19"/>
      <c r="C2623" s="24"/>
      <c r="D2623" s="1"/>
      <c r="E2623" s="25"/>
      <c r="F2623" s="26"/>
      <c r="G2623" s="26"/>
      <c r="L2623" s="25"/>
      <c r="M2623" s="24"/>
      <c r="N2623" s="26"/>
      <c r="O2623" s="26"/>
      <c r="P2623" s="26"/>
      <c r="Q2623" s="26"/>
      <c r="R2623" s="26"/>
      <c r="S2623" s="26"/>
      <c r="T2623" s="26"/>
      <c r="U2623" s="26"/>
      <c r="V2623" s="26"/>
      <c r="W2623" s="26"/>
      <c r="X2623" s="26"/>
      <c r="Y2623" s="26"/>
      <c r="Z2623" s="26"/>
      <c r="AA2623" s="26"/>
      <c r="AB2623" s="26"/>
      <c r="AC2623" s="27"/>
    </row>
    <row r="2624" spans="1:29" x14ac:dyDescent="0.25">
      <c r="A2624" s="1"/>
      <c r="B2624" s="19"/>
      <c r="C2624" s="24"/>
      <c r="D2624" s="1"/>
      <c r="E2624" s="25"/>
      <c r="F2624" s="26"/>
      <c r="G2624" s="26"/>
      <c r="L2624" s="25"/>
      <c r="M2624" s="24"/>
      <c r="N2624" s="26"/>
      <c r="O2624" s="26"/>
      <c r="P2624" s="26"/>
      <c r="Q2624" s="26"/>
      <c r="R2624" s="26"/>
      <c r="S2624" s="26"/>
      <c r="T2624" s="26"/>
      <c r="U2624" s="26"/>
      <c r="V2624" s="26"/>
      <c r="W2624" s="26"/>
      <c r="X2624" s="26"/>
      <c r="Y2624" s="26"/>
      <c r="Z2624" s="26"/>
      <c r="AA2624" s="26"/>
      <c r="AB2624" s="26"/>
      <c r="AC2624" s="27"/>
    </row>
    <row r="2625" spans="1:29" x14ac:dyDescent="0.25">
      <c r="A2625" s="1"/>
      <c r="B2625" s="19"/>
      <c r="C2625" s="24"/>
      <c r="D2625" s="1"/>
      <c r="E2625" s="25"/>
      <c r="F2625" s="26"/>
      <c r="G2625" s="26"/>
      <c r="L2625" s="25"/>
      <c r="M2625" s="24"/>
      <c r="N2625" s="26"/>
      <c r="O2625" s="26"/>
      <c r="P2625" s="26"/>
      <c r="Q2625" s="26"/>
      <c r="R2625" s="26"/>
      <c r="S2625" s="26"/>
      <c r="T2625" s="26"/>
      <c r="U2625" s="26"/>
      <c r="V2625" s="26"/>
      <c r="W2625" s="26"/>
      <c r="X2625" s="26"/>
      <c r="Y2625" s="26"/>
      <c r="Z2625" s="26"/>
      <c r="AA2625" s="26"/>
      <c r="AB2625" s="26"/>
      <c r="AC2625" s="27"/>
    </row>
    <row r="2626" spans="1:29" x14ac:dyDescent="0.25">
      <c r="A2626" s="1"/>
      <c r="B2626" s="19"/>
      <c r="C2626" s="24"/>
      <c r="D2626" s="1"/>
      <c r="E2626" s="25"/>
      <c r="F2626" s="26"/>
      <c r="G2626" s="26"/>
      <c r="L2626" s="25"/>
      <c r="M2626" s="24"/>
      <c r="N2626" s="26"/>
      <c r="O2626" s="26"/>
      <c r="P2626" s="26"/>
      <c r="Q2626" s="26"/>
      <c r="R2626" s="26"/>
      <c r="S2626" s="26"/>
      <c r="T2626" s="26"/>
      <c r="U2626" s="26"/>
      <c r="V2626" s="26"/>
      <c r="W2626" s="26"/>
      <c r="X2626" s="26"/>
      <c r="Y2626" s="26"/>
      <c r="Z2626" s="26"/>
      <c r="AA2626" s="26"/>
      <c r="AB2626" s="26"/>
      <c r="AC2626" s="27"/>
    </row>
    <row r="2627" spans="1:29" x14ac:dyDescent="0.25">
      <c r="A2627" s="1"/>
      <c r="B2627" s="19"/>
      <c r="C2627" s="24"/>
      <c r="D2627" s="1"/>
      <c r="E2627" s="25"/>
      <c r="F2627" s="26"/>
      <c r="G2627" s="26"/>
      <c r="L2627" s="25"/>
      <c r="M2627" s="24"/>
      <c r="N2627" s="26"/>
      <c r="O2627" s="26"/>
      <c r="P2627" s="26"/>
      <c r="Q2627" s="26"/>
      <c r="R2627" s="26"/>
      <c r="S2627" s="26"/>
      <c r="T2627" s="26"/>
      <c r="U2627" s="26"/>
      <c r="V2627" s="26"/>
      <c r="W2627" s="26"/>
      <c r="X2627" s="26"/>
      <c r="Y2627" s="26"/>
      <c r="Z2627" s="26"/>
      <c r="AA2627" s="26"/>
      <c r="AB2627" s="26"/>
      <c r="AC2627" s="27"/>
    </row>
    <row r="2628" spans="1:29" x14ac:dyDescent="0.25">
      <c r="A2628" s="1"/>
      <c r="B2628" s="19"/>
      <c r="C2628" s="24"/>
      <c r="D2628" s="1"/>
      <c r="E2628" s="25"/>
      <c r="F2628" s="26"/>
      <c r="G2628" s="26"/>
      <c r="L2628" s="25"/>
      <c r="M2628" s="24"/>
      <c r="N2628" s="26"/>
      <c r="O2628" s="26"/>
      <c r="P2628" s="26"/>
      <c r="Q2628" s="26"/>
      <c r="R2628" s="26"/>
      <c r="S2628" s="26"/>
      <c r="T2628" s="26"/>
      <c r="U2628" s="26"/>
      <c r="V2628" s="26"/>
      <c r="W2628" s="26"/>
      <c r="X2628" s="26"/>
      <c r="Y2628" s="26"/>
      <c r="Z2628" s="26"/>
      <c r="AA2628" s="26"/>
      <c r="AB2628" s="26"/>
      <c r="AC2628" s="27"/>
    </row>
    <row r="2629" spans="1:29" x14ac:dyDescent="0.25">
      <c r="A2629" s="1"/>
      <c r="B2629" s="19"/>
      <c r="C2629" s="24"/>
      <c r="D2629" s="1"/>
      <c r="E2629" s="25"/>
      <c r="F2629" s="26"/>
      <c r="G2629" s="26"/>
      <c r="L2629" s="25"/>
      <c r="M2629" s="24"/>
      <c r="N2629" s="26"/>
      <c r="O2629" s="26"/>
      <c r="P2629" s="26"/>
      <c r="Q2629" s="26"/>
      <c r="R2629" s="26"/>
      <c r="S2629" s="26"/>
      <c r="T2629" s="26"/>
      <c r="U2629" s="26"/>
      <c r="V2629" s="26"/>
      <c r="W2629" s="26"/>
      <c r="X2629" s="26"/>
      <c r="Y2629" s="26"/>
      <c r="Z2629" s="26"/>
      <c r="AA2629" s="26"/>
      <c r="AB2629" s="26"/>
      <c r="AC2629" s="27"/>
    </row>
    <row r="2630" spans="1:29" x14ac:dyDescent="0.25">
      <c r="A2630" s="1"/>
      <c r="B2630" s="19"/>
      <c r="C2630" s="24"/>
      <c r="D2630" s="1"/>
      <c r="E2630" s="25"/>
      <c r="F2630" s="26"/>
      <c r="G2630" s="26"/>
      <c r="L2630" s="25"/>
      <c r="M2630" s="24"/>
      <c r="N2630" s="26"/>
      <c r="O2630" s="26"/>
      <c r="P2630" s="26"/>
      <c r="Q2630" s="26"/>
      <c r="R2630" s="26"/>
      <c r="S2630" s="26"/>
      <c r="T2630" s="26"/>
      <c r="U2630" s="26"/>
      <c r="V2630" s="26"/>
      <c r="W2630" s="26"/>
      <c r="X2630" s="26"/>
      <c r="Y2630" s="26"/>
      <c r="Z2630" s="26"/>
      <c r="AA2630" s="26"/>
      <c r="AB2630" s="26"/>
      <c r="AC2630" s="27"/>
    </row>
    <row r="2631" spans="1:29" x14ac:dyDescent="0.25">
      <c r="A2631" s="1"/>
      <c r="B2631" s="19"/>
      <c r="C2631" s="24"/>
      <c r="D2631" s="1"/>
      <c r="E2631" s="25"/>
      <c r="F2631" s="26"/>
      <c r="G2631" s="26"/>
      <c r="L2631" s="25"/>
      <c r="M2631" s="24"/>
      <c r="N2631" s="26"/>
      <c r="O2631" s="26"/>
      <c r="P2631" s="26"/>
      <c r="Q2631" s="26"/>
      <c r="R2631" s="26"/>
      <c r="S2631" s="26"/>
      <c r="T2631" s="26"/>
      <c r="U2631" s="26"/>
      <c r="V2631" s="26"/>
      <c r="W2631" s="26"/>
      <c r="X2631" s="26"/>
      <c r="Y2631" s="26"/>
      <c r="Z2631" s="26"/>
      <c r="AA2631" s="26"/>
      <c r="AB2631" s="26"/>
      <c r="AC2631" s="27"/>
    </row>
    <row r="2632" spans="1:29" x14ac:dyDescent="0.25">
      <c r="A2632" s="1"/>
      <c r="B2632" s="19"/>
      <c r="C2632" s="24"/>
      <c r="D2632" s="1"/>
      <c r="E2632" s="25"/>
      <c r="F2632" s="26"/>
      <c r="G2632" s="26"/>
      <c r="L2632" s="25"/>
      <c r="M2632" s="24"/>
      <c r="N2632" s="26"/>
      <c r="O2632" s="26"/>
      <c r="P2632" s="26"/>
      <c r="Q2632" s="26"/>
      <c r="R2632" s="26"/>
      <c r="S2632" s="26"/>
      <c r="T2632" s="26"/>
      <c r="U2632" s="26"/>
      <c r="V2632" s="26"/>
      <c r="W2632" s="26"/>
      <c r="X2632" s="26"/>
      <c r="Y2632" s="26"/>
      <c r="Z2632" s="26"/>
      <c r="AA2632" s="26"/>
      <c r="AB2632" s="26"/>
      <c r="AC2632" s="27"/>
    </row>
    <row r="2633" spans="1:29" x14ac:dyDescent="0.25">
      <c r="A2633" s="1"/>
      <c r="B2633" s="19"/>
      <c r="C2633" s="24"/>
      <c r="D2633" s="1"/>
      <c r="E2633" s="25"/>
      <c r="F2633" s="26"/>
      <c r="G2633" s="26"/>
      <c r="L2633" s="25"/>
      <c r="M2633" s="24"/>
      <c r="N2633" s="26"/>
      <c r="O2633" s="26"/>
      <c r="P2633" s="26"/>
      <c r="Q2633" s="26"/>
      <c r="R2633" s="26"/>
      <c r="S2633" s="26"/>
      <c r="T2633" s="26"/>
      <c r="U2633" s="26"/>
      <c r="V2633" s="26"/>
      <c r="W2633" s="26"/>
      <c r="X2633" s="26"/>
      <c r="Y2633" s="26"/>
      <c r="Z2633" s="26"/>
      <c r="AA2633" s="26"/>
      <c r="AB2633" s="26"/>
      <c r="AC2633" s="27"/>
    </row>
    <row r="2634" spans="1:29" x14ac:dyDescent="0.25">
      <c r="A2634" s="1"/>
      <c r="B2634" s="19"/>
      <c r="C2634" s="24"/>
      <c r="D2634" s="1"/>
      <c r="E2634" s="25"/>
      <c r="F2634" s="26"/>
      <c r="G2634" s="26"/>
      <c r="L2634" s="25"/>
      <c r="M2634" s="24"/>
      <c r="N2634" s="26"/>
      <c r="O2634" s="26"/>
      <c r="P2634" s="26"/>
      <c r="Q2634" s="26"/>
      <c r="R2634" s="26"/>
      <c r="S2634" s="26"/>
      <c r="T2634" s="26"/>
      <c r="U2634" s="26"/>
      <c r="V2634" s="26"/>
      <c r="W2634" s="26"/>
      <c r="X2634" s="26"/>
      <c r="Y2634" s="26"/>
      <c r="Z2634" s="26"/>
      <c r="AA2634" s="26"/>
      <c r="AB2634" s="26"/>
      <c r="AC2634" s="27"/>
    </row>
    <row r="2635" spans="1:29" x14ac:dyDescent="0.25">
      <c r="A2635" s="1"/>
      <c r="B2635" s="19"/>
      <c r="C2635" s="24"/>
      <c r="D2635" s="1"/>
      <c r="E2635" s="25"/>
      <c r="F2635" s="26"/>
      <c r="G2635" s="26"/>
      <c r="L2635" s="25"/>
      <c r="M2635" s="24"/>
      <c r="N2635" s="26"/>
      <c r="O2635" s="26"/>
      <c r="P2635" s="26"/>
      <c r="Q2635" s="26"/>
      <c r="R2635" s="26"/>
      <c r="S2635" s="26"/>
      <c r="T2635" s="26"/>
      <c r="U2635" s="26"/>
      <c r="V2635" s="26"/>
      <c r="W2635" s="26"/>
      <c r="X2635" s="26"/>
      <c r="Y2635" s="26"/>
      <c r="Z2635" s="26"/>
      <c r="AA2635" s="26"/>
      <c r="AB2635" s="26"/>
      <c r="AC2635" s="27"/>
    </row>
    <row r="2636" spans="1:29" x14ac:dyDescent="0.25">
      <c r="A2636" s="1"/>
      <c r="B2636" s="19"/>
      <c r="C2636" s="24"/>
      <c r="D2636" s="1"/>
      <c r="E2636" s="25"/>
      <c r="F2636" s="26"/>
      <c r="G2636" s="26"/>
      <c r="L2636" s="25"/>
      <c r="M2636" s="24"/>
      <c r="N2636" s="26"/>
      <c r="O2636" s="26"/>
      <c r="P2636" s="26"/>
      <c r="Q2636" s="26"/>
      <c r="R2636" s="26"/>
      <c r="S2636" s="26"/>
      <c r="T2636" s="26"/>
      <c r="U2636" s="26"/>
      <c r="V2636" s="26"/>
      <c r="W2636" s="26"/>
      <c r="X2636" s="26"/>
      <c r="Y2636" s="26"/>
      <c r="Z2636" s="26"/>
      <c r="AA2636" s="26"/>
      <c r="AB2636" s="26"/>
      <c r="AC2636" s="27"/>
    </row>
    <row r="2637" spans="1:29" x14ac:dyDescent="0.25">
      <c r="A2637" s="1"/>
      <c r="B2637" s="19"/>
      <c r="C2637" s="24"/>
      <c r="D2637" s="1"/>
      <c r="E2637" s="25"/>
      <c r="F2637" s="26"/>
      <c r="G2637" s="26"/>
      <c r="L2637" s="25"/>
      <c r="M2637" s="24"/>
      <c r="N2637" s="26"/>
      <c r="O2637" s="26"/>
      <c r="P2637" s="26"/>
      <c r="Q2637" s="26"/>
      <c r="R2637" s="26"/>
      <c r="S2637" s="26"/>
      <c r="T2637" s="26"/>
      <c r="U2637" s="26"/>
      <c r="V2637" s="26"/>
      <c r="W2637" s="26"/>
      <c r="X2637" s="26"/>
      <c r="Y2637" s="26"/>
      <c r="Z2637" s="26"/>
      <c r="AA2637" s="26"/>
      <c r="AB2637" s="26"/>
      <c r="AC2637" s="27"/>
    </row>
    <row r="2638" spans="1:29" x14ac:dyDescent="0.25">
      <c r="A2638" s="1"/>
      <c r="B2638" s="19"/>
      <c r="C2638" s="24"/>
      <c r="D2638" s="1"/>
      <c r="E2638" s="25"/>
      <c r="F2638" s="26"/>
      <c r="G2638" s="26"/>
      <c r="L2638" s="25"/>
      <c r="M2638" s="24"/>
      <c r="N2638" s="26"/>
      <c r="O2638" s="26"/>
      <c r="P2638" s="26"/>
      <c r="Q2638" s="26"/>
      <c r="R2638" s="26"/>
      <c r="S2638" s="26"/>
      <c r="T2638" s="26"/>
      <c r="U2638" s="26"/>
      <c r="V2638" s="26"/>
      <c r="W2638" s="26"/>
      <c r="X2638" s="26"/>
      <c r="Y2638" s="26"/>
      <c r="Z2638" s="26"/>
      <c r="AA2638" s="26"/>
      <c r="AB2638" s="26"/>
      <c r="AC2638" s="27"/>
    </row>
    <row r="2639" spans="1:29" x14ac:dyDescent="0.25">
      <c r="A2639" s="1"/>
      <c r="B2639" s="19"/>
      <c r="C2639" s="24"/>
      <c r="D2639" s="1"/>
      <c r="E2639" s="25"/>
      <c r="F2639" s="26"/>
      <c r="G2639" s="26"/>
      <c r="L2639" s="25"/>
      <c r="M2639" s="24"/>
      <c r="N2639" s="26"/>
      <c r="O2639" s="26"/>
      <c r="P2639" s="26"/>
      <c r="Q2639" s="26"/>
      <c r="R2639" s="26"/>
      <c r="S2639" s="26"/>
      <c r="T2639" s="26"/>
      <c r="U2639" s="26"/>
      <c r="V2639" s="26"/>
      <c r="W2639" s="26"/>
      <c r="X2639" s="26"/>
      <c r="Y2639" s="26"/>
      <c r="Z2639" s="26"/>
      <c r="AA2639" s="26"/>
      <c r="AB2639" s="26"/>
      <c r="AC2639" s="27"/>
    </row>
    <row r="2640" spans="1:29" x14ac:dyDescent="0.25">
      <c r="A2640" s="1"/>
      <c r="B2640" s="19"/>
      <c r="C2640" s="24"/>
      <c r="D2640" s="1"/>
      <c r="E2640" s="25"/>
      <c r="F2640" s="26"/>
      <c r="G2640" s="26"/>
      <c r="L2640" s="25"/>
      <c r="M2640" s="24"/>
      <c r="N2640" s="26"/>
      <c r="O2640" s="26"/>
      <c r="P2640" s="26"/>
      <c r="Q2640" s="26"/>
      <c r="R2640" s="26"/>
      <c r="S2640" s="26"/>
      <c r="T2640" s="26"/>
      <c r="U2640" s="26"/>
      <c r="V2640" s="26"/>
      <c r="W2640" s="26"/>
      <c r="X2640" s="26"/>
      <c r="Y2640" s="26"/>
      <c r="Z2640" s="26"/>
      <c r="AA2640" s="26"/>
      <c r="AB2640" s="26"/>
      <c r="AC2640" s="27"/>
    </row>
    <row r="2641" spans="1:29" x14ac:dyDescent="0.25">
      <c r="A2641" s="1"/>
      <c r="B2641" s="19"/>
      <c r="C2641" s="24"/>
      <c r="D2641" s="1"/>
      <c r="E2641" s="25"/>
      <c r="F2641" s="26"/>
      <c r="G2641" s="26"/>
      <c r="L2641" s="25"/>
      <c r="M2641" s="24"/>
      <c r="N2641" s="26"/>
      <c r="O2641" s="26"/>
      <c r="P2641" s="26"/>
      <c r="Q2641" s="26"/>
      <c r="R2641" s="26"/>
      <c r="S2641" s="26"/>
      <c r="T2641" s="26"/>
      <c r="U2641" s="26"/>
      <c r="V2641" s="26"/>
      <c r="W2641" s="26"/>
      <c r="X2641" s="26"/>
      <c r="Y2641" s="26"/>
      <c r="Z2641" s="26"/>
      <c r="AA2641" s="26"/>
      <c r="AB2641" s="26"/>
      <c r="AC2641" s="27"/>
    </row>
    <row r="2642" spans="1:29" x14ac:dyDescent="0.25">
      <c r="A2642" s="1"/>
      <c r="B2642" s="19"/>
      <c r="C2642" s="24"/>
      <c r="D2642" s="1"/>
      <c r="E2642" s="25"/>
      <c r="F2642" s="26"/>
      <c r="G2642" s="26"/>
      <c r="L2642" s="25"/>
      <c r="M2642" s="24"/>
      <c r="N2642" s="26"/>
      <c r="O2642" s="26"/>
      <c r="P2642" s="26"/>
      <c r="Q2642" s="26"/>
      <c r="R2642" s="26"/>
      <c r="S2642" s="26"/>
      <c r="T2642" s="26"/>
      <c r="U2642" s="26"/>
      <c r="V2642" s="26"/>
      <c r="W2642" s="26"/>
      <c r="X2642" s="26"/>
      <c r="Y2642" s="26"/>
      <c r="Z2642" s="26"/>
      <c r="AA2642" s="26"/>
      <c r="AB2642" s="26"/>
      <c r="AC2642" s="27"/>
    </row>
    <row r="2643" spans="1:29" x14ac:dyDescent="0.25">
      <c r="A2643" s="1"/>
      <c r="B2643" s="19"/>
      <c r="C2643" s="24"/>
      <c r="D2643" s="1"/>
      <c r="E2643" s="25"/>
      <c r="F2643" s="26"/>
      <c r="G2643" s="26"/>
      <c r="L2643" s="25"/>
      <c r="M2643" s="24"/>
      <c r="N2643" s="26"/>
      <c r="O2643" s="26"/>
      <c r="P2643" s="26"/>
      <c r="Q2643" s="26"/>
      <c r="R2643" s="26"/>
      <c r="S2643" s="26"/>
      <c r="T2643" s="26"/>
      <c r="U2643" s="26"/>
      <c r="V2643" s="26"/>
      <c r="W2643" s="26"/>
      <c r="X2643" s="26"/>
      <c r="Y2643" s="26"/>
      <c r="Z2643" s="26"/>
      <c r="AA2643" s="26"/>
      <c r="AB2643" s="26"/>
      <c r="AC2643" s="27"/>
    </row>
    <row r="2644" spans="1:29" x14ac:dyDescent="0.25">
      <c r="A2644" s="1"/>
      <c r="B2644" s="19"/>
      <c r="C2644" s="24"/>
      <c r="D2644" s="1"/>
      <c r="E2644" s="25"/>
      <c r="F2644" s="26"/>
      <c r="G2644" s="26"/>
      <c r="L2644" s="25"/>
      <c r="M2644" s="24"/>
      <c r="N2644" s="26"/>
      <c r="O2644" s="26"/>
      <c r="P2644" s="26"/>
      <c r="Q2644" s="26"/>
      <c r="R2644" s="26"/>
      <c r="S2644" s="26"/>
      <c r="T2644" s="26"/>
      <c r="U2644" s="26"/>
      <c r="V2644" s="26"/>
      <c r="W2644" s="26"/>
      <c r="X2644" s="26"/>
      <c r="Y2644" s="26"/>
      <c r="Z2644" s="26"/>
      <c r="AA2644" s="26"/>
      <c r="AB2644" s="26"/>
      <c r="AC2644" s="27"/>
    </row>
    <row r="2645" spans="1:29" x14ac:dyDescent="0.25">
      <c r="A2645" s="1"/>
      <c r="B2645" s="19"/>
      <c r="C2645" s="24"/>
      <c r="D2645" s="1"/>
      <c r="E2645" s="25"/>
      <c r="F2645" s="26"/>
      <c r="G2645" s="26"/>
      <c r="L2645" s="25"/>
      <c r="M2645" s="24"/>
      <c r="N2645" s="26"/>
      <c r="O2645" s="26"/>
      <c r="P2645" s="26"/>
      <c r="Q2645" s="26"/>
      <c r="R2645" s="26"/>
      <c r="S2645" s="26"/>
      <c r="T2645" s="26"/>
      <c r="U2645" s="26"/>
      <c r="V2645" s="26"/>
      <c r="W2645" s="26"/>
      <c r="X2645" s="26"/>
      <c r="Y2645" s="26"/>
      <c r="Z2645" s="26"/>
      <c r="AA2645" s="26"/>
      <c r="AB2645" s="26"/>
      <c r="AC2645" s="27"/>
    </row>
    <row r="2646" spans="1:29" x14ac:dyDescent="0.25">
      <c r="A2646" s="1"/>
      <c r="B2646" s="19"/>
      <c r="C2646" s="24"/>
      <c r="D2646" s="1"/>
      <c r="E2646" s="25"/>
      <c r="F2646" s="26"/>
      <c r="G2646" s="26"/>
      <c r="L2646" s="25"/>
      <c r="M2646" s="24"/>
      <c r="N2646" s="26"/>
      <c r="O2646" s="26"/>
      <c r="P2646" s="26"/>
      <c r="Q2646" s="26"/>
      <c r="R2646" s="26"/>
      <c r="S2646" s="26"/>
      <c r="T2646" s="26"/>
      <c r="U2646" s="26"/>
      <c r="V2646" s="26"/>
      <c r="W2646" s="26"/>
      <c r="X2646" s="26"/>
      <c r="Y2646" s="26"/>
      <c r="Z2646" s="26"/>
      <c r="AA2646" s="26"/>
      <c r="AB2646" s="26"/>
      <c r="AC2646" s="27"/>
    </row>
    <row r="2647" spans="1:29" x14ac:dyDescent="0.25">
      <c r="A2647" s="1"/>
      <c r="B2647" s="19"/>
      <c r="C2647" s="24"/>
      <c r="D2647" s="1"/>
      <c r="E2647" s="25"/>
      <c r="F2647" s="26"/>
      <c r="G2647" s="26"/>
      <c r="L2647" s="25"/>
      <c r="M2647" s="24"/>
      <c r="N2647" s="26"/>
      <c r="O2647" s="26"/>
      <c r="P2647" s="26"/>
      <c r="Q2647" s="26"/>
      <c r="R2647" s="26"/>
      <c r="S2647" s="26"/>
      <c r="T2647" s="26"/>
      <c r="U2647" s="26"/>
      <c r="V2647" s="26"/>
      <c r="W2647" s="26"/>
      <c r="X2647" s="26"/>
      <c r="Y2647" s="26"/>
      <c r="Z2647" s="26"/>
      <c r="AA2647" s="26"/>
      <c r="AB2647" s="26"/>
      <c r="AC2647" s="27"/>
    </row>
    <row r="2648" spans="1:29" x14ac:dyDescent="0.25">
      <c r="A2648" s="1"/>
      <c r="B2648" s="19"/>
      <c r="C2648" s="24"/>
      <c r="D2648" s="1"/>
      <c r="E2648" s="25"/>
      <c r="F2648" s="26"/>
      <c r="G2648" s="26"/>
      <c r="L2648" s="25"/>
      <c r="M2648" s="24"/>
      <c r="N2648" s="26"/>
      <c r="O2648" s="26"/>
      <c r="P2648" s="26"/>
      <c r="Q2648" s="26"/>
      <c r="R2648" s="26"/>
      <c r="S2648" s="26"/>
      <c r="T2648" s="26"/>
      <c r="U2648" s="26"/>
      <c r="V2648" s="26"/>
      <c r="W2648" s="26"/>
      <c r="X2648" s="26"/>
      <c r="Y2648" s="26"/>
      <c r="Z2648" s="26"/>
      <c r="AA2648" s="26"/>
      <c r="AB2648" s="26"/>
      <c r="AC2648" s="27"/>
    </row>
    <row r="2649" spans="1:29" x14ac:dyDescent="0.25">
      <c r="A2649" s="1"/>
      <c r="B2649" s="19"/>
      <c r="C2649" s="24"/>
      <c r="D2649" s="1"/>
      <c r="E2649" s="25"/>
      <c r="F2649" s="26"/>
      <c r="G2649" s="26"/>
      <c r="L2649" s="25"/>
      <c r="M2649" s="24"/>
      <c r="N2649" s="26"/>
      <c r="O2649" s="26"/>
      <c r="P2649" s="26"/>
      <c r="Q2649" s="26"/>
      <c r="R2649" s="26"/>
      <c r="S2649" s="26"/>
      <c r="T2649" s="26"/>
      <c r="U2649" s="26"/>
      <c r="V2649" s="26"/>
      <c r="W2649" s="26"/>
      <c r="X2649" s="26"/>
      <c r="Y2649" s="26"/>
      <c r="Z2649" s="26"/>
      <c r="AA2649" s="26"/>
      <c r="AB2649" s="26"/>
      <c r="AC2649" s="27"/>
    </row>
    <row r="2650" spans="1:29" x14ac:dyDescent="0.25">
      <c r="A2650" s="1"/>
      <c r="B2650" s="19"/>
      <c r="C2650" s="24"/>
      <c r="D2650" s="1"/>
      <c r="E2650" s="25"/>
      <c r="F2650" s="26"/>
      <c r="G2650" s="26"/>
      <c r="L2650" s="25"/>
      <c r="M2650" s="24"/>
      <c r="N2650" s="26"/>
      <c r="O2650" s="26"/>
      <c r="P2650" s="26"/>
      <c r="Q2650" s="26"/>
      <c r="R2650" s="26"/>
      <c r="S2650" s="26"/>
      <c r="T2650" s="26"/>
      <c r="U2650" s="26"/>
      <c r="V2650" s="26"/>
      <c r="W2650" s="26"/>
      <c r="X2650" s="26"/>
      <c r="Y2650" s="26"/>
      <c r="Z2650" s="26"/>
      <c r="AA2650" s="26"/>
      <c r="AB2650" s="26"/>
      <c r="AC2650" s="27"/>
    </row>
    <row r="2651" spans="1:29" x14ac:dyDescent="0.25">
      <c r="A2651" s="1"/>
      <c r="B2651" s="19"/>
      <c r="C2651" s="24"/>
      <c r="D2651" s="1"/>
      <c r="E2651" s="25"/>
      <c r="F2651" s="26"/>
      <c r="G2651" s="26"/>
      <c r="L2651" s="25"/>
      <c r="M2651" s="24"/>
      <c r="N2651" s="26"/>
      <c r="O2651" s="26"/>
      <c r="P2651" s="26"/>
      <c r="Q2651" s="26"/>
      <c r="R2651" s="26"/>
      <c r="S2651" s="26"/>
      <c r="T2651" s="26"/>
      <c r="U2651" s="26"/>
      <c r="V2651" s="26"/>
      <c r="W2651" s="26"/>
      <c r="X2651" s="26"/>
      <c r="Y2651" s="26"/>
      <c r="Z2651" s="26"/>
      <c r="AA2651" s="26"/>
      <c r="AB2651" s="26"/>
      <c r="AC2651" s="27"/>
    </row>
    <row r="2652" spans="1:29" x14ac:dyDescent="0.25">
      <c r="A2652" s="1"/>
      <c r="B2652" s="19"/>
      <c r="C2652" s="24"/>
      <c r="D2652" s="1"/>
      <c r="E2652" s="25"/>
      <c r="F2652" s="26"/>
      <c r="G2652" s="26"/>
      <c r="L2652" s="25"/>
      <c r="M2652" s="24"/>
      <c r="N2652" s="26"/>
      <c r="O2652" s="26"/>
      <c r="P2652" s="26"/>
      <c r="Q2652" s="26"/>
      <c r="R2652" s="26"/>
      <c r="S2652" s="26"/>
      <c r="T2652" s="26"/>
      <c r="U2652" s="26"/>
      <c r="V2652" s="26"/>
      <c r="W2652" s="26"/>
      <c r="X2652" s="26"/>
      <c r="Y2652" s="26"/>
      <c r="Z2652" s="26"/>
      <c r="AA2652" s="26"/>
      <c r="AB2652" s="26"/>
      <c r="AC2652" s="27"/>
    </row>
    <row r="2653" spans="1:29" x14ac:dyDescent="0.25">
      <c r="A2653" s="1"/>
      <c r="B2653" s="19"/>
      <c r="C2653" s="24"/>
      <c r="D2653" s="1"/>
      <c r="E2653" s="25"/>
      <c r="F2653" s="26"/>
      <c r="G2653" s="26"/>
      <c r="L2653" s="25"/>
      <c r="M2653" s="24"/>
      <c r="N2653" s="26"/>
      <c r="O2653" s="26"/>
      <c r="P2653" s="26"/>
      <c r="Q2653" s="26"/>
      <c r="R2653" s="26"/>
      <c r="S2653" s="26"/>
      <c r="T2653" s="26"/>
      <c r="U2653" s="26"/>
      <c r="V2653" s="26"/>
      <c r="W2653" s="26"/>
      <c r="X2653" s="26"/>
      <c r="Y2653" s="26"/>
      <c r="Z2653" s="26"/>
      <c r="AA2653" s="26"/>
      <c r="AB2653" s="26"/>
      <c r="AC2653" s="27"/>
    </row>
    <row r="2654" spans="1:29" x14ac:dyDescent="0.25">
      <c r="A2654" s="1"/>
      <c r="B2654" s="19"/>
      <c r="C2654" s="24"/>
      <c r="D2654" s="1"/>
      <c r="E2654" s="25"/>
      <c r="F2654" s="26"/>
      <c r="G2654" s="26"/>
      <c r="L2654" s="25"/>
      <c r="M2654" s="24"/>
      <c r="N2654" s="26"/>
      <c r="O2654" s="26"/>
      <c r="P2654" s="26"/>
      <c r="Q2654" s="26"/>
      <c r="R2654" s="26"/>
      <c r="S2654" s="26"/>
      <c r="T2654" s="26"/>
      <c r="U2654" s="26"/>
      <c r="V2654" s="26"/>
      <c r="W2654" s="26"/>
      <c r="X2654" s="26"/>
      <c r="Y2654" s="26"/>
      <c r="Z2654" s="26"/>
      <c r="AA2654" s="26"/>
      <c r="AB2654" s="26"/>
      <c r="AC2654" s="27"/>
    </row>
    <row r="2655" spans="1:29" x14ac:dyDescent="0.25">
      <c r="A2655" s="1"/>
      <c r="B2655" s="19"/>
      <c r="C2655" s="24"/>
      <c r="D2655" s="1"/>
      <c r="E2655" s="25"/>
      <c r="F2655" s="26"/>
      <c r="G2655" s="26"/>
      <c r="L2655" s="25"/>
      <c r="M2655" s="24"/>
      <c r="N2655" s="26"/>
      <c r="O2655" s="26"/>
      <c r="P2655" s="26"/>
      <c r="Q2655" s="26"/>
      <c r="R2655" s="26"/>
      <c r="S2655" s="26"/>
      <c r="T2655" s="26"/>
      <c r="U2655" s="26"/>
      <c r="V2655" s="26"/>
      <c r="W2655" s="26"/>
      <c r="X2655" s="26"/>
      <c r="Y2655" s="26"/>
      <c r="Z2655" s="26"/>
      <c r="AA2655" s="26"/>
      <c r="AB2655" s="26"/>
      <c r="AC2655" s="27"/>
    </row>
    <row r="2656" spans="1:29" x14ac:dyDescent="0.25">
      <c r="A2656" s="1"/>
      <c r="B2656" s="19"/>
      <c r="C2656" s="24"/>
      <c r="D2656" s="1"/>
      <c r="E2656" s="25"/>
      <c r="F2656" s="26"/>
      <c r="G2656" s="26"/>
      <c r="L2656" s="25"/>
      <c r="M2656" s="24"/>
      <c r="N2656" s="26"/>
      <c r="O2656" s="26"/>
      <c r="P2656" s="26"/>
      <c r="Q2656" s="26"/>
      <c r="R2656" s="26"/>
      <c r="S2656" s="26"/>
      <c r="T2656" s="26"/>
      <c r="U2656" s="26"/>
      <c r="V2656" s="26"/>
      <c r="W2656" s="26"/>
      <c r="X2656" s="26"/>
      <c r="Y2656" s="26"/>
      <c r="Z2656" s="26"/>
      <c r="AA2656" s="26"/>
      <c r="AB2656" s="26"/>
      <c r="AC2656" s="27"/>
    </row>
    <row r="2657" spans="1:29" x14ac:dyDescent="0.25">
      <c r="A2657" s="1"/>
      <c r="B2657" s="19"/>
      <c r="C2657" s="24"/>
      <c r="D2657" s="1"/>
      <c r="E2657" s="25"/>
      <c r="F2657" s="26"/>
      <c r="G2657" s="26"/>
      <c r="L2657" s="25"/>
      <c r="M2657" s="24"/>
      <c r="N2657" s="26"/>
      <c r="O2657" s="26"/>
      <c r="P2657" s="26"/>
      <c r="Q2657" s="26"/>
      <c r="R2657" s="26"/>
      <c r="S2657" s="26"/>
      <c r="T2657" s="26"/>
      <c r="U2657" s="26"/>
      <c r="V2657" s="26"/>
      <c r="W2657" s="26"/>
      <c r="X2657" s="26"/>
      <c r="Y2657" s="26"/>
      <c r="Z2657" s="26"/>
      <c r="AA2657" s="26"/>
      <c r="AB2657" s="26"/>
      <c r="AC2657" s="27"/>
    </row>
    <row r="2658" spans="1:29" x14ac:dyDescent="0.25">
      <c r="A2658" s="1"/>
      <c r="B2658" s="19"/>
      <c r="C2658" s="24"/>
      <c r="D2658" s="1"/>
      <c r="E2658" s="25"/>
      <c r="F2658" s="26"/>
      <c r="G2658" s="26"/>
      <c r="L2658" s="25"/>
      <c r="M2658" s="24"/>
      <c r="N2658" s="26"/>
      <c r="O2658" s="26"/>
      <c r="P2658" s="26"/>
      <c r="Q2658" s="26"/>
      <c r="R2658" s="26"/>
      <c r="S2658" s="26"/>
      <c r="T2658" s="26"/>
      <c r="U2658" s="26"/>
      <c r="V2658" s="26"/>
      <c r="W2658" s="26"/>
      <c r="X2658" s="26"/>
      <c r="Y2658" s="26"/>
      <c r="Z2658" s="26"/>
      <c r="AA2658" s="26"/>
      <c r="AB2658" s="26"/>
      <c r="AC2658" s="27"/>
    </row>
    <row r="2659" spans="1:29" x14ac:dyDescent="0.25">
      <c r="A2659" s="1"/>
      <c r="B2659" s="19"/>
      <c r="C2659" s="24"/>
      <c r="D2659" s="1"/>
      <c r="E2659" s="25"/>
      <c r="F2659" s="26"/>
      <c r="G2659" s="26"/>
      <c r="L2659" s="25"/>
      <c r="M2659" s="24"/>
      <c r="N2659" s="26"/>
      <c r="O2659" s="26"/>
      <c r="P2659" s="26"/>
      <c r="Q2659" s="26"/>
      <c r="R2659" s="26"/>
      <c r="S2659" s="26"/>
      <c r="T2659" s="26"/>
      <c r="U2659" s="26"/>
      <c r="V2659" s="26"/>
      <c r="W2659" s="26"/>
      <c r="X2659" s="26"/>
      <c r="Y2659" s="26"/>
      <c r="Z2659" s="26"/>
      <c r="AA2659" s="26"/>
      <c r="AB2659" s="26"/>
      <c r="AC2659" s="27"/>
    </row>
    <row r="2660" spans="1:29" x14ac:dyDescent="0.25">
      <c r="A2660" s="1"/>
      <c r="B2660" s="19"/>
      <c r="C2660" s="24"/>
      <c r="D2660" s="1"/>
      <c r="E2660" s="25"/>
      <c r="F2660" s="26"/>
      <c r="G2660" s="26"/>
      <c r="L2660" s="25"/>
      <c r="M2660" s="24"/>
      <c r="N2660" s="26"/>
      <c r="O2660" s="26"/>
      <c r="P2660" s="26"/>
      <c r="Q2660" s="26"/>
      <c r="R2660" s="26"/>
      <c r="S2660" s="26"/>
      <c r="T2660" s="26"/>
      <c r="U2660" s="26"/>
      <c r="V2660" s="26"/>
      <c r="W2660" s="26"/>
      <c r="X2660" s="26"/>
      <c r="Y2660" s="26"/>
      <c r="Z2660" s="26"/>
      <c r="AA2660" s="26"/>
      <c r="AB2660" s="26"/>
      <c r="AC2660" s="27"/>
    </row>
    <row r="2661" spans="1:29" x14ac:dyDescent="0.25">
      <c r="A2661" s="1"/>
      <c r="B2661" s="19"/>
      <c r="C2661" s="24"/>
      <c r="D2661" s="1"/>
      <c r="E2661" s="25"/>
      <c r="F2661" s="26"/>
      <c r="G2661" s="26"/>
      <c r="L2661" s="25"/>
      <c r="M2661" s="24"/>
      <c r="N2661" s="26"/>
      <c r="O2661" s="26"/>
      <c r="P2661" s="26"/>
      <c r="Q2661" s="26"/>
      <c r="R2661" s="26"/>
      <c r="S2661" s="26"/>
      <c r="T2661" s="26"/>
      <c r="U2661" s="26"/>
      <c r="V2661" s="26"/>
      <c r="W2661" s="26"/>
      <c r="X2661" s="26"/>
      <c r="Y2661" s="26"/>
      <c r="Z2661" s="26"/>
      <c r="AA2661" s="26"/>
      <c r="AB2661" s="26"/>
      <c r="AC2661" s="27"/>
    </row>
    <row r="2662" spans="1:29" x14ac:dyDescent="0.25">
      <c r="A2662" s="1"/>
      <c r="B2662" s="19"/>
      <c r="C2662" s="24"/>
      <c r="D2662" s="1"/>
      <c r="E2662" s="25"/>
      <c r="F2662" s="26"/>
      <c r="G2662" s="26"/>
      <c r="L2662" s="25"/>
      <c r="M2662" s="24"/>
      <c r="N2662" s="26"/>
      <c r="O2662" s="26"/>
      <c r="P2662" s="26"/>
      <c r="Q2662" s="26"/>
      <c r="R2662" s="26"/>
      <c r="S2662" s="26"/>
      <c r="T2662" s="26"/>
      <c r="U2662" s="26"/>
      <c r="V2662" s="26"/>
      <c r="W2662" s="26"/>
      <c r="X2662" s="26"/>
      <c r="Y2662" s="26"/>
      <c r="Z2662" s="26"/>
      <c r="AA2662" s="26"/>
      <c r="AB2662" s="26"/>
      <c r="AC2662" s="27"/>
    </row>
    <row r="2663" spans="1:29" x14ac:dyDescent="0.25">
      <c r="A2663" s="1"/>
      <c r="B2663" s="19"/>
      <c r="C2663" s="24"/>
      <c r="D2663" s="1"/>
      <c r="E2663" s="25"/>
      <c r="F2663" s="26"/>
      <c r="G2663" s="26"/>
      <c r="L2663" s="25"/>
      <c r="M2663" s="24"/>
      <c r="N2663" s="26"/>
      <c r="O2663" s="26"/>
      <c r="P2663" s="26"/>
      <c r="Q2663" s="26"/>
      <c r="R2663" s="26"/>
      <c r="S2663" s="26"/>
      <c r="T2663" s="26"/>
      <c r="U2663" s="26"/>
      <c r="V2663" s="26"/>
      <c r="W2663" s="26"/>
      <c r="X2663" s="26"/>
      <c r="Y2663" s="26"/>
      <c r="Z2663" s="26"/>
      <c r="AA2663" s="26"/>
      <c r="AB2663" s="26"/>
      <c r="AC2663" s="27"/>
    </row>
    <row r="2664" spans="1:29" x14ac:dyDescent="0.25">
      <c r="A2664" s="1"/>
      <c r="B2664" s="19"/>
      <c r="C2664" s="24"/>
      <c r="D2664" s="1"/>
      <c r="E2664" s="25"/>
      <c r="F2664" s="26"/>
      <c r="G2664" s="26"/>
      <c r="L2664" s="25"/>
      <c r="M2664" s="24"/>
      <c r="N2664" s="26"/>
      <c r="O2664" s="26"/>
      <c r="P2664" s="26"/>
      <c r="Q2664" s="26"/>
      <c r="R2664" s="26"/>
      <c r="S2664" s="26"/>
      <c r="T2664" s="26"/>
      <c r="U2664" s="26"/>
      <c r="V2664" s="26"/>
      <c r="W2664" s="26"/>
      <c r="X2664" s="26"/>
      <c r="Y2664" s="26"/>
      <c r="Z2664" s="26"/>
      <c r="AA2664" s="26"/>
      <c r="AB2664" s="26"/>
      <c r="AC2664" s="27"/>
    </row>
    <row r="2665" spans="1:29" x14ac:dyDescent="0.25">
      <c r="A2665" s="1"/>
      <c r="B2665" s="19"/>
      <c r="C2665" s="24"/>
      <c r="D2665" s="1"/>
      <c r="E2665" s="25"/>
      <c r="F2665" s="26"/>
      <c r="G2665" s="26"/>
      <c r="L2665" s="25"/>
      <c r="M2665" s="24"/>
      <c r="N2665" s="26"/>
      <c r="O2665" s="26"/>
      <c r="P2665" s="26"/>
      <c r="Q2665" s="26"/>
      <c r="R2665" s="26"/>
      <c r="S2665" s="26"/>
      <c r="T2665" s="26"/>
      <c r="U2665" s="26"/>
      <c r="V2665" s="26"/>
      <c r="W2665" s="26"/>
      <c r="X2665" s="26"/>
      <c r="Y2665" s="26"/>
      <c r="Z2665" s="26"/>
      <c r="AA2665" s="26"/>
      <c r="AB2665" s="26"/>
      <c r="AC2665" s="27"/>
    </row>
    <row r="2666" spans="1:29" x14ac:dyDescent="0.25">
      <c r="A2666" s="1"/>
      <c r="B2666" s="19"/>
      <c r="C2666" s="24"/>
      <c r="D2666" s="1"/>
      <c r="E2666" s="25"/>
      <c r="F2666" s="26"/>
      <c r="G2666" s="26"/>
      <c r="L2666" s="25"/>
      <c r="M2666" s="24"/>
      <c r="N2666" s="26"/>
      <c r="O2666" s="26"/>
      <c r="P2666" s="26"/>
      <c r="Q2666" s="26"/>
      <c r="R2666" s="26"/>
      <c r="S2666" s="26"/>
      <c r="T2666" s="26"/>
      <c r="U2666" s="26"/>
      <c r="V2666" s="26"/>
      <c r="W2666" s="26"/>
      <c r="X2666" s="26"/>
      <c r="Y2666" s="26"/>
      <c r="Z2666" s="26"/>
      <c r="AA2666" s="26"/>
      <c r="AB2666" s="26"/>
      <c r="AC2666" s="27"/>
    </row>
    <row r="2667" spans="1:29" x14ac:dyDescent="0.25">
      <c r="A2667" s="1"/>
      <c r="B2667" s="19"/>
      <c r="C2667" s="24"/>
      <c r="D2667" s="1"/>
      <c r="E2667" s="25"/>
      <c r="F2667" s="26"/>
      <c r="G2667" s="26"/>
      <c r="L2667" s="25"/>
      <c r="M2667" s="24"/>
      <c r="N2667" s="26"/>
      <c r="O2667" s="26"/>
      <c r="P2667" s="26"/>
      <c r="Q2667" s="26"/>
      <c r="R2667" s="26"/>
      <c r="S2667" s="26"/>
      <c r="T2667" s="26"/>
      <c r="U2667" s="26"/>
      <c r="V2667" s="26"/>
      <c r="W2667" s="26"/>
      <c r="X2667" s="26"/>
      <c r="Y2667" s="26"/>
      <c r="Z2667" s="26"/>
      <c r="AA2667" s="26"/>
      <c r="AB2667" s="26"/>
      <c r="AC2667" s="27"/>
    </row>
    <row r="2668" spans="1:29" x14ac:dyDescent="0.25">
      <c r="A2668" s="1"/>
      <c r="B2668" s="19"/>
      <c r="C2668" s="24"/>
      <c r="D2668" s="1"/>
      <c r="E2668" s="25"/>
      <c r="F2668" s="26"/>
      <c r="G2668" s="26"/>
      <c r="L2668" s="25"/>
      <c r="M2668" s="24"/>
      <c r="N2668" s="26"/>
      <c r="O2668" s="26"/>
      <c r="P2668" s="26"/>
      <c r="Q2668" s="26"/>
      <c r="R2668" s="26"/>
      <c r="S2668" s="26"/>
      <c r="T2668" s="26"/>
      <c r="U2668" s="26"/>
      <c r="V2668" s="26"/>
      <c r="W2668" s="26"/>
      <c r="X2668" s="26"/>
      <c r="Y2668" s="26"/>
      <c r="Z2668" s="26"/>
      <c r="AA2668" s="26"/>
      <c r="AB2668" s="26"/>
      <c r="AC2668" s="27"/>
    </row>
    <row r="2669" spans="1:29" x14ac:dyDescent="0.25">
      <c r="A2669" s="1"/>
      <c r="B2669" s="19"/>
      <c r="C2669" s="24"/>
      <c r="D2669" s="1"/>
      <c r="E2669" s="25"/>
      <c r="F2669" s="26"/>
      <c r="G2669" s="26"/>
      <c r="L2669" s="25"/>
      <c r="M2669" s="24"/>
      <c r="N2669" s="26"/>
      <c r="O2669" s="26"/>
      <c r="P2669" s="26"/>
      <c r="Q2669" s="26"/>
      <c r="R2669" s="26"/>
      <c r="S2669" s="26"/>
      <c r="T2669" s="26"/>
      <c r="U2669" s="26"/>
      <c r="V2669" s="26"/>
      <c r="W2669" s="26"/>
      <c r="X2669" s="26"/>
      <c r="Y2669" s="26"/>
      <c r="Z2669" s="26"/>
      <c r="AA2669" s="26"/>
      <c r="AB2669" s="26"/>
      <c r="AC2669" s="27"/>
    </row>
    <row r="2670" spans="1:29" x14ac:dyDescent="0.25">
      <c r="A2670" s="1"/>
      <c r="B2670" s="19"/>
      <c r="C2670" s="24"/>
      <c r="D2670" s="1"/>
      <c r="E2670" s="25"/>
      <c r="F2670" s="26"/>
      <c r="G2670" s="26"/>
      <c r="L2670" s="25"/>
      <c r="M2670" s="24"/>
      <c r="N2670" s="26"/>
      <c r="O2670" s="26"/>
      <c r="P2670" s="26"/>
      <c r="Q2670" s="26"/>
      <c r="R2670" s="26"/>
      <c r="S2670" s="26"/>
      <c r="T2670" s="26"/>
      <c r="U2670" s="26"/>
      <c r="V2670" s="26"/>
      <c r="W2670" s="26"/>
      <c r="X2670" s="26"/>
      <c r="Y2670" s="26"/>
      <c r="Z2670" s="26"/>
      <c r="AA2670" s="26"/>
      <c r="AB2670" s="26"/>
      <c r="AC2670" s="27"/>
    </row>
    <row r="2671" spans="1:29" x14ac:dyDescent="0.25">
      <c r="A2671" s="1"/>
      <c r="B2671" s="19"/>
      <c r="C2671" s="24"/>
      <c r="D2671" s="1"/>
      <c r="E2671" s="25"/>
      <c r="F2671" s="26"/>
      <c r="G2671" s="26"/>
      <c r="L2671" s="25"/>
      <c r="M2671" s="24"/>
      <c r="N2671" s="26"/>
      <c r="O2671" s="26"/>
      <c r="P2671" s="26"/>
      <c r="Q2671" s="26"/>
      <c r="R2671" s="26"/>
      <c r="S2671" s="26"/>
      <c r="T2671" s="26"/>
      <c r="U2671" s="26"/>
      <c r="V2671" s="26"/>
      <c r="W2671" s="26"/>
      <c r="X2671" s="26"/>
      <c r="Y2671" s="26"/>
      <c r="Z2671" s="26"/>
      <c r="AA2671" s="26"/>
      <c r="AB2671" s="26"/>
      <c r="AC2671" s="27"/>
    </row>
    <row r="2672" spans="1:29" x14ac:dyDescent="0.25">
      <c r="A2672" s="1"/>
      <c r="B2672" s="19"/>
      <c r="C2672" s="24"/>
      <c r="D2672" s="1"/>
      <c r="E2672" s="25"/>
      <c r="F2672" s="26"/>
      <c r="G2672" s="26"/>
      <c r="L2672" s="25"/>
      <c r="M2672" s="24"/>
      <c r="N2672" s="26"/>
      <c r="O2672" s="26"/>
      <c r="P2672" s="26"/>
      <c r="Q2672" s="26"/>
      <c r="R2672" s="26"/>
      <c r="S2672" s="26"/>
      <c r="T2672" s="26"/>
      <c r="U2672" s="26"/>
      <c r="V2672" s="26"/>
      <c r="W2672" s="26"/>
      <c r="X2672" s="26"/>
      <c r="Y2672" s="26"/>
      <c r="Z2672" s="26"/>
      <c r="AA2672" s="26"/>
      <c r="AB2672" s="26"/>
      <c r="AC2672" s="27"/>
    </row>
    <row r="2673" spans="1:29" x14ac:dyDescent="0.25">
      <c r="A2673" s="1"/>
      <c r="B2673" s="19"/>
      <c r="C2673" s="24"/>
      <c r="D2673" s="1"/>
      <c r="E2673" s="25"/>
      <c r="F2673" s="26"/>
      <c r="G2673" s="26"/>
      <c r="L2673" s="25"/>
      <c r="M2673" s="24"/>
      <c r="N2673" s="26"/>
      <c r="O2673" s="26"/>
      <c r="P2673" s="26"/>
      <c r="Q2673" s="26"/>
      <c r="R2673" s="26"/>
      <c r="S2673" s="26"/>
      <c r="T2673" s="26"/>
      <c r="U2673" s="26"/>
      <c r="V2673" s="26"/>
      <c r="W2673" s="26"/>
      <c r="X2673" s="26"/>
      <c r="Y2673" s="26"/>
      <c r="Z2673" s="26"/>
      <c r="AA2673" s="26"/>
      <c r="AB2673" s="26"/>
      <c r="AC2673" s="27"/>
    </row>
    <row r="2674" spans="1:29" x14ac:dyDescent="0.25">
      <c r="A2674" s="1"/>
      <c r="B2674" s="19"/>
      <c r="C2674" s="24"/>
      <c r="D2674" s="1"/>
      <c r="E2674" s="25"/>
      <c r="F2674" s="26"/>
      <c r="G2674" s="26"/>
      <c r="L2674" s="25"/>
      <c r="M2674" s="24"/>
      <c r="N2674" s="26"/>
      <c r="O2674" s="26"/>
      <c r="P2674" s="26"/>
      <c r="Q2674" s="26"/>
      <c r="R2674" s="26"/>
      <c r="S2674" s="26"/>
      <c r="T2674" s="26"/>
      <c r="U2674" s="26"/>
      <c r="V2674" s="26"/>
      <c r="W2674" s="26"/>
      <c r="X2674" s="26"/>
      <c r="Y2674" s="26"/>
      <c r="Z2674" s="26"/>
      <c r="AA2674" s="26"/>
      <c r="AB2674" s="26"/>
      <c r="AC2674" s="27"/>
    </row>
    <row r="2675" spans="1:29" x14ac:dyDescent="0.25">
      <c r="A2675" s="1"/>
      <c r="B2675" s="19"/>
      <c r="C2675" s="24"/>
      <c r="D2675" s="1"/>
      <c r="E2675" s="25"/>
      <c r="F2675" s="26"/>
      <c r="G2675" s="26"/>
      <c r="L2675" s="25"/>
      <c r="M2675" s="24"/>
      <c r="N2675" s="26"/>
      <c r="O2675" s="26"/>
      <c r="P2675" s="26"/>
      <c r="Q2675" s="26"/>
      <c r="R2675" s="26"/>
      <c r="S2675" s="26"/>
      <c r="T2675" s="26"/>
      <c r="U2675" s="26"/>
      <c r="V2675" s="26"/>
      <c r="W2675" s="26"/>
      <c r="X2675" s="26"/>
      <c r="Y2675" s="26"/>
      <c r="Z2675" s="26"/>
      <c r="AA2675" s="26"/>
      <c r="AB2675" s="26"/>
      <c r="AC2675" s="27"/>
    </row>
    <row r="2676" spans="1:29" x14ac:dyDescent="0.25">
      <c r="A2676" s="1"/>
      <c r="B2676" s="19"/>
      <c r="C2676" s="24"/>
      <c r="D2676" s="1"/>
      <c r="E2676" s="25"/>
      <c r="F2676" s="26"/>
      <c r="G2676" s="26"/>
      <c r="L2676" s="25"/>
      <c r="M2676" s="24"/>
      <c r="N2676" s="26"/>
      <c r="O2676" s="26"/>
      <c r="P2676" s="26"/>
      <c r="Q2676" s="26"/>
      <c r="R2676" s="26"/>
      <c r="S2676" s="26"/>
      <c r="T2676" s="26"/>
      <c r="U2676" s="26"/>
      <c r="V2676" s="26"/>
      <c r="W2676" s="26"/>
      <c r="X2676" s="26"/>
      <c r="Y2676" s="26"/>
      <c r="Z2676" s="26"/>
      <c r="AA2676" s="26"/>
      <c r="AB2676" s="26"/>
      <c r="AC2676" s="27"/>
    </row>
    <row r="2677" spans="1:29" x14ac:dyDescent="0.25">
      <c r="A2677" s="1"/>
      <c r="B2677" s="19"/>
      <c r="C2677" s="24"/>
      <c r="D2677" s="1"/>
      <c r="E2677" s="25"/>
      <c r="F2677" s="26"/>
      <c r="G2677" s="26"/>
      <c r="L2677" s="25"/>
      <c r="M2677" s="24"/>
      <c r="N2677" s="26"/>
      <c r="O2677" s="26"/>
      <c r="P2677" s="26"/>
      <c r="Q2677" s="26"/>
      <c r="R2677" s="26"/>
      <c r="S2677" s="26"/>
      <c r="T2677" s="26"/>
      <c r="U2677" s="26"/>
      <c r="V2677" s="26"/>
      <c r="W2677" s="26"/>
      <c r="X2677" s="26"/>
      <c r="Y2677" s="26"/>
      <c r="Z2677" s="26"/>
      <c r="AA2677" s="26"/>
      <c r="AB2677" s="26"/>
      <c r="AC2677" s="27"/>
    </row>
    <row r="2678" spans="1:29" x14ac:dyDescent="0.25">
      <c r="A2678" s="1"/>
      <c r="B2678" s="19"/>
      <c r="C2678" s="24"/>
      <c r="D2678" s="1"/>
      <c r="E2678" s="25"/>
      <c r="F2678" s="26"/>
      <c r="G2678" s="26"/>
      <c r="L2678" s="25"/>
      <c r="M2678" s="24"/>
      <c r="N2678" s="26"/>
      <c r="O2678" s="26"/>
      <c r="P2678" s="26"/>
      <c r="Q2678" s="26"/>
      <c r="R2678" s="26"/>
      <c r="S2678" s="26"/>
      <c r="T2678" s="26"/>
      <c r="U2678" s="26"/>
      <c r="V2678" s="26"/>
      <c r="W2678" s="26"/>
      <c r="X2678" s="26"/>
      <c r="Y2678" s="26"/>
      <c r="Z2678" s="26"/>
      <c r="AA2678" s="26"/>
      <c r="AB2678" s="26"/>
      <c r="AC2678" s="27"/>
    </row>
    <row r="2679" spans="1:29" x14ac:dyDescent="0.25">
      <c r="A2679" s="1"/>
      <c r="B2679" s="19"/>
      <c r="C2679" s="24"/>
      <c r="D2679" s="1"/>
      <c r="E2679" s="25"/>
      <c r="F2679" s="26"/>
      <c r="G2679" s="26"/>
      <c r="L2679" s="25"/>
      <c r="M2679" s="24"/>
      <c r="N2679" s="26"/>
      <c r="O2679" s="26"/>
      <c r="P2679" s="26"/>
      <c r="Q2679" s="26"/>
      <c r="R2679" s="26"/>
      <c r="S2679" s="26"/>
      <c r="T2679" s="26"/>
      <c r="U2679" s="26"/>
      <c r="V2679" s="26"/>
      <c r="W2679" s="26"/>
      <c r="X2679" s="26"/>
      <c r="Y2679" s="26"/>
      <c r="Z2679" s="26"/>
      <c r="AA2679" s="26"/>
      <c r="AB2679" s="26"/>
      <c r="AC2679" s="27"/>
    </row>
    <row r="2680" spans="1:29" x14ac:dyDescent="0.25">
      <c r="A2680" s="1"/>
      <c r="B2680" s="19"/>
      <c r="C2680" s="24"/>
      <c r="D2680" s="1"/>
      <c r="E2680" s="25"/>
      <c r="F2680" s="26"/>
      <c r="G2680" s="26"/>
      <c r="L2680" s="25"/>
      <c r="M2680" s="24"/>
      <c r="N2680" s="26"/>
      <c r="O2680" s="26"/>
      <c r="P2680" s="26"/>
      <c r="Q2680" s="26"/>
      <c r="R2680" s="26"/>
      <c r="S2680" s="26"/>
      <c r="T2680" s="26"/>
      <c r="U2680" s="26"/>
      <c r="V2680" s="26"/>
      <c r="W2680" s="26"/>
      <c r="X2680" s="26"/>
      <c r="Y2680" s="26"/>
      <c r="Z2680" s="26"/>
      <c r="AA2680" s="26"/>
      <c r="AB2680" s="26"/>
      <c r="AC2680" s="27"/>
    </row>
    <row r="2681" spans="1:29" x14ac:dyDescent="0.25">
      <c r="A2681" s="1"/>
      <c r="B2681" s="19"/>
      <c r="C2681" s="24"/>
      <c r="D2681" s="1"/>
      <c r="E2681" s="25"/>
      <c r="F2681" s="26"/>
      <c r="G2681" s="26"/>
      <c r="L2681" s="25"/>
      <c r="M2681" s="24"/>
      <c r="N2681" s="26"/>
      <c r="O2681" s="26"/>
      <c r="P2681" s="26"/>
      <c r="Q2681" s="26"/>
      <c r="R2681" s="26"/>
      <c r="S2681" s="26"/>
      <c r="T2681" s="26"/>
      <c r="U2681" s="26"/>
      <c r="V2681" s="26"/>
      <c r="W2681" s="26"/>
      <c r="X2681" s="26"/>
      <c r="Y2681" s="26"/>
      <c r="Z2681" s="26"/>
      <c r="AA2681" s="26"/>
      <c r="AB2681" s="26"/>
      <c r="AC2681" s="27"/>
    </row>
    <row r="2682" spans="1:29" x14ac:dyDescent="0.25">
      <c r="A2682" s="1"/>
      <c r="B2682" s="19"/>
      <c r="C2682" s="24"/>
      <c r="D2682" s="1"/>
      <c r="E2682" s="25"/>
      <c r="F2682" s="26"/>
      <c r="G2682" s="26"/>
      <c r="L2682" s="25"/>
      <c r="M2682" s="24"/>
      <c r="N2682" s="26"/>
      <c r="O2682" s="26"/>
      <c r="P2682" s="26"/>
      <c r="Q2682" s="26"/>
      <c r="R2682" s="26"/>
      <c r="S2682" s="26"/>
      <c r="T2682" s="26"/>
      <c r="U2682" s="26"/>
      <c r="V2682" s="26"/>
      <c r="W2682" s="26"/>
      <c r="X2682" s="26"/>
      <c r="Y2682" s="26"/>
      <c r="Z2682" s="26"/>
      <c r="AA2682" s="26"/>
      <c r="AB2682" s="26"/>
      <c r="AC2682" s="27"/>
    </row>
    <row r="2683" spans="1:29" x14ac:dyDescent="0.25">
      <c r="A2683" s="1"/>
      <c r="B2683" s="19"/>
      <c r="C2683" s="24"/>
      <c r="D2683" s="1"/>
      <c r="E2683" s="25"/>
      <c r="F2683" s="26"/>
      <c r="G2683" s="26"/>
      <c r="L2683" s="25"/>
      <c r="M2683" s="24"/>
      <c r="N2683" s="26"/>
      <c r="O2683" s="26"/>
      <c r="P2683" s="26"/>
      <c r="Q2683" s="26"/>
      <c r="R2683" s="26"/>
      <c r="S2683" s="26"/>
      <c r="T2683" s="26"/>
      <c r="U2683" s="26"/>
      <c r="V2683" s="26"/>
      <c r="W2683" s="26"/>
      <c r="X2683" s="26"/>
      <c r="Y2683" s="26"/>
      <c r="Z2683" s="26"/>
      <c r="AA2683" s="26"/>
      <c r="AB2683" s="26"/>
      <c r="AC2683" s="27"/>
    </row>
    <row r="2684" spans="1:29" x14ac:dyDescent="0.25">
      <c r="A2684" s="1"/>
      <c r="B2684" s="19"/>
      <c r="C2684" s="24"/>
      <c r="D2684" s="1"/>
      <c r="E2684" s="25"/>
      <c r="F2684" s="26"/>
      <c r="G2684" s="26"/>
      <c r="L2684" s="25"/>
      <c r="M2684" s="24"/>
      <c r="N2684" s="26"/>
      <c r="O2684" s="26"/>
      <c r="P2684" s="26"/>
      <c r="Q2684" s="26"/>
      <c r="R2684" s="26"/>
      <c r="S2684" s="26"/>
      <c r="T2684" s="26"/>
      <c r="U2684" s="26"/>
      <c r="V2684" s="26"/>
      <c r="W2684" s="26"/>
      <c r="X2684" s="26"/>
      <c r="Y2684" s="26"/>
      <c r="Z2684" s="26"/>
      <c r="AA2684" s="26"/>
      <c r="AB2684" s="26"/>
      <c r="AC2684" s="27"/>
    </row>
    <row r="2685" spans="1:29" x14ac:dyDescent="0.25">
      <c r="A2685" s="1"/>
      <c r="B2685" s="19"/>
      <c r="C2685" s="24"/>
      <c r="D2685" s="1"/>
      <c r="E2685" s="25"/>
      <c r="F2685" s="26"/>
      <c r="G2685" s="26"/>
      <c r="L2685" s="25"/>
      <c r="M2685" s="24"/>
      <c r="N2685" s="26"/>
      <c r="O2685" s="26"/>
      <c r="P2685" s="26"/>
      <c r="Q2685" s="26"/>
      <c r="R2685" s="26"/>
      <c r="S2685" s="26"/>
      <c r="T2685" s="26"/>
      <c r="U2685" s="26"/>
      <c r="V2685" s="26"/>
      <c r="W2685" s="26"/>
      <c r="X2685" s="26"/>
      <c r="Y2685" s="26"/>
      <c r="Z2685" s="26"/>
      <c r="AA2685" s="26"/>
      <c r="AB2685" s="26"/>
      <c r="AC2685" s="27"/>
    </row>
    <row r="2686" spans="1:29" x14ac:dyDescent="0.25">
      <c r="A2686" s="1"/>
      <c r="B2686" s="19"/>
      <c r="C2686" s="24"/>
      <c r="D2686" s="1"/>
      <c r="E2686" s="25"/>
      <c r="F2686" s="26"/>
      <c r="G2686" s="26"/>
      <c r="L2686" s="25"/>
      <c r="M2686" s="24"/>
      <c r="N2686" s="26"/>
      <c r="O2686" s="26"/>
      <c r="P2686" s="26"/>
      <c r="Q2686" s="26"/>
      <c r="R2686" s="26"/>
      <c r="S2686" s="26"/>
      <c r="T2686" s="26"/>
      <c r="U2686" s="26"/>
      <c r="V2686" s="26"/>
      <c r="W2686" s="26"/>
      <c r="X2686" s="26"/>
      <c r="Y2686" s="26"/>
      <c r="Z2686" s="26"/>
      <c r="AA2686" s="26"/>
      <c r="AB2686" s="26"/>
      <c r="AC2686" s="27"/>
    </row>
    <row r="2687" spans="1:29" x14ac:dyDescent="0.25">
      <c r="A2687" s="1"/>
      <c r="B2687" s="19"/>
      <c r="C2687" s="24"/>
      <c r="D2687" s="1"/>
      <c r="E2687" s="25"/>
      <c r="F2687" s="26"/>
      <c r="G2687" s="26"/>
      <c r="L2687" s="25"/>
      <c r="M2687" s="24"/>
      <c r="N2687" s="26"/>
      <c r="O2687" s="26"/>
      <c r="P2687" s="26"/>
      <c r="Q2687" s="26"/>
      <c r="R2687" s="26"/>
      <c r="S2687" s="26"/>
      <c r="T2687" s="26"/>
      <c r="U2687" s="26"/>
      <c r="V2687" s="26"/>
      <c r="W2687" s="26"/>
      <c r="X2687" s="26"/>
      <c r="Y2687" s="26"/>
      <c r="Z2687" s="26"/>
      <c r="AA2687" s="26"/>
      <c r="AB2687" s="26"/>
      <c r="AC2687" s="27"/>
    </row>
    <row r="2688" spans="1:29" x14ac:dyDescent="0.25">
      <c r="A2688" s="1"/>
      <c r="B2688" s="19"/>
      <c r="C2688" s="24"/>
      <c r="D2688" s="1"/>
      <c r="E2688" s="25"/>
      <c r="F2688" s="26"/>
      <c r="G2688" s="26"/>
      <c r="L2688" s="25"/>
      <c r="M2688" s="24"/>
      <c r="N2688" s="26"/>
      <c r="O2688" s="26"/>
      <c r="P2688" s="26"/>
      <c r="Q2688" s="26"/>
      <c r="R2688" s="26"/>
      <c r="S2688" s="26"/>
      <c r="T2688" s="26"/>
      <c r="U2688" s="26"/>
      <c r="V2688" s="26"/>
      <c r="W2688" s="26"/>
      <c r="X2688" s="26"/>
      <c r="Y2688" s="26"/>
      <c r="Z2688" s="26"/>
      <c r="AA2688" s="26"/>
      <c r="AB2688" s="26"/>
      <c r="AC2688" s="27"/>
    </row>
    <row r="2689" spans="1:29" x14ac:dyDescent="0.25">
      <c r="A2689" s="1"/>
      <c r="B2689" s="19"/>
      <c r="C2689" s="24"/>
      <c r="D2689" s="1"/>
      <c r="E2689" s="25"/>
      <c r="F2689" s="26"/>
      <c r="G2689" s="26"/>
      <c r="L2689" s="25"/>
      <c r="M2689" s="24"/>
      <c r="N2689" s="26"/>
      <c r="O2689" s="26"/>
      <c r="P2689" s="26"/>
      <c r="Q2689" s="26"/>
      <c r="R2689" s="26"/>
      <c r="S2689" s="26"/>
      <c r="T2689" s="26"/>
      <c r="U2689" s="26"/>
      <c r="V2689" s="26"/>
      <c r="W2689" s="26"/>
      <c r="X2689" s="26"/>
      <c r="Y2689" s="26"/>
      <c r="Z2689" s="26"/>
      <c r="AA2689" s="26"/>
      <c r="AB2689" s="26"/>
      <c r="AC2689" s="27"/>
    </row>
    <row r="2690" spans="1:29" x14ac:dyDescent="0.25">
      <c r="A2690" s="1"/>
      <c r="B2690" s="19"/>
      <c r="C2690" s="24"/>
      <c r="D2690" s="1"/>
      <c r="E2690" s="25"/>
      <c r="F2690" s="26"/>
      <c r="G2690" s="26"/>
      <c r="L2690" s="25"/>
      <c r="M2690" s="24"/>
      <c r="N2690" s="26"/>
      <c r="O2690" s="26"/>
      <c r="P2690" s="26"/>
      <c r="Q2690" s="26"/>
      <c r="R2690" s="26"/>
      <c r="S2690" s="26"/>
      <c r="T2690" s="26"/>
      <c r="U2690" s="26"/>
      <c r="V2690" s="26"/>
      <c r="W2690" s="26"/>
      <c r="X2690" s="26"/>
      <c r="Y2690" s="26"/>
      <c r="Z2690" s="26"/>
      <c r="AA2690" s="26"/>
      <c r="AB2690" s="26"/>
      <c r="AC2690" s="27"/>
    </row>
    <row r="2691" spans="1:29" x14ac:dyDescent="0.25">
      <c r="A2691" s="1"/>
      <c r="B2691" s="19"/>
      <c r="C2691" s="24"/>
      <c r="D2691" s="1"/>
      <c r="E2691" s="25"/>
      <c r="F2691" s="26"/>
      <c r="G2691" s="26"/>
      <c r="L2691" s="25"/>
      <c r="M2691" s="24"/>
      <c r="N2691" s="26"/>
      <c r="O2691" s="26"/>
      <c r="P2691" s="26"/>
      <c r="Q2691" s="26"/>
      <c r="R2691" s="26"/>
      <c r="S2691" s="26"/>
      <c r="T2691" s="26"/>
      <c r="U2691" s="26"/>
      <c r="V2691" s="26"/>
      <c r="W2691" s="26"/>
      <c r="X2691" s="26"/>
      <c r="Y2691" s="26"/>
      <c r="Z2691" s="26"/>
      <c r="AA2691" s="26"/>
      <c r="AB2691" s="26"/>
      <c r="AC2691" s="27"/>
    </row>
    <row r="2692" spans="1:29" x14ac:dyDescent="0.25">
      <c r="A2692" s="1"/>
      <c r="B2692" s="19"/>
      <c r="C2692" s="24"/>
      <c r="D2692" s="1"/>
      <c r="E2692" s="25"/>
      <c r="F2692" s="26"/>
      <c r="G2692" s="26"/>
      <c r="L2692" s="25"/>
      <c r="M2692" s="24"/>
      <c r="N2692" s="26"/>
      <c r="O2692" s="26"/>
      <c r="P2692" s="26"/>
      <c r="Q2692" s="26"/>
      <c r="R2692" s="26"/>
      <c r="S2692" s="26"/>
      <c r="T2692" s="26"/>
      <c r="U2692" s="26"/>
      <c r="V2692" s="26"/>
      <c r="W2692" s="26"/>
      <c r="X2692" s="26"/>
      <c r="Y2692" s="26"/>
      <c r="Z2692" s="26"/>
      <c r="AA2692" s="26"/>
      <c r="AB2692" s="26"/>
      <c r="AC2692" s="27"/>
    </row>
    <row r="2693" spans="1:29" x14ac:dyDescent="0.25">
      <c r="A2693" s="1"/>
      <c r="B2693" s="19"/>
      <c r="C2693" s="24"/>
      <c r="D2693" s="1"/>
      <c r="E2693" s="25"/>
      <c r="F2693" s="26"/>
      <c r="G2693" s="26"/>
      <c r="L2693" s="25"/>
      <c r="M2693" s="24"/>
      <c r="N2693" s="26"/>
      <c r="O2693" s="26"/>
      <c r="P2693" s="26"/>
      <c r="Q2693" s="26"/>
      <c r="R2693" s="26"/>
      <c r="S2693" s="26"/>
      <c r="T2693" s="26"/>
      <c r="U2693" s="26"/>
      <c r="V2693" s="26"/>
      <c r="W2693" s="26"/>
      <c r="X2693" s="26"/>
      <c r="Y2693" s="26"/>
      <c r="Z2693" s="26"/>
      <c r="AA2693" s="26"/>
      <c r="AB2693" s="26"/>
      <c r="AC2693" s="27"/>
    </row>
    <row r="2694" spans="1:29" x14ac:dyDescent="0.25">
      <c r="A2694" s="1"/>
      <c r="B2694" s="19"/>
      <c r="C2694" s="24"/>
      <c r="D2694" s="1"/>
      <c r="E2694" s="25"/>
      <c r="F2694" s="26"/>
      <c r="G2694" s="26"/>
      <c r="L2694" s="25"/>
      <c r="M2694" s="24"/>
      <c r="N2694" s="26"/>
      <c r="O2694" s="26"/>
      <c r="P2694" s="26"/>
      <c r="Q2694" s="26"/>
      <c r="R2694" s="26"/>
      <c r="S2694" s="26"/>
      <c r="T2694" s="26"/>
      <c r="U2694" s="26"/>
      <c r="V2694" s="26"/>
      <c r="W2694" s="26"/>
      <c r="X2694" s="26"/>
      <c r="Y2694" s="26"/>
      <c r="Z2694" s="26"/>
      <c r="AA2694" s="26"/>
      <c r="AB2694" s="26"/>
      <c r="AC2694" s="27"/>
    </row>
    <row r="2695" spans="1:29" x14ac:dyDescent="0.25">
      <c r="A2695" s="1"/>
      <c r="B2695" s="19"/>
      <c r="C2695" s="24"/>
      <c r="D2695" s="1"/>
      <c r="E2695" s="25"/>
      <c r="F2695" s="26"/>
      <c r="G2695" s="26"/>
      <c r="L2695" s="25"/>
      <c r="M2695" s="24"/>
      <c r="N2695" s="26"/>
      <c r="O2695" s="26"/>
      <c r="P2695" s="26"/>
      <c r="Q2695" s="26"/>
      <c r="R2695" s="26"/>
      <c r="S2695" s="26"/>
      <c r="T2695" s="26"/>
      <c r="U2695" s="26"/>
      <c r="V2695" s="26"/>
      <c r="W2695" s="26"/>
      <c r="X2695" s="26"/>
      <c r="Y2695" s="26"/>
      <c r="Z2695" s="26"/>
      <c r="AA2695" s="26"/>
      <c r="AB2695" s="26"/>
      <c r="AC2695" s="27"/>
    </row>
    <row r="2696" spans="1:29" x14ac:dyDescent="0.25">
      <c r="A2696" s="1"/>
      <c r="B2696" s="19"/>
      <c r="C2696" s="24"/>
      <c r="D2696" s="1"/>
      <c r="E2696" s="25"/>
      <c r="F2696" s="26"/>
      <c r="G2696" s="26"/>
      <c r="L2696" s="25"/>
      <c r="M2696" s="24"/>
      <c r="N2696" s="26"/>
      <c r="O2696" s="26"/>
      <c r="P2696" s="26"/>
      <c r="Q2696" s="26"/>
      <c r="R2696" s="26"/>
      <c r="S2696" s="26"/>
      <c r="T2696" s="26"/>
      <c r="U2696" s="26"/>
      <c r="V2696" s="26"/>
      <c r="W2696" s="26"/>
      <c r="X2696" s="26"/>
      <c r="Y2696" s="26"/>
      <c r="Z2696" s="26"/>
      <c r="AA2696" s="26"/>
      <c r="AB2696" s="26"/>
      <c r="AC2696" s="27"/>
    </row>
    <row r="2697" spans="1:29" x14ac:dyDescent="0.25">
      <c r="A2697" s="1"/>
      <c r="B2697" s="19"/>
      <c r="C2697" s="24"/>
      <c r="D2697" s="1"/>
      <c r="E2697" s="25"/>
      <c r="F2697" s="26"/>
      <c r="G2697" s="26"/>
      <c r="L2697" s="25"/>
      <c r="M2697" s="24"/>
      <c r="N2697" s="26"/>
      <c r="O2697" s="26"/>
      <c r="P2697" s="26"/>
      <c r="Q2697" s="26"/>
      <c r="R2697" s="26"/>
      <c r="S2697" s="26"/>
      <c r="T2697" s="26"/>
      <c r="U2697" s="26"/>
      <c r="V2697" s="26"/>
      <c r="W2697" s="26"/>
      <c r="X2697" s="26"/>
      <c r="Y2697" s="26"/>
      <c r="Z2697" s="26"/>
      <c r="AA2697" s="26"/>
      <c r="AB2697" s="26"/>
      <c r="AC2697" s="27"/>
    </row>
    <row r="2698" spans="1:29" x14ac:dyDescent="0.25">
      <c r="A2698" s="1"/>
      <c r="B2698" s="19"/>
      <c r="C2698" s="24"/>
      <c r="D2698" s="1"/>
      <c r="E2698" s="25"/>
      <c r="F2698" s="26"/>
      <c r="G2698" s="26"/>
      <c r="L2698" s="25"/>
      <c r="M2698" s="24"/>
      <c r="N2698" s="26"/>
      <c r="O2698" s="26"/>
      <c r="P2698" s="26"/>
      <c r="Q2698" s="26"/>
      <c r="R2698" s="26"/>
      <c r="S2698" s="26"/>
      <c r="T2698" s="26"/>
      <c r="U2698" s="26"/>
      <c r="V2698" s="26"/>
      <c r="W2698" s="26"/>
      <c r="X2698" s="26"/>
      <c r="Y2698" s="26"/>
      <c r="Z2698" s="26"/>
      <c r="AA2698" s="26"/>
      <c r="AB2698" s="26"/>
      <c r="AC2698" s="27"/>
    </row>
    <row r="2699" spans="1:29" x14ac:dyDescent="0.25">
      <c r="A2699" s="1"/>
      <c r="B2699" s="19"/>
      <c r="C2699" s="24"/>
      <c r="D2699" s="1"/>
      <c r="E2699" s="25"/>
      <c r="F2699" s="26"/>
      <c r="G2699" s="26"/>
      <c r="L2699" s="25"/>
      <c r="M2699" s="24"/>
      <c r="N2699" s="26"/>
      <c r="O2699" s="26"/>
      <c r="P2699" s="26"/>
      <c r="Q2699" s="26"/>
      <c r="R2699" s="26"/>
      <c r="S2699" s="26"/>
      <c r="T2699" s="26"/>
      <c r="U2699" s="26"/>
      <c r="V2699" s="26"/>
      <c r="W2699" s="26"/>
      <c r="X2699" s="26"/>
      <c r="Y2699" s="26"/>
      <c r="Z2699" s="26"/>
      <c r="AA2699" s="26"/>
      <c r="AB2699" s="26"/>
      <c r="AC2699" s="27"/>
    </row>
    <row r="2700" spans="1:29" x14ac:dyDescent="0.25">
      <c r="A2700" s="1"/>
      <c r="B2700" s="19"/>
      <c r="C2700" s="24"/>
      <c r="D2700" s="1"/>
      <c r="E2700" s="25"/>
      <c r="F2700" s="26"/>
      <c r="G2700" s="26"/>
      <c r="L2700" s="25"/>
      <c r="M2700" s="24"/>
      <c r="N2700" s="26"/>
      <c r="O2700" s="26"/>
      <c r="P2700" s="26"/>
      <c r="Q2700" s="26"/>
      <c r="R2700" s="26"/>
      <c r="S2700" s="26"/>
      <c r="T2700" s="26"/>
      <c r="U2700" s="26"/>
      <c r="V2700" s="26"/>
      <c r="W2700" s="26"/>
      <c r="X2700" s="26"/>
      <c r="Y2700" s="26"/>
      <c r="Z2700" s="26"/>
      <c r="AA2700" s="26"/>
      <c r="AB2700" s="26"/>
      <c r="AC2700" s="27"/>
    </row>
    <row r="2701" spans="1:29" x14ac:dyDescent="0.25">
      <c r="A2701" s="1"/>
      <c r="B2701" s="19"/>
      <c r="C2701" s="24"/>
      <c r="D2701" s="1"/>
      <c r="E2701" s="25"/>
      <c r="F2701" s="26"/>
      <c r="G2701" s="26"/>
      <c r="L2701" s="25"/>
      <c r="M2701" s="24"/>
      <c r="N2701" s="26"/>
      <c r="O2701" s="26"/>
      <c r="P2701" s="26"/>
      <c r="Q2701" s="26"/>
      <c r="R2701" s="26"/>
      <c r="S2701" s="26"/>
      <c r="T2701" s="26"/>
      <c r="U2701" s="26"/>
      <c r="V2701" s="26"/>
      <c r="W2701" s="26"/>
      <c r="X2701" s="26"/>
      <c r="Y2701" s="26"/>
      <c r="Z2701" s="26"/>
      <c r="AA2701" s="26"/>
      <c r="AB2701" s="26"/>
      <c r="AC2701" s="27"/>
    </row>
    <row r="2702" spans="1:29" x14ac:dyDescent="0.25">
      <c r="A2702" s="1"/>
      <c r="B2702" s="19"/>
      <c r="C2702" s="24"/>
      <c r="D2702" s="1"/>
      <c r="E2702" s="25"/>
      <c r="F2702" s="26"/>
      <c r="G2702" s="26"/>
      <c r="L2702" s="25"/>
      <c r="M2702" s="24"/>
      <c r="N2702" s="26"/>
      <c r="O2702" s="26"/>
      <c r="P2702" s="26"/>
      <c r="Q2702" s="26"/>
      <c r="R2702" s="26"/>
      <c r="S2702" s="26"/>
      <c r="T2702" s="26"/>
      <c r="U2702" s="26"/>
      <c r="V2702" s="26"/>
      <c r="W2702" s="26"/>
      <c r="X2702" s="26"/>
      <c r="Y2702" s="26"/>
      <c r="Z2702" s="26"/>
      <c r="AA2702" s="26"/>
      <c r="AB2702" s="26"/>
      <c r="AC2702" s="27"/>
    </row>
    <row r="2703" spans="1:29" x14ac:dyDescent="0.25">
      <c r="A2703" s="1"/>
      <c r="B2703" s="19"/>
      <c r="C2703" s="24"/>
      <c r="D2703" s="1"/>
      <c r="E2703" s="25"/>
      <c r="F2703" s="26"/>
      <c r="G2703" s="26"/>
      <c r="L2703" s="25"/>
      <c r="M2703" s="24"/>
      <c r="N2703" s="26"/>
      <c r="O2703" s="26"/>
      <c r="P2703" s="26"/>
      <c r="Q2703" s="26"/>
      <c r="R2703" s="26"/>
      <c r="S2703" s="26"/>
      <c r="T2703" s="26"/>
      <c r="U2703" s="26"/>
      <c r="V2703" s="26"/>
      <c r="W2703" s="26"/>
      <c r="X2703" s="26"/>
      <c r="Y2703" s="26"/>
      <c r="Z2703" s="26"/>
      <c r="AA2703" s="26"/>
      <c r="AB2703" s="26"/>
      <c r="AC2703" s="27"/>
    </row>
    <row r="2704" spans="1:29" x14ac:dyDescent="0.25">
      <c r="A2704" s="1"/>
      <c r="B2704" s="19"/>
      <c r="C2704" s="24"/>
      <c r="D2704" s="1"/>
      <c r="E2704" s="25"/>
      <c r="F2704" s="26"/>
      <c r="G2704" s="26"/>
      <c r="L2704" s="25"/>
      <c r="M2704" s="24"/>
      <c r="N2704" s="26"/>
      <c r="O2704" s="26"/>
      <c r="P2704" s="26"/>
      <c r="Q2704" s="26"/>
      <c r="R2704" s="26"/>
      <c r="S2704" s="26"/>
      <c r="T2704" s="26"/>
      <c r="U2704" s="26"/>
      <c r="V2704" s="26"/>
      <c r="W2704" s="26"/>
      <c r="X2704" s="26"/>
      <c r="Y2704" s="26"/>
      <c r="Z2704" s="26"/>
      <c r="AA2704" s="26"/>
      <c r="AB2704" s="26"/>
      <c r="AC2704" s="27"/>
    </row>
    <row r="2705" spans="1:29" x14ac:dyDescent="0.25">
      <c r="A2705" s="1"/>
      <c r="B2705" s="19"/>
      <c r="C2705" s="24"/>
      <c r="D2705" s="1"/>
      <c r="E2705" s="25"/>
      <c r="F2705" s="26"/>
      <c r="G2705" s="26"/>
      <c r="L2705" s="25"/>
      <c r="M2705" s="24"/>
      <c r="N2705" s="26"/>
      <c r="O2705" s="26"/>
      <c r="P2705" s="26"/>
      <c r="Q2705" s="26"/>
      <c r="R2705" s="26"/>
      <c r="S2705" s="26"/>
      <c r="T2705" s="26"/>
      <c r="U2705" s="26"/>
      <c r="V2705" s="26"/>
      <c r="W2705" s="26"/>
      <c r="X2705" s="26"/>
      <c r="Y2705" s="26"/>
      <c r="Z2705" s="26"/>
      <c r="AA2705" s="26"/>
      <c r="AB2705" s="26"/>
      <c r="AC2705" s="27"/>
    </row>
    <row r="2706" spans="1:29" x14ac:dyDescent="0.25">
      <c r="A2706" s="1"/>
      <c r="B2706" s="19"/>
      <c r="C2706" s="24"/>
      <c r="D2706" s="1"/>
      <c r="E2706" s="25"/>
      <c r="F2706" s="26"/>
      <c r="G2706" s="26"/>
      <c r="L2706" s="25"/>
      <c r="M2706" s="24"/>
      <c r="N2706" s="26"/>
      <c r="O2706" s="26"/>
      <c r="P2706" s="26"/>
      <c r="Q2706" s="26"/>
      <c r="R2706" s="26"/>
      <c r="S2706" s="26"/>
      <c r="T2706" s="26"/>
      <c r="U2706" s="26"/>
      <c r="V2706" s="26"/>
      <c r="W2706" s="26"/>
      <c r="X2706" s="26"/>
      <c r="Y2706" s="26"/>
      <c r="Z2706" s="26"/>
      <c r="AA2706" s="26"/>
      <c r="AB2706" s="26"/>
      <c r="AC2706" s="27"/>
    </row>
    <row r="2707" spans="1:29" x14ac:dyDescent="0.25">
      <c r="A2707" s="1"/>
      <c r="B2707" s="19"/>
      <c r="C2707" s="24"/>
      <c r="D2707" s="1"/>
      <c r="E2707" s="25"/>
      <c r="F2707" s="26"/>
      <c r="G2707" s="26"/>
      <c r="L2707" s="25"/>
      <c r="M2707" s="24"/>
      <c r="N2707" s="26"/>
      <c r="O2707" s="26"/>
      <c r="P2707" s="26"/>
      <c r="Q2707" s="26"/>
      <c r="R2707" s="26"/>
      <c r="S2707" s="26"/>
      <c r="T2707" s="26"/>
      <c r="U2707" s="26"/>
      <c r="V2707" s="26"/>
      <c r="W2707" s="26"/>
      <c r="X2707" s="26"/>
      <c r="Y2707" s="26"/>
      <c r="Z2707" s="26"/>
      <c r="AA2707" s="26"/>
      <c r="AB2707" s="26"/>
      <c r="AC2707" s="27"/>
    </row>
    <row r="2708" spans="1:29" x14ac:dyDescent="0.25">
      <c r="A2708" s="1"/>
      <c r="B2708" s="19"/>
      <c r="C2708" s="24"/>
      <c r="D2708" s="1"/>
      <c r="E2708" s="25"/>
      <c r="F2708" s="26"/>
      <c r="G2708" s="26"/>
      <c r="L2708" s="25"/>
      <c r="M2708" s="24"/>
      <c r="N2708" s="26"/>
      <c r="O2708" s="26"/>
      <c r="P2708" s="26"/>
      <c r="Q2708" s="26"/>
      <c r="R2708" s="26"/>
      <c r="S2708" s="26"/>
      <c r="T2708" s="26"/>
      <c r="U2708" s="26"/>
      <c r="V2708" s="26"/>
      <c r="W2708" s="26"/>
      <c r="X2708" s="26"/>
      <c r="Y2708" s="26"/>
      <c r="Z2708" s="26"/>
      <c r="AA2708" s="26"/>
      <c r="AB2708" s="26"/>
      <c r="AC2708" s="27"/>
    </row>
    <row r="2709" spans="1:29" x14ac:dyDescent="0.25">
      <c r="A2709" s="1"/>
      <c r="B2709" s="19"/>
      <c r="C2709" s="24"/>
      <c r="D2709" s="1"/>
      <c r="E2709" s="25"/>
      <c r="F2709" s="26"/>
      <c r="G2709" s="26"/>
      <c r="L2709" s="25"/>
      <c r="M2709" s="24"/>
      <c r="N2709" s="26"/>
      <c r="O2709" s="26"/>
      <c r="P2709" s="26"/>
      <c r="Q2709" s="26"/>
      <c r="R2709" s="26"/>
      <c r="S2709" s="26"/>
      <c r="T2709" s="26"/>
      <c r="U2709" s="26"/>
      <c r="V2709" s="26"/>
      <c r="W2709" s="26"/>
      <c r="X2709" s="26"/>
      <c r="Y2709" s="26"/>
      <c r="Z2709" s="26"/>
      <c r="AA2709" s="26"/>
      <c r="AB2709" s="26"/>
      <c r="AC2709" s="27"/>
    </row>
    <row r="2710" spans="1:29" x14ac:dyDescent="0.25">
      <c r="A2710" s="1"/>
      <c r="B2710" s="19"/>
      <c r="C2710" s="24"/>
      <c r="D2710" s="1"/>
      <c r="E2710" s="25"/>
      <c r="F2710" s="26"/>
      <c r="G2710" s="26"/>
      <c r="L2710" s="25"/>
      <c r="M2710" s="24"/>
      <c r="N2710" s="26"/>
      <c r="O2710" s="26"/>
      <c r="P2710" s="26"/>
      <c r="Q2710" s="26"/>
      <c r="R2710" s="26"/>
      <c r="S2710" s="26"/>
      <c r="T2710" s="26"/>
      <c r="U2710" s="26"/>
      <c r="V2710" s="26"/>
      <c r="W2710" s="26"/>
      <c r="X2710" s="26"/>
      <c r="Y2710" s="26"/>
      <c r="Z2710" s="26"/>
      <c r="AA2710" s="26"/>
      <c r="AB2710" s="26"/>
      <c r="AC2710" s="27"/>
    </row>
    <row r="2711" spans="1:29" x14ac:dyDescent="0.25">
      <c r="A2711" s="1"/>
      <c r="B2711" s="19"/>
      <c r="C2711" s="24"/>
      <c r="D2711" s="1"/>
      <c r="E2711" s="25"/>
      <c r="F2711" s="26"/>
      <c r="G2711" s="26"/>
      <c r="L2711" s="25"/>
      <c r="M2711" s="24"/>
      <c r="N2711" s="26"/>
      <c r="O2711" s="26"/>
      <c r="P2711" s="26"/>
      <c r="Q2711" s="26"/>
      <c r="R2711" s="26"/>
      <c r="S2711" s="26"/>
      <c r="T2711" s="26"/>
      <c r="U2711" s="26"/>
      <c r="V2711" s="26"/>
      <c r="W2711" s="26"/>
      <c r="X2711" s="26"/>
      <c r="Y2711" s="26"/>
      <c r="Z2711" s="26"/>
      <c r="AA2711" s="26"/>
      <c r="AB2711" s="26"/>
      <c r="AC2711" s="27"/>
    </row>
    <row r="2712" spans="1:29" x14ac:dyDescent="0.25">
      <c r="A2712" s="1"/>
      <c r="B2712" s="19"/>
      <c r="C2712" s="24"/>
      <c r="D2712" s="1"/>
      <c r="E2712" s="25"/>
      <c r="F2712" s="26"/>
      <c r="G2712" s="26"/>
      <c r="L2712" s="25"/>
      <c r="M2712" s="24"/>
      <c r="N2712" s="26"/>
      <c r="O2712" s="26"/>
      <c r="P2712" s="26"/>
      <c r="Q2712" s="26"/>
      <c r="R2712" s="26"/>
      <c r="S2712" s="26"/>
      <c r="T2712" s="26"/>
      <c r="U2712" s="26"/>
      <c r="V2712" s="26"/>
      <c r="W2712" s="26"/>
      <c r="X2712" s="26"/>
      <c r="Y2712" s="26"/>
      <c r="Z2712" s="26"/>
      <c r="AA2712" s="26"/>
      <c r="AB2712" s="26"/>
      <c r="AC2712" s="27"/>
    </row>
    <row r="2713" spans="1:29" x14ac:dyDescent="0.25">
      <c r="A2713" s="1"/>
      <c r="B2713" s="19"/>
      <c r="C2713" s="24"/>
      <c r="D2713" s="1"/>
      <c r="E2713" s="25"/>
      <c r="F2713" s="26"/>
      <c r="G2713" s="26"/>
      <c r="L2713" s="25"/>
      <c r="M2713" s="24"/>
      <c r="N2713" s="26"/>
      <c r="O2713" s="26"/>
      <c r="P2713" s="26"/>
      <c r="Q2713" s="26"/>
      <c r="R2713" s="26"/>
      <c r="S2713" s="26"/>
      <c r="T2713" s="26"/>
      <c r="U2713" s="26"/>
      <c r="V2713" s="26"/>
      <c r="W2713" s="26"/>
      <c r="X2713" s="26"/>
      <c r="Y2713" s="26"/>
      <c r="Z2713" s="26"/>
      <c r="AA2713" s="26"/>
      <c r="AB2713" s="26"/>
      <c r="AC2713" s="27"/>
    </row>
    <row r="2714" spans="1:29" x14ac:dyDescent="0.25">
      <c r="A2714" s="1"/>
      <c r="B2714" s="19"/>
      <c r="C2714" s="24"/>
      <c r="D2714" s="1"/>
      <c r="E2714" s="25"/>
      <c r="F2714" s="26"/>
      <c r="G2714" s="26"/>
      <c r="L2714" s="25"/>
      <c r="M2714" s="24"/>
      <c r="N2714" s="26"/>
      <c r="O2714" s="26"/>
      <c r="P2714" s="26"/>
      <c r="Q2714" s="26"/>
      <c r="R2714" s="26"/>
      <c r="S2714" s="26"/>
      <c r="T2714" s="26"/>
      <c r="U2714" s="26"/>
      <c r="V2714" s="26"/>
      <c r="W2714" s="26"/>
      <c r="X2714" s="26"/>
      <c r="Y2714" s="26"/>
      <c r="Z2714" s="26"/>
      <c r="AA2714" s="26"/>
      <c r="AB2714" s="26"/>
      <c r="AC2714" s="27"/>
    </row>
    <row r="2715" spans="1:29" x14ac:dyDescent="0.25">
      <c r="A2715" s="1"/>
      <c r="B2715" s="19"/>
      <c r="C2715" s="24"/>
      <c r="D2715" s="1"/>
      <c r="E2715" s="25"/>
      <c r="F2715" s="26"/>
      <c r="G2715" s="26"/>
      <c r="L2715" s="25"/>
      <c r="M2715" s="24"/>
      <c r="N2715" s="26"/>
      <c r="O2715" s="26"/>
      <c r="P2715" s="26"/>
      <c r="Q2715" s="26"/>
      <c r="R2715" s="26"/>
      <c r="S2715" s="26"/>
      <c r="T2715" s="26"/>
      <c r="U2715" s="26"/>
      <c r="V2715" s="26"/>
      <c r="W2715" s="26"/>
      <c r="X2715" s="26"/>
      <c r="Y2715" s="26"/>
      <c r="Z2715" s="26"/>
      <c r="AA2715" s="26"/>
      <c r="AB2715" s="26"/>
      <c r="AC2715" s="27"/>
    </row>
    <row r="2716" spans="1:29" x14ac:dyDescent="0.25">
      <c r="A2716" s="1"/>
      <c r="B2716" s="19"/>
      <c r="C2716" s="24"/>
      <c r="D2716" s="1"/>
      <c r="E2716" s="25"/>
      <c r="F2716" s="26"/>
      <c r="G2716" s="26"/>
      <c r="L2716" s="25"/>
      <c r="M2716" s="24"/>
      <c r="N2716" s="26"/>
      <c r="O2716" s="26"/>
      <c r="P2716" s="26"/>
      <c r="Q2716" s="26"/>
      <c r="R2716" s="26"/>
      <c r="S2716" s="26"/>
      <c r="T2716" s="26"/>
      <c r="U2716" s="26"/>
      <c r="V2716" s="26"/>
      <c r="W2716" s="26"/>
      <c r="X2716" s="26"/>
      <c r="Y2716" s="26"/>
      <c r="Z2716" s="26"/>
      <c r="AA2716" s="26"/>
      <c r="AB2716" s="26"/>
      <c r="AC2716" s="27"/>
    </row>
    <row r="2717" spans="1:29" x14ac:dyDescent="0.25">
      <c r="A2717" s="1"/>
      <c r="B2717" s="19"/>
      <c r="C2717" s="24"/>
      <c r="D2717" s="1"/>
      <c r="E2717" s="25"/>
      <c r="F2717" s="26"/>
      <c r="G2717" s="26"/>
      <c r="L2717" s="25"/>
      <c r="M2717" s="24"/>
      <c r="N2717" s="26"/>
      <c r="O2717" s="26"/>
      <c r="P2717" s="26"/>
      <c r="Q2717" s="26"/>
      <c r="R2717" s="26"/>
      <c r="S2717" s="26"/>
      <c r="T2717" s="26"/>
      <c r="U2717" s="26"/>
      <c r="V2717" s="26"/>
      <c r="W2717" s="26"/>
      <c r="X2717" s="26"/>
      <c r="Y2717" s="26"/>
      <c r="Z2717" s="26"/>
      <c r="AA2717" s="26"/>
      <c r="AB2717" s="26"/>
      <c r="AC2717" s="27"/>
    </row>
    <row r="2718" spans="1:29" x14ac:dyDescent="0.25">
      <c r="A2718" s="1"/>
      <c r="B2718" s="19"/>
      <c r="C2718" s="24"/>
      <c r="D2718" s="1"/>
      <c r="E2718" s="25"/>
      <c r="F2718" s="26"/>
      <c r="G2718" s="26"/>
      <c r="L2718" s="25"/>
      <c r="M2718" s="24"/>
      <c r="N2718" s="26"/>
      <c r="O2718" s="26"/>
      <c r="P2718" s="26"/>
      <c r="Q2718" s="26"/>
      <c r="R2718" s="26"/>
      <c r="S2718" s="26"/>
      <c r="T2718" s="26"/>
      <c r="U2718" s="26"/>
      <c r="V2718" s="26"/>
      <c r="W2718" s="26"/>
      <c r="X2718" s="26"/>
      <c r="Y2718" s="26"/>
      <c r="Z2718" s="26"/>
      <c r="AA2718" s="26"/>
      <c r="AB2718" s="26"/>
      <c r="AC2718" s="27"/>
    </row>
    <row r="2719" spans="1:29" x14ac:dyDescent="0.25">
      <c r="A2719" s="1"/>
      <c r="B2719" s="19"/>
      <c r="C2719" s="24"/>
      <c r="D2719" s="1"/>
      <c r="E2719" s="25"/>
      <c r="F2719" s="26"/>
      <c r="G2719" s="26"/>
      <c r="L2719" s="25"/>
      <c r="M2719" s="24"/>
      <c r="N2719" s="26"/>
      <c r="O2719" s="26"/>
      <c r="P2719" s="26"/>
      <c r="Q2719" s="26"/>
      <c r="R2719" s="26"/>
      <c r="S2719" s="26"/>
      <c r="T2719" s="26"/>
      <c r="U2719" s="26"/>
      <c r="V2719" s="26"/>
      <c r="W2719" s="26"/>
      <c r="X2719" s="26"/>
      <c r="Y2719" s="26"/>
      <c r="Z2719" s="26"/>
      <c r="AA2719" s="26"/>
      <c r="AB2719" s="26"/>
      <c r="AC2719" s="27"/>
    </row>
    <row r="2720" spans="1:29" x14ac:dyDescent="0.25">
      <c r="A2720" s="1"/>
      <c r="B2720" s="19"/>
      <c r="C2720" s="24"/>
      <c r="D2720" s="1"/>
      <c r="E2720" s="25"/>
      <c r="F2720" s="26"/>
      <c r="G2720" s="26"/>
      <c r="L2720" s="25"/>
      <c r="M2720" s="24"/>
      <c r="N2720" s="26"/>
      <c r="O2720" s="26"/>
      <c r="P2720" s="26"/>
      <c r="Q2720" s="26"/>
      <c r="R2720" s="26"/>
      <c r="S2720" s="26"/>
      <c r="T2720" s="26"/>
      <c r="U2720" s="26"/>
      <c r="V2720" s="26"/>
      <c r="W2720" s="26"/>
      <c r="X2720" s="26"/>
      <c r="Y2720" s="26"/>
      <c r="Z2720" s="26"/>
      <c r="AA2720" s="26"/>
      <c r="AB2720" s="26"/>
      <c r="AC2720" s="27"/>
    </row>
    <row r="2721" spans="1:29" x14ac:dyDescent="0.25">
      <c r="A2721" s="1"/>
      <c r="B2721" s="19"/>
      <c r="C2721" s="24"/>
      <c r="D2721" s="1"/>
      <c r="E2721" s="25"/>
      <c r="F2721" s="26"/>
      <c r="G2721" s="26"/>
      <c r="L2721" s="25"/>
      <c r="M2721" s="24"/>
      <c r="N2721" s="26"/>
      <c r="O2721" s="26"/>
      <c r="P2721" s="26"/>
      <c r="Q2721" s="26"/>
      <c r="R2721" s="26"/>
      <c r="S2721" s="26"/>
      <c r="T2721" s="26"/>
      <c r="U2721" s="26"/>
      <c r="V2721" s="26"/>
      <c r="W2721" s="26"/>
      <c r="X2721" s="26"/>
      <c r="Y2721" s="26"/>
      <c r="Z2721" s="26"/>
      <c r="AA2721" s="26"/>
      <c r="AB2721" s="26"/>
      <c r="AC2721" s="27"/>
    </row>
    <row r="2722" spans="1:29" x14ac:dyDescent="0.25">
      <c r="A2722" s="1"/>
      <c r="B2722" s="19"/>
      <c r="C2722" s="24"/>
      <c r="D2722" s="1"/>
      <c r="E2722" s="25"/>
      <c r="F2722" s="26"/>
      <c r="G2722" s="26"/>
      <c r="L2722" s="25"/>
      <c r="M2722" s="24"/>
      <c r="N2722" s="26"/>
      <c r="O2722" s="26"/>
      <c r="P2722" s="26"/>
      <c r="Q2722" s="26"/>
      <c r="R2722" s="26"/>
      <c r="S2722" s="26"/>
      <c r="T2722" s="26"/>
      <c r="U2722" s="26"/>
      <c r="V2722" s="26"/>
      <c r="W2722" s="26"/>
      <c r="X2722" s="26"/>
      <c r="Y2722" s="26"/>
      <c r="Z2722" s="26"/>
      <c r="AA2722" s="26"/>
      <c r="AB2722" s="26"/>
      <c r="AC2722" s="27"/>
    </row>
    <row r="2723" spans="1:29" x14ac:dyDescent="0.25">
      <c r="A2723" s="1"/>
      <c r="B2723" s="19"/>
      <c r="C2723" s="24"/>
      <c r="D2723" s="1"/>
      <c r="E2723" s="25"/>
      <c r="F2723" s="26"/>
      <c r="G2723" s="26"/>
      <c r="L2723" s="25"/>
      <c r="M2723" s="24"/>
      <c r="N2723" s="26"/>
      <c r="O2723" s="26"/>
      <c r="P2723" s="26"/>
      <c r="Q2723" s="26"/>
      <c r="R2723" s="26"/>
      <c r="S2723" s="26"/>
      <c r="T2723" s="26"/>
      <c r="U2723" s="26"/>
      <c r="V2723" s="26"/>
      <c r="W2723" s="26"/>
      <c r="X2723" s="26"/>
      <c r="Y2723" s="26"/>
      <c r="Z2723" s="26"/>
      <c r="AA2723" s="26"/>
      <c r="AB2723" s="26"/>
      <c r="AC2723" s="27"/>
    </row>
    <row r="2724" spans="1:29" x14ac:dyDescent="0.25">
      <c r="A2724" s="1"/>
      <c r="B2724" s="19"/>
      <c r="C2724" s="24"/>
      <c r="D2724" s="1"/>
      <c r="E2724" s="25"/>
      <c r="F2724" s="26"/>
      <c r="G2724" s="26"/>
      <c r="L2724" s="25"/>
      <c r="M2724" s="24"/>
      <c r="N2724" s="26"/>
      <c r="O2724" s="26"/>
      <c r="P2724" s="26"/>
      <c r="Q2724" s="26"/>
      <c r="R2724" s="26"/>
      <c r="S2724" s="26"/>
      <c r="T2724" s="26"/>
      <c r="U2724" s="26"/>
      <c r="V2724" s="26"/>
      <c r="W2724" s="26"/>
      <c r="X2724" s="26"/>
      <c r="Y2724" s="26"/>
      <c r="Z2724" s="26"/>
      <c r="AA2724" s="26"/>
      <c r="AB2724" s="26"/>
      <c r="AC2724" s="27"/>
    </row>
    <row r="2725" spans="1:29" x14ac:dyDescent="0.25">
      <c r="A2725" s="1"/>
      <c r="B2725" s="19"/>
      <c r="C2725" s="24"/>
      <c r="D2725" s="1"/>
      <c r="E2725" s="25"/>
      <c r="F2725" s="26"/>
      <c r="G2725" s="26"/>
      <c r="L2725" s="25"/>
      <c r="M2725" s="24"/>
      <c r="N2725" s="26"/>
      <c r="O2725" s="26"/>
      <c r="P2725" s="26"/>
      <c r="Q2725" s="26"/>
      <c r="R2725" s="26"/>
      <c r="S2725" s="26"/>
      <c r="T2725" s="26"/>
      <c r="U2725" s="26"/>
      <c r="V2725" s="26"/>
      <c r="W2725" s="26"/>
      <c r="X2725" s="26"/>
      <c r="Y2725" s="26"/>
      <c r="Z2725" s="26"/>
      <c r="AA2725" s="26"/>
      <c r="AB2725" s="26"/>
      <c r="AC2725" s="27"/>
    </row>
    <row r="2726" spans="1:29" x14ac:dyDescent="0.25">
      <c r="A2726" s="1"/>
      <c r="B2726" s="19"/>
      <c r="C2726" s="24"/>
      <c r="D2726" s="1"/>
      <c r="E2726" s="25"/>
      <c r="F2726" s="26"/>
      <c r="G2726" s="26"/>
      <c r="L2726" s="25"/>
      <c r="M2726" s="24"/>
      <c r="N2726" s="26"/>
      <c r="O2726" s="26"/>
      <c r="P2726" s="26"/>
      <c r="Q2726" s="26"/>
      <c r="R2726" s="26"/>
      <c r="S2726" s="26"/>
      <c r="T2726" s="26"/>
      <c r="U2726" s="26"/>
      <c r="V2726" s="26"/>
      <c r="W2726" s="26"/>
      <c r="X2726" s="26"/>
      <c r="Y2726" s="26"/>
      <c r="Z2726" s="26"/>
      <c r="AA2726" s="26"/>
      <c r="AB2726" s="26"/>
      <c r="AC2726" s="27"/>
    </row>
    <row r="2727" spans="1:29" x14ac:dyDescent="0.25">
      <c r="A2727" s="1"/>
      <c r="B2727" s="19"/>
      <c r="C2727" s="24"/>
      <c r="D2727" s="1"/>
      <c r="E2727" s="25"/>
      <c r="F2727" s="26"/>
      <c r="G2727" s="26"/>
      <c r="L2727" s="25"/>
      <c r="M2727" s="24"/>
      <c r="N2727" s="26"/>
      <c r="O2727" s="26"/>
      <c r="P2727" s="26"/>
      <c r="Q2727" s="26"/>
      <c r="R2727" s="26"/>
      <c r="S2727" s="26"/>
      <c r="T2727" s="26"/>
      <c r="U2727" s="26"/>
      <c r="V2727" s="26"/>
      <c r="W2727" s="26"/>
      <c r="X2727" s="26"/>
      <c r="Y2727" s="26"/>
      <c r="Z2727" s="26"/>
      <c r="AA2727" s="26"/>
      <c r="AB2727" s="26"/>
      <c r="AC2727" s="27"/>
    </row>
    <row r="2728" spans="1:29" x14ac:dyDescent="0.25">
      <c r="A2728" s="1"/>
      <c r="B2728" s="19"/>
      <c r="C2728" s="24"/>
      <c r="D2728" s="1"/>
      <c r="E2728" s="25"/>
      <c r="F2728" s="26"/>
      <c r="G2728" s="26"/>
      <c r="L2728" s="25"/>
      <c r="M2728" s="24"/>
      <c r="N2728" s="26"/>
      <c r="O2728" s="26"/>
      <c r="P2728" s="26"/>
      <c r="Q2728" s="26"/>
      <c r="R2728" s="26"/>
      <c r="S2728" s="26"/>
      <c r="T2728" s="26"/>
      <c r="U2728" s="26"/>
      <c r="V2728" s="26"/>
      <c r="W2728" s="26"/>
      <c r="X2728" s="26"/>
      <c r="Y2728" s="26"/>
      <c r="Z2728" s="26"/>
      <c r="AA2728" s="26"/>
      <c r="AB2728" s="26"/>
      <c r="AC2728" s="27"/>
    </row>
    <row r="2729" spans="1:29" x14ac:dyDescent="0.25">
      <c r="A2729" s="1"/>
      <c r="B2729" s="19"/>
      <c r="C2729" s="24"/>
      <c r="D2729" s="1"/>
      <c r="E2729" s="25"/>
      <c r="F2729" s="26"/>
      <c r="G2729" s="26"/>
      <c r="L2729" s="25"/>
      <c r="M2729" s="24"/>
      <c r="N2729" s="26"/>
      <c r="O2729" s="26"/>
      <c r="P2729" s="26"/>
      <c r="Q2729" s="26"/>
      <c r="R2729" s="26"/>
      <c r="S2729" s="26"/>
      <c r="T2729" s="26"/>
      <c r="U2729" s="26"/>
      <c r="V2729" s="26"/>
      <c r="W2729" s="26"/>
      <c r="X2729" s="26"/>
      <c r="Y2729" s="26"/>
      <c r="Z2729" s="26"/>
      <c r="AA2729" s="26"/>
      <c r="AB2729" s="26"/>
      <c r="AC2729" s="27"/>
    </row>
    <row r="2730" spans="1:29" x14ac:dyDescent="0.25">
      <c r="A2730" s="1"/>
      <c r="B2730" s="19"/>
      <c r="C2730" s="24"/>
      <c r="D2730" s="1"/>
      <c r="E2730" s="25"/>
      <c r="F2730" s="26"/>
      <c r="G2730" s="26"/>
      <c r="L2730" s="25"/>
      <c r="M2730" s="24"/>
      <c r="N2730" s="26"/>
      <c r="O2730" s="26"/>
      <c r="P2730" s="26"/>
      <c r="Q2730" s="26"/>
      <c r="R2730" s="26"/>
      <c r="S2730" s="26"/>
      <c r="T2730" s="26"/>
      <c r="U2730" s="26"/>
      <c r="V2730" s="26"/>
      <c r="W2730" s="26"/>
      <c r="X2730" s="26"/>
      <c r="Y2730" s="26"/>
      <c r="Z2730" s="26"/>
      <c r="AA2730" s="26"/>
      <c r="AB2730" s="26"/>
      <c r="AC2730" s="27"/>
    </row>
    <row r="2731" spans="1:29" x14ac:dyDescent="0.25">
      <c r="A2731" s="1"/>
      <c r="B2731" s="19"/>
      <c r="C2731" s="24"/>
      <c r="D2731" s="1"/>
      <c r="E2731" s="25"/>
      <c r="F2731" s="26"/>
      <c r="G2731" s="26"/>
      <c r="L2731" s="25"/>
      <c r="M2731" s="24"/>
      <c r="N2731" s="26"/>
      <c r="O2731" s="26"/>
      <c r="P2731" s="26"/>
      <c r="Q2731" s="26"/>
      <c r="R2731" s="26"/>
      <c r="S2731" s="26"/>
      <c r="T2731" s="26"/>
      <c r="U2731" s="26"/>
      <c r="V2731" s="26"/>
      <c r="W2731" s="26"/>
      <c r="X2731" s="26"/>
      <c r="Y2731" s="26"/>
      <c r="Z2731" s="26"/>
      <c r="AA2731" s="26"/>
      <c r="AB2731" s="26"/>
      <c r="AC2731" s="27"/>
    </row>
    <row r="2732" spans="1:29" x14ac:dyDescent="0.25">
      <c r="A2732" s="1"/>
      <c r="B2732" s="19"/>
      <c r="C2732" s="24"/>
      <c r="D2732" s="1"/>
      <c r="E2732" s="25"/>
      <c r="F2732" s="26"/>
      <c r="G2732" s="26"/>
      <c r="L2732" s="25"/>
      <c r="M2732" s="24"/>
      <c r="N2732" s="26"/>
      <c r="O2732" s="26"/>
      <c r="P2732" s="26"/>
      <c r="Q2732" s="26"/>
      <c r="R2732" s="26"/>
      <c r="S2732" s="26"/>
      <c r="T2732" s="26"/>
      <c r="U2732" s="26"/>
      <c r="V2732" s="26"/>
      <c r="W2732" s="26"/>
      <c r="X2732" s="26"/>
      <c r="Y2732" s="26"/>
      <c r="Z2732" s="26"/>
      <c r="AA2732" s="26"/>
      <c r="AB2732" s="26"/>
      <c r="AC2732" s="27"/>
    </row>
    <row r="2733" spans="1:29" x14ac:dyDescent="0.25">
      <c r="A2733" s="1"/>
      <c r="B2733" s="19"/>
      <c r="C2733" s="24"/>
      <c r="D2733" s="1"/>
      <c r="E2733" s="25"/>
      <c r="F2733" s="26"/>
      <c r="G2733" s="26"/>
      <c r="L2733" s="25"/>
      <c r="M2733" s="24"/>
      <c r="N2733" s="26"/>
      <c r="O2733" s="26"/>
      <c r="P2733" s="26"/>
      <c r="Q2733" s="26"/>
      <c r="R2733" s="26"/>
      <c r="S2733" s="26"/>
      <c r="T2733" s="26"/>
      <c r="U2733" s="26"/>
      <c r="V2733" s="26"/>
      <c r="W2733" s="26"/>
      <c r="X2733" s="26"/>
      <c r="Y2733" s="26"/>
      <c r="Z2733" s="26"/>
      <c r="AA2733" s="26"/>
      <c r="AB2733" s="26"/>
      <c r="AC2733" s="27"/>
    </row>
    <row r="2734" spans="1:29" x14ac:dyDescent="0.25">
      <c r="A2734" s="1"/>
      <c r="B2734" s="19"/>
      <c r="C2734" s="24"/>
      <c r="D2734" s="1"/>
      <c r="E2734" s="25"/>
      <c r="F2734" s="26"/>
      <c r="G2734" s="26"/>
      <c r="L2734" s="25"/>
      <c r="M2734" s="24"/>
      <c r="N2734" s="26"/>
      <c r="O2734" s="26"/>
      <c r="P2734" s="26"/>
      <c r="Q2734" s="26"/>
      <c r="R2734" s="26"/>
      <c r="S2734" s="26"/>
      <c r="T2734" s="26"/>
      <c r="U2734" s="26"/>
      <c r="V2734" s="26"/>
      <c r="W2734" s="26"/>
      <c r="X2734" s="26"/>
      <c r="Y2734" s="26"/>
      <c r="Z2734" s="26"/>
      <c r="AA2734" s="26"/>
      <c r="AB2734" s="26"/>
      <c r="AC2734" s="27"/>
    </row>
    <row r="2735" spans="1:29" x14ac:dyDescent="0.25">
      <c r="A2735" s="1"/>
      <c r="B2735" s="19"/>
      <c r="C2735" s="24"/>
      <c r="D2735" s="1"/>
      <c r="E2735" s="25"/>
      <c r="F2735" s="26"/>
      <c r="G2735" s="26"/>
      <c r="L2735" s="25"/>
      <c r="M2735" s="24"/>
      <c r="N2735" s="26"/>
      <c r="O2735" s="26"/>
      <c r="P2735" s="26"/>
      <c r="Q2735" s="26"/>
      <c r="R2735" s="26"/>
      <c r="S2735" s="26"/>
      <c r="T2735" s="26"/>
      <c r="U2735" s="26"/>
      <c r="V2735" s="26"/>
      <c r="W2735" s="26"/>
      <c r="X2735" s="26"/>
      <c r="Y2735" s="26"/>
      <c r="Z2735" s="26"/>
      <c r="AA2735" s="26"/>
      <c r="AB2735" s="26"/>
      <c r="AC2735" s="27"/>
    </row>
    <row r="2736" spans="1:29" x14ac:dyDescent="0.25">
      <c r="A2736" s="1"/>
      <c r="B2736" s="19"/>
      <c r="C2736" s="24"/>
      <c r="D2736" s="1"/>
      <c r="E2736" s="25"/>
      <c r="F2736" s="26"/>
      <c r="G2736" s="26"/>
      <c r="L2736" s="25"/>
      <c r="M2736" s="24"/>
      <c r="N2736" s="26"/>
      <c r="O2736" s="26"/>
      <c r="P2736" s="26"/>
      <c r="Q2736" s="26"/>
      <c r="R2736" s="26"/>
      <c r="S2736" s="26"/>
      <c r="T2736" s="26"/>
      <c r="U2736" s="26"/>
      <c r="V2736" s="26"/>
      <c r="W2736" s="26"/>
      <c r="X2736" s="26"/>
      <c r="Y2736" s="26"/>
      <c r="Z2736" s="26"/>
      <c r="AA2736" s="26"/>
      <c r="AB2736" s="26"/>
      <c r="AC2736" s="27"/>
    </row>
    <row r="2737" spans="1:29" x14ac:dyDescent="0.25">
      <c r="A2737" s="1"/>
      <c r="B2737" s="19"/>
      <c r="C2737" s="24"/>
      <c r="D2737" s="1"/>
      <c r="E2737" s="25"/>
      <c r="F2737" s="26"/>
      <c r="G2737" s="26"/>
      <c r="L2737" s="25"/>
      <c r="M2737" s="24"/>
      <c r="N2737" s="26"/>
      <c r="O2737" s="26"/>
      <c r="P2737" s="26"/>
      <c r="Q2737" s="26"/>
      <c r="R2737" s="26"/>
      <c r="S2737" s="26"/>
      <c r="T2737" s="26"/>
      <c r="U2737" s="26"/>
      <c r="V2737" s="26"/>
      <c r="W2737" s="26"/>
      <c r="X2737" s="26"/>
      <c r="Y2737" s="26"/>
      <c r="Z2737" s="26"/>
      <c r="AA2737" s="26"/>
      <c r="AB2737" s="26"/>
      <c r="AC2737" s="27"/>
    </row>
    <row r="2738" spans="1:29" x14ac:dyDescent="0.25">
      <c r="A2738" s="1"/>
      <c r="B2738" s="19"/>
      <c r="C2738" s="24"/>
      <c r="D2738" s="1"/>
      <c r="E2738" s="25"/>
      <c r="F2738" s="26"/>
      <c r="G2738" s="26"/>
      <c r="L2738" s="25"/>
      <c r="M2738" s="24"/>
      <c r="N2738" s="26"/>
      <c r="O2738" s="26"/>
      <c r="P2738" s="26"/>
      <c r="Q2738" s="26"/>
      <c r="R2738" s="26"/>
      <c r="S2738" s="26"/>
      <c r="T2738" s="26"/>
      <c r="U2738" s="26"/>
      <c r="V2738" s="26"/>
      <c r="W2738" s="26"/>
      <c r="X2738" s="26"/>
      <c r="Y2738" s="26"/>
      <c r="Z2738" s="26"/>
      <c r="AA2738" s="26"/>
      <c r="AB2738" s="26"/>
      <c r="AC2738" s="27"/>
    </row>
    <row r="2739" spans="1:29" x14ac:dyDescent="0.25">
      <c r="A2739" s="1"/>
      <c r="B2739" s="19"/>
      <c r="C2739" s="24"/>
      <c r="D2739" s="1"/>
      <c r="E2739" s="25"/>
      <c r="F2739" s="26"/>
      <c r="G2739" s="26"/>
      <c r="L2739" s="25"/>
      <c r="M2739" s="24"/>
      <c r="N2739" s="26"/>
      <c r="O2739" s="26"/>
      <c r="P2739" s="26"/>
      <c r="Q2739" s="26"/>
      <c r="R2739" s="26"/>
      <c r="S2739" s="26"/>
      <c r="T2739" s="26"/>
      <c r="U2739" s="26"/>
      <c r="V2739" s="26"/>
      <c r="W2739" s="26"/>
      <c r="X2739" s="26"/>
      <c r="Y2739" s="26"/>
      <c r="Z2739" s="26"/>
      <c r="AA2739" s="26"/>
      <c r="AB2739" s="26"/>
      <c r="AC2739" s="27"/>
    </row>
    <row r="2740" spans="1:29" x14ac:dyDescent="0.25">
      <c r="A2740" s="1"/>
      <c r="B2740" s="19"/>
      <c r="C2740" s="24"/>
      <c r="D2740" s="1"/>
      <c r="E2740" s="25"/>
      <c r="F2740" s="26"/>
      <c r="G2740" s="26"/>
      <c r="L2740" s="25"/>
      <c r="M2740" s="24"/>
      <c r="N2740" s="26"/>
      <c r="O2740" s="26"/>
      <c r="P2740" s="26"/>
      <c r="Q2740" s="26"/>
      <c r="R2740" s="26"/>
      <c r="S2740" s="26"/>
      <c r="T2740" s="26"/>
      <c r="U2740" s="26"/>
      <c r="V2740" s="26"/>
      <c r="W2740" s="26"/>
      <c r="X2740" s="26"/>
      <c r="Y2740" s="26"/>
      <c r="Z2740" s="26"/>
      <c r="AA2740" s="26"/>
      <c r="AB2740" s="26"/>
      <c r="AC2740" s="27"/>
    </row>
    <row r="2741" spans="1:29" x14ac:dyDescent="0.25">
      <c r="A2741" s="1"/>
      <c r="B2741" s="19"/>
      <c r="C2741" s="24"/>
      <c r="D2741" s="1"/>
      <c r="E2741" s="25"/>
      <c r="F2741" s="26"/>
      <c r="G2741" s="26"/>
      <c r="L2741" s="25"/>
      <c r="M2741" s="24"/>
      <c r="N2741" s="26"/>
      <c r="O2741" s="26"/>
      <c r="P2741" s="26"/>
      <c r="Q2741" s="26"/>
      <c r="R2741" s="26"/>
      <c r="S2741" s="26"/>
      <c r="T2741" s="26"/>
      <c r="U2741" s="26"/>
      <c r="V2741" s="26"/>
      <c r="W2741" s="26"/>
      <c r="X2741" s="26"/>
      <c r="Y2741" s="26"/>
      <c r="Z2741" s="26"/>
      <c r="AA2741" s="26"/>
      <c r="AB2741" s="26"/>
      <c r="AC2741" s="27"/>
    </row>
    <row r="2742" spans="1:29" x14ac:dyDescent="0.25">
      <c r="A2742" s="1"/>
      <c r="B2742" s="19"/>
      <c r="C2742" s="24"/>
      <c r="D2742" s="1"/>
      <c r="E2742" s="25"/>
      <c r="F2742" s="26"/>
      <c r="G2742" s="26"/>
      <c r="L2742" s="25"/>
      <c r="M2742" s="24"/>
      <c r="N2742" s="26"/>
      <c r="O2742" s="26"/>
      <c r="P2742" s="26"/>
      <c r="Q2742" s="26"/>
      <c r="R2742" s="26"/>
      <c r="S2742" s="26"/>
      <c r="T2742" s="26"/>
      <c r="U2742" s="26"/>
      <c r="V2742" s="26"/>
      <c r="W2742" s="26"/>
      <c r="X2742" s="26"/>
      <c r="Y2742" s="26"/>
      <c r="Z2742" s="26"/>
      <c r="AA2742" s="26"/>
      <c r="AB2742" s="26"/>
      <c r="AC2742" s="27"/>
    </row>
    <row r="2743" spans="1:29" x14ac:dyDescent="0.25">
      <c r="A2743" s="1"/>
      <c r="B2743" s="19"/>
      <c r="C2743" s="24"/>
      <c r="D2743" s="1"/>
      <c r="E2743" s="25"/>
      <c r="F2743" s="26"/>
      <c r="G2743" s="26"/>
      <c r="L2743" s="25"/>
      <c r="M2743" s="24"/>
      <c r="N2743" s="26"/>
      <c r="O2743" s="26"/>
      <c r="P2743" s="26"/>
      <c r="Q2743" s="26"/>
      <c r="R2743" s="26"/>
      <c r="S2743" s="26"/>
      <c r="T2743" s="26"/>
      <c r="U2743" s="26"/>
      <c r="V2743" s="26"/>
      <c r="W2743" s="26"/>
      <c r="X2743" s="26"/>
      <c r="Y2743" s="26"/>
      <c r="Z2743" s="26"/>
      <c r="AA2743" s="26"/>
      <c r="AB2743" s="26"/>
      <c r="AC2743" s="27"/>
    </row>
    <row r="2744" spans="1:29" x14ac:dyDescent="0.25">
      <c r="A2744" s="1"/>
      <c r="B2744" s="19"/>
      <c r="C2744" s="24"/>
      <c r="D2744" s="1"/>
      <c r="E2744" s="25"/>
      <c r="F2744" s="26"/>
      <c r="G2744" s="26"/>
      <c r="L2744" s="25"/>
      <c r="M2744" s="24"/>
      <c r="N2744" s="26"/>
      <c r="O2744" s="26"/>
      <c r="P2744" s="26"/>
      <c r="Q2744" s="26"/>
      <c r="R2744" s="26"/>
      <c r="S2744" s="26"/>
      <c r="T2744" s="26"/>
      <c r="U2744" s="26"/>
      <c r="V2744" s="26"/>
      <c r="W2744" s="26"/>
      <c r="X2744" s="26"/>
      <c r="Y2744" s="26"/>
      <c r="Z2744" s="26"/>
      <c r="AA2744" s="26"/>
      <c r="AB2744" s="26"/>
      <c r="AC2744" s="27"/>
    </row>
    <row r="2745" spans="1:29" x14ac:dyDescent="0.25">
      <c r="A2745" s="1"/>
      <c r="B2745" s="19"/>
      <c r="C2745" s="24"/>
      <c r="D2745" s="1"/>
      <c r="E2745" s="25"/>
      <c r="F2745" s="26"/>
      <c r="G2745" s="26"/>
      <c r="L2745" s="25"/>
      <c r="M2745" s="24"/>
      <c r="N2745" s="26"/>
      <c r="O2745" s="26"/>
      <c r="P2745" s="26"/>
      <c r="Q2745" s="26"/>
      <c r="R2745" s="26"/>
      <c r="S2745" s="26"/>
      <c r="T2745" s="26"/>
      <c r="U2745" s="26"/>
      <c r="V2745" s="26"/>
      <c r="W2745" s="26"/>
      <c r="X2745" s="26"/>
      <c r="Y2745" s="26"/>
      <c r="Z2745" s="26"/>
      <c r="AA2745" s="26"/>
      <c r="AB2745" s="26"/>
      <c r="AC2745" s="27"/>
    </row>
    <row r="2746" spans="1:29" x14ac:dyDescent="0.25">
      <c r="A2746" s="1"/>
      <c r="B2746" s="19"/>
      <c r="C2746" s="24"/>
      <c r="D2746" s="1"/>
      <c r="E2746" s="25"/>
      <c r="F2746" s="26"/>
      <c r="G2746" s="26"/>
      <c r="L2746" s="25"/>
      <c r="M2746" s="24"/>
      <c r="N2746" s="26"/>
      <c r="O2746" s="26"/>
      <c r="P2746" s="26"/>
      <c r="Q2746" s="26"/>
      <c r="R2746" s="26"/>
      <c r="S2746" s="26"/>
      <c r="T2746" s="26"/>
      <c r="U2746" s="26"/>
      <c r="V2746" s="26"/>
      <c r="W2746" s="26"/>
      <c r="X2746" s="26"/>
      <c r="Y2746" s="26"/>
      <c r="Z2746" s="26"/>
      <c r="AA2746" s="26"/>
      <c r="AB2746" s="26"/>
      <c r="AC2746" s="27"/>
    </row>
    <row r="2747" spans="1:29" x14ac:dyDescent="0.25">
      <c r="A2747" s="1"/>
      <c r="B2747" s="19"/>
      <c r="C2747" s="24"/>
      <c r="D2747" s="1"/>
      <c r="E2747" s="25"/>
      <c r="F2747" s="26"/>
      <c r="G2747" s="26"/>
      <c r="L2747" s="25"/>
      <c r="M2747" s="24"/>
      <c r="N2747" s="26"/>
      <c r="O2747" s="26"/>
      <c r="P2747" s="26"/>
      <c r="Q2747" s="26"/>
      <c r="R2747" s="26"/>
      <c r="S2747" s="26"/>
      <c r="T2747" s="26"/>
      <c r="U2747" s="26"/>
      <c r="V2747" s="26"/>
      <c r="W2747" s="26"/>
      <c r="X2747" s="26"/>
      <c r="Y2747" s="26"/>
      <c r="Z2747" s="26"/>
      <c r="AA2747" s="26"/>
      <c r="AB2747" s="26"/>
      <c r="AC2747" s="27"/>
    </row>
    <row r="2748" spans="1:29" x14ac:dyDescent="0.25">
      <c r="A2748" s="1"/>
      <c r="B2748" s="19"/>
      <c r="C2748" s="24"/>
      <c r="D2748" s="1"/>
      <c r="E2748" s="25"/>
      <c r="F2748" s="26"/>
      <c r="G2748" s="26"/>
      <c r="L2748" s="25"/>
      <c r="M2748" s="24"/>
      <c r="N2748" s="26"/>
      <c r="O2748" s="26"/>
      <c r="P2748" s="26"/>
      <c r="Q2748" s="26"/>
      <c r="R2748" s="26"/>
      <c r="S2748" s="26"/>
      <c r="T2748" s="26"/>
      <c r="U2748" s="26"/>
      <c r="V2748" s="26"/>
      <c r="W2748" s="26"/>
      <c r="X2748" s="26"/>
      <c r="Y2748" s="26"/>
      <c r="Z2748" s="26"/>
      <c r="AA2748" s="26"/>
      <c r="AB2748" s="26"/>
      <c r="AC2748" s="27"/>
    </row>
    <row r="2749" spans="1:29" x14ac:dyDescent="0.25">
      <c r="A2749" s="1"/>
      <c r="B2749" s="19"/>
      <c r="C2749" s="24"/>
      <c r="D2749" s="1"/>
      <c r="E2749" s="25"/>
      <c r="F2749" s="26"/>
      <c r="G2749" s="26"/>
      <c r="L2749" s="25"/>
      <c r="M2749" s="24"/>
      <c r="N2749" s="26"/>
      <c r="O2749" s="26"/>
      <c r="P2749" s="26"/>
      <c r="Q2749" s="26"/>
      <c r="R2749" s="26"/>
      <c r="S2749" s="26"/>
      <c r="T2749" s="26"/>
      <c r="U2749" s="26"/>
      <c r="V2749" s="26"/>
      <c r="W2749" s="26"/>
      <c r="X2749" s="26"/>
      <c r="Y2749" s="26"/>
      <c r="Z2749" s="26"/>
      <c r="AA2749" s="26"/>
      <c r="AB2749" s="26"/>
      <c r="AC2749" s="27"/>
    </row>
    <row r="2750" spans="1:29" x14ac:dyDescent="0.25">
      <c r="A2750" s="1"/>
      <c r="B2750" s="19"/>
      <c r="C2750" s="24"/>
      <c r="D2750" s="1"/>
      <c r="E2750" s="25"/>
      <c r="F2750" s="26"/>
      <c r="G2750" s="26"/>
      <c r="L2750" s="25"/>
      <c r="M2750" s="24"/>
      <c r="N2750" s="26"/>
      <c r="O2750" s="26"/>
      <c r="P2750" s="26"/>
      <c r="Q2750" s="26"/>
      <c r="R2750" s="26"/>
      <c r="S2750" s="26"/>
      <c r="T2750" s="26"/>
      <c r="U2750" s="26"/>
      <c r="V2750" s="26"/>
      <c r="W2750" s="26"/>
      <c r="X2750" s="26"/>
      <c r="Y2750" s="26"/>
      <c r="Z2750" s="26"/>
      <c r="AA2750" s="26"/>
      <c r="AB2750" s="26"/>
      <c r="AC2750" s="27"/>
    </row>
    <row r="2751" spans="1:29" x14ac:dyDescent="0.25">
      <c r="A2751" s="1"/>
      <c r="B2751" s="19"/>
      <c r="C2751" s="24"/>
      <c r="D2751" s="1"/>
      <c r="E2751" s="25"/>
      <c r="F2751" s="26"/>
      <c r="G2751" s="26"/>
      <c r="L2751" s="25"/>
      <c r="M2751" s="24"/>
      <c r="N2751" s="26"/>
      <c r="O2751" s="26"/>
      <c r="P2751" s="26"/>
      <c r="Q2751" s="26"/>
      <c r="R2751" s="26"/>
      <c r="S2751" s="26"/>
      <c r="T2751" s="26"/>
      <c r="U2751" s="26"/>
      <c r="V2751" s="26"/>
      <c r="W2751" s="26"/>
      <c r="X2751" s="26"/>
      <c r="Y2751" s="26"/>
      <c r="Z2751" s="26"/>
      <c r="AA2751" s="26"/>
      <c r="AB2751" s="26"/>
      <c r="AC2751" s="27"/>
    </row>
    <row r="2752" spans="1:29" x14ac:dyDescent="0.25">
      <c r="A2752" s="1"/>
      <c r="B2752" s="19"/>
      <c r="C2752" s="24"/>
      <c r="D2752" s="1"/>
      <c r="E2752" s="25"/>
      <c r="F2752" s="26"/>
      <c r="G2752" s="26"/>
      <c r="L2752" s="25"/>
      <c r="M2752" s="24"/>
      <c r="N2752" s="26"/>
      <c r="O2752" s="26"/>
      <c r="P2752" s="26"/>
      <c r="Q2752" s="26"/>
      <c r="R2752" s="26"/>
      <c r="S2752" s="26"/>
      <c r="T2752" s="26"/>
      <c r="U2752" s="26"/>
      <c r="V2752" s="26"/>
      <c r="W2752" s="26"/>
      <c r="X2752" s="26"/>
      <c r="Y2752" s="26"/>
      <c r="Z2752" s="26"/>
      <c r="AA2752" s="26"/>
      <c r="AB2752" s="26"/>
      <c r="AC2752" s="27"/>
    </row>
    <row r="2753" spans="1:29" x14ac:dyDescent="0.25">
      <c r="A2753" s="1"/>
      <c r="B2753" s="19"/>
      <c r="C2753" s="24"/>
      <c r="D2753" s="1"/>
      <c r="E2753" s="25"/>
      <c r="F2753" s="26"/>
      <c r="G2753" s="26"/>
      <c r="L2753" s="25"/>
      <c r="M2753" s="24"/>
      <c r="N2753" s="26"/>
      <c r="O2753" s="26"/>
      <c r="P2753" s="26"/>
      <c r="Q2753" s="26"/>
      <c r="R2753" s="26"/>
      <c r="S2753" s="26"/>
      <c r="T2753" s="26"/>
      <c r="U2753" s="26"/>
      <c r="V2753" s="26"/>
      <c r="W2753" s="26"/>
      <c r="X2753" s="26"/>
      <c r="Y2753" s="26"/>
      <c r="Z2753" s="26"/>
      <c r="AA2753" s="26"/>
      <c r="AB2753" s="26"/>
      <c r="AC2753" s="27"/>
    </row>
    <row r="2754" spans="1:29" x14ac:dyDescent="0.25">
      <c r="A2754" s="1"/>
      <c r="B2754" s="19"/>
      <c r="C2754" s="24"/>
      <c r="D2754" s="1"/>
      <c r="E2754" s="25"/>
      <c r="F2754" s="26"/>
      <c r="G2754" s="26"/>
      <c r="L2754" s="25"/>
      <c r="M2754" s="24"/>
      <c r="N2754" s="26"/>
      <c r="O2754" s="26"/>
      <c r="P2754" s="26"/>
      <c r="Q2754" s="26"/>
      <c r="R2754" s="26"/>
      <c r="S2754" s="26"/>
      <c r="T2754" s="26"/>
      <c r="U2754" s="26"/>
      <c r="V2754" s="26"/>
      <c r="W2754" s="26"/>
      <c r="X2754" s="26"/>
      <c r="Y2754" s="26"/>
      <c r="Z2754" s="26"/>
      <c r="AA2754" s="26"/>
      <c r="AB2754" s="26"/>
      <c r="AC2754" s="27"/>
    </row>
    <row r="2755" spans="1:29" x14ac:dyDescent="0.25">
      <c r="A2755" s="1"/>
      <c r="B2755" s="19"/>
      <c r="C2755" s="24"/>
      <c r="D2755" s="1"/>
      <c r="E2755" s="25"/>
      <c r="F2755" s="26"/>
      <c r="G2755" s="26"/>
      <c r="L2755" s="25"/>
      <c r="M2755" s="24"/>
      <c r="N2755" s="26"/>
      <c r="O2755" s="26"/>
      <c r="P2755" s="26"/>
      <c r="Q2755" s="26"/>
      <c r="R2755" s="26"/>
      <c r="S2755" s="26"/>
      <c r="T2755" s="26"/>
      <c r="U2755" s="26"/>
      <c r="V2755" s="26"/>
      <c r="W2755" s="26"/>
      <c r="X2755" s="26"/>
      <c r="Y2755" s="26"/>
      <c r="Z2755" s="26"/>
      <c r="AA2755" s="26"/>
      <c r="AB2755" s="26"/>
      <c r="AC2755" s="27"/>
    </row>
    <row r="2756" spans="1:29" x14ac:dyDescent="0.25">
      <c r="A2756" s="1"/>
      <c r="B2756" s="19"/>
      <c r="C2756" s="24"/>
      <c r="D2756" s="1"/>
      <c r="E2756" s="25"/>
      <c r="F2756" s="26"/>
      <c r="G2756" s="26"/>
      <c r="L2756" s="25"/>
      <c r="M2756" s="24"/>
      <c r="N2756" s="26"/>
      <c r="O2756" s="26"/>
      <c r="P2756" s="26"/>
      <c r="Q2756" s="26"/>
      <c r="R2756" s="26"/>
      <c r="S2756" s="26"/>
      <c r="T2756" s="26"/>
      <c r="U2756" s="26"/>
      <c r="V2756" s="26"/>
      <c r="W2756" s="26"/>
      <c r="X2756" s="26"/>
      <c r="Y2756" s="26"/>
      <c r="Z2756" s="26"/>
      <c r="AA2756" s="26"/>
      <c r="AB2756" s="26"/>
      <c r="AC2756" s="27"/>
    </row>
    <row r="2757" spans="1:29" x14ac:dyDescent="0.25">
      <c r="A2757" s="1"/>
      <c r="B2757" s="19"/>
      <c r="C2757" s="24"/>
      <c r="D2757" s="1"/>
      <c r="E2757" s="25"/>
      <c r="F2757" s="26"/>
      <c r="G2757" s="26"/>
      <c r="L2757" s="25"/>
      <c r="M2757" s="24"/>
      <c r="N2757" s="26"/>
      <c r="O2757" s="26"/>
      <c r="P2757" s="26"/>
      <c r="Q2757" s="26"/>
      <c r="R2757" s="26"/>
      <c r="S2757" s="26"/>
      <c r="T2757" s="26"/>
      <c r="U2757" s="26"/>
      <c r="V2757" s="26"/>
      <c r="W2757" s="26"/>
      <c r="X2757" s="26"/>
      <c r="Y2757" s="26"/>
      <c r="Z2757" s="26"/>
      <c r="AA2757" s="26"/>
      <c r="AB2757" s="26"/>
      <c r="AC2757" s="27"/>
    </row>
    <row r="2758" spans="1:29" x14ac:dyDescent="0.25">
      <c r="A2758" s="1"/>
      <c r="B2758" s="19"/>
      <c r="C2758" s="24"/>
      <c r="D2758" s="1"/>
      <c r="E2758" s="25"/>
      <c r="F2758" s="26"/>
      <c r="G2758" s="26"/>
      <c r="L2758" s="25"/>
      <c r="M2758" s="24"/>
      <c r="N2758" s="26"/>
      <c r="O2758" s="26"/>
      <c r="P2758" s="26"/>
      <c r="Q2758" s="26"/>
      <c r="R2758" s="26"/>
      <c r="S2758" s="26"/>
      <c r="T2758" s="26"/>
      <c r="U2758" s="26"/>
      <c r="V2758" s="26"/>
      <c r="W2758" s="26"/>
      <c r="X2758" s="26"/>
      <c r="Y2758" s="26"/>
      <c r="Z2758" s="26"/>
      <c r="AA2758" s="26"/>
      <c r="AB2758" s="26"/>
      <c r="AC2758" s="27"/>
    </row>
    <row r="2759" spans="1:29" x14ac:dyDescent="0.25">
      <c r="A2759" s="1"/>
      <c r="B2759" s="19"/>
      <c r="C2759" s="24"/>
      <c r="D2759" s="1"/>
      <c r="E2759" s="25"/>
      <c r="F2759" s="26"/>
      <c r="G2759" s="26"/>
      <c r="L2759" s="25"/>
      <c r="M2759" s="24"/>
      <c r="N2759" s="26"/>
      <c r="O2759" s="26"/>
      <c r="P2759" s="26"/>
      <c r="Q2759" s="26"/>
      <c r="R2759" s="26"/>
      <c r="S2759" s="26"/>
      <c r="T2759" s="26"/>
      <c r="U2759" s="26"/>
      <c r="V2759" s="26"/>
      <c r="W2759" s="26"/>
      <c r="X2759" s="26"/>
      <c r="Y2759" s="26"/>
      <c r="Z2759" s="26"/>
      <c r="AA2759" s="26"/>
      <c r="AB2759" s="26"/>
      <c r="AC2759" s="27"/>
    </row>
    <row r="2760" spans="1:29" x14ac:dyDescent="0.25">
      <c r="A2760" s="1"/>
      <c r="B2760" s="19"/>
      <c r="C2760" s="24"/>
      <c r="D2760" s="1"/>
      <c r="E2760" s="25"/>
      <c r="F2760" s="26"/>
      <c r="G2760" s="26"/>
      <c r="L2760" s="25"/>
      <c r="M2760" s="24"/>
      <c r="N2760" s="26"/>
      <c r="O2760" s="26"/>
      <c r="P2760" s="26"/>
      <c r="Q2760" s="26"/>
      <c r="R2760" s="26"/>
      <c r="S2760" s="26"/>
      <c r="T2760" s="26"/>
      <c r="U2760" s="26"/>
      <c r="V2760" s="26"/>
      <c r="W2760" s="26"/>
      <c r="X2760" s="26"/>
      <c r="Y2760" s="26"/>
      <c r="Z2760" s="26"/>
      <c r="AA2760" s="26"/>
      <c r="AB2760" s="26"/>
      <c r="AC2760" s="27"/>
    </row>
    <row r="2761" spans="1:29" x14ac:dyDescent="0.25">
      <c r="A2761" s="1"/>
      <c r="B2761" s="19"/>
      <c r="C2761" s="24"/>
      <c r="D2761" s="1"/>
      <c r="E2761" s="25"/>
      <c r="F2761" s="26"/>
      <c r="G2761" s="26"/>
      <c r="L2761" s="25"/>
      <c r="M2761" s="24"/>
      <c r="N2761" s="26"/>
      <c r="O2761" s="26"/>
      <c r="P2761" s="26"/>
      <c r="Q2761" s="26"/>
      <c r="R2761" s="26"/>
      <c r="S2761" s="26"/>
      <c r="T2761" s="26"/>
      <c r="U2761" s="26"/>
      <c r="V2761" s="26"/>
      <c r="W2761" s="26"/>
      <c r="X2761" s="26"/>
      <c r="Y2761" s="26"/>
      <c r="Z2761" s="26"/>
      <c r="AA2761" s="26"/>
      <c r="AB2761" s="26"/>
      <c r="AC2761" s="27"/>
    </row>
    <row r="2762" spans="1:29" x14ac:dyDescent="0.25">
      <c r="A2762" s="1"/>
      <c r="B2762" s="19"/>
      <c r="C2762" s="24"/>
      <c r="D2762" s="1"/>
      <c r="E2762" s="25"/>
      <c r="F2762" s="26"/>
      <c r="G2762" s="26"/>
      <c r="L2762" s="25"/>
      <c r="M2762" s="24"/>
      <c r="N2762" s="26"/>
      <c r="O2762" s="26"/>
      <c r="P2762" s="26"/>
      <c r="Q2762" s="26"/>
      <c r="R2762" s="26"/>
      <c r="S2762" s="26"/>
      <c r="T2762" s="26"/>
      <c r="U2762" s="26"/>
      <c r="V2762" s="26"/>
      <c r="W2762" s="26"/>
      <c r="X2762" s="26"/>
      <c r="Y2762" s="26"/>
      <c r="Z2762" s="26"/>
      <c r="AA2762" s="26"/>
      <c r="AB2762" s="26"/>
      <c r="AC2762" s="27"/>
    </row>
    <row r="2763" spans="1:29" x14ac:dyDescent="0.25">
      <c r="A2763" s="1"/>
      <c r="B2763" s="19"/>
      <c r="C2763" s="24"/>
      <c r="D2763" s="1"/>
      <c r="E2763" s="25"/>
      <c r="F2763" s="26"/>
      <c r="G2763" s="26"/>
      <c r="L2763" s="25"/>
      <c r="M2763" s="24"/>
      <c r="N2763" s="26"/>
      <c r="O2763" s="26"/>
      <c r="P2763" s="26"/>
      <c r="Q2763" s="26"/>
      <c r="R2763" s="26"/>
      <c r="S2763" s="26"/>
      <c r="T2763" s="26"/>
      <c r="U2763" s="26"/>
      <c r="V2763" s="26"/>
      <c r="W2763" s="26"/>
      <c r="X2763" s="26"/>
      <c r="Y2763" s="26"/>
      <c r="Z2763" s="26"/>
      <c r="AA2763" s="26"/>
      <c r="AB2763" s="26"/>
      <c r="AC2763" s="27"/>
    </row>
    <row r="2764" spans="1:29" x14ac:dyDescent="0.25">
      <c r="A2764" s="1"/>
      <c r="B2764" s="19"/>
      <c r="C2764" s="24"/>
      <c r="D2764" s="1"/>
      <c r="E2764" s="25"/>
      <c r="F2764" s="26"/>
      <c r="G2764" s="26"/>
      <c r="L2764" s="25"/>
      <c r="M2764" s="24"/>
      <c r="N2764" s="26"/>
      <c r="O2764" s="26"/>
      <c r="P2764" s="26"/>
      <c r="Q2764" s="26"/>
      <c r="R2764" s="26"/>
      <c r="S2764" s="26"/>
      <c r="T2764" s="26"/>
      <c r="U2764" s="26"/>
      <c r="V2764" s="26"/>
      <c r="W2764" s="26"/>
      <c r="X2764" s="26"/>
      <c r="Y2764" s="26"/>
      <c r="Z2764" s="26"/>
      <c r="AA2764" s="26"/>
      <c r="AB2764" s="26"/>
      <c r="AC2764" s="27"/>
    </row>
    <row r="2765" spans="1:29" x14ac:dyDescent="0.25">
      <c r="A2765" s="1"/>
      <c r="B2765" s="19"/>
      <c r="C2765" s="24"/>
      <c r="D2765" s="1"/>
      <c r="E2765" s="25"/>
      <c r="F2765" s="26"/>
      <c r="G2765" s="26"/>
      <c r="L2765" s="25"/>
      <c r="M2765" s="24"/>
      <c r="N2765" s="26"/>
      <c r="O2765" s="26"/>
      <c r="P2765" s="26"/>
      <c r="Q2765" s="26"/>
      <c r="R2765" s="26"/>
      <c r="S2765" s="26"/>
      <c r="T2765" s="26"/>
      <c r="U2765" s="26"/>
      <c r="V2765" s="26"/>
      <c r="W2765" s="26"/>
      <c r="X2765" s="26"/>
      <c r="Y2765" s="26"/>
      <c r="Z2765" s="26"/>
      <c r="AA2765" s="26"/>
      <c r="AB2765" s="26"/>
      <c r="AC2765" s="27"/>
    </row>
    <row r="2766" spans="1:29" x14ac:dyDescent="0.25">
      <c r="A2766" s="1"/>
      <c r="B2766" s="19"/>
      <c r="C2766" s="24"/>
      <c r="D2766" s="1"/>
      <c r="E2766" s="25"/>
      <c r="F2766" s="26"/>
      <c r="G2766" s="26"/>
      <c r="L2766" s="25"/>
      <c r="M2766" s="24"/>
      <c r="N2766" s="26"/>
      <c r="O2766" s="26"/>
      <c r="P2766" s="26"/>
      <c r="Q2766" s="26"/>
      <c r="R2766" s="26"/>
      <c r="S2766" s="26"/>
      <c r="T2766" s="26"/>
      <c r="U2766" s="26"/>
      <c r="V2766" s="26"/>
      <c r="W2766" s="26"/>
      <c r="X2766" s="26"/>
      <c r="Y2766" s="26"/>
      <c r="Z2766" s="26"/>
      <c r="AA2766" s="26"/>
      <c r="AB2766" s="26"/>
      <c r="AC2766" s="27"/>
    </row>
    <row r="2767" spans="1:29" x14ac:dyDescent="0.25">
      <c r="A2767" s="1"/>
      <c r="B2767" s="19"/>
      <c r="C2767" s="24"/>
      <c r="D2767" s="1"/>
      <c r="E2767" s="25"/>
      <c r="F2767" s="26"/>
      <c r="G2767" s="26"/>
      <c r="L2767" s="25"/>
      <c r="M2767" s="24"/>
      <c r="N2767" s="26"/>
      <c r="O2767" s="26"/>
      <c r="P2767" s="26"/>
      <c r="Q2767" s="26"/>
      <c r="R2767" s="26"/>
      <c r="S2767" s="26"/>
      <c r="T2767" s="26"/>
      <c r="U2767" s="26"/>
      <c r="V2767" s="26"/>
      <c r="W2767" s="26"/>
      <c r="X2767" s="26"/>
      <c r="Y2767" s="26"/>
      <c r="Z2767" s="26"/>
      <c r="AA2767" s="26"/>
      <c r="AB2767" s="26"/>
      <c r="AC2767" s="27"/>
    </row>
    <row r="2768" spans="1:29" x14ac:dyDescent="0.25">
      <c r="A2768" s="1"/>
      <c r="B2768" s="19"/>
      <c r="C2768" s="24"/>
      <c r="D2768" s="1"/>
      <c r="E2768" s="25"/>
      <c r="F2768" s="26"/>
      <c r="G2768" s="26"/>
      <c r="L2768" s="25"/>
      <c r="M2768" s="24"/>
      <c r="N2768" s="26"/>
      <c r="O2768" s="26"/>
      <c r="P2768" s="26"/>
      <c r="Q2768" s="26"/>
      <c r="R2768" s="26"/>
      <c r="S2768" s="26"/>
      <c r="T2768" s="26"/>
      <c r="U2768" s="26"/>
      <c r="V2768" s="26"/>
      <c r="W2768" s="26"/>
      <c r="X2768" s="26"/>
      <c r="Y2768" s="26"/>
      <c r="Z2768" s="26"/>
      <c r="AA2768" s="26"/>
      <c r="AB2768" s="26"/>
      <c r="AC2768" s="27"/>
    </row>
    <row r="2769" spans="1:29" x14ac:dyDescent="0.25">
      <c r="A2769" s="1"/>
      <c r="B2769" s="19"/>
      <c r="C2769" s="24"/>
      <c r="D2769" s="1"/>
      <c r="E2769" s="25"/>
      <c r="F2769" s="26"/>
      <c r="G2769" s="26"/>
      <c r="L2769" s="25"/>
      <c r="M2769" s="24"/>
      <c r="N2769" s="26"/>
      <c r="O2769" s="26"/>
      <c r="P2769" s="26"/>
      <c r="Q2769" s="26"/>
      <c r="R2769" s="26"/>
      <c r="S2769" s="26"/>
      <c r="T2769" s="26"/>
      <c r="U2769" s="26"/>
      <c r="V2769" s="26"/>
      <c r="W2769" s="26"/>
      <c r="X2769" s="26"/>
      <c r="Y2769" s="26"/>
      <c r="Z2769" s="26"/>
      <c r="AA2769" s="26"/>
      <c r="AB2769" s="26"/>
      <c r="AC2769" s="27"/>
    </row>
    <row r="2770" spans="1:29" x14ac:dyDescent="0.25">
      <c r="A2770" s="1"/>
      <c r="B2770" s="19"/>
      <c r="C2770" s="24"/>
      <c r="D2770" s="1"/>
      <c r="E2770" s="25"/>
      <c r="F2770" s="26"/>
      <c r="G2770" s="26"/>
      <c r="L2770" s="25"/>
      <c r="M2770" s="24"/>
      <c r="N2770" s="26"/>
      <c r="O2770" s="26"/>
      <c r="P2770" s="26"/>
      <c r="Q2770" s="26"/>
      <c r="R2770" s="26"/>
      <c r="S2770" s="26"/>
      <c r="T2770" s="26"/>
      <c r="U2770" s="26"/>
      <c r="V2770" s="26"/>
      <c r="W2770" s="26"/>
      <c r="X2770" s="26"/>
      <c r="Y2770" s="26"/>
      <c r="Z2770" s="26"/>
      <c r="AA2770" s="26"/>
      <c r="AB2770" s="26"/>
      <c r="AC2770" s="27"/>
    </row>
    <row r="2771" spans="1:29" x14ac:dyDescent="0.25">
      <c r="A2771" s="1"/>
      <c r="B2771" s="19"/>
      <c r="C2771" s="24"/>
      <c r="D2771" s="1"/>
      <c r="E2771" s="25"/>
      <c r="F2771" s="26"/>
      <c r="G2771" s="26"/>
      <c r="L2771" s="25"/>
      <c r="M2771" s="24"/>
      <c r="N2771" s="26"/>
      <c r="O2771" s="26"/>
      <c r="P2771" s="26"/>
      <c r="Q2771" s="26"/>
      <c r="R2771" s="26"/>
      <c r="S2771" s="26"/>
      <c r="T2771" s="26"/>
      <c r="U2771" s="26"/>
      <c r="V2771" s="26"/>
      <c r="W2771" s="26"/>
      <c r="X2771" s="26"/>
      <c r="Y2771" s="26"/>
      <c r="Z2771" s="26"/>
      <c r="AA2771" s="26"/>
      <c r="AB2771" s="26"/>
      <c r="AC2771" s="27"/>
    </row>
    <row r="2772" spans="1:29" x14ac:dyDescent="0.25">
      <c r="A2772" s="1"/>
      <c r="B2772" s="19"/>
      <c r="C2772" s="24"/>
      <c r="D2772" s="1"/>
      <c r="E2772" s="25"/>
      <c r="F2772" s="26"/>
      <c r="G2772" s="26"/>
      <c r="L2772" s="25"/>
      <c r="M2772" s="24"/>
      <c r="N2772" s="26"/>
      <c r="O2772" s="26"/>
      <c r="P2772" s="26"/>
      <c r="Q2772" s="26"/>
      <c r="R2772" s="26"/>
      <c r="S2772" s="26"/>
      <c r="T2772" s="26"/>
      <c r="U2772" s="26"/>
      <c r="V2772" s="26"/>
      <c r="W2772" s="26"/>
      <c r="X2772" s="26"/>
      <c r="Y2772" s="26"/>
      <c r="Z2772" s="26"/>
      <c r="AA2772" s="26"/>
      <c r="AB2772" s="26"/>
      <c r="AC2772" s="27"/>
    </row>
    <row r="2773" spans="1:29" x14ac:dyDescent="0.25">
      <c r="A2773" s="1"/>
      <c r="B2773" s="19"/>
      <c r="C2773" s="24"/>
      <c r="D2773" s="1"/>
      <c r="E2773" s="25"/>
      <c r="F2773" s="26"/>
      <c r="G2773" s="26"/>
      <c r="L2773" s="25"/>
      <c r="M2773" s="24"/>
      <c r="N2773" s="26"/>
      <c r="O2773" s="26"/>
      <c r="P2773" s="26"/>
      <c r="Q2773" s="26"/>
      <c r="R2773" s="26"/>
      <c r="S2773" s="26"/>
      <c r="T2773" s="26"/>
      <c r="U2773" s="26"/>
      <c r="V2773" s="26"/>
      <c r="W2773" s="26"/>
      <c r="X2773" s="26"/>
      <c r="Y2773" s="26"/>
      <c r="Z2773" s="26"/>
      <c r="AA2773" s="26"/>
      <c r="AB2773" s="26"/>
      <c r="AC2773" s="27"/>
    </row>
    <row r="2774" spans="1:29" x14ac:dyDescent="0.25">
      <c r="A2774" s="1"/>
      <c r="B2774" s="19"/>
      <c r="C2774" s="24"/>
      <c r="D2774" s="1"/>
      <c r="E2774" s="25"/>
      <c r="F2774" s="26"/>
      <c r="G2774" s="26"/>
      <c r="L2774" s="25"/>
      <c r="M2774" s="24"/>
      <c r="N2774" s="26"/>
      <c r="O2774" s="26"/>
      <c r="P2774" s="26"/>
      <c r="Q2774" s="26"/>
      <c r="R2774" s="26"/>
      <c r="S2774" s="26"/>
      <c r="T2774" s="26"/>
      <c r="U2774" s="26"/>
      <c r="V2774" s="26"/>
      <c r="W2774" s="26"/>
      <c r="X2774" s="26"/>
      <c r="Y2774" s="26"/>
      <c r="Z2774" s="26"/>
      <c r="AA2774" s="26"/>
      <c r="AB2774" s="26"/>
      <c r="AC2774" s="27"/>
    </row>
    <row r="2775" spans="1:29" x14ac:dyDescent="0.25">
      <c r="A2775" s="1"/>
      <c r="B2775" s="19"/>
      <c r="C2775" s="24"/>
      <c r="D2775" s="1"/>
      <c r="E2775" s="25"/>
      <c r="F2775" s="26"/>
      <c r="G2775" s="26"/>
      <c r="L2775" s="25"/>
      <c r="M2775" s="24"/>
      <c r="N2775" s="26"/>
      <c r="O2775" s="26"/>
      <c r="P2775" s="26"/>
      <c r="Q2775" s="26"/>
      <c r="R2775" s="26"/>
      <c r="S2775" s="26"/>
      <c r="T2775" s="26"/>
      <c r="U2775" s="26"/>
      <c r="V2775" s="26"/>
      <c r="W2775" s="26"/>
      <c r="X2775" s="26"/>
      <c r="Y2775" s="26"/>
      <c r="Z2775" s="26"/>
      <c r="AA2775" s="26"/>
      <c r="AB2775" s="26"/>
      <c r="AC2775" s="27"/>
    </row>
    <row r="2776" spans="1:29" x14ac:dyDescent="0.25">
      <c r="A2776" s="1"/>
      <c r="B2776" s="19"/>
      <c r="C2776" s="24"/>
      <c r="D2776" s="1"/>
      <c r="E2776" s="25"/>
      <c r="F2776" s="26"/>
      <c r="G2776" s="26"/>
      <c r="L2776" s="25"/>
      <c r="M2776" s="24"/>
      <c r="N2776" s="26"/>
      <c r="O2776" s="26"/>
      <c r="P2776" s="26"/>
      <c r="Q2776" s="26"/>
      <c r="R2776" s="26"/>
      <c r="S2776" s="26"/>
      <c r="T2776" s="26"/>
      <c r="U2776" s="26"/>
      <c r="V2776" s="26"/>
      <c r="W2776" s="26"/>
      <c r="X2776" s="26"/>
      <c r="Y2776" s="26"/>
      <c r="Z2776" s="26"/>
      <c r="AA2776" s="26"/>
      <c r="AB2776" s="26"/>
      <c r="AC2776" s="27"/>
    </row>
    <row r="2777" spans="1:29" x14ac:dyDescent="0.25">
      <c r="A2777" s="1"/>
      <c r="B2777" s="19"/>
      <c r="C2777" s="24"/>
      <c r="D2777" s="1"/>
      <c r="E2777" s="25"/>
      <c r="F2777" s="26"/>
      <c r="G2777" s="26"/>
      <c r="L2777" s="25"/>
      <c r="M2777" s="24"/>
      <c r="N2777" s="26"/>
      <c r="O2777" s="26"/>
      <c r="P2777" s="26"/>
      <c r="Q2777" s="26"/>
      <c r="R2777" s="26"/>
      <c r="S2777" s="26"/>
      <c r="T2777" s="26"/>
      <c r="U2777" s="26"/>
      <c r="V2777" s="26"/>
      <c r="W2777" s="26"/>
      <c r="X2777" s="26"/>
      <c r="Y2777" s="26"/>
      <c r="Z2777" s="26"/>
      <c r="AA2777" s="26"/>
      <c r="AB2777" s="26"/>
      <c r="AC2777" s="27"/>
    </row>
    <row r="2778" spans="1:29" x14ac:dyDescent="0.25">
      <c r="A2778" s="1"/>
      <c r="B2778" s="19"/>
      <c r="C2778" s="24"/>
      <c r="D2778" s="1"/>
      <c r="E2778" s="25"/>
      <c r="F2778" s="26"/>
      <c r="G2778" s="26"/>
      <c r="L2778" s="25"/>
      <c r="M2778" s="24"/>
      <c r="N2778" s="26"/>
      <c r="O2778" s="26"/>
      <c r="P2778" s="26"/>
      <c r="Q2778" s="26"/>
      <c r="R2778" s="26"/>
      <c r="S2778" s="26"/>
      <c r="T2778" s="26"/>
      <c r="U2778" s="26"/>
      <c r="V2778" s="26"/>
      <c r="W2778" s="26"/>
      <c r="X2778" s="26"/>
      <c r="Y2778" s="26"/>
      <c r="Z2778" s="26"/>
      <c r="AA2778" s="26"/>
      <c r="AB2778" s="26"/>
      <c r="AC2778" s="27"/>
    </row>
    <row r="2779" spans="1:29" x14ac:dyDescent="0.25">
      <c r="A2779" s="1"/>
      <c r="B2779" s="19"/>
      <c r="C2779" s="24"/>
      <c r="D2779" s="1"/>
      <c r="E2779" s="25"/>
      <c r="F2779" s="26"/>
      <c r="G2779" s="26"/>
      <c r="L2779" s="25"/>
      <c r="M2779" s="24"/>
      <c r="N2779" s="26"/>
      <c r="O2779" s="26"/>
      <c r="P2779" s="26"/>
      <c r="Q2779" s="26"/>
      <c r="R2779" s="26"/>
      <c r="S2779" s="26"/>
      <c r="T2779" s="26"/>
      <c r="U2779" s="26"/>
      <c r="V2779" s="26"/>
      <c r="W2779" s="26"/>
      <c r="X2779" s="26"/>
      <c r="Y2779" s="26"/>
      <c r="Z2779" s="26"/>
      <c r="AA2779" s="26"/>
      <c r="AB2779" s="26"/>
      <c r="AC2779" s="27"/>
    </row>
    <row r="2780" spans="1:29" x14ac:dyDescent="0.25">
      <c r="A2780" s="1"/>
      <c r="B2780" s="19"/>
      <c r="C2780" s="24"/>
      <c r="D2780" s="1"/>
      <c r="E2780" s="25"/>
      <c r="F2780" s="26"/>
      <c r="G2780" s="26"/>
      <c r="L2780" s="25"/>
      <c r="M2780" s="24"/>
      <c r="N2780" s="26"/>
      <c r="O2780" s="26"/>
      <c r="P2780" s="26"/>
      <c r="Q2780" s="26"/>
      <c r="R2780" s="26"/>
      <c r="S2780" s="26"/>
      <c r="T2780" s="26"/>
      <c r="U2780" s="26"/>
      <c r="V2780" s="26"/>
      <c r="W2780" s="26"/>
      <c r="X2780" s="26"/>
      <c r="Y2780" s="26"/>
      <c r="Z2780" s="26"/>
      <c r="AA2780" s="26"/>
      <c r="AB2780" s="26"/>
      <c r="AC2780" s="27"/>
    </row>
    <row r="2781" spans="1:29" x14ac:dyDescent="0.25">
      <c r="A2781" s="1"/>
      <c r="B2781" s="19"/>
      <c r="C2781" s="24"/>
      <c r="D2781" s="1"/>
      <c r="E2781" s="25"/>
      <c r="F2781" s="26"/>
      <c r="G2781" s="26"/>
      <c r="L2781" s="25"/>
      <c r="M2781" s="24"/>
      <c r="N2781" s="26"/>
      <c r="O2781" s="26"/>
      <c r="P2781" s="26"/>
      <c r="Q2781" s="26"/>
      <c r="R2781" s="26"/>
      <c r="S2781" s="26"/>
      <c r="T2781" s="26"/>
      <c r="U2781" s="26"/>
      <c r="V2781" s="26"/>
      <c r="W2781" s="26"/>
      <c r="X2781" s="26"/>
      <c r="Y2781" s="26"/>
      <c r="Z2781" s="26"/>
      <c r="AA2781" s="26"/>
      <c r="AB2781" s="26"/>
      <c r="AC2781" s="27"/>
    </row>
    <row r="2782" spans="1:29" x14ac:dyDescent="0.25">
      <c r="A2782" s="1"/>
      <c r="B2782" s="19"/>
      <c r="C2782" s="24"/>
      <c r="D2782" s="1"/>
      <c r="E2782" s="25"/>
      <c r="F2782" s="26"/>
      <c r="G2782" s="26"/>
      <c r="L2782" s="25"/>
      <c r="M2782" s="24"/>
      <c r="N2782" s="26"/>
      <c r="O2782" s="26"/>
      <c r="P2782" s="26"/>
      <c r="Q2782" s="26"/>
      <c r="R2782" s="26"/>
      <c r="S2782" s="26"/>
      <c r="T2782" s="26"/>
      <c r="U2782" s="26"/>
      <c r="V2782" s="26"/>
      <c r="W2782" s="26"/>
      <c r="X2782" s="26"/>
      <c r="Y2782" s="26"/>
      <c r="Z2782" s="26"/>
      <c r="AA2782" s="26"/>
      <c r="AB2782" s="26"/>
      <c r="AC2782" s="27"/>
    </row>
    <row r="2783" spans="1:29" x14ac:dyDescent="0.25">
      <c r="A2783" s="1"/>
      <c r="B2783" s="19"/>
      <c r="C2783" s="24"/>
      <c r="D2783" s="1"/>
      <c r="E2783" s="25"/>
      <c r="F2783" s="26"/>
      <c r="G2783" s="26"/>
      <c r="L2783" s="25"/>
      <c r="M2783" s="24"/>
      <c r="N2783" s="26"/>
      <c r="O2783" s="26"/>
      <c r="P2783" s="26"/>
      <c r="Q2783" s="26"/>
      <c r="R2783" s="26"/>
      <c r="S2783" s="26"/>
      <c r="T2783" s="26"/>
      <c r="U2783" s="26"/>
      <c r="V2783" s="26"/>
      <c r="W2783" s="26"/>
      <c r="X2783" s="26"/>
      <c r="Y2783" s="26"/>
      <c r="Z2783" s="26"/>
      <c r="AA2783" s="26"/>
      <c r="AB2783" s="26"/>
      <c r="AC2783" s="27"/>
    </row>
    <row r="2784" spans="1:29" x14ac:dyDescent="0.25">
      <c r="A2784" s="1"/>
      <c r="B2784" s="19"/>
      <c r="C2784" s="24"/>
      <c r="D2784" s="1"/>
      <c r="E2784" s="25"/>
      <c r="F2784" s="26"/>
      <c r="G2784" s="26"/>
      <c r="L2784" s="25"/>
      <c r="M2784" s="24"/>
      <c r="N2784" s="26"/>
      <c r="O2784" s="26"/>
      <c r="P2784" s="26"/>
      <c r="Q2784" s="26"/>
      <c r="R2784" s="26"/>
      <c r="S2784" s="26"/>
      <c r="T2784" s="26"/>
      <c r="U2784" s="26"/>
      <c r="V2784" s="26"/>
      <c r="W2784" s="26"/>
      <c r="X2784" s="26"/>
      <c r="Y2784" s="26"/>
      <c r="Z2784" s="26"/>
      <c r="AA2784" s="26"/>
      <c r="AB2784" s="26"/>
      <c r="AC2784" s="27"/>
    </row>
    <row r="2785" spans="1:29" x14ac:dyDescent="0.25">
      <c r="A2785" s="1"/>
      <c r="B2785" s="19"/>
      <c r="C2785" s="24"/>
      <c r="D2785" s="1"/>
      <c r="E2785" s="25"/>
      <c r="F2785" s="26"/>
      <c r="G2785" s="26"/>
      <c r="L2785" s="25"/>
      <c r="M2785" s="24"/>
      <c r="N2785" s="26"/>
      <c r="O2785" s="26"/>
      <c r="P2785" s="26"/>
      <c r="Q2785" s="26"/>
      <c r="R2785" s="26"/>
      <c r="S2785" s="26"/>
      <c r="T2785" s="26"/>
      <c r="U2785" s="26"/>
      <c r="V2785" s="26"/>
      <c r="W2785" s="26"/>
      <c r="X2785" s="26"/>
      <c r="Y2785" s="26"/>
      <c r="Z2785" s="26"/>
      <c r="AA2785" s="26"/>
      <c r="AB2785" s="26"/>
      <c r="AC2785" s="27"/>
    </row>
    <row r="2786" spans="1:29" x14ac:dyDescent="0.25">
      <c r="A2786" s="1"/>
      <c r="B2786" s="19"/>
      <c r="C2786" s="24"/>
      <c r="D2786" s="1"/>
      <c r="E2786" s="25"/>
      <c r="F2786" s="26"/>
      <c r="G2786" s="26"/>
      <c r="L2786" s="25"/>
      <c r="M2786" s="24"/>
      <c r="N2786" s="26"/>
      <c r="O2786" s="26"/>
      <c r="P2786" s="26"/>
      <c r="Q2786" s="26"/>
      <c r="R2786" s="26"/>
      <c r="S2786" s="26"/>
      <c r="T2786" s="26"/>
      <c r="U2786" s="26"/>
      <c r="V2786" s="26"/>
      <c r="W2786" s="26"/>
      <c r="X2786" s="26"/>
      <c r="Y2786" s="26"/>
      <c r="Z2786" s="26"/>
      <c r="AA2786" s="26"/>
      <c r="AB2786" s="26"/>
      <c r="AC2786" s="27"/>
    </row>
    <row r="2787" spans="1:29" x14ac:dyDescent="0.25">
      <c r="A2787" s="1"/>
      <c r="B2787" s="19"/>
      <c r="C2787" s="24"/>
      <c r="D2787" s="1"/>
      <c r="E2787" s="25"/>
      <c r="F2787" s="26"/>
      <c r="G2787" s="26"/>
      <c r="L2787" s="25"/>
      <c r="M2787" s="24"/>
      <c r="N2787" s="26"/>
      <c r="O2787" s="26"/>
      <c r="P2787" s="26"/>
      <c r="Q2787" s="26"/>
      <c r="R2787" s="26"/>
      <c r="S2787" s="26"/>
      <c r="T2787" s="26"/>
      <c r="U2787" s="26"/>
      <c r="V2787" s="26"/>
      <c r="W2787" s="26"/>
      <c r="X2787" s="26"/>
      <c r="Y2787" s="26"/>
      <c r="Z2787" s="26"/>
      <c r="AA2787" s="26"/>
      <c r="AB2787" s="26"/>
      <c r="AC2787" s="27"/>
    </row>
    <row r="2788" spans="1:29" x14ac:dyDescent="0.25">
      <c r="A2788" s="1"/>
      <c r="B2788" s="19"/>
      <c r="C2788" s="24"/>
      <c r="D2788" s="1"/>
      <c r="E2788" s="25"/>
      <c r="F2788" s="26"/>
      <c r="G2788" s="26"/>
      <c r="L2788" s="25"/>
      <c r="M2788" s="24"/>
      <c r="N2788" s="26"/>
      <c r="O2788" s="26"/>
      <c r="P2788" s="26"/>
      <c r="Q2788" s="26"/>
      <c r="R2788" s="26"/>
      <c r="S2788" s="26"/>
      <c r="T2788" s="26"/>
      <c r="U2788" s="26"/>
      <c r="V2788" s="26"/>
      <c r="W2788" s="26"/>
      <c r="X2788" s="26"/>
      <c r="Y2788" s="26"/>
      <c r="Z2788" s="26"/>
      <c r="AA2788" s="26"/>
      <c r="AB2788" s="26"/>
      <c r="AC2788" s="27"/>
    </row>
    <row r="2789" spans="1:29" x14ac:dyDescent="0.25">
      <c r="A2789" s="1"/>
      <c r="B2789" s="19"/>
      <c r="C2789" s="24"/>
      <c r="D2789" s="1"/>
      <c r="E2789" s="25"/>
      <c r="F2789" s="26"/>
      <c r="G2789" s="26"/>
      <c r="L2789" s="25"/>
      <c r="M2789" s="24"/>
      <c r="N2789" s="26"/>
      <c r="O2789" s="26"/>
      <c r="P2789" s="26"/>
      <c r="Q2789" s="26"/>
      <c r="R2789" s="26"/>
      <c r="S2789" s="26"/>
      <c r="T2789" s="26"/>
      <c r="U2789" s="26"/>
      <c r="V2789" s="26"/>
      <c r="W2789" s="26"/>
      <c r="X2789" s="26"/>
      <c r="Y2789" s="26"/>
      <c r="Z2789" s="26"/>
      <c r="AA2789" s="26"/>
      <c r="AB2789" s="26"/>
      <c r="AC2789" s="27"/>
    </row>
    <row r="2790" spans="1:29" x14ac:dyDescent="0.25">
      <c r="A2790" s="1"/>
      <c r="B2790" s="19"/>
      <c r="C2790" s="24"/>
      <c r="D2790" s="1"/>
      <c r="E2790" s="25"/>
      <c r="F2790" s="26"/>
      <c r="G2790" s="26"/>
      <c r="L2790" s="25"/>
      <c r="M2790" s="24"/>
      <c r="N2790" s="26"/>
      <c r="O2790" s="26"/>
      <c r="P2790" s="26"/>
      <c r="Q2790" s="26"/>
      <c r="R2790" s="26"/>
      <c r="S2790" s="26"/>
      <c r="T2790" s="26"/>
      <c r="U2790" s="26"/>
      <c r="V2790" s="26"/>
      <c r="W2790" s="26"/>
      <c r="X2790" s="26"/>
      <c r="Y2790" s="26"/>
      <c r="Z2790" s="26"/>
      <c r="AA2790" s="26"/>
      <c r="AB2790" s="26"/>
      <c r="AC2790" s="27"/>
    </row>
    <row r="2791" spans="1:29" x14ac:dyDescent="0.25">
      <c r="A2791" s="1"/>
      <c r="B2791" s="19"/>
      <c r="C2791" s="24"/>
      <c r="D2791" s="1"/>
      <c r="E2791" s="25"/>
      <c r="F2791" s="26"/>
      <c r="G2791" s="26"/>
      <c r="L2791" s="25"/>
      <c r="M2791" s="24"/>
      <c r="N2791" s="26"/>
      <c r="O2791" s="26"/>
      <c r="P2791" s="26"/>
      <c r="Q2791" s="26"/>
      <c r="R2791" s="26"/>
      <c r="S2791" s="26"/>
      <c r="T2791" s="26"/>
      <c r="U2791" s="26"/>
      <c r="V2791" s="26"/>
      <c r="W2791" s="26"/>
      <c r="X2791" s="26"/>
      <c r="Y2791" s="26"/>
      <c r="Z2791" s="26"/>
      <c r="AA2791" s="26"/>
      <c r="AB2791" s="26"/>
      <c r="AC2791" s="27"/>
    </row>
    <row r="2792" spans="1:29" x14ac:dyDescent="0.25">
      <c r="A2792" s="1"/>
      <c r="B2792" s="19"/>
      <c r="C2792" s="24"/>
      <c r="D2792" s="1"/>
      <c r="E2792" s="25"/>
      <c r="F2792" s="26"/>
      <c r="G2792" s="26"/>
      <c r="L2792" s="25"/>
      <c r="M2792" s="24"/>
      <c r="N2792" s="26"/>
      <c r="O2792" s="26"/>
      <c r="P2792" s="26"/>
      <c r="Q2792" s="26"/>
      <c r="R2792" s="26"/>
      <c r="S2792" s="26"/>
      <c r="T2792" s="26"/>
      <c r="U2792" s="26"/>
      <c r="V2792" s="26"/>
      <c r="W2792" s="26"/>
      <c r="X2792" s="26"/>
      <c r="Y2792" s="26"/>
      <c r="Z2792" s="26"/>
      <c r="AA2792" s="26"/>
      <c r="AB2792" s="26"/>
      <c r="AC2792" s="27"/>
    </row>
    <row r="2793" spans="1:29" x14ac:dyDescent="0.25">
      <c r="A2793" s="1"/>
      <c r="B2793" s="19"/>
      <c r="C2793" s="24"/>
      <c r="D2793" s="1"/>
      <c r="E2793" s="25"/>
      <c r="F2793" s="26"/>
      <c r="G2793" s="26"/>
      <c r="L2793" s="25"/>
      <c r="M2793" s="24"/>
      <c r="N2793" s="26"/>
      <c r="O2793" s="26"/>
      <c r="P2793" s="26"/>
      <c r="Q2793" s="26"/>
      <c r="R2793" s="26"/>
      <c r="S2793" s="26"/>
      <c r="T2793" s="26"/>
      <c r="U2793" s="26"/>
      <c r="V2793" s="26"/>
      <c r="W2793" s="26"/>
      <c r="X2793" s="26"/>
      <c r="Y2793" s="26"/>
      <c r="Z2793" s="26"/>
      <c r="AA2793" s="26"/>
      <c r="AB2793" s="26"/>
      <c r="AC2793" s="27"/>
    </row>
    <row r="2794" spans="1:29" x14ac:dyDescent="0.25">
      <c r="A2794" s="1"/>
      <c r="B2794" s="19"/>
      <c r="C2794" s="24"/>
      <c r="D2794" s="1"/>
      <c r="E2794" s="25"/>
      <c r="F2794" s="26"/>
      <c r="G2794" s="26"/>
      <c r="L2794" s="25"/>
      <c r="M2794" s="24"/>
      <c r="N2794" s="26"/>
      <c r="O2794" s="26"/>
      <c r="P2794" s="26"/>
      <c r="Q2794" s="26"/>
      <c r="R2794" s="26"/>
      <c r="S2794" s="26"/>
      <c r="T2794" s="26"/>
      <c r="U2794" s="26"/>
      <c r="V2794" s="26"/>
      <c r="W2794" s="26"/>
      <c r="X2794" s="26"/>
      <c r="Y2794" s="26"/>
      <c r="Z2794" s="26"/>
      <c r="AA2794" s="26"/>
      <c r="AB2794" s="26"/>
      <c r="AC2794" s="27"/>
    </row>
    <row r="2795" spans="1:29" x14ac:dyDescent="0.25">
      <c r="A2795" s="1"/>
      <c r="B2795" s="19"/>
      <c r="C2795" s="24"/>
      <c r="D2795" s="1"/>
      <c r="E2795" s="25"/>
      <c r="F2795" s="26"/>
      <c r="G2795" s="26"/>
      <c r="L2795" s="25"/>
      <c r="M2795" s="24"/>
      <c r="N2795" s="26"/>
      <c r="O2795" s="26"/>
      <c r="P2795" s="26"/>
      <c r="Q2795" s="26"/>
      <c r="R2795" s="26"/>
      <c r="S2795" s="26"/>
      <c r="T2795" s="26"/>
      <c r="U2795" s="26"/>
      <c r="V2795" s="26"/>
      <c r="W2795" s="26"/>
      <c r="X2795" s="26"/>
      <c r="Y2795" s="26"/>
      <c r="Z2795" s="26"/>
      <c r="AA2795" s="26"/>
      <c r="AB2795" s="26"/>
      <c r="AC2795" s="27"/>
    </row>
    <row r="2796" spans="1:29" x14ac:dyDescent="0.25">
      <c r="A2796" s="1"/>
      <c r="B2796" s="19"/>
      <c r="C2796" s="24"/>
      <c r="D2796" s="1"/>
      <c r="E2796" s="25"/>
      <c r="F2796" s="26"/>
      <c r="G2796" s="26"/>
      <c r="L2796" s="25"/>
      <c r="M2796" s="24"/>
      <c r="N2796" s="26"/>
      <c r="O2796" s="26"/>
      <c r="P2796" s="26"/>
      <c r="Q2796" s="26"/>
      <c r="R2796" s="26"/>
      <c r="S2796" s="26"/>
      <c r="T2796" s="26"/>
      <c r="U2796" s="26"/>
      <c r="V2796" s="26"/>
      <c r="W2796" s="26"/>
      <c r="X2796" s="26"/>
      <c r="Y2796" s="26"/>
      <c r="Z2796" s="26"/>
      <c r="AA2796" s="26"/>
      <c r="AB2796" s="26"/>
      <c r="AC2796" s="27"/>
    </row>
    <row r="2797" spans="1:29" x14ac:dyDescent="0.25">
      <c r="A2797" s="1"/>
      <c r="B2797" s="19"/>
      <c r="C2797" s="24"/>
      <c r="D2797" s="1"/>
      <c r="E2797" s="25"/>
      <c r="F2797" s="26"/>
      <c r="G2797" s="26"/>
      <c r="L2797" s="25"/>
      <c r="M2797" s="24"/>
      <c r="N2797" s="26"/>
      <c r="O2797" s="26"/>
      <c r="P2797" s="26"/>
      <c r="Q2797" s="26"/>
      <c r="R2797" s="26"/>
      <c r="S2797" s="26"/>
      <c r="T2797" s="26"/>
      <c r="U2797" s="26"/>
      <c r="V2797" s="26"/>
      <c r="W2797" s="26"/>
      <c r="X2797" s="26"/>
      <c r="Y2797" s="26"/>
      <c r="Z2797" s="26"/>
      <c r="AA2797" s="26"/>
      <c r="AB2797" s="26"/>
      <c r="AC2797" s="27"/>
    </row>
    <row r="2798" spans="1:29" x14ac:dyDescent="0.25">
      <c r="A2798" s="1"/>
      <c r="B2798" s="19"/>
      <c r="C2798" s="24"/>
      <c r="D2798" s="1"/>
      <c r="E2798" s="25"/>
      <c r="F2798" s="26"/>
      <c r="G2798" s="26"/>
      <c r="L2798" s="25"/>
      <c r="M2798" s="24"/>
      <c r="N2798" s="26"/>
      <c r="O2798" s="26"/>
      <c r="P2798" s="26"/>
      <c r="Q2798" s="26"/>
      <c r="R2798" s="26"/>
      <c r="S2798" s="26"/>
      <c r="T2798" s="26"/>
      <c r="U2798" s="26"/>
      <c r="V2798" s="26"/>
      <c r="W2798" s="26"/>
      <c r="X2798" s="26"/>
      <c r="Y2798" s="26"/>
      <c r="Z2798" s="26"/>
      <c r="AA2798" s="26"/>
      <c r="AB2798" s="26"/>
      <c r="AC2798" s="27"/>
    </row>
    <row r="2799" spans="1:29" x14ac:dyDescent="0.25">
      <c r="A2799" s="1"/>
      <c r="B2799" s="19"/>
      <c r="C2799" s="24"/>
      <c r="D2799" s="1"/>
      <c r="E2799" s="25"/>
      <c r="F2799" s="26"/>
      <c r="G2799" s="26"/>
      <c r="L2799" s="25"/>
      <c r="M2799" s="24"/>
      <c r="N2799" s="26"/>
      <c r="O2799" s="26"/>
      <c r="P2799" s="26"/>
      <c r="Q2799" s="26"/>
      <c r="R2799" s="26"/>
      <c r="S2799" s="26"/>
      <c r="T2799" s="26"/>
      <c r="U2799" s="26"/>
      <c r="V2799" s="26"/>
      <c r="W2799" s="26"/>
      <c r="X2799" s="26"/>
      <c r="Y2799" s="26"/>
      <c r="Z2799" s="26"/>
      <c r="AA2799" s="26"/>
      <c r="AB2799" s="26"/>
      <c r="AC2799" s="27"/>
    </row>
    <row r="2800" spans="1:29" x14ac:dyDescent="0.25">
      <c r="A2800" s="1"/>
      <c r="B2800" s="19"/>
      <c r="C2800" s="24"/>
      <c r="D2800" s="1"/>
      <c r="E2800" s="25"/>
      <c r="F2800" s="26"/>
      <c r="G2800" s="26"/>
      <c r="L2800" s="25"/>
      <c r="M2800" s="24"/>
      <c r="N2800" s="26"/>
      <c r="O2800" s="26"/>
      <c r="P2800" s="26"/>
      <c r="Q2800" s="26"/>
      <c r="R2800" s="26"/>
      <c r="S2800" s="26"/>
      <c r="T2800" s="26"/>
      <c r="U2800" s="26"/>
      <c r="V2800" s="26"/>
      <c r="W2800" s="26"/>
      <c r="X2800" s="26"/>
      <c r="Y2800" s="26"/>
      <c r="Z2800" s="26"/>
      <c r="AA2800" s="26"/>
      <c r="AB2800" s="26"/>
      <c r="AC2800" s="27"/>
    </row>
    <row r="2801" spans="1:29" x14ac:dyDescent="0.25">
      <c r="A2801" s="1"/>
      <c r="B2801" s="19"/>
      <c r="C2801" s="24"/>
      <c r="D2801" s="1"/>
      <c r="E2801" s="25"/>
      <c r="F2801" s="26"/>
      <c r="G2801" s="26"/>
      <c r="L2801" s="25"/>
      <c r="M2801" s="24"/>
      <c r="N2801" s="26"/>
      <c r="O2801" s="26"/>
      <c r="P2801" s="26"/>
      <c r="Q2801" s="26"/>
      <c r="R2801" s="26"/>
      <c r="S2801" s="26"/>
      <c r="T2801" s="26"/>
      <c r="U2801" s="26"/>
      <c r="V2801" s="26"/>
      <c r="W2801" s="26"/>
      <c r="X2801" s="26"/>
      <c r="Y2801" s="26"/>
      <c r="Z2801" s="26"/>
      <c r="AA2801" s="26"/>
      <c r="AB2801" s="26"/>
      <c r="AC2801" s="27"/>
    </row>
    <row r="2802" spans="1:29" x14ac:dyDescent="0.25">
      <c r="A2802" s="1"/>
      <c r="B2802" s="19"/>
      <c r="C2802" s="24"/>
      <c r="D2802" s="1"/>
      <c r="E2802" s="25"/>
      <c r="F2802" s="26"/>
      <c r="G2802" s="26"/>
      <c r="L2802" s="25"/>
      <c r="M2802" s="24"/>
      <c r="N2802" s="26"/>
      <c r="O2802" s="26"/>
      <c r="P2802" s="26"/>
      <c r="Q2802" s="26"/>
      <c r="R2802" s="26"/>
      <c r="S2802" s="26"/>
      <c r="T2802" s="26"/>
      <c r="U2802" s="26"/>
      <c r="V2802" s="26"/>
      <c r="W2802" s="26"/>
      <c r="X2802" s="26"/>
      <c r="Y2802" s="26"/>
      <c r="Z2802" s="26"/>
      <c r="AA2802" s="26"/>
      <c r="AB2802" s="26"/>
      <c r="AC2802" s="27"/>
    </row>
    <row r="2803" spans="1:29" x14ac:dyDescent="0.25">
      <c r="A2803" s="1"/>
      <c r="B2803" s="19"/>
      <c r="C2803" s="24"/>
      <c r="D2803" s="1"/>
      <c r="E2803" s="25"/>
      <c r="F2803" s="26"/>
      <c r="G2803" s="26"/>
      <c r="L2803" s="25"/>
      <c r="M2803" s="24"/>
      <c r="N2803" s="26"/>
      <c r="O2803" s="26"/>
      <c r="P2803" s="26"/>
      <c r="Q2803" s="26"/>
      <c r="R2803" s="26"/>
      <c r="S2803" s="26"/>
      <c r="T2803" s="26"/>
      <c r="U2803" s="26"/>
      <c r="V2803" s="26"/>
      <c r="W2803" s="26"/>
      <c r="X2803" s="26"/>
      <c r="Y2803" s="26"/>
      <c r="Z2803" s="26"/>
      <c r="AA2803" s="26"/>
      <c r="AB2803" s="26"/>
      <c r="AC2803" s="27"/>
    </row>
    <row r="2804" spans="1:29" x14ac:dyDescent="0.25">
      <c r="A2804" s="1"/>
      <c r="B2804" s="19"/>
      <c r="C2804" s="24"/>
      <c r="D2804" s="1"/>
      <c r="E2804" s="25"/>
      <c r="F2804" s="26"/>
      <c r="G2804" s="26"/>
      <c r="L2804" s="25"/>
      <c r="M2804" s="24"/>
      <c r="N2804" s="26"/>
      <c r="O2804" s="26"/>
      <c r="P2804" s="26"/>
      <c r="Q2804" s="26"/>
      <c r="R2804" s="26"/>
      <c r="S2804" s="26"/>
      <c r="T2804" s="26"/>
      <c r="U2804" s="26"/>
      <c r="V2804" s="26"/>
      <c r="W2804" s="26"/>
      <c r="X2804" s="26"/>
      <c r="Y2804" s="26"/>
      <c r="Z2804" s="26"/>
      <c r="AA2804" s="26"/>
      <c r="AB2804" s="26"/>
      <c r="AC2804" s="27"/>
    </row>
    <row r="2805" spans="1:29" x14ac:dyDescent="0.25">
      <c r="A2805" s="1"/>
      <c r="B2805" s="19"/>
      <c r="C2805" s="24"/>
      <c r="D2805" s="1"/>
      <c r="E2805" s="25"/>
      <c r="F2805" s="26"/>
      <c r="G2805" s="26"/>
      <c r="L2805" s="25"/>
      <c r="M2805" s="24"/>
      <c r="N2805" s="26"/>
      <c r="O2805" s="26"/>
      <c r="P2805" s="26"/>
      <c r="Q2805" s="26"/>
      <c r="R2805" s="26"/>
      <c r="S2805" s="26"/>
      <c r="T2805" s="26"/>
      <c r="U2805" s="26"/>
      <c r="V2805" s="26"/>
      <c r="W2805" s="26"/>
      <c r="X2805" s="26"/>
      <c r="Y2805" s="26"/>
      <c r="Z2805" s="26"/>
      <c r="AA2805" s="26"/>
      <c r="AB2805" s="26"/>
      <c r="AC2805" s="27"/>
    </row>
    <row r="2806" spans="1:29" x14ac:dyDescent="0.25">
      <c r="A2806" s="1"/>
      <c r="B2806" s="19"/>
      <c r="C2806" s="24"/>
      <c r="D2806" s="1"/>
      <c r="E2806" s="25"/>
      <c r="F2806" s="26"/>
      <c r="G2806" s="26"/>
      <c r="L2806" s="25"/>
      <c r="M2806" s="24"/>
      <c r="N2806" s="26"/>
      <c r="O2806" s="26"/>
      <c r="P2806" s="26"/>
      <c r="Q2806" s="26"/>
      <c r="R2806" s="26"/>
      <c r="S2806" s="26"/>
      <c r="T2806" s="26"/>
      <c r="U2806" s="26"/>
      <c r="V2806" s="26"/>
      <c r="W2806" s="26"/>
      <c r="X2806" s="26"/>
      <c r="Y2806" s="26"/>
      <c r="Z2806" s="26"/>
      <c r="AA2806" s="26"/>
      <c r="AB2806" s="26"/>
      <c r="AC2806" s="27"/>
    </row>
    <row r="2807" spans="1:29" x14ac:dyDescent="0.25">
      <c r="A2807" s="1"/>
      <c r="B2807" s="19"/>
      <c r="C2807" s="24"/>
      <c r="D2807" s="1"/>
      <c r="E2807" s="25"/>
      <c r="F2807" s="26"/>
      <c r="G2807" s="26"/>
      <c r="L2807" s="25"/>
      <c r="M2807" s="24"/>
      <c r="N2807" s="26"/>
      <c r="O2807" s="26"/>
      <c r="P2807" s="26"/>
      <c r="Q2807" s="26"/>
      <c r="R2807" s="26"/>
      <c r="S2807" s="26"/>
      <c r="T2807" s="26"/>
      <c r="U2807" s="26"/>
      <c r="V2807" s="26"/>
      <c r="W2807" s="26"/>
      <c r="X2807" s="26"/>
      <c r="Y2807" s="26"/>
      <c r="Z2807" s="26"/>
      <c r="AA2807" s="26"/>
      <c r="AB2807" s="26"/>
      <c r="AC2807" s="27"/>
    </row>
    <row r="2808" spans="1:29" x14ac:dyDescent="0.25">
      <c r="A2808" s="1"/>
      <c r="B2808" s="19"/>
      <c r="C2808" s="24"/>
      <c r="D2808" s="1"/>
      <c r="E2808" s="25"/>
      <c r="F2808" s="26"/>
      <c r="G2808" s="26"/>
      <c r="L2808" s="25"/>
      <c r="M2808" s="24"/>
      <c r="N2808" s="26"/>
      <c r="O2808" s="26"/>
      <c r="P2808" s="26"/>
      <c r="Q2808" s="26"/>
      <c r="R2808" s="26"/>
      <c r="S2808" s="26"/>
      <c r="T2808" s="26"/>
      <c r="U2808" s="26"/>
      <c r="V2808" s="26"/>
      <c r="W2808" s="26"/>
      <c r="X2808" s="26"/>
      <c r="Y2808" s="26"/>
      <c r="Z2808" s="26"/>
      <c r="AA2808" s="26"/>
      <c r="AB2808" s="26"/>
      <c r="AC2808" s="27"/>
    </row>
    <row r="2809" spans="1:29" x14ac:dyDescent="0.25">
      <c r="A2809" s="1"/>
      <c r="B2809" s="19"/>
      <c r="C2809" s="24"/>
      <c r="D2809" s="1"/>
      <c r="E2809" s="25"/>
      <c r="F2809" s="26"/>
      <c r="G2809" s="26"/>
      <c r="L2809" s="25"/>
      <c r="M2809" s="24"/>
      <c r="N2809" s="26"/>
      <c r="O2809" s="26"/>
      <c r="P2809" s="26"/>
      <c r="Q2809" s="26"/>
      <c r="R2809" s="26"/>
      <c r="S2809" s="26"/>
      <c r="T2809" s="26"/>
      <c r="U2809" s="26"/>
      <c r="V2809" s="26"/>
      <c r="W2809" s="26"/>
      <c r="X2809" s="26"/>
      <c r="Y2809" s="26"/>
      <c r="Z2809" s="26"/>
      <c r="AA2809" s="26"/>
      <c r="AB2809" s="26"/>
      <c r="AC2809" s="27"/>
    </row>
    <row r="2810" spans="1:29" x14ac:dyDescent="0.25">
      <c r="A2810" s="1"/>
      <c r="B2810" s="19"/>
      <c r="C2810" s="24"/>
      <c r="D2810" s="1"/>
      <c r="E2810" s="25"/>
      <c r="F2810" s="26"/>
      <c r="G2810" s="26"/>
      <c r="L2810" s="25"/>
      <c r="M2810" s="24"/>
      <c r="N2810" s="26"/>
      <c r="O2810" s="26"/>
      <c r="P2810" s="26"/>
      <c r="Q2810" s="26"/>
      <c r="R2810" s="26"/>
      <c r="S2810" s="26"/>
      <c r="T2810" s="26"/>
      <c r="U2810" s="26"/>
      <c r="V2810" s="26"/>
      <c r="W2810" s="26"/>
      <c r="X2810" s="26"/>
      <c r="Y2810" s="26"/>
      <c r="Z2810" s="26"/>
      <c r="AA2810" s="26"/>
      <c r="AB2810" s="26"/>
      <c r="AC2810" s="27"/>
    </row>
    <row r="2811" spans="1:29" x14ac:dyDescent="0.25">
      <c r="A2811" s="1"/>
      <c r="B2811" s="19"/>
      <c r="C2811" s="24"/>
      <c r="D2811" s="1"/>
      <c r="E2811" s="25"/>
      <c r="F2811" s="26"/>
      <c r="G2811" s="26"/>
      <c r="L2811" s="25"/>
      <c r="M2811" s="24"/>
      <c r="N2811" s="26"/>
      <c r="O2811" s="26"/>
      <c r="P2811" s="26"/>
      <c r="Q2811" s="26"/>
      <c r="R2811" s="26"/>
      <c r="S2811" s="26"/>
      <c r="T2811" s="26"/>
      <c r="U2811" s="26"/>
      <c r="V2811" s="26"/>
      <c r="W2811" s="26"/>
      <c r="X2811" s="26"/>
      <c r="Y2811" s="26"/>
      <c r="Z2811" s="26"/>
      <c r="AA2811" s="26"/>
      <c r="AB2811" s="26"/>
      <c r="AC2811" s="27"/>
    </row>
    <row r="2812" spans="1:29" x14ac:dyDescent="0.25">
      <c r="A2812" s="1"/>
      <c r="B2812" s="19"/>
      <c r="C2812" s="24"/>
      <c r="D2812" s="1"/>
      <c r="E2812" s="25"/>
      <c r="F2812" s="26"/>
      <c r="G2812" s="26"/>
      <c r="L2812" s="25"/>
      <c r="M2812" s="24"/>
      <c r="N2812" s="26"/>
      <c r="O2812" s="26"/>
      <c r="P2812" s="26"/>
      <c r="Q2812" s="26"/>
      <c r="R2812" s="26"/>
      <c r="S2812" s="26"/>
      <c r="T2812" s="26"/>
      <c r="U2812" s="26"/>
      <c r="V2812" s="26"/>
      <c r="W2812" s="26"/>
      <c r="X2812" s="26"/>
      <c r="Y2812" s="26"/>
      <c r="Z2812" s="26"/>
      <c r="AA2812" s="26"/>
      <c r="AB2812" s="26"/>
      <c r="AC2812" s="27"/>
    </row>
    <row r="2813" spans="1:29" x14ac:dyDescent="0.25">
      <c r="A2813" s="1"/>
      <c r="B2813" s="19"/>
      <c r="C2813" s="24"/>
      <c r="D2813" s="1"/>
      <c r="E2813" s="25"/>
      <c r="F2813" s="26"/>
      <c r="G2813" s="26"/>
      <c r="L2813" s="25"/>
      <c r="M2813" s="24"/>
      <c r="N2813" s="26"/>
      <c r="O2813" s="26"/>
      <c r="P2813" s="26"/>
      <c r="Q2813" s="26"/>
      <c r="R2813" s="26"/>
      <c r="S2813" s="26"/>
      <c r="T2813" s="26"/>
      <c r="U2813" s="26"/>
      <c r="V2813" s="26"/>
      <c r="W2813" s="26"/>
      <c r="X2813" s="26"/>
      <c r="Y2813" s="26"/>
      <c r="Z2813" s="26"/>
      <c r="AA2813" s="26"/>
      <c r="AB2813" s="26"/>
      <c r="AC2813" s="27"/>
    </row>
    <row r="2814" spans="1:29" x14ac:dyDescent="0.25">
      <c r="A2814" s="1"/>
      <c r="B2814" s="19"/>
      <c r="C2814" s="24"/>
      <c r="D2814" s="1"/>
      <c r="E2814" s="25"/>
      <c r="F2814" s="26"/>
      <c r="G2814" s="26"/>
      <c r="L2814" s="25"/>
      <c r="M2814" s="24"/>
      <c r="N2814" s="26"/>
      <c r="O2814" s="26"/>
      <c r="P2814" s="26"/>
      <c r="Q2814" s="26"/>
      <c r="R2814" s="26"/>
      <c r="S2814" s="26"/>
      <c r="T2814" s="26"/>
      <c r="U2814" s="26"/>
      <c r="V2814" s="26"/>
      <c r="W2814" s="26"/>
      <c r="X2814" s="26"/>
      <c r="Y2814" s="26"/>
      <c r="Z2814" s="26"/>
      <c r="AA2814" s="26"/>
      <c r="AB2814" s="26"/>
      <c r="AC2814" s="27"/>
    </row>
    <row r="2815" spans="1:29" x14ac:dyDescent="0.25">
      <c r="A2815" s="1"/>
      <c r="B2815" s="19"/>
      <c r="C2815" s="24"/>
      <c r="D2815" s="1"/>
      <c r="E2815" s="25"/>
      <c r="F2815" s="26"/>
      <c r="G2815" s="26"/>
      <c r="L2815" s="25"/>
      <c r="M2815" s="24"/>
      <c r="N2815" s="26"/>
      <c r="O2815" s="26"/>
      <c r="P2815" s="26"/>
      <c r="Q2815" s="26"/>
      <c r="R2815" s="26"/>
      <c r="S2815" s="26"/>
      <c r="T2815" s="26"/>
      <c r="U2815" s="26"/>
      <c r="V2815" s="26"/>
      <c r="W2815" s="26"/>
      <c r="X2815" s="26"/>
      <c r="Y2815" s="26"/>
      <c r="Z2815" s="26"/>
      <c r="AA2815" s="26"/>
      <c r="AB2815" s="26"/>
      <c r="AC2815" s="27"/>
    </row>
    <row r="2816" spans="1:29" x14ac:dyDescent="0.25">
      <c r="A2816" s="1"/>
      <c r="B2816" s="19"/>
      <c r="C2816" s="24"/>
      <c r="D2816" s="1"/>
      <c r="E2816" s="25"/>
      <c r="F2816" s="26"/>
      <c r="G2816" s="26"/>
      <c r="L2816" s="25"/>
      <c r="M2816" s="24"/>
      <c r="N2816" s="26"/>
      <c r="O2816" s="26"/>
      <c r="P2816" s="26"/>
      <c r="Q2816" s="26"/>
      <c r="R2816" s="26"/>
      <c r="S2816" s="26"/>
      <c r="T2816" s="26"/>
      <c r="U2816" s="26"/>
      <c r="V2816" s="26"/>
      <c r="W2816" s="26"/>
      <c r="X2816" s="26"/>
      <c r="Y2816" s="26"/>
      <c r="Z2816" s="26"/>
      <c r="AA2816" s="26"/>
      <c r="AB2816" s="26"/>
      <c r="AC2816" s="27"/>
    </row>
    <row r="2817" spans="1:29" x14ac:dyDescent="0.25">
      <c r="A2817" s="1"/>
      <c r="B2817" s="19"/>
      <c r="C2817" s="24"/>
      <c r="D2817" s="1"/>
      <c r="E2817" s="25"/>
      <c r="F2817" s="26"/>
      <c r="G2817" s="26"/>
      <c r="L2817" s="25"/>
      <c r="M2817" s="24"/>
      <c r="N2817" s="26"/>
      <c r="O2817" s="26"/>
      <c r="P2817" s="26"/>
      <c r="Q2817" s="26"/>
      <c r="R2817" s="26"/>
      <c r="S2817" s="26"/>
      <c r="T2817" s="26"/>
      <c r="U2817" s="26"/>
      <c r="V2817" s="26"/>
      <c r="W2817" s="26"/>
      <c r="X2817" s="26"/>
      <c r="Y2817" s="26"/>
      <c r="Z2817" s="26"/>
      <c r="AA2817" s="26"/>
      <c r="AB2817" s="26"/>
      <c r="AC2817" s="27"/>
    </row>
    <row r="2818" spans="1:29" x14ac:dyDescent="0.25">
      <c r="A2818" s="1"/>
      <c r="B2818" s="19"/>
      <c r="C2818" s="24"/>
      <c r="D2818" s="1"/>
      <c r="E2818" s="25"/>
      <c r="F2818" s="26"/>
      <c r="G2818" s="26"/>
      <c r="L2818" s="25"/>
      <c r="M2818" s="24"/>
      <c r="N2818" s="26"/>
      <c r="O2818" s="26"/>
      <c r="P2818" s="26"/>
      <c r="Q2818" s="26"/>
      <c r="R2818" s="26"/>
      <c r="S2818" s="26"/>
      <c r="T2818" s="26"/>
      <c r="U2818" s="26"/>
      <c r="V2818" s="26"/>
      <c r="W2818" s="26"/>
      <c r="X2818" s="26"/>
      <c r="Y2818" s="26"/>
      <c r="Z2818" s="26"/>
      <c r="AA2818" s="26"/>
      <c r="AB2818" s="26"/>
      <c r="AC2818" s="27"/>
    </row>
    <row r="2819" spans="1:29" x14ac:dyDescent="0.25">
      <c r="A2819" s="1"/>
      <c r="B2819" s="19"/>
      <c r="C2819" s="24"/>
      <c r="D2819" s="1"/>
      <c r="E2819" s="25"/>
      <c r="F2819" s="26"/>
      <c r="G2819" s="26"/>
      <c r="L2819" s="25"/>
      <c r="M2819" s="24"/>
      <c r="N2819" s="26"/>
      <c r="O2819" s="26"/>
      <c r="P2819" s="26"/>
      <c r="Q2819" s="26"/>
      <c r="R2819" s="26"/>
      <c r="S2819" s="26"/>
      <c r="T2819" s="26"/>
      <c r="U2819" s="26"/>
      <c r="V2819" s="26"/>
      <c r="W2819" s="26"/>
      <c r="X2819" s="26"/>
      <c r="Y2819" s="26"/>
      <c r="Z2819" s="26"/>
      <c r="AA2819" s="26"/>
      <c r="AB2819" s="26"/>
      <c r="AC2819" s="27"/>
    </row>
    <row r="2820" spans="1:29" x14ac:dyDescent="0.25">
      <c r="A2820" s="1"/>
      <c r="B2820" s="19"/>
      <c r="C2820" s="24"/>
      <c r="D2820" s="1"/>
      <c r="E2820" s="25"/>
      <c r="F2820" s="26"/>
      <c r="G2820" s="26"/>
      <c r="L2820" s="25"/>
      <c r="M2820" s="24"/>
      <c r="N2820" s="26"/>
      <c r="O2820" s="26"/>
      <c r="P2820" s="26"/>
      <c r="Q2820" s="26"/>
      <c r="R2820" s="26"/>
      <c r="S2820" s="26"/>
      <c r="T2820" s="26"/>
      <c r="U2820" s="26"/>
      <c r="V2820" s="26"/>
      <c r="W2820" s="26"/>
      <c r="X2820" s="26"/>
      <c r="Y2820" s="26"/>
      <c r="Z2820" s="26"/>
      <c r="AA2820" s="26"/>
      <c r="AB2820" s="26"/>
      <c r="AC2820" s="27"/>
    </row>
    <row r="2821" spans="1:29" x14ac:dyDescent="0.25">
      <c r="A2821" s="1"/>
      <c r="B2821" s="19"/>
      <c r="C2821" s="24"/>
      <c r="D2821" s="1"/>
      <c r="E2821" s="25"/>
      <c r="F2821" s="26"/>
      <c r="G2821" s="26"/>
      <c r="L2821" s="25"/>
      <c r="M2821" s="24"/>
      <c r="N2821" s="26"/>
      <c r="O2821" s="26"/>
      <c r="P2821" s="26"/>
      <c r="Q2821" s="26"/>
      <c r="R2821" s="26"/>
      <c r="S2821" s="26"/>
      <c r="T2821" s="26"/>
      <c r="U2821" s="26"/>
      <c r="V2821" s="26"/>
      <c r="W2821" s="26"/>
      <c r="X2821" s="26"/>
      <c r="Y2821" s="26"/>
      <c r="Z2821" s="26"/>
      <c r="AA2821" s="26"/>
      <c r="AB2821" s="26"/>
      <c r="AC2821" s="27"/>
    </row>
    <row r="2822" spans="1:29" x14ac:dyDescent="0.25">
      <c r="A2822" s="1"/>
      <c r="B2822" s="19"/>
      <c r="C2822" s="24"/>
      <c r="D2822" s="1"/>
      <c r="E2822" s="25"/>
      <c r="F2822" s="26"/>
      <c r="G2822" s="26"/>
      <c r="L2822" s="25"/>
      <c r="M2822" s="24"/>
      <c r="N2822" s="26"/>
      <c r="O2822" s="26"/>
      <c r="P2822" s="26"/>
      <c r="Q2822" s="26"/>
      <c r="R2822" s="26"/>
      <c r="S2822" s="26"/>
      <c r="T2822" s="26"/>
      <c r="U2822" s="26"/>
      <c r="V2822" s="26"/>
      <c r="W2822" s="26"/>
      <c r="X2822" s="26"/>
      <c r="Y2822" s="26"/>
      <c r="Z2822" s="26"/>
      <c r="AA2822" s="26"/>
      <c r="AB2822" s="26"/>
      <c r="AC2822" s="27"/>
    </row>
    <row r="2823" spans="1:29" x14ac:dyDescent="0.25">
      <c r="A2823" s="1"/>
      <c r="B2823" s="19"/>
      <c r="C2823" s="24"/>
      <c r="D2823" s="1"/>
      <c r="E2823" s="25"/>
      <c r="F2823" s="26"/>
      <c r="G2823" s="26"/>
      <c r="L2823" s="25"/>
      <c r="M2823" s="24"/>
      <c r="N2823" s="26"/>
      <c r="O2823" s="26"/>
      <c r="P2823" s="26"/>
      <c r="Q2823" s="26"/>
      <c r="R2823" s="26"/>
      <c r="S2823" s="26"/>
      <c r="T2823" s="26"/>
      <c r="U2823" s="26"/>
      <c r="V2823" s="26"/>
      <c r="W2823" s="26"/>
      <c r="X2823" s="26"/>
      <c r="Y2823" s="26"/>
      <c r="Z2823" s="26"/>
      <c r="AA2823" s="26"/>
      <c r="AB2823" s="26"/>
      <c r="AC2823" s="27"/>
    </row>
    <row r="2824" spans="1:29" x14ac:dyDescent="0.25">
      <c r="A2824" s="1"/>
      <c r="B2824" s="19"/>
      <c r="C2824" s="24"/>
      <c r="D2824" s="1"/>
      <c r="E2824" s="25"/>
      <c r="F2824" s="26"/>
      <c r="G2824" s="26"/>
      <c r="L2824" s="25"/>
      <c r="M2824" s="24"/>
      <c r="N2824" s="26"/>
      <c r="O2824" s="26"/>
      <c r="P2824" s="26"/>
      <c r="Q2824" s="26"/>
      <c r="R2824" s="26"/>
      <c r="S2824" s="26"/>
      <c r="T2824" s="26"/>
      <c r="U2824" s="26"/>
      <c r="V2824" s="26"/>
      <c r="W2824" s="26"/>
      <c r="X2824" s="26"/>
      <c r="Y2824" s="26"/>
      <c r="Z2824" s="26"/>
      <c r="AA2824" s="26"/>
      <c r="AB2824" s="26"/>
      <c r="AC2824" s="27"/>
    </row>
    <row r="2825" spans="1:29" x14ac:dyDescent="0.25">
      <c r="A2825" s="1"/>
      <c r="B2825" s="19"/>
      <c r="C2825" s="24"/>
      <c r="D2825" s="1"/>
      <c r="E2825" s="25"/>
      <c r="F2825" s="26"/>
      <c r="G2825" s="26"/>
      <c r="L2825" s="25"/>
      <c r="M2825" s="24"/>
      <c r="N2825" s="26"/>
      <c r="O2825" s="26"/>
      <c r="P2825" s="26"/>
      <c r="Q2825" s="26"/>
      <c r="R2825" s="26"/>
      <c r="S2825" s="26"/>
      <c r="T2825" s="26"/>
      <c r="U2825" s="26"/>
      <c r="V2825" s="26"/>
      <c r="W2825" s="26"/>
      <c r="X2825" s="26"/>
      <c r="Y2825" s="26"/>
      <c r="Z2825" s="26"/>
      <c r="AA2825" s="26"/>
      <c r="AB2825" s="26"/>
      <c r="AC2825" s="27"/>
    </row>
    <row r="2826" spans="1:29" x14ac:dyDescent="0.25">
      <c r="A2826" s="1"/>
      <c r="B2826" s="19"/>
      <c r="C2826" s="24"/>
      <c r="D2826" s="1"/>
      <c r="E2826" s="25"/>
      <c r="F2826" s="26"/>
      <c r="G2826" s="26"/>
      <c r="L2826" s="25"/>
      <c r="M2826" s="24"/>
      <c r="N2826" s="26"/>
      <c r="O2826" s="26"/>
      <c r="P2826" s="26"/>
      <c r="Q2826" s="26"/>
      <c r="R2826" s="26"/>
      <c r="S2826" s="26"/>
      <c r="T2826" s="26"/>
      <c r="U2826" s="26"/>
      <c r="V2826" s="26"/>
      <c r="W2826" s="26"/>
      <c r="X2826" s="26"/>
      <c r="Y2826" s="26"/>
      <c r="Z2826" s="26"/>
      <c r="AA2826" s="26"/>
      <c r="AB2826" s="26"/>
      <c r="AC2826" s="27"/>
    </row>
    <row r="2827" spans="1:29" x14ac:dyDescent="0.25">
      <c r="A2827" s="1"/>
      <c r="B2827" s="19"/>
      <c r="C2827" s="24"/>
      <c r="D2827" s="1"/>
      <c r="E2827" s="25"/>
      <c r="F2827" s="26"/>
      <c r="G2827" s="26"/>
      <c r="L2827" s="25"/>
      <c r="M2827" s="24"/>
      <c r="N2827" s="26"/>
      <c r="O2827" s="26"/>
      <c r="P2827" s="26"/>
      <c r="Q2827" s="26"/>
      <c r="R2827" s="26"/>
      <c r="S2827" s="26"/>
      <c r="T2827" s="26"/>
      <c r="U2827" s="26"/>
      <c r="V2827" s="26"/>
      <c r="W2827" s="26"/>
      <c r="X2827" s="26"/>
      <c r="Y2827" s="26"/>
      <c r="Z2827" s="26"/>
      <c r="AA2827" s="26"/>
      <c r="AB2827" s="26"/>
      <c r="AC2827" s="27"/>
    </row>
    <row r="2828" spans="1:29" x14ac:dyDescent="0.25">
      <c r="A2828" s="1"/>
      <c r="B2828" s="19"/>
      <c r="C2828" s="24"/>
      <c r="D2828" s="1"/>
      <c r="E2828" s="25"/>
      <c r="F2828" s="26"/>
      <c r="G2828" s="26"/>
      <c r="L2828" s="25"/>
      <c r="M2828" s="24"/>
      <c r="N2828" s="26"/>
      <c r="O2828" s="26"/>
      <c r="P2828" s="26"/>
      <c r="Q2828" s="26"/>
      <c r="R2828" s="26"/>
      <c r="S2828" s="26"/>
      <c r="T2828" s="26"/>
      <c r="U2828" s="26"/>
      <c r="V2828" s="26"/>
      <c r="W2828" s="26"/>
      <c r="X2828" s="26"/>
      <c r="Y2828" s="26"/>
      <c r="Z2828" s="26"/>
      <c r="AA2828" s="26"/>
      <c r="AB2828" s="26"/>
      <c r="AC2828" s="27"/>
    </row>
    <row r="2829" spans="1:29" x14ac:dyDescent="0.25">
      <c r="A2829" s="1"/>
      <c r="B2829" s="19"/>
      <c r="C2829" s="24"/>
      <c r="D2829" s="1"/>
      <c r="E2829" s="25"/>
      <c r="F2829" s="26"/>
      <c r="G2829" s="26"/>
      <c r="L2829" s="25"/>
      <c r="M2829" s="24"/>
      <c r="N2829" s="26"/>
      <c r="O2829" s="26"/>
      <c r="P2829" s="26"/>
      <c r="Q2829" s="26"/>
      <c r="R2829" s="26"/>
      <c r="S2829" s="26"/>
      <c r="T2829" s="26"/>
      <c r="U2829" s="26"/>
      <c r="V2829" s="26"/>
      <c r="W2829" s="26"/>
      <c r="X2829" s="26"/>
      <c r="Y2829" s="26"/>
      <c r="Z2829" s="26"/>
      <c r="AA2829" s="26"/>
      <c r="AB2829" s="26"/>
      <c r="AC2829" s="27"/>
    </row>
    <row r="2830" spans="1:29" x14ac:dyDescent="0.25">
      <c r="A2830" s="1"/>
      <c r="B2830" s="19"/>
      <c r="C2830" s="24"/>
      <c r="D2830" s="1"/>
      <c r="E2830" s="25"/>
      <c r="F2830" s="26"/>
      <c r="G2830" s="26"/>
      <c r="L2830" s="25"/>
      <c r="M2830" s="24"/>
      <c r="N2830" s="26"/>
      <c r="O2830" s="26"/>
      <c r="P2830" s="26"/>
      <c r="Q2830" s="26"/>
      <c r="R2830" s="26"/>
      <c r="S2830" s="26"/>
      <c r="T2830" s="26"/>
      <c r="U2830" s="26"/>
      <c r="V2830" s="26"/>
      <c r="W2830" s="26"/>
      <c r="X2830" s="26"/>
      <c r="Y2830" s="26"/>
      <c r="Z2830" s="26"/>
      <c r="AA2830" s="26"/>
      <c r="AB2830" s="26"/>
      <c r="AC2830" s="27"/>
    </row>
    <row r="2831" spans="1:29" x14ac:dyDescent="0.25">
      <c r="A2831" s="1"/>
      <c r="B2831" s="19"/>
      <c r="C2831" s="24"/>
      <c r="D2831" s="1"/>
      <c r="E2831" s="25"/>
      <c r="F2831" s="26"/>
      <c r="G2831" s="26"/>
      <c r="L2831" s="25"/>
      <c r="M2831" s="24"/>
      <c r="N2831" s="26"/>
      <c r="O2831" s="26"/>
      <c r="P2831" s="26"/>
      <c r="Q2831" s="26"/>
      <c r="R2831" s="26"/>
      <c r="S2831" s="26"/>
      <c r="T2831" s="26"/>
      <c r="U2831" s="26"/>
      <c r="V2831" s="26"/>
      <c r="W2831" s="26"/>
      <c r="X2831" s="26"/>
      <c r="Y2831" s="26"/>
      <c r="Z2831" s="26"/>
      <c r="AA2831" s="26"/>
      <c r="AB2831" s="26"/>
      <c r="AC2831" s="27"/>
    </row>
    <row r="2832" spans="1:29" x14ac:dyDescent="0.25">
      <c r="A2832" s="1"/>
      <c r="B2832" s="19"/>
      <c r="C2832" s="24"/>
      <c r="D2832" s="1"/>
      <c r="E2832" s="25"/>
      <c r="F2832" s="26"/>
      <c r="G2832" s="26"/>
      <c r="L2832" s="25"/>
      <c r="M2832" s="24"/>
      <c r="N2832" s="26"/>
      <c r="O2832" s="26"/>
      <c r="P2832" s="26"/>
      <c r="Q2832" s="26"/>
      <c r="R2832" s="26"/>
      <c r="S2832" s="26"/>
      <c r="T2832" s="26"/>
      <c r="U2832" s="26"/>
      <c r="V2832" s="26"/>
      <c r="W2832" s="26"/>
      <c r="X2832" s="26"/>
      <c r="Y2832" s="26"/>
      <c r="Z2832" s="26"/>
      <c r="AA2832" s="26"/>
      <c r="AB2832" s="26"/>
      <c r="AC2832" s="27"/>
    </row>
    <row r="2833" spans="1:29" x14ac:dyDescent="0.25">
      <c r="A2833" s="1"/>
      <c r="B2833" s="19"/>
      <c r="C2833" s="24"/>
      <c r="D2833" s="1"/>
      <c r="E2833" s="25"/>
      <c r="F2833" s="26"/>
      <c r="G2833" s="26"/>
      <c r="L2833" s="25"/>
      <c r="M2833" s="24"/>
      <c r="N2833" s="26"/>
      <c r="O2833" s="26"/>
      <c r="P2833" s="26"/>
      <c r="Q2833" s="26"/>
      <c r="R2833" s="26"/>
      <c r="S2833" s="26"/>
      <c r="T2833" s="26"/>
      <c r="U2833" s="26"/>
      <c r="V2833" s="26"/>
      <c r="W2833" s="26"/>
      <c r="X2833" s="26"/>
      <c r="Y2833" s="26"/>
      <c r="Z2833" s="26"/>
      <c r="AA2833" s="26"/>
      <c r="AB2833" s="26"/>
      <c r="AC2833" s="27"/>
    </row>
    <row r="2834" spans="1:29" x14ac:dyDescent="0.25">
      <c r="A2834" s="1"/>
      <c r="B2834" s="19"/>
      <c r="C2834" s="24"/>
      <c r="D2834" s="1"/>
      <c r="E2834" s="25"/>
      <c r="F2834" s="26"/>
      <c r="G2834" s="26"/>
      <c r="L2834" s="25"/>
      <c r="M2834" s="24"/>
      <c r="N2834" s="26"/>
      <c r="O2834" s="26"/>
      <c r="P2834" s="26"/>
      <c r="Q2834" s="26"/>
      <c r="R2834" s="26"/>
      <c r="S2834" s="26"/>
      <c r="T2834" s="26"/>
      <c r="U2834" s="26"/>
      <c r="V2834" s="26"/>
      <c r="W2834" s="26"/>
      <c r="X2834" s="26"/>
      <c r="Y2834" s="26"/>
      <c r="Z2834" s="26"/>
      <c r="AA2834" s="26"/>
      <c r="AB2834" s="26"/>
      <c r="AC2834" s="27"/>
    </row>
    <row r="2835" spans="1:29" x14ac:dyDescent="0.25">
      <c r="A2835" s="1"/>
      <c r="B2835" s="19"/>
      <c r="C2835" s="24"/>
      <c r="D2835" s="1"/>
      <c r="E2835" s="25"/>
      <c r="F2835" s="26"/>
      <c r="G2835" s="26"/>
      <c r="L2835" s="25"/>
      <c r="M2835" s="24"/>
      <c r="N2835" s="26"/>
      <c r="O2835" s="26"/>
      <c r="P2835" s="26"/>
      <c r="Q2835" s="26"/>
      <c r="R2835" s="26"/>
      <c r="S2835" s="26"/>
      <c r="T2835" s="26"/>
      <c r="U2835" s="26"/>
      <c r="V2835" s="26"/>
      <c r="W2835" s="26"/>
      <c r="X2835" s="26"/>
      <c r="Y2835" s="26"/>
      <c r="Z2835" s="26"/>
      <c r="AA2835" s="26"/>
      <c r="AB2835" s="26"/>
      <c r="AC2835" s="27"/>
    </row>
    <row r="2836" spans="1:29" x14ac:dyDescent="0.25">
      <c r="A2836" s="1"/>
      <c r="B2836" s="19"/>
      <c r="C2836" s="24"/>
      <c r="D2836" s="1"/>
      <c r="E2836" s="25"/>
      <c r="F2836" s="26"/>
      <c r="G2836" s="26"/>
      <c r="L2836" s="25"/>
      <c r="M2836" s="24"/>
      <c r="N2836" s="26"/>
      <c r="O2836" s="26"/>
      <c r="P2836" s="26"/>
      <c r="Q2836" s="26"/>
      <c r="R2836" s="26"/>
      <c r="S2836" s="26"/>
      <c r="T2836" s="26"/>
      <c r="U2836" s="26"/>
      <c r="V2836" s="26"/>
      <c r="W2836" s="26"/>
      <c r="X2836" s="26"/>
      <c r="Y2836" s="26"/>
      <c r="Z2836" s="26"/>
      <c r="AA2836" s="26"/>
      <c r="AB2836" s="26"/>
      <c r="AC2836" s="27"/>
    </row>
    <row r="2837" spans="1:29" x14ac:dyDescent="0.25">
      <c r="A2837" s="1"/>
      <c r="B2837" s="19"/>
      <c r="C2837" s="24"/>
      <c r="D2837" s="1"/>
      <c r="E2837" s="25"/>
      <c r="F2837" s="26"/>
      <c r="G2837" s="26"/>
      <c r="L2837" s="25"/>
      <c r="M2837" s="24"/>
      <c r="N2837" s="26"/>
      <c r="O2837" s="26"/>
      <c r="P2837" s="26"/>
      <c r="Q2837" s="26"/>
      <c r="R2837" s="26"/>
      <c r="S2837" s="26"/>
      <c r="T2837" s="26"/>
      <c r="U2837" s="26"/>
      <c r="V2837" s="26"/>
      <c r="W2837" s="26"/>
      <c r="X2837" s="26"/>
      <c r="Y2837" s="26"/>
      <c r="Z2837" s="26"/>
      <c r="AA2837" s="26"/>
      <c r="AB2837" s="26"/>
      <c r="AC2837" s="27"/>
    </row>
    <row r="2838" spans="1:29" x14ac:dyDescent="0.25">
      <c r="A2838" s="1"/>
      <c r="B2838" s="19"/>
      <c r="C2838" s="24"/>
      <c r="D2838" s="1"/>
      <c r="E2838" s="25"/>
      <c r="F2838" s="26"/>
      <c r="G2838" s="26"/>
      <c r="L2838" s="25"/>
      <c r="M2838" s="24"/>
      <c r="N2838" s="26"/>
      <c r="O2838" s="26"/>
      <c r="P2838" s="26"/>
      <c r="Q2838" s="26"/>
      <c r="R2838" s="26"/>
      <c r="S2838" s="26"/>
      <c r="T2838" s="26"/>
      <c r="U2838" s="26"/>
      <c r="V2838" s="26"/>
      <c r="W2838" s="26"/>
      <c r="X2838" s="26"/>
      <c r="Y2838" s="26"/>
      <c r="Z2838" s="26"/>
      <c r="AA2838" s="26"/>
      <c r="AB2838" s="26"/>
      <c r="AC2838" s="27"/>
    </row>
    <row r="2839" spans="1:29" x14ac:dyDescent="0.25">
      <c r="A2839" s="1"/>
      <c r="B2839" s="19"/>
      <c r="C2839" s="24"/>
      <c r="D2839" s="1"/>
      <c r="E2839" s="25"/>
      <c r="F2839" s="26"/>
      <c r="G2839" s="26"/>
      <c r="L2839" s="25"/>
      <c r="M2839" s="24"/>
      <c r="N2839" s="26"/>
      <c r="O2839" s="26"/>
      <c r="P2839" s="26"/>
      <c r="Q2839" s="26"/>
      <c r="R2839" s="26"/>
      <c r="S2839" s="26"/>
      <c r="T2839" s="26"/>
      <c r="U2839" s="26"/>
      <c r="V2839" s="26"/>
      <c r="W2839" s="26"/>
      <c r="X2839" s="26"/>
      <c r="Y2839" s="26"/>
      <c r="Z2839" s="26"/>
      <c r="AA2839" s="26"/>
      <c r="AB2839" s="26"/>
      <c r="AC2839" s="27"/>
    </row>
    <row r="2840" spans="1:29" x14ac:dyDescent="0.25">
      <c r="A2840" s="1"/>
      <c r="B2840" s="19"/>
      <c r="C2840" s="24"/>
      <c r="D2840" s="1"/>
      <c r="E2840" s="25"/>
      <c r="F2840" s="26"/>
      <c r="G2840" s="26"/>
      <c r="L2840" s="25"/>
      <c r="M2840" s="24"/>
      <c r="N2840" s="26"/>
      <c r="O2840" s="26"/>
      <c r="P2840" s="26"/>
      <c r="Q2840" s="26"/>
      <c r="R2840" s="26"/>
      <c r="S2840" s="26"/>
      <c r="T2840" s="26"/>
      <c r="U2840" s="26"/>
      <c r="V2840" s="26"/>
      <c r="W2840" s="26"/>
      <c r="X2840" s="26"/>
      <c r="Y2840" s="26"/>
      <c r="Z2840" s="26"/>
      <c r="AA2840" s="26"/>
      <c r="AB2840" s="26"/>
      <c r="AC2840" s="27"/>
    </row>
    <row r="2841" spans="1:29" x14ac:dyDescent="0.25">
      <c r="A2841" s="1"/>
      <c r="B2841" s="19"/>
      <c r="C2841" s="24"/>
      <c r="D2841" s="1"/>
      <c r="E2841" s="25"/>
      <c r="F2841" s="26"/>
      <c r="G2841" s="26"/>
      <c r="L2841" s="25"/>
      <c r="M2841" s="24"/>
      <c r="N2841" s="26"/>
      <c r="O2841" s="26"/>
      <c r="P2841" s="26"/>
      <c r="Q2841" s="26"/>
      <c r="R2841" s="26"/>
      <c r="S2841" s="26"/>
      <c r="T2841" s="26"/>
      <c r="U2841" s="26"/>
      <c r="V2841" s="26"/>
      <c r="W2841" s="26"/>
      <c r="X2841" s="26"/>
      <c r="Y2841" s="26"/>
      <c r="Z2841" s="26"/>
      <c r="AA2841" s="26"/>
      <c r="AB2841" s="26"/>
      <c r="AC2841" s="27"/>
    </row>
    <row r="2842" spans="1:29" x14ac:dyDescent="0.25">
      <c r="A2842" s="1"/>
      <c r="B2842" s="19"/>
      <c r="C2842" s="24"/>
      <c r="D2842" s="1"/>
      <c r="E2842" s="25"/>
      <c r="F2842" s="26"/>
      <c r="G2842" s="26"/>
      <c r="L2842" s="25"/>
      <c r="M2842" s="24"/>
      <c r="N2842" s="26"/>
      <c r="O2842" s="26"/>
      <c r="P2842" s="26"/>
      <c r="Q2842" s="26"/>
      <c r="R2842" s="26"/>
      <c r="S2842" s="26"/>
      <c r="T2842" s="26"/>
      <c r="U2842" s="26"/>
      <c r="V2842" s="26"/>
      <c r="W2842" s="26"/>
      <c r="X2842" s="26"/>
      <c r="Y2842" s="26"/>
      <c r="Z2842" s="26"/>
      <c r="AA2842" s="26"/>
      <c r="AB2842" s="26"/>
      <c r="AC2842" s="27"/>
    </row>
    <row r="2843" spans="1:29" x14ac:dyDescent="0.25">
      <c r="A2843" s="1"/>
      <c r="B2843" s="19"/>
      <c r="C2843" s="24"/>
      <c r="D2843" s="1"/>
      <c r="E2843" s="25"/>
      <c r="F2843" s="26"/>
      <c r="G2843" s="26"/>
      <c r="L2843" s="25"/>
      <c r="M2843" s="24"/>
      <c r="N2843" s="26"/>
      <c r="O2843" s="26"/>
      <c r="P2843" s="26"/>
      <c r="Q2843" s="26"/>
      <c r="R2843" s="26"/>
      <c r="S2843" s="26"/>
      <c r="T2843" s="26"/>
      <c r="U2843" s="26"/>
      <c r="V2843" s="26"/>
      <c r="W2843" s="26"/>
      <c r="X2843" s="26"/>
      <c r="Y2843" s="26"/>
      <c r="Z2843" s="26"/>
      <c r="AA2843" s="26"/>
      <c r="AB2843" s="26"/>
      <c r="AC2843" s="27"/>
    </row>
    <row r="2844" spans="1:29" x14ac:dyDescent="0.25">
      <c r="A2844" s="1"/>
      <c r="B2844" s="19"/>
      <c r="C2844" s="24"/>
      <c r="D2844" s="1"/>
      <c r="E2844" s="25"/>
      <c r="F2844" s="26"/>
      <c r="G2844" s="26"/>
      <c r="L2844" s="25"/>
      <c r="M2844" s="24"/>
      <c r="N2844" s="26"/>
      <c r="O2844" s="26"/>
      <c r="P2844" s="26"/>
      <c r="Q2844" s="26"/>
      <c r="R2844" s="26"/>
      <c r="S2844" s="26"/>
      <c r="T2844" s="26"/>
      <c r="U2844" s="26"/>
      <c r="V2844" s="26"/>
      <c r="W2844" s="26"/>
      <c r="X2844" s="26"/>
      <c r="Y2844" s="26"/>
      <c r="Z2844" s="26"/>
      <c r="AA2844" s="26"/>
      <c r="AB2844" s="26"/>
      <c r="AC2844" s="27"/>
    </row>
    <row r="2845" spans="1:29" x14ac:dyDescent="0.25">
      <c r="A2845" s="1"/>
      <c r="B2845" s="19"/>
      <c r="C2845" s="24"/>
      <c r="D2845" s="1"/>
      <c r="E2845" s="25"/>
      <c r="F2845" s="26"/>
      <c r="G2845" s="26"/>
      <c r="L2845" s="25"/>
      <c r="M2845" s="24"/>
      <c r="N2845" s="26"/>
      <c r="O2845" s="26"/>
      <c r="P2845" s="26"/>
      <c r="Q2845" s="26"/>
      <c r="R2845" s="26"/>
      <c r="S2845" s="26"/>
      <c r="T2845" s="26"/>
      <c r="U2845" s="26"/>
      <c r="V2845" s="26"/>
      <c r="W2845" s="26"/>
      <c r="X2845" s="26"/>
      <c r="Y2845" s="26"/>
      <c r="Z2845" s="26"/>
      <c r="AA2845" s="26"/>
      <c r="AB2845" s="26"/>
      <c r="AC2845" s="27"/>
    </row>
    <row r="2846" spans="1:29" x14ac:dyDescent="0.25">
      <c r="A2846" s="1"/>
      <c r="B2846" s="19"/>
      <c r="C2846" s="24"/>
      <c r="D2846" s="1"/>
      <c r="E2846" s="25"/>
      <c r="F2846" s="26"/>
      <c r="G2846" s="26"/>
      <c r="L2846" s="25"/>
      <c r="M2846" s="24"/>
      <c r="N2846" s="26"/>
      <c r="O2846" s="26"/>
      <c r="P2846" s="26"/>
      <c r="Q2846" s="26"/>
      <c r="R2846" s="26"/>
      <c r="S2846" s="26"/>
      <c r="T2846" s="26"/>
      <c r="U2846" s="26"/>
      <c r="V2846" s="26"/>
      <c r="W2846" s="26"/>
      <c r="X2846" s="26"/>
      <c r="Y2846" s="26"/>
      <c r="Z2846" s="26"/>
      <c r="AA2846" s="26"/>
      <c r="AB2846" s="26"/>
      <c r="AC2846" s="27"/>
    </row>
    <row r="2847" spans="1:29" x14ac:dyDescent="0.25">
      <c r="A2847" s="1"/>
      <c r="B2847" s="19"/>
      <c r="C2847" s="24"/>
      <c r="D2847" s="1"/>
      <c r="E2847" s="25"/>
      <c r="F2847" s="26"/>
      <c r="G2847" s="26"/>
      <c r="L2847" s="25"/>
      <c r="M2847" s="24"/>
      <c r="N2847" s="26"/>
      <c r="O2847" s="26"/>
      <c r="P2847" s="26"/>
      <c r="Q2847" s="26"/>
      <c r="R2847" s="26"/>
      <c r="S2847" s="26"/>
      <c r="T2847" s="26"/>
      <c r="U2847" s="26"/>
      <c r="V2847" s="26"/>
      <c r="W2847" s="26"/>
      <c r="X2847" s="26"/>
      <c r="Y2847" s="26"/>
      <c r="Z2847" s="26"/>
      <c r="AA2847" s="26"/>
      <c r="AB2847" s="26"/>
      <c r="AC2847" s="27"/>
    </row>
    <row r="2848" spans="1:29" x14ac:dyDescent="0.25">
      <c r="A2848" s="1"/>
      <c r="B2848" s="19"/>
      <c r="C2848" s="24"/>
      <c r="D2848" s="1"/>
      <c r="E2848" s="25"/>
      <c r="F2848" s="26"/>
      <c r="G2848" s="26"/>
      <c r="L2848" s="25"/>
      <c r="M2848" s="24"/>
      <c r="N2848" s="26"/>
      <c r="O2848" s="26"/>
      <c r="P2848" s="26"/>
      <c r="Q2848" s="26"/>
      <c r="R2848" s="26"/>
      <c r="S2848" s="26"/>
      <c r="T2848" s="26"/>
      <c r="U2848" s="26"/>
      <c r="V2848" s="26"/>
      <c r="W2848" s="26"/>
      <c r="X2848" s="26"/>
      <c r="Y2848" s="26"/>
      <c r="Z2848" s="26"/>
      <c r="AA2848" s="26"/>
      <c r="AB2848" s="26"/>
      <c r="AC2848" s="27"/>
    </row>
    <row r="2849" spans="1:29" x14ac:dyDescent="0.25">
      <c r="A2849" s="1"/>
      <c r="B2849" s="19"/>
      <c r="C2849" s="24"/>
      <c r="D2849" s="1"/>
      <c r="E2849" s="25"/>
      <c r="F2849" s="26"/>
      <c r="G2849" s="26"/>
      <c r="L2849" s="25"/>
      <c r="M2849" s="24"/>
      <c r="N2849" s="26"/>
      <c r="O2849" s="26"/>
      <c r="P2849" s="26"/>
      <c r="Q2849" s="26"/>
      <c r="R2849" s="26"/>
      <c r="S2849" s="26"/>
      <c r="T2849" s="26"/>
      <c r="U2849" s="26"/>
      <c r="V2849" s="26"/>
      <c r="W2849" s="26"/>
      <c r="X2849" s="26"/>
      <c r="Y2849" s="26"/>
      <c r="Z2849" s="26"/>
      <c r="AA2849" s="26"/>
      <c r="AB2849" s="26"/>
      <c r="AC2849" s="27"/>
    </row>
    <row r="2850" spans="1:29" x14ac:dyDescent="0.25">
      <c r="A2850" s="1"/>
      <c r="B2850" s="19"/>
      <c r="C2850" s="24"/>
      <c r="D2850" s="1"/>
      <c r="E2850" s="25"/>
      <c r="F2850" s="26"/>
      <c r="G2850" s="26"/>
      <c r="L2850" s="25"/>
      <c r="M2850" s="24"/>
      <c r="N2850" s="26"/>
      <c r="O2850" s="26"/>
      <c r="P2850" s="26"/>
      <c r="Q2850" s="26"/>
      <c r="R2850" s="26"/>
      <c r="S2850" s="26"/>
      <c r="T2850" s="26"/>
      <c r="U2850" s="26"/>
      <c r="V2850" s="26"/>
      <c r="W2850" s="26"/>
      <c r="X2850" s="26"/>
      <c r="Y2850" s="26"/>
      <c r="Z2850" s="26"/>
      <c r="AA2850" s="26"/>
      <c r="AB2850" s="26"/>
      <c r="AC2850" s="27"/>
    </row>
    <row r="2851" spans="1:29" x14ac:dyDescent="0.25">
      <c r="A2851" s="1"/>
      <c r="B2851" s="19"/>
      <c r="C2851" s="24"/>
      <c r="D2851" s="1"/>
      <c r="E2851" s="25"/>
      <c r="F2851" s="26"/>
      <c r="G2851" s="26"/>
      <c r="L2851" s="25"/>
      <c r="M2851" s="24"/>
      <c r="N2851" s="26"/>
      <c r="O2851" s="26"/>
      <c r="P2851" s="26"/>
      <c r="Q2851" s="26"/>
      <c r="R2851" s="26"/>
      <c r="S2851" s="26"/>
      <c r="T2851" s="26"/>
      <c r="U2851" s="26"/>
      <c r="V2851" s="26"/>
      <c r="W2851" s="26"/>
      <c r="X2851" s="26"/>
      <c r="Y2851" s="26"/>
      <c r="Z2851" s="26"/>
      <c r="AA2851" s="26"/>
      <c r="AB2851" s="26"/>
      <c r="AC2851" s="27"/>
    </row>
    <row r="2852" spans="1:29" x14ac:dyDescent="0.25">
      <c r="A2852" s="1"/>
      <c r="B2852" s="19"/>
      <c r="C2852" s="24"/>
      <c r="D2852" s="1"/>
      <c r="E2852" s="25"/>
      <c r="F2852" s="26"/>
      <c r="G2852" s="26"/>
      <c r="L2852" s="25"/>
      <c r="M2852" s="24"/>
      <c r="N2852" s="26"/>
      <c r="O2852" s="26"/>
      <c r="P2852" s="26"/>
      <c r="Q2852" s="26"/>
      <c r="R2852" s="26"/>
      <c r="S2852" s="26"/>
      <c r="T2852" s="26"/>
      <c r="U2852" s="26"/>
      <c r="V2852" s="26"/>
      <c r="W2852" s="26"/>
      <c r="X2852" s="26"/>
      <c r="Y2852" s="26"/>
      <c r="Z2852" s="26"/>
      <c r="AA2852" s="26"/>
      <c r="AB2852" s="26"/>
      <c r="AC2852" s="27"/>
    </row>
    <row r="2853" spans="1:29" x14ac:dyDescent="0.25">
      <c r="A2853" s="1"/>
      <c r="B2853" s="19"/>
      <c r="C2853" s="24"/>
      <c r="D2853" s="1"/>
      <c r="E2853" s="25"/>
      <c r="F2853" s="26"/>
      <c r="G2853" s="26"/>
      <c r="L2853" s="25"/>
      <c r="M2853" s="24"/>
      <c r="N2853" s="26"/>
      <c r="O2853" s="26"/>
      <c r="P2853" s="26"/>
      <c r="Q2853" s="26"/>
      <c r="R2853" s="26"/>
      <c r="S2853" s="26"/>
      <c r="T2853" s="26"/>
      <c r="U2853" s="26"/>
      <c r="V2853" s="26"/>
      <c r="W2853" s="26"/>
      <c r="X2853" s="26"/>
      <c r="Y2853" s="26"/>
      <c r="Z2853" s="26"/>
      <c r="AA2853" s="26"/>
      <c r="AB2853" s="26"/>
      <c r="AC2853" s="27"/>
    </row>
    <row r="2854" spans="1:29" x14ac:dyDescent="0.25">
      <c r="A2854" s="1"/>
      <c r="B2854" s="19"/>
      <c r="C2854" s="24"/>
      <c r="D2854" s="1"/>
      <c r="E2854" s="25"/>
      <c r="F2854" s="26"/>
      <c r="G2854" s="26"/>
      <c r="L2854" s="25"/>
      <c r="M2854" s="24"/>
      <c r="N2854" s="26"/>
      <c r="O2854" s="26"/>
      <c r="P2854" s="26"/>
      <c r="Q2854" s="26"/>
      <c r="R2854" s="26"/>
      <c r="S2854" s="26"/>
      <c r="T2854" s="26"/>
      <c r="U2854" s="26"/>
      <c r="V2854" s="26"/>
      <c r="W2854" s="26"/>
      <c r="X2854" s="26"/>
      <c r="Y2854" s="26"/>
      <c r="Z2854" s="26"/>
      <c r="AA2854" s="26"/>
      <c r="AB2854" s="26"/>
      <c r="AC2854" s="27"/>
    </row>
    <row r="2855" spans="1:29" x14ac:dyDescent="0.25">
      <c r="A2855" s="1"/>
      <c r="B2855" s="19"/>
      <c r="C2855" s="24"/>
      <c r="D2855" s="1"/>
      <c r="E2855" s="25"/>
      <c r="F2855" s="26"/>
      <c r="G2855" s="26"/>
      <c r="L2855" s="25"/>
      <c r="M2855" s="24"/>
      <c r="N2855" s="26"/>
      <c r="O2855" s="26"/>
      <c r="P2855" s="26"/>
      <c r="Q2855" s="26"/>
      <c r="R2855" s="26"/>
      <c r="S2855" s="26"/>
      <c r="T2855" s="26"/>
      <c r="U2855" s="26"/>
      <c r="V2855" s="26"/>
      <c r="W2855" s="26"/>
      <c r="X2855" s="26"/>
      <c r="Y2855" s="26"/>
      <c r="Z2855" s="26"/>
      <c r="AA2855" s="26"/>
      <c r="AB2855" s="26"/>
      <c r="AC2855" s="27"/>
    </row>
    <row r="2856" spans="1:29" x14ac:dyDescent="0.25">
      <c r="A2856" s="1"/>
      <c r="B2856" s="19"/>
      <c r="C2856" s="24"/>
      <c r="D2856" s="1"/>
      <c r="E2856" s="25"/>
      <c r="F2856" s="26"/>
      <c r="G2856" s="26"/>
      <c r="L2856" s="25"/>
      <c r="M2856" s="24"/>
      <c r="N2856" s="26"/>
      <c r="O2856" s="26"/>
      <c r="P2856" s="26"/>
      <c r="Q2856" s="26"/>
      <c r="R2856" s="26"/>
      <c r="S2856" s="26"/>
      <c r="T2856" s="26"/>
      <c r="U2856" s="26"/>
      <c r="V2856" s="26"/>
      <c r="W2856" s="26"/>
      <c r="X2856" s="26"/>
      <c r="Y2856" s="26"/>
      <c r="Z2856" s="26"/>
      <c r="AA2856" s="26"/>
      <c r="AB2856" s="26"/>
      <c r="AC2856" s="27"/>
    </row>
    <row r="2857" spans="1:29" x14ac:dyDescent="0.25">
      <c r="A2857" s="1"/>
      <c r="B2857" s="19"/>
      <c r="C2857" s="24"/>
      <c r="D2857" s="1"/>
      <c r="E2857" s="25"/>
      <c r="F2857" s="26"/>
      <c r="G2857" s="26"/>
      <c r="L2857" s="25"/>
      <c r="M2857" s="24"/>
      <c r="N2857" s="26"/>
      <c r="O2857" s="26"/>
      <c r="P2857" s="26"/>
      <c r="Q2857" s="26"/>
      <c r="R2857" s="26"/>
      <c r="S2857" s="26"/>
      <c r="T2857" s="26"/>
      <c r="U2857" s="26"/>
      <c r="V2857" s="26"/>
      <c r="W2857" s="26"/>
      <c r="X2857" s="26"/>
      <c r="Y2857" s="26"/>
      <c r="Z2857" s="26"/>
      <c r="AA2857" s="26"/>
      <c r="AB2857" s="26"/>
      <c r="AC2857" s="27"/>
    </row>
    <row r="2858" spans="1:29" x14ac:dyDescent="0.25">
      <c r="A2858" s="1"/>
      <c r="B2858" s="19"/>
      <c r="C2858" s="24"/>
      <c r="D2858" s="1"/>
      <c r="E2858" s="25"/>
      <c r="F2858" s="26"/>
      <c r="G2858" s="26"/>
      <c r="L2858" s="25"/>
      <c r="M2858" s="24"/>
      <c r="N2858" s="26"/>
      <c r="O2858" s="26"/>
      <c r="P2858" s="26"/>
      <c r="Q2858" s="26"/>
      <c r="R2858" s="26"/>
      <c r="S2858" s="26"/>
      <c r="T2858" s="26"/>
      <c r="U2858" s="26"/>
      <c r="V2858" s="26"/>
      <c r="W2858" s="26"/>
      <c r="X2858" s="26"/>
      <c r="Y2858" s="26"/>
      <c r="Z2858" s="26"/>
      <c r="AA2858" s="26"/>
      <c r="AB2858" s="26"/>
      <c r="AC2858" s="27"/>
    </row>
    <row r="2859" spans="1:29" x14ac:dyDescent="0.25">
      <c r="A2859" s="1"/>
      <c r="B2859" s="19"/>
      <c r="C2859" s="24"/>
      <c r="D2859" s="1"/>
      <c r="E2859" s="25"/>
      <c r="F2859" s="26"/>
      <c r="G2859" s="26"/>
      <c r="L2859" s="25"/>
      <c r="M2859" s="24"/>
      <c r="N2859" s="26"/>
      <c r="O2859" s="26"/>
      <c r="P2859" s="26"/>
      <c r="Q2859" s="26"/>
      <c r="R2859" s="26"/>
      <c r="S2859" s="26"/>
      <c r="T2859" s="26"/>
      <c r="U2859" s="26"/>
      <c r="V2859" s="26"/>
      <c r="W2859" s="26"/>
      <c r="X2859" s="26"/>
      <c r="Y2859" s="26"/>
      <c r="Z2859" s="26"/>
      <c r="AA2859" s="26"/>
      <c r="AB2859" s="26"/>
      <c r="AC2859" s="27"/>
    </row>
    <row r="2860" spans="1:29" x14ac:dyDescent="0.25">
      <c r="A2860" s="1"/>
      <c r="B2860" s="19"/>
      <c r="C2860" s="24"/>
      <c r="D2860" s="1"/>
      <c r="E2860" s="25"/>
      <c r="F2860" s="26"/>
      <c r="G2860" s="26"/>
      <c r="L2860" s="25"/>
      <c r="M2860" s="24"/>
      <c r="N2860" s="26"/>
      <c r="O2860" s="26"/>
      <c r="P2860" s="26"/>
      <c r="Q2860" s="26"/>
      <c r="R2860" s="26"/>
      <c r="S2860" s="26"/>
      <c r="T2860" s="26"/>
      <c r="U2860" s="26"/>
      <c r="V2860" s="26"/>
      <c r="W2860" s="26"/>
      <c r="X2860" s="26"/>
      <c r="Y2860" s="26"/>
      <c r="Z2860" s="26"/>
      <c r="AA2860" s="26"/>
      <c r="AB2860" s="26"/>
      <c r="AC2860" s="27"/>
    </row>
    <row r="2861" spans="1:29" x14ac:dyDescent="0.25">
      <c r="A2861" s="1"/>
      <c r="B2861" s="19"/>
      <c r="C2861" s="24"/>
      <c r="D2861" s="1"/>
      <c r="E2861" s="25"/>
      <c r="F2861" s="26"/>
      <c r="G2861" s="26"/>
      <c r="L2861" s="25"/>
      <c r="M2861" s="24"/>
      <c r="N2861" s="26"/>
      <c r="O2861" s="26"/>
      <c r="P2861" s="26"/>
      <c r="Q2861" s="26"/>
      <c r="R2861" s="26"/>
      <c r="S2861" s="26"/>
      <c r="T2861" s="26"/>
      <c r="U2861" s="26"/>
      <c r="V2861" s="26"/>
      <c r="W2861" s="26"/>
      <c r="X2861" s="26"/>
      <c r="Y2861" s="26"/>
      <c r="Z2861" s="26"/>
      <c r="AA2861" s="26"/>
      <c r="AB2861" s="26"/>
      <c r="AC2861" s="27"/>
    </row>
    <row r="2862" spans="1:29" x14ac:dyDescent="0.25">
      <c r="A2862" s="1"/>
      <c r="B2862" s="19"/>
      <c r="C2862" s="24"/>
      <c r="D2862" s="1"/>
      <c r="E2862" s="25"/>
      <c r="F2862" s="26"/>
      <c r="G2862" s="26"/>
      <c r="L2862" s="25"/>
      <c r="M2862" s="24"/>
      <c r="N2862" s="26"/>
      <c r="O2862" s="26"/>
      <c r="P2862" s="26"/>
      <c r="Q2862" s="26"/>
      <c r="R2862" s="26"/>
      <c r="S2862" s="26"/>
      <c r="T2862" s="26"/>
      <c r="U2862" s="26"/>
      <c r="V2862" s="26"/>
      <c r="W2862" s="26"/>
      <c r="X2862" s="26"/>
      <c r="Y2862" s="26"/>
      <c r="Z2862" s="26"/>
      <c r="AA2862" s="26"/>
      <c r="AB2862" s="26"/>
      <c r="AC2862" s="27"/>
    </row>
    <row r="2863" spans="1:29" x14ac:dyDescent="0.25">
      <c r="A2863" s="1"/>
      <c r="B2863" s="19"/>
      <c r="C2863" s="24"/>
      <c r="D2863" s="1"/>
      <c r="E2863" s="25"/>
      <c r="F2863" s="26"/>
      <c r="G2863" s="26"/>
      <c r="L2863" s="25"/>
      <c r="M2863" s="24"/>
      <c r="N2863" s="26"/>
      <c r="O2863" s="26"/>
      <c r="P2863" s="26"/>
      <c r="Q2863" s="26"/>
      <c r="R2863" s="26"/>
      <c r="S2863" s="26"/>
      <c r="T2863" s="26"/>
      <c r="U2863" s="26"/>
      <c r="V2863" s="26"/>
      <c r="W2863" s="26"/>
      <c r="X2863" s="26"/>
      <c r="Y2863" s="26"/>
      <c r="Z2863" s="26"/>
      <c r="AA2863" s="26"/>
      <c r="AB2863" s="26"/>
      <c r="AC2863" s="27"/>
    </row>
    <row r="2864" spans="1:29" x14ac:dyDescent="0.25">
      <c r="A2864" s="1"/>
      <c r="B2864" s="19"/>
      <c r="C2864" s="24"/>
      <c r="D2864" s="1"/>
      <c r="E2864" s="25"/>
      <c r="F2864" s="26"/>
      <c r="G2864" s="26"/>
      <c r="L2864" s="25"/>
      <c r="M2864" s="24"/>
      <c r="N2864" s="26"/>
      <c r="O2864" s="26"/>
      <c r="P2864" s="26"/>
      <c r="Q2864" s="26"/>
      <c r="R2864" s="26"/>
      <c r="S2864" s="26"/>
      <c r="T2864" s="26"/>
      <c r="U2864" s="26"/>
      <c r="V2864" s="26"/>
      <c r="W2864" s="26"/>
      <c r="X2864" s="26"/>
      <c r="Y2864" s="26"/>
      <c r="Z2864" s="26"/>
      <c r="AA2864" s="26"/>
      <c r="AB2864" s="26"/>
      <c r="AC2864" s="27"/>
    </row>
    <row r="2865" spans="1:29" x14ac:dyDescent="0.25">
      <c r="A2865" s="1"/>
      <c r="B2865" s="19"/>
      <c r="C2865" s="24"/>
      <c r="D2865" s="1"/>
      <c r="E2865" s="25"/>
      <c r="F2865" s="26"/>
      <c r="G2865" s="26"/>
      <c r="L2865" s="25"/>
      <c r="M2865" s="24"/>
      <c r="N2865" s="26"/>
      <c r="O2865" s="26"/>
      <c r="P2865" s="26"/>
      <c r="Q2865" s="26"/>
      <c r="R2865" s="26"/>
      <c r="S2865" s="26"/>
      <c r="T2865" s="26"/>
      <c r="U2865" s="26"/>
      <c r="V2865" s="26"/>
      <c r="W2865" s="26"/>
      <c r="X2865" s="26"/>
      <c r="Y2865" s="26"/>
      <c r="Z2865" s="26"/>
      <c r="AA2865" s="26"/>
      <c r="AB2865" s="26"/>
      <c r="AC2865" s="27"/>
    </row>
    <row r="2866" spans="1:29" x14ac:dyDescent="0.25">
      <c r="A2866" s="1"/>
      <c r="B2866" s="19"/>
      <c r="C2866" s="24"/>
      <c r="D2866" s="1"/>
      <c r="E2866" s="25"/>
      <c r="F2866" s="26"/>
      <c r="G2866" s="26"/>
      <c r="L2866" s="25"/>
      <c r="M2866" s="24"/>
      <c r="N2866" s="26"/>
      <c r="O2866" s="26"/>
      <c r="P2866" s="26"/>
      <c r="Q2866" s="26"/>
      <c r="R2866" s="26"/>
      <c r="S2866" s="26"/>
      <c r="T2866" s="26"/>
      <c r="U2866" s="26"/>
      <c r="V2866" s="26"/>
      <c r="W2866" s="26"/>
      <c r="X2866" s="26"/>
      <c r="Y2866" s="26"/>
      <c r="Z2866" s="26"/>
      <c r="AA2866" s="26"/>
      <c r="AB2866" s="26"/>
      <c r="AC2866" s="27"/>
    </row>
    <row r="2867" spans="1:29" x14ac:dyDescent="0.25">
      <c r="A2867" s="1"/>
      <c r="B2867" s="19"/>
      <c r="C2867" s="24"/>
      <c r="D2867" s="1"/>
      <c r="E2867" s="25"/>
      <c r="F2867" s="26"/>
      <c r="G2867" s="26"/>
      <c r="L2867" s="25"/>
      <c r="M2867" s="24"/>
      <c r="N2867" s="26"/>
      <c r="O2867" s="26"/>
      <c r="P2867" s="26"/>
      <c r="Q2867" s="26"/>
      <c r="R2867" s="26"/>
      <c r="S2867" s="26"/>
      <c r="T2867" s="26"/>
      <c r="U2867" s="26"/>
      <c r="V2867" s="26"/>
      <c r="W2867" s="26"/>
      <c r="X2867" s="26"/>
      <c r="Y2867" s="26"/>
      <c r="Z2867" s="26"/>
      <c r="AA2867" s="26"/>
      <c r="AB2867" s="26"/>
      <c r="AC2867" s="27"/>
    </row>
    <row r="2868" spans="1:29" x14ac:dyDescent="0.25">
      <c r="A2868" s="1"/>
      <c r="B2868" s="19"/>
      <c r="C2868" s="24"/>
      <c r="D2868" s="1"/>
      <c r="E2868" s="25"/>
      <c r="F2868" s="26"/>
      <c r="G2868" s="26"/>
      <c r="L2868" s="25"/>
      <c r="M2868" s="24"/>
      <c r="N2868" s="26"/>
      <c r="O2868" s="26"/>
      <c r="P2868" s="26"/>
      <c r="Q2868" s="26"/>
      <c r="R2868" s="26"/>
      <c r="S2868" s="26"/>
      <c r="T2868" s="26"/>
      <c r="U2868" s="26"/>
      <c r="V2868" s="26"/>
      <c r="W2868" s="26"/>
      <c r="X2868" s="26"/>
      <c r="Y2868" s="26"/>
      <c r="Z2868" s="26"/>
      <c r="AA2868" s="26"/>
      <c r="AB2868" s="26"/>
      <c r="AC2868" s="27"/>
    </row>
    <row r="2869" spans="1:29" x14ac:dyDescent="0.25">
      <c r="A2869" s="1"/>
      <c r="B2869" s="19"/>
      <c r="C2869" s="24"/>
      <c r="D2869" s="1"/>
      <c r="E2869" s="25"/>
      <c r="F2869" s="26"/>
      <c r="G2869" s="26"/>
      <c r="L2869" s="25"/>
      <c r="M2869" s="24"/>
      <c r="N2869" s="26"/>
      <c r="O2869" s="26"/>
      <c r="P2869" s="26"/>
      <c r="Q2869" s="26"/>
      <c r="R2869" s="26"/>
      <c r="S2869" s="26"/>
      <c r="T2869" s="26"/>
      <c r="U2869" s="26"/>
      <c r="V2869" s="26"/>
      <c r="W2869" s="26"/>
      <c r="X2869" s="26"/>
      <c r="Y2869" s="26"/>
      <c r="Z2869" s="26"/>
      <c r="AA2869" s="26"/>
      <c r="AB2869" s="26"/>
      <c r="AC2869" s="27"/>
    </row>
    <row r="2870" spans="1:29" x14ac:dyDescent="0.25">
      <c r="A2870" s="1"/>
      <c r="B2870" s="19"/>
      <c r="C2870" s="24"/>
      <c r="D2870" s="1"/>
      <c r="E2870" s="25"/>
      <c r="F2870" s="26"/>
      <c r="G2870" s="26"/>
      <c r="L2870" s="25"/>
      <c r="M2870" s="24"/>
      <c r="N2870" s="26"/>
      <c r="O2870" s="26"/>
      <c r="P2870" s="26"/>
      <c r="Q2870" s="26"/>
      <c r="R2870" s="26"/>
      <c r="S2870" s="26"/>
      <c r="T2870" s="26"/>
      <c r="U2870" s="26"/>
      <c r="V2870" s="26"/>
      <c r="W2870" s="26"/>
      <c r="X2870" s="26"/>
      <c r="Y2870" s="26"/>
      <c r="Z2870" s="26"/>
      <c r="AA2870" s="26"/>
      <c r="AB2870" s="26"/>
      <c r="AC2870" s="27"/>
    </row>
    <row r="2871" spans="1:29" x14ac:dyDescent="0.25">
      <c r="A2871" s="1"/>
      <c r="B2871" s="19"/>
      <c r="C2871" s="24"/>
      <c r="D2871" s="1"/>
      <c r="E2871" s="25"/>
      <c r="F2871" s="26"/>
      <c r="G2871" s="26"/>
      <c r="L2871" s="25"/>
      <c r="M2871" s="24"/>
      <c r="N2871" s="26"/>
      <c r="O2871" s="26"/>
      <c r="P2871" s="26"/>
      <c r="Q2871" s="26"/>
      <c r="R2871" s="26"/>
      <c r="S2871" s="26"/>
      <c r="T2871" s="26"/>
      <c r="U2871" s="26"/>
      <c r="V2871" s="26"/>
      <c r="W2871" s="26"/>
      <c r="X2871" s="26"/>
      <c r="Y2871" s="26"/>
      <c r="Z2871" s="26"/>
      <c r="AA2871" s="26"/>
      <c r="AB2871" s="26"/>
      <c r="AC2871" s="27"/>
    </row>
    <row r="2872" spans="1:29" x14ac:dyDescent="0.25">
      <c r="A2872" s="1"/>
      <c r="B2872" s="19"/>
      <c r="C2872" s="24"/>
      <c r="D2872" s="1"/>
      <c r="E2872" s="25"/>
      <c r="F2872" s="26"/>
      <c r="G2872" s="26"/>
      <c r="L2872" s="25"/>
      <c r="M2872" s="24"/>
      <c r="N2872" s="26"/>
      <c r="O2872" s="26"/>
      <c r="P2872" s="26"/>
      <c r="Q2872" s="26"/>
      <c r="R2872" s="26"/>
      <c r="S2872" s="26"/>
      <c r="T2872" s="26"/>
      <c r="U2872" s="26"/>
      <c r="V2872" s="26"/>
      <c r="W2872" s="26"/>
      <c r="X2872" s="26"/>
      <c r="Y2872" s="26"/>
      <c r="Z2872" s="26"/>
      <c r="AA2872" s="26"/>
      <c r="AB2872" s="26"/>
      <c r="AC2872" s="27"/>
    </row>
    <row r="2873" spans="1:29" x14ac:dyDescent="0.25">
      <c r="A2873" s="1"/>
      <c r="B2873" s="19"/>
      <c r="C2873" s="24"/>
      <c r="D2873" s="1"/>
      <c r="E2873" s="25"/>
      <c r="F2873" s="26"/>
      <c r="G2873" s="26"/>
      <c r="L2873" s="25"/>
      <c r="M2873" s="24"/>
      <c r="N2873" s="26"/>
      <c r="O2873" s="26"/>
      <c r="P2873" s="26"/>
      <c r="Q2873" s="26"/>
      <c r="R2873" s="26"/>
      <c r="S2873" s="26"/>
      <c r="T2873" s="26"/>
      <c r="U2873" s="26"/>
      <c r="V2873" s="26"/>
      <c r="W2873" s="26"/>
      <c r="X2873" s="26"/>
      <c r="Y2873" s="26"/>
      <c r="Z2873" s="26"/>
      <c r="AA2873" s="26"/>
      <c r="AB2873" s="26"/>
      <c r="AC2873" s="27"/>
    </row>
    <row r="2874" spans="1:29" x14ac:dyDescent="0.25">
      <c r="A2874" s="1"/>
      <c r="B2874" s="19"/>
      <c r="C2874" s="24"/>
      <c r="D2874" s="1"/>
      <c r="E2874" s="25"/>
      <c r="F2874" s="26"/>
      <c r="G2874" s="26"/>
      <c r="L2874" s="25"/>
      <c r="M2874" s="24"/>
      <c r="N2874" s="26"/>
      <c r="O2874" s="26"/>
      <c r="P2874" s="26"/>
      <c r="Q2874" s="26"/>
      <c r="R2874" s="26"/>
      <c r="S2874" s="26"/>
      <c r="T2874" s="26"/>
      <c r="U2874" s="26"/>
      <c r="V2874" s="26"/>
      <c r="W2874" s="26"/>
      <c r="X2874" s="26"/>
      <c r="Y2874" s="26"/>
      <c r="Z2874" s="26"/>
      <c r="AA2874" s="26"/>
      <c r="AB2874" s="26"/>
      <c r="AC2874" s="27"/>
    </row>
    <row r="2875" spans="1:29" x14ac:dyDescent="0.25">
      <c r="A2875" s="1"/>
      <c r="B2875" s="19"/>
      <c r="C2875" s="24"/>
      <c r="D2875" s="1"/>
      <c r="E2875" s="25"/>
      <c r="F2875" s="26"/>
      <c r="G2875" s="26"/>
      <c r="L2875" s="25"/>
      <c r="M2875" s="24"/>
      <c r="N2875" s="26"/>
      <c r="O2875" s="26"/>
      <c r="P2875" s="26"/>
      <c r="Q2875" s="26"/>
      <c r="R2875" s="26"/>
      <c r="S2875" s="26"/>
      <c r="T2875" s="26"/>
      <c r="U2875" s="26"/>
      <c r="V2875" s="26"/>
      <c r="W2875" s="26"/>
      <c r="X2875" s="26"/>
      <c r="Y2875" s="26"/>
      <c r="Z2875" s="26"/>
      <c r="AA2875" s="26"/>
      <c r="AB2875" s="26"/>
      <c r="AC2875" s="27"/>
    </row>
    <row r="2876" spans="1:29" x14ac:dyDescent="0.25">
      <c r="A2876" s="1"/>
      <c r="B2876" s="19"/>
      <c r="C2876" s="24"/>
      <c r="D2876" s="1"/>
      <c r="E2876" s="25"/>
      <c r="F2876" s="26"/>
      <c r="G2876" s="26"/>
      <c r="L2876" s="25"/>
      <c r="M2876" s="24"/>
      <c r="N2876" s="26"/>
      <c r="O2876" s="26"/>
      <c r="P2876" s="26"/>
      <c r="Q2876" s="26"/>
      <c r="R2876" s="26"/>
      <c r="S2876" s="26"/>
      <c r="T2876" s="26"/>
      <c r="U2876" s="26"/>
      <c r="V2876" s="26"/>
      <c r="W2876" s="26"/>
      <c r="X2876" s="26"/>
      <c r="Y2876" s="26"/>
      <c r="Z2876" s="26"/>
      <c r="AA2876" s="26"/>
      <c r="AB2876" s="26"/>
      <c r="AC2876" s="27"/>
    </row>
    <row r="2877" spans="1:29" x14ac:dyDescent="0.25">
      <c r="A2877" s="1"/>
      <c r="B2877" s="19"/>
      <c r="C2877" s="24"/>
      <c r="D2877" s="1"/>
      <c r="E2877" s="25"/>
      <c r="F2877" s="26"/>
      <c r="G2877" s="26"/>
      <c r="L2877" s="25"/>
      <c r="M2877" s="24"/>
      <c r="N2877" s="26"/>
      <c r="O2877" s="26"/>
      <c r="P2877" s="26"/>
      <c r="Q2877" s="26"/>
      <c r="R2877" s="26"/>
      <c r="S2877" s="26"/>
      <c r="T2877" s="26"/>
      <c r="U2877" s="26"/>
      <c r="V2877" s="26"/>
      <c r="W2877" s="26"/>
      <c r="X2877" s="26"/>
      <c r="Y2877" s="26"/>
      <c r="Z2877" s="26"/>
      <c r="AA2877" s="26"/>
      <c r="AB2877" s="26"/>
      <c r="AC2877" s="27"/>
    </row>
    <row r="2878" spans="1:29" x14ac:dyDescent="0.25">
      <c r="A2878" s="1"/>
      <c r="B2878" s="19"/>
      <c r="C2878" s="24"/>
      <c r="D2878" s="1"/>
      <c r="E2878" s="25"/>
      <c r="F2878" s="26"/>
      <c r="G2878" s="26"/>
      <c r="L2878" s="25"/>
      <c r="M2878" s="24"/>
      <c r="N2878" s="26"/>
      <c r="O2878" s="26"/>
      <c r="P2878" s="26"/>
      <c r="Q2878" s="26"/>
      <c r="R2878" s="26"/>
      <c r="S2878" s="26"/>
      <c r="T2878" s="26"/>
      <c r="U2878" s="26"/>
      <c r="V2878" s="26"/>
      <c r="W2878" s="26"/>
      <c r="X2878" s="26"/>
      <c r="Y2878" s="26"/>
      <c r="Z2878" s="26"/>
      <c r="AA2878" s="26"/>
      <c r="AB2878" s="26"/>
      <c r="AC2878" s="27"/>
    </row>
    <row r="2879" spans="1:29" x14ac:dyDescent="0.25">
      <c r="A2879" s="1"/>
      <c r="B2879" s="19"/>
      <c r="C2879" s="24"/>
      <c r="D2879" s="1"/>
      <c r="E2879" s="25"/>
      <c r="F2879" s="26"/>
      <c r="G2879" s="26"/>
      <c r="L2879" s="25"/>
      <c r="M2879" s="24"/>
      <c r="N2879" s="26"/>
      <c r="O2879" s="26"/>
      <c r="P2879" s="26"/>
      <c r="Q2879" s="26"/>
      <c r="R2879" s="26"/>
      <c r="S2879" s="26"/>
      <c r="T2879" s="26"/>
      <c r="U2879" s="26"/>
      <c r="V2879" s="26"/>
      <c r="W2879" s="26"/>
      <c r="X2879" s="26"/>
      <c r="Y2879" s="26"/>
      <c r="Z2879" s="26"/>
      <c r="AA2879" s="26"/>
      <c r="AB2879" s="26"/>
      <c r="AC2879" s="27"/>
    </row>
    <row r="2880" spans="1:29" x14ac:dyDescent="0.25">
      <c r="A2880" s="1"/>
      <c r="B2880" s="19"/>
      <c r="C2880" s="24"/>
      <c r="D2880" s="1"/>
      <c r="E2880" s="25"/>
      <c r="F2880" s="26"/>
      <c r="G2880" s="26"/>
      <c r="L2880" s="25"/>
      <c r="M2880" s="24"/>
      <c r="N2880" s="26"/>
      <c r="O2880" s="26"/>
      <c r="P2880" s="26"/>
      <c r="Q2880" s="26"/>
      <c r="R2880" s="26"/>
      <c r="S2880" s="26"/>
      <c r="T2880" s="26"/>
      <c r="U2880" s="26"/>
      <c r="V2880" s="26"/>
      <c r="W2880" s="26"/>
      <c r="X2880" s="26"/>
      <c r="Y2880" s="26"/>
      <c r="Z2880" s="26"/>
      <c r="AA2880" s="26"/>
      <c r="AB2880" s="26"/>
      <c r="AC2880" s="27"/>
    </row>
    <row r="2881" spans="1:29" x14ac:dyDescent="0.25">
      <c r="A2881" s="1"/>
      <c r="B2881" s="19"/>
      <c r="C2881" s="24"/>
      <c r="D2881" s="1"/>
      <c r="E2881" s="25"/>
      <c r="F2881" s="26"/>
      <c r="G2881" s="26"/>
      <c r="L2881" s="25"/>
      <c r="M2881" s="24"/>
      <c r="N2881" s="26"/>
      <c r="O2881" s="26"/>
      <c r="P2881" s="26"/>
      <c r="Q2881" s="26"/>
      <c r="R2881" s="26"/>
      <c r="S2881" s="26"/>
      <c r="T2881" s="26"/>
      <c r="U2881" s="26"/>
      <c r="V2881" s="26"/>
      <c r="W2881" s="26"/>
      <c r="X2881" s="26"/>
      <c r="Y2881" s="26"/>
      <c r="Z2881" s="26"/>
      <c r="AA2881" s="26"/>
      <c r="AB2881" s="26"/>
      <c r="AC2881" s="27"/>
    </row>
    <row r="2882" spans="1:29" x14ac:dyDescent="0.25">
      <c r="A2882" s="1"/>
      <c r="B2882" s="19"/>
      <c r="C2882" s="24"/>
      <c r="D2882" s="1"/>
      <c r="E2882" s="25"/>
      <c r="F2882" s="26"/>
      <c r="G2882" s="26"/>
      <c r="L2882" s="25"/>
      <c r="M2882" s="24"/>
      <c r="N2882" s="26"/>
      <c r="O2882" s="26"/>
      <c r="P2882" s="26"/>
      <c r="Q2882" s="26"/>
      <c r="R2882" s="26"/>
      <c r="S2882" s="26"/>
      <c r="T2882" s="26"/>
      <c r="U2882" s="26"/>
      <c r="V2882" s="26"/>
      <c r="W2882" s="26"/>
      <c r="X2882" s="26"/>
      <c r="Y2882" s="26"/>
      <c r="Z2882" s="26"/>
      <c r="AA2882" s="26"/>
      <c r="AB2882" s="26"/>
      <c r="AC2882" s="27"/>
    </row>
    <row r="2883" spans="1:29" x14ac:dyDescent="0.25">
      <c r="A2883" s="1"/>
      <c r="B2883" s="19"/>
      <c r="C2883" s="24"/>
      <c r="D2883" s="1"/>
      <c r="E2883" s="25"/>
      <c r="F2883" s="26"/>
      <c r="G2883" s="26"/>
      <c r="L2883" s="25"/>
      <c r="M2883" s="24"/>
      <c r="N2883" s="26"/>
      <c r="O2883" s="26"/>
      <c r="P2883" s="26"/>
      <c r="Q2883" s="26"/>
      <c r="R2883" s="26"/>
      <c r="S2883" s="26"/>
      <c r="T2883" s="26"/>
      <c r="U2883" s="26"/>
      <c r="V2883" s="26"/>
      <c r="W2883" s="26"/>
      <c r="X2883" s="26"/>
      <c r="Y2883" s="26"/>
      <c r="Z2883" s="26"/>
      <c r="AA2883" s="26"/>
      <c r="AB2883" s="26"/>
      <c r="AC2883" s="27"/>
    </row>
    <row r="2884" spans="1:29" x14ac:dyDescent="0.25">
      <c r="A2884" s="1"/>
      <c r="B2884" s="19"/>
      <c r="C2884" s="24"/>
      <c r="D2884" s="1"/>
      <c r="E2884" s="25"/>
      <c r="F2884" s="26"/>
      <c r="G2884" s="26"/>
      <c r="L2884" s="25"/>
      <c r="M2884" s="24"/>
      <c r="N2884" s="26"/>
      <c r="O2884" s="26"/>
      <c r="P2884" s="26"/>
      <c r="Q2884" s="26"/>
      <c r="R2884" s="26"/>
      <c r="S2884" s="26"/>
      <c r="T2884" s="26"/>
      <c r="U2884" s="26"/>
      <c r="V2884" s="26"/>
      <c r="W2884" s="26"/>
      <c r="X2884" s="26"/>
      <c r="Y2884" s="26"/>
      <c r="Z2884" s="26"/>
      <c r="AA2884" s="26"/>
      <c r="AB2884" s="26"/>
      <c r="AC2884" s="27"/>
    </row>
    <row r="2885" spans="1:29" x14ac:dyDescent="0.25">
      <c r="A2885" s="1"/>
      <c r="B2885" s="19"/>
      <c r="C2885" s="24"/>
      <c r="D2885" s="1"/>
      <c r="E2885" s="25"/>
      <c r="F2885" s="26"/>
      <c r="G2885" s="26"/>
      <c r="L2885" s="25"/>
      <c r="M2885" s="24"/>
      <c r="N2885" s="26"/>
      <c r="O2885" s="26"/>
      <c r="P2885" s="26"/>
      <c r="Q2885" s="26"/>
      <c r="R2885" s="26"/>
      <c r="S2885" s="26"/>
      <c r="T2885" s="26"/>
      <c r="U2885" s="26"/>
      <c r="V2885" s="26"/>
      <c r="W2885" s="26"/>
      <c r="X2885" s="26"/>
      <c r="Y2885" s="26"/>
      <c r="Z2885" s="26"/>
      <c r="AA2885" s="26"/>
      <c r="AB2885" s="26"/>
      <c r="AC2885" s="27"/>
    </row>
    <row r="2886" spans="1:29" x14ac:dyDescent="0.25">
      <c r="A2886" s="1"/>
      <c r="B2886" s="19"/>
      <c r="C2886" s="24"/>
      <c r="D2886" s="1"/>
      <c r="E2886" s="25"/>
      <c r="F2886" s="26"/>
      <c r="G2886" s="26"/>
      <c r="L2886" s="25"/>
      <c r="M2886" s="24"/>
      <c r="N2886" s="26"/>
      <c r="O2886" s="26"/>
      <c r="P2886" s="26"/>
      <c r="Q2886" s="26"/>
      <c r="R2886" s="26"/>
      <c r="S2886" s="26"/>
      <c r="T2886" s="26"/>
      <c r="U2886" s="26"/>
      <c r="V2886" s="26"/>
      <c r="W2886" s="26"/>
      <c r="X2886" s="26"/>
      <c r="Y2886" s="26"/>
      <c r="Z2886" s="26"/>
      <c r="AA2886" s="26"/>
      <c r="AB2886" s="26"/>
      <c r="AC2886" s="27"/>
    </row>
    <row r="2887" spans="1:29" x14ac:dyDescent="0.25">
      <c r="A2887" s="1"/>
      <c r="B2887" s="19"/>
      <c r="C2887" s="24"/>
      <c r="D2887" s="1"/>
      <c r="E2887" s="25"/>
      <c r="F2887" s="26"/>
      <c r="G2887" s="26"/>
      <c r="L2887" s="25"/>
      <c r="M2887" s="24"/>
      <c r="N2887" s="26"/>
      <c r="O2887" s="26"/>
      <c r="P2887" s="26"/>
      <c r="Q2887" s="26"/>
      <c r="R2887" s="26"/>
      <c r="S2887" s="26"/>
      <c r="T2887" s="26"/>
      <c r="U2887" s="26"/>
      <c r="V2887" s="26"/>
      <c r="W2887" s="26"/>
      <c r="X2887" s="26"/>
      <c r="Y2887" s="26"/>
      <c r="Z2887" s="26"/>
      <c r="AA2887" s="26"/>
      <c r="AB2887" s="26"/>
      <c r="AC2887" s="27"/>
    </row>
    <row r="2888" spans="1:29" x14ac:dyDescent="0.25">
      <c r="A2888" s="1"/>
      <c r="B2888" s="19"/>
      <c r="C2888" s="24"/>
      <c r="D2888" s="1"/>
      <c r="E2888" s="25"/>
      <c r="F2888" s="26"/>
      <c r="G2888" s="26"/>
      <c r="L2888" s="25"/>
      <c r="M2888" s="24"/>
      <c r="N2888" s="26"/>
      <c r="O2888" s="26"/>
      <c r="P2888" s="26"/>
      <c r="Q2888" s="26"/>
      <c r="R2888" s="26"/>
      <c r="S2888" s="26"/>
      <c r="T2888" s="26"/>
      <c r="U2888" s="26"/>
      <c r="V2888" s="26"/>
      <c r="W2888" s="26"/>
      <c r="X2888" s="26"/>
      <c r="Y2888" s="26"/>
      <c r="Z2888" s="26"/>
      <c r="AA2888" s="26"/>
      <c r="AB2888" s="26"/>
      <c r="AC2888" s="27"/>
    </row>
    <row r="2889" spans="1:29" x14ac:dyDescent="0.25">
      <c r="A2889" s="1"/>
      <c r="B2889" s="19"/>
      <c r="C2889" s="24"/>
      <c r="D2889" s="1"/>
      <c r="E2889" s="25"/>
      <c r="F2889" s="26"/>
      <c r="G2889" s="26"/>
      <c r="L2889" s="25"/>
      <c r="M2889" s="24"/>
      <c r="N2889" s="26"/>
      <c r="O2889" s="26"/>
      <c r="P2889" s="26"/>
      <c r="Q2889" s="26"/>
      <c r="R2889" s="26"/>
      <c r="S2889" s="26"/>
      <c r="T2889" s="26"/>
      <c r="U2889" s="26"/>
      <c r="V2889" s="26"/>
      <c r="W2889" s="26"/>
      <c r="X2889" s="26"/>
      <c r="Y2889" s="26"/>
      <c r="Z2889" s="26"/>
      <c r="AA2889" s="26"/>
      <c r="AB2889" s="26"/>
      <c r="AC2889" s="27"/>
    </row>
    <row r="2890" spans="1:29" x14ac:dyDescent="0.25">
      <c r="A2890" s="1"/>
      <c r="B2890" s="19"/>
      <c r="C2890" s="24"/>
      <c r="D2890" s="1"/>
      <c r="E2890" s="25"/>
      <c r="F2890" s="26"/>
      <c r="G2890" s="26"/>
      <c r="L2890" s="25"/>
      <c r="M2890" s="24"/>
      <c r="N2890" s="26"/>
      <c r="O2890" s="26"/>
      <c r="P2890" s="26"/>
      <c r="Q2890" s="26"/>
      <c r="R2890" s="26"/>
      <c r="S2890" s="26"/>
      <c r="T2890" s="26"/>
      <c r="U2890" s="26"/>
      <c r="V2890" s="26"/>
      <c r="W2890" s="26"/>
      <c r="X2890" s="26"/>
      <c r="Y2890" s="26"/>
      <c r="Z2890" s="26"/>
      <c r="AA2890" s="26"/>
      <c r="AB2890" s="26"/>
      <c r="AC2890" s="27"/>
    </row>
    <row r="2891" spans="1:29" x14ac:dyDescent="0.25">
      <c r="A2891" s="1"/>
      <c r="B2891" s="19"/>
      <c r="C2891" s="24"/>
      <c r="D2891" s="1"/>
      <c r="E2891" s="25"/>
      <c r="F2891" s="26"/>
      <c r="G2891" s="26"/>
      <c r="L2891" s="25"/>
      <c r="M2891" s="24"/>
      <c r="N2891" s="26"/>
      <c r="O2891" s="26"/>
      <c r="P2891" s="26"/>
      <c r="Q2891" s="26"/>
      <c r="R2891" s="26"/>
      <c r="S2891" s="26"/>
      <c r="T2891" s="26"/>
      <c r="U2891" s="26"/>
      <c r="V2891" s="26"/>
      <c r="W2891" s="26"/>
      <c r="X2891" s="26"/>
      <c r="Y2891" s="26"/>
      <c r="Z2891" s="26"/>
      <c r="AA2891" s="26"/>
      <c r="AB2891" s="26"/>
      <c r="AC2891" s="27"/>
    </row>
    <row r="2892" spans="1:29" x14ac:dyDescent="0.25">
      <c r="A2892" s="1"/>
      <c r="B2892" s="19"/>
      <c r="C2892" s="24"/>
      <c r="D2892" s="1"/>
      <c r="E2892" s="25"/>
      <c r="F2892" s="26"/>
      <c r="G2892" s="26"/>
      <c r="L2892" s="25"/>
      <c r="M2892" s="24"/>
      <c r="N2892" s="26"/>
      <c r="O2892" s="26"/>
      <c r="P2892" s="26"/>
      <c r="Q2892" s="26"/>
      <c r="R2892" s="26"/>
      <c r="S2892" s="26"/>
      <c r="T2892" s="26"/>
      <c r="U2892" s="26"/>
      <c r="V2892" s="26"/>
      <c r="W2892" s="26"/>
      <c r="X2892" s="26"/>
      <c r="Y2892" s="26"/>
      <c r="Z2892" s="26"/>
      <c r="AA2892" s="26"/>
      <c r="AB2892" s="26"/>
      <c r="AC2892" s="27"/>
    </row>
    <row r="2893" spans="1:29" x14ac:dyDescent="0.25">
      <c r="A2893" s="1"/>
      <c r="B2893" s="19"/>
      <c r="C2893" s="24"/>
      <c r="D2893" s="1"/>
      <c r="E2893" s="25"/>
      <c r="F2893" s="26"/>
      <c r="G2893" s="26"/>
      <c r="L2893" s="25"/>
      <c r="M2893" s="24"/>
      <c r="N2893" s="26"/>
      <c r="O2893" s="26"/>
      <c r="P2893" s="26"/>
      <c r="Q2893" s="26"/>
      <c r="R2893" s="26"/>
      <c r="S2893" s="26"/>
      <c r="T2893" s="26"/>
      <c r="U2893" s="26"/>
      <c r="V2893" s="26"/>
      <c r="W2893" s="26"/>
      <c r="X2893" s="26"/>
      <c r="Y2893" s="26"/>
      <c r="Z2893" s="26"/>
      <c r="AA2893" s="26"/>
      <c r="AB2893" s="26"/>
      <c r="AC2893" s="27"/>
    </row>
    <row r="2894" spans="1:29" x14ac:dyDescent="0.25">
      <c r="A2894" s="1"/>
      <c r="B2894" s="19"/>
      <c r="C2894" s="24"/>
      <c r="D2894" s="1"/>
      <c r="E2894" s="25"/>
      <c r="F2894" s="26"/>
      <c r="G2894" s="26"/>
      <c r="L2894" s="25"/>
      <c r="M2894" s="24"/>
      <c r="N2894" s="26"/>
      <c r="O2894" s="26"/>
      <c r="P2894" s="26"/>
      <c r="Q2894" s="26"/>
      <c r="R2894" s="26"/>
      <c r="S2894" s="26"/>
      <c r="T2894" s="26"/>
      <c r="U2894" s="26"/>
      <c r="V2894" s="26"/>
      <c r="W2894" s="26"/>
      <c r="X2894" s="26"/>
      <c r="Y2894" s="26"/>
      <c r="Z2894" s="26"/>
      <c r="AA2894" s="26"/>
      <c r="AB2894" s="26"/>
      <c r="AC2894" s="27"/>
    </row>
    <row r="2895" spans="1:29" x14ac:dyDescent="0.25">
      <c r="A2895" s="1"/>
      <c r="B2895" s="19"/>
      <c r="C2895" s="24"/>
      <c r="D2895" s="1"/>
      <c r="E2895" s="25"/>
      <c r="F2895" s="26"/>
      <c r="G2895" s="26"/>
      <c r="L2895" s="25"/>
      <c r="M2895" s="24"/>
      <c r="N2895" s="26"/>
      <c r="O2895" s="26"/>
      <c r="P2895" s="26"/>
      <c r="Q2895" s="26"/>
      <c r="R2895" s="26"/>
      <c r="S2895" s="26"/>
      <c r="T2895" s="26"/>
      <c r="U2895" s="26"/>
      <c r="V2895" s="26"/>
      <c r="W2895" s="26"/>
      <c r="X2895" s="26"/>
      <c r="Y2895" s="26"/>
      <c r="Z2895" s="26"/>
      <c r="AA2895" s="26"/>
      <c r="AB2895" s="26"/>
      <c r="AC2895" s="27"/>
    </row>
    <row r="2896" spans="1:29" x14ac:dyDescent="0.25">
      <c r="A2896" s="1"/>
      <c r="B2896" s="19"/>
      <c r="C2896" s="24"/>
      <c r="D2896" s="1"/>
      <c r="E2896" s="25"/>
      <c r="F2896" s="26"/>
      <c r="G2896" s="26"/>
      <c r="L2896" s="25"/>
      <c r="M2896" s="24"/>
      <c r="N2896" s="26"/>
      <c r="O2896" s="26"/>
      <c r="P2896" s="26"/>
      <c r="Q2896" s="26"/>
      <c r="R2896" s="26"/>
      <c r="S2896" s="26"/>
      <c r="T2896" s="26"/>
      <c r="U2896" s="26"/>
      <c r="V2896" s="26"/>
      <c r="W2896" s="26"/>
      <c r="X2896" s="26"/>
      <c r="Y2896" s="26"/>
      <c r="Z2896" s="26"/>
      <c r="AA2896" s="26"/>
      <c r="AB2896" s="26"/>
      <c r="AC2896" s="27"/>
    </row>
    <row r="2897" spans="1:29" x14ac:dyDescent="0.25">
      <c r="A2897" s="1"/>
      <c r="B2897" s="19"/>
      <c r="C2897" s="24"/>
      <c r="D2897" s="1"/>
      <c r="E2897" s="25"/>
      <c r="F2897" s="26"/>
      <c r="G2897" s="26"/>
      <c r="L2897" s="25"/>
      <c r="M2897" s="24"/>
      <c r="N2897" s="26"/>
      <c r="O2897" s="26"/>
      <c r="P2897" s="26"/>
      <c r="Q2897" s="26"/>
      <c r="R2897" s="26"/>
      <c r="S2897" s="26"/>
      <c r="T2897" s="26"/>
      <c r="U2897" s="26"/>
      <c r="V2897" s="26"/>
      <c r="W2897" s="26"/>
      <c r="X2897" s="26"/>
      <c r="Y2897" s="26"/>
      <c r="Z2897" s="26"/>
      <c r="AA2897" s="26"/>
      <c r="AB2897" s="26"/>
      <c r="AC2897" s="27"/>
    </row>
    <row r="2898" spans="1:29" x14ac:dyDescent="0.25">
      <c r="A2898" s="1"/>
      <c r="B2898" s="19"/>
      <c r="C2898" s="24"/>
      <c r="D2898" s="1"/>
      <c r="E2898" s="25"/>
      <c r="F2898" s="26"/>
      <c r="G2898" s="26"/>
      <c r="L2898" s="25"/>
      <c r="M2898" s="24"/>
      <c r="N2898" s="26"/>
      <c r="O2898" s="26"/>
      <c r="P2898" s="26"/>
      <c r="Q2898" s="26"/>
      <c r="R2898" s="26"/>
      <c r="S2898" s="26"/>
      <c r="T2898" s="26"/>
      <c r="U2898" s="26"/>
      <c r="V2898" s="26"/>
      <c r="W2898" s="26"/>
      <c r="X2898" s="26"/>
      <c r="Y2898" s="26"/>
      <c r="Z2898" s="26"/>
      <c r="AA2898" s="26"/>
      <c r="AB2898" s="26"/>
      <c r="AC2898" s="27"/>
    </row>
    <row r="2899" spans="1:29" x14ac:dyDescent="0.25">
      <c r="A2899" s="1"/>
      <c r="B2899" s="19"/>
      <c r="C2899" s="24"/>
      <c r="D2899" s="1"/>
      <c r="E2899" s="25"/>
      <c r="F2899" s="26"/>
      <c r="G2899" s="26"/>
      <c r="L2899" s="25"/>
      <c r="M2899" s="24"/>
      <c r="N2899" s="26"/>
      <c r="O2899" s="26"/>
      <c r="P2899" s="26"/>
      <c r="Q2899" s="26"/>
      <c r="R2899" s="26"/>
      <c r="S2899" s="26"/>
      <c r="T2899" s="26"/>
      <c r="U2899" s="26"/>
      <c r="V2899" s="26"/>
      <c r="W2899" s="26"/>
      <c r="X2899" s="26"/>
      <c r="Y2899" s="26"/>
      <c r="Z2899" s="26"/>
      <c r="AA2899" s="26"/>
      <c r="AB2899" s="26"/>
      <c r="AC2899" s="27"/>
    </row>
    <row r="2900" spans="1:29" x14ac:dyDescent="0.25">
      <c r="A2900" s="1"/>
      <c r="B2900" s="19"/>
      <c r="C2900" s="24"/>
      <c r="D2900" s="1"/>
      <c r="E2900" s="25"/>
      <c r="F2900" s="26"/>
      <c r="G2900" s="26"/>
      <c r="L2900" s="25"/>
      <c r="M2900" s="24"/>
      <c r="N2900" s="26"/>
      <c r="O2900" s="26"/>
      <c r="P2900" s="26"/>
      <c r="Q2900" s="26"/>
      <c r="R2900" s="26"/>
      <c r="S2900" s="26"/>
      <c r="T2900" s="26"/>
      <c r="U2900" s="26"/>
      <c r="V2900" s="26"/>
      <c r="W2900" s="26"/>
      <c r="X2900" s="26"/>
      <c r="Y2900" s="26"/>
      <c r="Z2900" s="26"/>
      <c r="AA2900" s="26"/>
      <c r="AB2900" s="26"/>
      <c r="AC2900" s="27"/>
    </row>
    <row r="2901" spans="1:29" x14ac:dyDescent="0.25">
      <c r="A2901" s="1"/>
      <c r="B2901" s="19"/>
      <c r="C2901" s="24"/>
      <c r="D2901" s="1"/>
      <c r="E2901" s="25"/>
      <c r="F2901" s="26"/>
      <c r="G2901" s="26"/>
      <c r="L2901" s="25"/>
      <c r="M2901" s="24"/>
      <c r="N2901" s="26"/>
      <c r="O2901" s="26"/>
      <c r="P2901" s="26"/>
      <c r="Q2901" s="26"/>
      <c r="R2901" s="26"/>
      <c r="S2901" s="26"/>
      <c r="T2901" s="26"/>
      <c r="U2901" s="26"/>
      <c r="V2901" s="26"/>
      <c r="W2901" s="26"/>
      <c r="X2901" s="26"/>
      <c r="Y2901" s="26"/>
      <c r="Z2901" s="26"/>
      <c r="AA2901" s="26"/>
      <c r="AB2901" s="26"/>
      <c r="AC2901" s="27"/>
    </row>
    <row r="2902" spans="1:29" x14ac:dyDescent="0.25">
      <c r="A2902" s="1"/>
      <c r="B2902" s="19"/>
      <c r="C2902" s="24"/>
      <c r="D2902" s="1"/>
      <c r="E2902" s="25"/>
      <c r="F2902" s="26"/>
      <c r="G2902" s="26"/>
      <c r="L2902" s="25"/>
      <c r="M2902" s="24"/>
      <c r="N2902" s="26"/>
      <c r="O2902" s="26"/>
      <c r="P2902" s="26"/>
      <c r="Q2902" s="26"/>
      <c r="R2902" s="26"/>
      <c r="S2902" s="26"/>
      <c r="T2902" s="26"/>
      <c r="U2902" s="26"/>
      <c r="V2902" s="26"/>
      <c r="W2902" s="26"/>
      <c r="X2902" s="26"/>
      <c r="Y2902" s="26"/>
      <c r="Z2902" s="26"/>
      <c r="AA2902" s="26"/>
      <c r="AB2902" s="26"/>
      <c r="AC2902" s="27"/>
    </row>
    <row r="2903" spans="1:29" x14ac:dyDescent="0.25">
      <c r="A2903" s="1"/>
      <c r="B2903" s="19"/>
      <c r="C2903" s="24"/>
      <c r="D2903" s="1"/>
      <c r="E2903" s="25"/>
      <c r="F2903" s="26"/>
      <c r="G2903" s="26"/>
      <c r="L2903" s="25"/>
      <c r="M2903" s="24"/>
      <c r="N2903" s="26"/>
      <c r="O2903" s="26"/>
      <c r="P2903" s="26"/>
      <c r="Q2903" s="26"/>
      <c r="R2903" s="26"/>
      <c r="S2903" s="26"/>
      <c r="T2903" s="26"/>
      <c r="U2903" s="26"/>
      <c r="V2903" s="26"/>
      <c r="W2903" s="26"/>
      <c r="X2903" s="26"/>
      <c r="Y2903" s="26"/>
      <c r="Z2903" s="26"/>
      <c r="AA2903" s="26"/>
      <c r="AB2903" s="26"/>
      <c r="AC2903" s="27"/>
    </row>
    <row r="2904" spans="1:29" x14ac:dyDescent="0.25">
      <c r="A2904" s="1"/>
      <c r="B2904" s="19"/>
      <c r="C2904" s="24"/>
      <c r="D2904" s="1"/>
      <c r="E2904" s="25"/>
      <c r="F2904" s="26"/>
      <c r="G2904" s="26"/>
      <c r="L2904" s="25"/>
      <c r="M2904" s="24"/>
      <c r="N2904" s="26"/>
      <c r="O2904" s="26"/>
      <c r="P2904" s="26"/>
      <c r="Q2904" s="26"/>
      <c r="R2904" s="26"/>
      <c r="S2904" s="26"/>
      <c r="T2904" s="26"/>
      <c r="U2904" s="26"/>
      <c r="V2904" s="26"/>
      <c r="W2904" s="26"/>
      <c r="X2904" s="26"/>
      <c r="Y2904" s="26"/>
      <c r="Z2904" s="26"/>
      <c r="AA2904" s="26"/>
      <c r="AB2904" s="26"/>
      <c r="AC2904" s="27"/>
    </row>
    <row r="2905" spans="1:29" x14ac:dyDescent="0.25">
      <c r="A2905" s="1"/>
      <c r="B2905" s="19"/>
      <c r="C2905" s="24"/>
      <c r="D2905" s="1"/>
      <c r="E2905" s="25"/>
      <c r="F2905" s="26"/>
      <c r="G2905" s="26"/>
      <c r="L2905" s="25"/>
      <c r="M2905" s="24"/>
      <c r="N2905" s="26"/>
      <c r="O2905" s="26"/>
      <c r="P2905" s="26"/>
      <c r="Q2905" s="26"/>
      <c r="R2905" s="26"/>
      <c r="S2905" s="26"/>
      <c r="T2905" s="26"/>
      <c r="U2905" s="26"/>
      <c r="V2905" s="26"/>
      <c r="W2905" s="26"/>
      <c r="X2905" s="26"/>
      <c r="Y2905" s="26"/>
      <c r="Z2905" s="26"/>
      <c r="AA2905" s="26"/>
      <c r="AB2905" s="26"/>
      <c r="AC2905" s="27"/>
    </row>
    <row r="2906" spans="1:29" x14ac:dyDescent="0.25">
      <c r="A2906" s="1"/>
      <c r="B2906" s="19"/>
      <c r="C2906" s="24"/>
      <c r="D2906" s="1"/>
      <c r="E2906" s="25"/>
      <c r="F2906" s="26"/>
      <c r="G2906" s="26"/>
      <c r="L2906" s="25"/>
      <c r="M2906" s="24"/>
      <c r="N2906" s="26"/>
      <c r="O2906" s="26"/>
      <c r="P2906" s="26"/>
      <c r="Q2906" s="26"/>
      <c r="R2906" s="26"/>
      <c r="S2906" s="26"/>
      <c r="T2906" s="26"/>
      <c r="U2906" s="26"/>
      <c r="V2906" s="26"/>
      <c r="W2906" s="26"/>
      <c r="X2906" s="26"/>
      <c r="Y2906" s="26"/>
      <c r="Z2906" s="26"/>
      <c r="AA2906" s="26"/>
      <c r="AB2906" s="26"/>
      <c r="AC2906" s="27"/>
    </row>
    <row r="2907" spans="1:29" x14ac:dyDescent="0.25">
      <c r="A2907" s="1"/>
      <c r="B2907" s="19"/>
      <c r="C2907" s="24"/>
      <c r="D2907" s="1"/>
      <c r="E2907" s="25"/>
      <c r="F2907" s="26"/>
      <c r="G2907" s="26"/>
      <c r="L2907" s="25"/>
      <c r="M2907" s="24"/>
      <c r="N2907" s="26"/>
      <c r="O2907" s="26"/>
      <c r="P2907" s="26"/>
      <c r="Q2907" s="26"/>
      <c r="R2907" s="26"/>
      <c r="S2907" s="26"/>
      <c r="T2907" s="26"/>
      <c r="U2907" s="26"/>
      <c r="V2907" s="26"/>
      <c r="W2907" s="26"/>
      <c r="X2907" s="26"/>
      <c r="Y2907" s="26"/>
      <c r="Z2907" s="26"/>
      <c r="AA2907" s="26"/>
      <c r="AB2907" s="26"/>
      <c r="AC2907" s="27"/>
    </row>
    <row r="2908" spans="1:29" x14ac:dyDescent="0.25">
      <c r="A2908" s="1"/>
      <c r="B2908" s="19"/>
      <c r="C2908" s="24"/>
      <c r="D2908" s="1"/>
      <c r="E2908" s="25"/>
      <c r="F2908" s="26"/>
      <c r="G2908" s="26"/>
      <c r="L2908" s="25"/>
      <c r="M2908" s="24"/>
      <c r="N2908" s="26"/>
      <c r="O2908" s="26"/>
      <c r="P2908" s="26"/>
      <c r="Q2908" s="26"/>
      <c r="R2908" s="26"/>
      <c r="S2908" s="26"/>
      <c r="T2908" s="26"/>
      <c r="U2908" s="26"/>
      <c r="V2908" s="26"/>
      <c r="W2908" s="26"/>
      <c r="X2908" s="26"/>
      <c r="Y2908" s="26"/>
      <c r="Z2908" s="26"/>
      <c r="AA2908" s="26"/>
      <c r="AB2908" s="26"/>
      <c r="AC2908" s="27"/>
    </row>
    <row r="2909" spans="1:29" x14ac:dyDescent="0.25">
      <c r="A2909" s="1"/>
      <c r="B2909" s="19"/>
      <c r="C2909" s="24"/>
      <c r="D2909" s="1"/>
      <c r="E2909" s="25"/>
      <c r="F2909" s="26"/>
      <c r="G2909" s="26"/>
      <c r="L2909" s="25"/>
      <c r="M2909" s="24"/>
      <c r="N2909" s="26"/>
      <c r="O2909" s="26"/>
      <c r="P2909" s="26"/>
      <c r="Q2909" s="26"/>
      <c r="R2909" s="26"/>
      <c r="S2909" s="26"/>
      <c r="T2909" s="26"/>
      <c r="U2909" s="26"/>
      <c r="V2909" s="26"/>
      <c r="W2909" s="26"/>
      <c r="X2909" s="26"/>
      <c r="Y2909" s="26"/>
      <c r="Z2909" s="26"/>
      <c r="AA2909" s="26"/>
      <c r="AB2909" s="26"/>
      <c r="AC2909" s="27"/>
    </row>
    <row r="2910" spans="1:29" x14ac:dyDescent="0.25">
      <c r="A2910" s="1"/>
      <c r="B2910" s="19"/>
      <c r="C2910" s="24"/>
      <c r="D2910" s="1"/>
      <c r="E2910" s="25"/>
      <c r="F2910" s="26"/>
      <c r="G2910" s="26"/>
      <c r="L2910" s="25"/>
      <c r="M2910" s="24"/>
      <c r="N2910" s="26"/>
      <c r="O2910" s="26"/>
      <c r="P2910" s="26"/>
      <c r="Q2910" s="26"/>
      <c r="R2910" s="26"/>
      <c r="S2910" s="26"/>
      <c r="T2910" s="26"/>
      <c r="U2910" s="26"/>
      <c r="V2910" s="26"/>
      <c r="W2910" s="26"/>
      <c r="X2910" s="26"/>
      <c r="Y2910" s="26"/>
      <c r="Z2910" s="26"/>
      <c r="AA2910" s="26"/>
      <c r="AB2910" s="26"/>
      <c r="AC2910" s="27"/>
    </row>
    <row r="2911" spans="1:29" x14ac:dyDescent="0.25">
      <c r="A2911" s="1"/>
      <c r="B2911" s="19"/>
      <c r="C2911" s="24"/>
      <c r="D2911" s="1"/>
      <c r="E2911" s="25"/>
      <c r="F2911" s="26"/>
      <c r="G2911" s="26"/>
      <c r="L2911" s="25"/>
      <c r="M2911" s="24"/>
      <c r="N2911" s="26"/>
      <c r="O2911" s="26"/>
      <c r="P2911" s="26"/>
      <c r="Q2911" s="26"/>
      <c r="R2911" s="26"/>
      <c r="S2911" s="26"/>
      <c r="T2911" s="26"/>
      <c r="U2911" s="26"/>
      <c r="V2911" s="26"/>
      <c r="W2911" s="26"/>
      <c r="X2911" s="26"/>
      <c r="Y2911" s="26"/>
      <c r="Z2911" s="26"/>
      <c r="AA2911" s="26"/>
      <c r="AB2911" s="26"/>
      <c r="AC2911" s="27"/>
    </row>
    <row r="2912" spans="1:29" x14ac:dyDescent="0.25">
      <c r="A2912" s="1"/>
      <c r="B2912" s="19"/>
      <c r="C2912" s="24"/>
      <c r="D2912" s="1"/>
      <c r="E2912" s="25"/>
      <c r="F2912" s="26"/>
      <c r="G2912" s="26"/>
      <c r="L2912" s="25"/>
      <c r="M2912" s="24"/>
      <c r="N2912" s="26"/>
      <c r="O2912" s="26"/>
      <c r="P2912" s="26"/>
      <c r="Q2912" s="26"/>
      <c r="R2912" s="26"/>
      <c r="S2912" s="26"/>
      <c r="T2912" s="26"/>
      <c r="U2912" s="26"/>
      <c r="V2912" s="26"/>
      <c r="W2912" s="26"/>
      <c r="X2912" s="26"/>
      <c r="Y2912" s="26"/>
      <c r="Z2912" s="26"/>
      <c r="AA2912" s="26"/>
      <c r="AB2912" s="26"/>
      <c r="AC2912" s="27"/>
    </row>
    <row r="2913" spans="1:29" x14ac:dyDescent="0.25">
      <c r="A2913" s="1"/>
      <c r="B2913" s="19"/>
      <c r="C2913" s="24"/>
      <c r="D2913" s="1"/>
      <c r="E2913" s="25"/>
      <c r="F2913" s="26"/>
      <c r="G2913" s="26"/>
      <c r="L2913" s="25"/>
      <c r="M2913" s="24"/>
      <c r="N2913" s="26"/>
      <c r="O2913" s="26"/>
      <c r="P2913" s="26"/>
      <c r="Q2913" s="26"/>
      <c r="R2913" s="26"/>
      <c r="S2913" s="26"/>
      <c r="T2913" s="26"/>
      <c r="U2913" s="26"/>
      <c r="V2913" s="26"/>
      <c r="W2913" s="26"/>
      <c r="X2913" s="26"/>
      <c r="Y2913" s="26"/>
      <c r="Z2913" s="26"/>
      <c r="AA2913" s="26"/>
      <c r="AB2913" s="26"/>
      <c r="AC2913" s="27"/>
    </row>
    <row r="2914" spans="1:29" x14ac:dyDescent="0.25">
      <c r="A2914" s="1"/>
      <c r="B2914" s="19"/>
      <c r="C2914" s="24"/>
      <c r="D2914" s="1"/>
      <c r="E2914" s="25"/>
      <c r="F2914" s="26"/>
      <c r="G2914" s="26"/>
      <c r="L2914" s="25"/>
      <c r="M2914" s="24"/>
      <c r="N2914" s="26"/>
      <c r="O2914" s="26"/>
      <c r="P2914" s="26"/>
      <c r="Q2914" s="26"/>
      <c r="R2914" s="26"/>
      <c r="S2914" s="26"/>
      <c r="T2914" s="26"/>
      <c r="U2914" s="26"/>
      <c r="V2914" s="26"/>
      <c r="W2914" s="26"/>
      <c r="X2914" s="26"/>
      <c r="Y2914" s="26"/>
      <c r="Z2914" s="26"/>
      <c r="AA2914" s="26"/>
      <c r="AB2914" s="26"/>
      <c r="AC2914" s="27"/>
    </row>
    <row r="2915" spans="1:29" x14ac:dyDescent="0.25">
      <c r="A2915" s="1"/>
      <c r="B2915" s="19"/>
      <c r="C2915" s="24"/>
      <c r="D2915" s="1"/>
      <c r="E2915" s="25"/>
      <c r="F2915" s="26"/>
      <c r="G2915" s="26"/>
      <c r="L2915" s="25"/>
      <c r="M2915" s="24"/>
      <c r="N2915" s="26"/>
      <c r="O2915" s="26"/>
      <c r="P2915" s="26"/>
      <c r="Q2915" s="26"/>
      <c r="R2915" s="26"/>
      <c r="S2915" s="26"/>
      <c r="T2915" s="26"/>
      <c r="U2915" s="26"/>
      <c r="V2915" s="26"/>
      <c r="W2915" s="26"/>
      <c r="X2915" s="26"/>
      <c r="Y2915" s="26"/>
      <c r="Z2915" s="26"/>
      <c r="AA2915" s="26"/>
      <c r="AB2915" s="26"/>
      <c r="AC2915" s="27"/>
    </row>
    <row r="2916" spans="1:29" x14ac:dyDescent="0.25">
      <c r="A2916" s="1"/>
      <c r="B2916" s="19"/>
      <c r="C2916" s="24"/>
      <c r="D2916" s="1"/>
      <c r="E2916" s="25"/>
      <c r="F2916" s="26"/>
      <c r="G2916" s="26"/>
      <c r="L2916" s="25"/>
      <c r="M2916" s="24"/>
      <c r="N2916" s="26"/>
      <c r="O2916" s="26"/>
      <c r="P2916" s="26"/>
      <c r="Q2916" s="26"/>
      <c r="R2916" s="26"/>
      <c r="S2916" s="26"/>
      <c r="T2916" s="26"/>
      <c r="U2916" s="26"/>
      <c r="V2916" s="26"/>
      <c r="W2916" s="26"/>
      <c r="X2916" s="26"/>
      <c r="Y2916" s="26"/>
      <c r="Z2916" s="26"/>
      <c r="AA2916" s="26"/>
      <c r="AB2916" s="26"/>
      <c r="AC2916" s="27"/>
    </row>
    <row r="2917" spans="1:29" x14ac:dyDescent="0.25">
      <c r="A2917" s="1"/>
      <c r="B2917" s="19"/>
      <c r="C2917" s="24"/>
      <c r="D2917" s="1"/>
      <c r="E2917" s="25"/>
      <c r="F2917" s="26"/>
      <c r="G2917" s="26"/>
      <c r="L2917" s="25"/>
      <c r="M2917" s="24"/>
      <c r="N2917" s="26"/>
      <c r="O2917" s="26"/>
      <c r="P2917" s="26"/>
      <c r="Q2917" s="26"/>
      <c r="R2917" s="26"/>
      <c r="S2917" s="26"/>
      <c r="T2917" s="26"/>
      <c r="U2917" s="26"/>
      <c r="V2917" s="26"/>
      <c r="W2917" s="26"/>
      <c r="X2917" s="26"/>
      <c r="Y2917" s="26"/>
      <c r="Z2917" s="26"/>
      <c r="AA2917" s="26"/>
      <c r="AB2917" s="26"/>
      <c r="AC2917" s="27"/>
    </row>
    <row r="2918" spans="1:29" x14ac:dyDescent="0.25">
      <c r="A2918" s="1"/>
      <c r="B2918" s="19"/>
      <c r="C2918" s="24"/>
      <c r="D2918" s="1"/>
      <c r="E2918" s="25"/>
      <c r="F2918" s="26"/>
      <c r="G2918" s="26"/>
      <c r="L2918" s="25"/>
      <c r="M2918" s="24"/>
      <c r="N2918" s="26"/>
      <c r="O2918" s="26"/>
      <c r="P2918" s="26"/>
      <c r="Q2918" s="26"/>
      <c r="R2918" s="26"/>
      <c r="S2918" s="26"/>
      <c r="T2918" s="26"/>
      <c r="U2918" s="26"/>
      <c r="V2918" s="26"/>
      <c r="W2918" s="26"/>
      <c r="X2918" s="26"/>
      <c r="Y2918" s="26"/>
      <c r="Z2918" s="26"/>
      <c r="AA2918" s="26"/>
      <c r="AB2918" s="26"/>
      <c r="AC2918" s="27"/>
    </row>
    <row r="2919" spans="1:29" x14ac:dyDescent="0.25">
      <c r="A2919" s="1"/>
      <c r="B2919" s="19"/>
      <c r="C2919" s="24"/>
      <c r="D2919" s="1"/>
      <c r="E2919" s="25"/>
      <c r="F2919" s="26"/>
      <c r="G2919" s="26"/>
      <c r="L2919" s="25"/>
      <c r="M2919" s="24"/>
      <c r="N2919" s="26"/>
      <c r="O2919" s="26"/>
      <c r="P2919" s="26"/>
      <c r="Q2919" s="26"/>
      <c r="R2919" s="26"/>
      <c r="S2919" s="26"/>
      <c r="T2919" s="26"/>
      <c r="U2919" s="26"/>
      <c r="V2919" s="26"/>
      <c r="W2919" s="26"/>
      <c r="X2919" s="26"/>
      <c r="Y2919" s="26"/>
      <c r="Z2919" s="26"/>
      <c r="AA2919" s="26"/>
      <c r="AB2919" s="26"/>
      <c r="AC2919" s="27"/>
    </row>
    <row r="2920" spans="1:29" x14ac:dyDescent="0.25">
      <c r="A2920" s="1"/>
      <c r="B2920" s="19"/>
      <c r="C2920" s="24"/>
      <c r="D2920" s="1"/>
      <c r="E2920" s="25"/>
      <c r="F2920" s="26"/>
      <c r="G2920" s="26"/>
      <c r="L2920" s="25"/>
      <c r="M2920" s="24"/>
      <c r="N2920" s="26"/>
      <c r="O2920" s="26"/>
      <c r="P2920" s="26"/>
      <c r="Q2920" s="26"/>
      <c r="R2920" s="26"/>
      <c r="S2920" s="26"/>
      <c r="T2920" s="26"/>
      <c r="U2920" s="26"/>
      <c r="V2920" s="26"/>
      <c r="W2920" s="26"/>
      <c r="X2920" s="26"/>
      <c r="Y2920" s="26"/>
      <c r="Z2920" s="26"/>
      <c r="AA2920" s="26"/>
      <c r="AB2920" s="26"/>
      <c r="AC2920" s="27"/>
    </row>
    <row r="2921" spans="1:29" x14ac:dyDescent="0.25">
      <c r="A2921" s="1"/>
      <c r="B2921" s="19"/>
      <c r="C2921" s="24"/>
      <c r="D2921" s="1"/>
      <c r="E2921" s="25"/>
      <c r="F2921" s="26"/>
      <c r="G2921" s="26"/>
      <c r="L2921" s="25"/>
      <c r="M2921" s="24"/>
      <c r="N2921" s="26"/>
      <c r="O2921" s="26"/>
      <c r="P2921" s="26"/>
      <c r="Q2921" s="26"/>
      <c r="R2921" s="26"/>
      <c r="S2921" s="26"/>
      <c r="T2921" s="26"/>
      <c r="U2921" s="26"/>
      <c r="V2921" s="26"/>
      <c r="W2921" s="26"/>
      <c r="X2921" s="26"/>
      <c r="Y2921" s="26"/>
      <c r="Z2921" s="26"/>
      <c r="AA2921" s="26"/>
      <c r="AB2921" s="26"/>
      <c r="AC2921" s="27"/>
    </row>
    <row r="2922" spans="1:29" x14ac:dyDescent="0.25">
      <c r="A2922" s="1"/>
      <c r="B2922" s="19"/>
      <c r="C2922" s="24"/>
      <c r="D2922" s="1"/>
      <c r="E2922" s="25"/>
      <c r="F2922" s="26"/>
      <c r="G2922" s="26"/>
      <c r="L2922" s="25"/>
      <c r="M2922" s="24"/>
      <c r="N2922" s="26"/>
      <c r="O2922" s="26"/>
      <c r="P2922" s="26"/>
      <c r="Q2922" s="26"/>
      <c r="R2922" s="26"/>
      <c r="S2922" s="26"/>
      <c r="T2922" s="26"/>
      <c r="U2922" s="26"/>
      <c r="V2922" s="26"/>
      <c r="W2922" s="26"/>
      <c r="X2922" s="26"/>
      <c r="Y2922" s="26"/>
      <c r="Z2922" s="26"/>
      <c r="AA2922" s="26"/>
      <c r="AB2922" s="26"/>
      <c r="AC2922" s="27"/>
    </row>
    <row r="2923" spans="1:29" x14ac:dyDescent="0.25">
      <c r="A2923" s="1"/>
      <c r="B2923" s="19"/>
      <c r="C2923" s="24"/>
      <c r="D2923" s="1"/>
      <c r="E2923" s="25"/>
      <c r="F2923" s="26"/>
      <c r="G2923" s="26"/>
      <c r="L2923" s="25"/>
      <c r="M2923" s="24"/>
      <c r="N2923" s="26"/>
      <c r="O2923" s="26"/>
      <c r="P2923" s="26"/>
      <c r="Q2923" s="26"/>
      <c r="R2923" s="26"/>
      <c r="S2923" s="26"/>
      <c r="T2923" s="26"/>
      <c r="U2923" s="26"/>
      <c r="V2923" s="26"/>
      <c r="W2923" s="26"/>
      <c r="X2923" s="26"/>
      <c r="Y2923" s="26"/>
      <c r="Z2923" s="26"/>
      <c r="AA2923" s="26"/>
      <c r="AB2923" s="26"/>
      <c r="AC2923" s="27"/>
    </row>
    <row r="2924" spans="1:29" x14ac:dyDescent="0.25">
      <c r="A2924" s="1"/>
      <c r="B2924" s="19"/>
      <c r="C2924" s="24"/>
      <c r="D2924" s="1"/>
      <c r="E2924" s="25"/>
      <c r="F2924" s="26"/>
      <c r="G2924" s="26"/>
      <c r="L2924" s="25"/>
      <c r="M2924" s="24"/>
      <c r="N2924" s="26"/>
      <c r="O2924" s="26"/>
      <c r="P2924" s="26"/>
      <c r="Q2924" s="26"/>
      <c r="R2924" s="26"/>
      <c r="S2924" s="26"/>
      <c r="T2924" s="26"/>
      <c r="U2924" s="26"/>
      <c r="V2924" s="26"/>
      <c r="W2924" s="26"/>
      <c r="X2924" s="26"/>
      <c r="Y2924" s="26"/>
      <c r="Z2924" s="26"/>
      <c r="AA2924" s="26"/>
      <c r="AB2924" s="26"/>
      <c r="AC2924" s="27"/>
    </row>
    <row r="2925" spans="1:29" x14ac:dyDescent="0.25">
      <c r="A2925" s="1"/>
      <c r="B2925" s="19"/>
      <c r="C2925" s="24"/>
      <c r="D2925" s="1"/>
      <c r="E2925" s="25"/>
      <c r="F2925" s="26"/>
      <c r="G2925" s="26"/>
      <c r="L2925" s="25"/>
      <c r="M2925" s="24"/>
      <c r="N2925" s="26"/>
      <c r="O2925" s="26"/>
      <c r="P2925" s="26"/>
      <c r="Q2925" s="26"/>
      <c r="R2925" s="26"/>
      <c r="S2925" s="26"/>
      <c r="T2925" s="26"/>
      <c r="U2925" s="26"/>
      <c r="V2925" s="26"/>
      <c r="W2925" s="26"/>
      <c r="X2925" s="26"/>
      <c r="Y2925" s="26"/>
      <c r="Z2925" s="26"/>
      <c r="AA2925" s="26"/>
      <c r="AB2925" s="26"/>
      <c r="AC2925" s="27"/>
    </row>
    <row r="2926" spans="1:29" x14ac:dyDescent="0.25">
      <c r="A2926" s="1"/>
      <c r="B2926" s="19"/>
      <c r="C2926" s="24"/>
      <c r="D2926" s="1"/>
      <c r="E2926" s="25"/>
      <c r="F2926" s="26"/>
      <c r="G2926" s="26"/>
      <c r="L2926" s="25"/>
      <c r="M2926" s="24"/>
      <c r="N2926" s="26"/>
      <c r="O2926" s="26"/>
      <c r="P2926" s="26"/>
      <c r="Q2926" s="26"/>
      <c r="R2926" s="26"/>
      <c r="S2926" s="26"/>
      <c r="T2926" s="26"/>
      <c r="U2926" s="26"/>
      <c r="V2926" s="26"/>
      <c r="W2926" s="26"/>
      <c r="X2926" s="26"/>
      <c r="Y2926" s="26"/>
      <c r="Z2926" s="26"/>
      <c r="AA2926" s="26"/>
      <c r="AB2926" s="26"/>
      <c r="AC2926" s="27"/>
    </row>
    <row r="2927" spans="1:29" x14ac:dyDescent="0.25">
      <c r="A2927" s="1"/>
      <c r="B2927" s="19"/>
      <c r="C2927" s="24"/>
      <c r="D2927" s="1"/>
      <c r="E2927" s="25"/>
      <c r="F2927" s="26"/>
      <c r="G2927" s="26"/>
      <c r="L2927" s="25"/>
      <c r="M2927" s="24"/>
      <c r="N2927" s="26"/>
      <c r="O2927" s="26"/>
      <c r="P2927" s="26"/>
      <c r="Q2927" s="26"/>
      <c r="R2927" s="26"/>
      <c r="S2927" s="26"/>
      <c r="T2927" s="26"/>
      <c r="U2927" s="26"/>
      <c r="V2927" s="26"/>
      <c r="W2927" s="26"/>
      <c r="X2927" s="26"/>
      <c r="Y2927" s="26"/>
      <c r="Z2927" s="26"/>
      <c r="AA2927" s="26"/>
      <c r="AB2927" s="26"/>
      <c r="AC2927" s="27"/>
    </row>
    <row r="2928" spans="1:29" x14ac:dyDescent="0.25">
      <c r="A2928" s="1"/>
      <c r="B2928" s="19"/>
      <c r="C2928" s="24"/>
      <c r="D2928" s="1"/>
      <c r="E2928" s="25"/>
      <c r="F2928" s="26"/>
      <c r="G2928" s="26"/>
      <c r="L2928" s="25"/>
      <c r="M2928" s="24"/>
      <c r="N2928" s="26"/>
      <c r="O2928" s="26"/>
      <c r="P2928" s="26"/>
      <c r="Q2928" s="26"/>
      <c r="R2928" s="26"/>
      <c r="S2928" s="26"/>
      <c r="T2928" s="26"/>
      <c r="U2928" s="26"/>
      <c r="V2928" s="26"/>
      <c r="W2928" s="26"/>
      <c r="X2928" s="26"/>
      <c r="Y2928" s="26"/>
      <c r="Z2928" s="26"/>
      <c r="AA2928" s="26"/>
      <c r="AB2928" s="26"/>
      <c r="AC2928" s="27"/>
    </row>
    <row r="2929" spans="1:29" x14ac:dyDescent="0.25">
      <c r="A2929" s="1"/>
      <c r="B2929" s="19"/>
      <c r="C2929" s="24"/>
      <c r="D2929" s="1"/>
      <c r="E2929" s="25"/>
      <c r="F2929" s="26"/>
      <c r="G2929" s="26"/>
      <c r="L2929" s="25"/>
      <c r="M2929" s="24"/>
      <c r="N2929" s="26"/>
      <c r="O2929" s="26"/>
      <c r="P2929" s="26"/>
      <c r="Q2929" s="26"/>
      <c r="R2929" s="26"/>
      <c r="S2929" s="26"/>
      <c r="T2929" s="26"/>
      <c r="U2929" s="26"/>
      <c r="V2929" s="26"/>
      <c r="W2929" s="26"/>
      <c r="X2929" s="26"/>
      <c r="Y2929" s="26"/>
      <c r="Z2929" s="26"/>
      <c r="AA2929" s="26"/>
      <c r="AB2929" s="26"/>
      <c r="AC2929" s="27"/>
    </row>
    <row r="2930" spans="1:29" x14ac:dyDescent="0.25">
      <c r="A2930" s="1"/>
      <c r="B2930" s="19"/>
      <c r="C2930" s="24"/>
      <c r="D2930" s="1"/>
      <c r="E2930" s="25"/>
      <c r="F2930" s="26"/>
      <c r="G2930" s="26"/>
      <c r="L2930" s="25"/>
      <c r="M2930" s="24"/>
      <c r="N2930" s="26"/>
      <c r="O2930" s="26"/>
      <c r="P2930" s="26"/>
      <c r="Q2930" s="26"/>
      <c r="R2930" s="26"/>
      <c r="S2930" s="26"/>
      <c r="T2930" s="26"/>
      <c r="U2930" s="26"/>
      <c r="V2930" s="26"/>
      <c r="W2930" s="26"/>
      <c r="X2930" s="26"/>
      <c r="Y2930" s="26"/>
      <c r="Z2930" s="26"/>
      <c r="AA2930" s="26"/>
      <c r="AB2930" s="26"/>
      <c r="AC2930" s="27"/>
    </row>
    <row r="2931" spans="1:29" x14ac:dyDescent="0.25">
      <c r="A2931" s="1"/>
      <c r="B2931" s="19"/>
      <c r="C2931" s="24"/>
      <c r="D2931" s="1"/>
      <c r="E2931" s="25"/>
      <c r="F2931" s="26"/>
      <c r="G2931" s="26"/>
      <c r="L2931" s="25"/>
      <c r="M2931" s="24"/>
      <c r="N2931" s="26"/>
      <c r="O2931" s="26"/>
      <c r="P2931" s="26"/>
      <c r="Q2931" s="26"/>
      <c r="R2931" s="26"/>
      <c r="S2931" s="26"/>
      <c r="T2931" s="26"/>
      <c r="U2931" s="26"/>
      <c r="V2931" s="26"/>
      <c r="W2931" s="26"/>
      <c r="X2931" s="26"/>
      <c r="Y2931" s="26"/>
      <c r="Z2931" s="26"/>
      <c r="AA2931" s="26"/>
      <c r="AB2931" s="26"/>
      <c r="AC2931" s="27"/>
    </row>
    <row r="2932" spans="1:29" x14ac:dyDescent="0.25">
      <c r="A2932" s="1"/>
      <c r="B2932" s="19"/>
      <c r="C2932" s="24"/>
      <c r="D2932" s="1"/>
      <c r="E2932" s="25"/>
      <c r="F2932" s="26"/>
      <c r="G2932" s="26"/>
      <c r="L2932" s="25"/>
      <c r="M2932" s="24"/>
      <c r="N2932" s="26"/>
      <c r="O2932" s="26"/>
      <c r="P2932" s="26"/>
      <c r="Q2932" s="26"/>
      <c r="R2932" s="26"/>
      <c r="S2932" s="26"/>
      <c r="T2932" s="26"/>
      <c r="U2932" s="26"/>
      <c r="V2932" s="26"/>
      <c r="W2932" s="26"/>
      <c r="X2932" s="26"/>
      <c r="Y2932" s="26"/>
      <c r="Z2932" s="26"/>
      <c r="AA2932" s="26"/>
      <c r="AB2932" s="26"/>
      <c r="AC2932" s="27"/>
    </row>
    <row r="2933" spans="1:29" x14ac:dyDescent="0.25">
      <c r="A2933" s="1"/>
      <c r="B2933" s="19"/>
      <c r="C2933" s="24"/>
      <c r="D2933" s="1"/>
      <c r="E2933" s="25"/>
      <c r="F2933" s="26"/>
      <c r="G2933" s="26"/>
      <c r="L2933" s="25"/>
      <c r="M2933" s="24"/>
      <c r="N2933" s="26"/>
      <c r="O2933" s="26"/>
      <c r="P2933" s="26"/>
      <c r="Q2933" s="26"/>
      <c r="R2933" s="26"/>
      <c r="S2933" s="26"/>
      <c r="T2933" s="26"/>
      <c r="U2933" s="26"/>
      <c r="V2933" s="26"/>
      <c r="W2933" s="26"/>
      <c r="X2933" s="26"/>
      <c r="Y2933" s="26"/>
      <c r="Z2933" s="26"/>
      <c r="AA2933" s="26"/>
      <c r="AB2933" s="26"/>
      <c r="AC2933" s="27"/>
    </row>
    <row r="2934" spans="1:29" x14ac:dyDescent="0.25">
      <c r="A2934" s="1"/>
      <c r="B2934" s="19"/>
      <c r="C2934" s="24"/>
      <c r="D2934" s="1"/>
      <c r="E2934" s="25"/>
      <c r="F2934" s="26"/>
      <c r="G2934" s="26"/>
      <c r="L2934" s="25"/>
      <c r="M2934" s="24"/>
      <c r="N2934" s="26"/>
      <c r="O2934" s="26"/>
      <c r="P2934" s="26"/>
      <c r="Q2934" s="26"/>
      <c r="R2934" s="26"/>
      <c r="S2934" s="26"/>
      <c r="T2934" s="26"/>
      <c r="U2934" s="26"/>
      <c r="V2934" s="26"/>
      <c r="W2934" s="26"/>
      <c r="X2934" s="26"/>
      <c r="Y2934" s="26"/>
      <c r="Z2934" s="26"/>
      <c r="AA2934" s="26"/>
      <c r="AB2934" s="26"/>
      <c r="AC2934" s="27"/>
    </row>
    <row r="2935" spans="1:29" x14ac:dyDescent="0.25">
      <c r="A2935" s="1"/>
      <c r="B2935" s="19"/>
      <c r="C2935" s="24"/>
      <c r="D2935" s="1"/>
      <c r="E2935" s="25"/>
      <c r="F2935" s="26"/>
      <c r="G2935" s="26"/>
      <c r="L2935" s="25"/>
      <c r="M2935" s="24"/>
      <c r="N2935" s="26"/>
      <c r="O2935" s="26"/>
      <c r="P2935" s="26"/>
      <c r="Q2935" s="26"/>
      <c r="R2935" s="26"/>
      <c r="S2935" s="26"/>
      <c r="T2935" s="26"/>
      <c r="U2935" s="26"/>
      <c r="V2935" s="26"/>
      <c r="W2935" s="26"/>
      <c r="X2935" s="26"/>
      <c r="Y2935" s="26"/>
      <c r="Z2935" s="26"/>
      <c r="AA2935" s="26"/>
      <c r="AB2935" s="26"/>
      <c r="AC2935" s="27"/>
    </row>
    <row r="2936" spans="1:29" x14ac:dyDescent="0.25">
      <c r="A2936" s="1"/>
      <c r="B2936" s="19"/>
      <c r="C2936" s="24"/>
      <c r="D2936" s="1"/>
      <c r="E2936" s="25"/>
      <c r="F2936" s="26"/>
      <c r="G2936" s="26"/>
      <c r="L2936" s="25"/>
      <c r="M2936" s="24"/>
      <c r="N2936" s="26"/>
      <c r="O2936" s="26"/>
      <c r="P2936" s="26"/>
      <c r="Q2936" s="26"/>
      <c r="R2936" s="26"/>
      <c r="S2936" s="26"/>
      <c r="T2936" s="26"/>
      <c r="U2936" s="26"/>
      <c r="V2936" s="26"/>
      <c r="W2936" s="26"/>
      <c r="X2936" s="26"/>
      <c r="Y2936" s="26"/>
      <c r="Z2936" s="26"/>
      <c r="AA2936" s="26"/>
      <c r="AB2936" s="26"/>
      <c r="AC2936" s="27"/>
    </row>
    <row r="2937" spans="1:29" x14ac:dyDescent="0.25">
      <c r="A2937" s="1"/>
      <c r="B2937" s="19"/>
      <c r="C2937" s="24"/>
      <c r="D2937" s="1"/>
      <c r="E2937" s="25"/>
      <c r="F2937" s="26"/>
      <c r="G2937" s="26"/>
      <c r="L2937" s="25"/>
      <c r="M2937" s="24"/>
      <c r="N2937" s="26"/>
      <c r="O2937" s="26"/>
      <c r="P2937" s="26"/>
      <c r="Q2937" s="26"/>
      <c r="R2937" s="26"/>
      <c r="S2937" s="26"/>
      <c r="T2937" s="26"/>
      <c r="U2937" s="26"/>
      <c r="V2937" s="26"/>
      <c r="W2937" s="26"/>
      <c r="X2937" s="26"/>
      <c r="Y2937" s="26"/>
      <c r="Z2937" s="26"/>
      <c r="AA2937" s="26"/>
      <c r="AB2937" s="26"/>
      <c r="AC2937" s="27"/>
    </row>
    <row r="2938" spans="1:29" x14ac:dyDescent="0.25">
      <c r="A2938" s="1"/>
      <c r="B2938" s="19"/>
      <c r="C2938" s="24"/>
      <c r="D2938" s="1"/>
      <c r="E2938" s="25"/>
      <c r="F2938" s="26"/>
      <c r="G2938" s="26"/>
      <c r="L2938" s="25"/>
      <c r="M2938" s="24"/>
      <c r="N2938" s="26"/>
      <c r="O2938" s="26"/>
      <c r="P2938" s="26"/>
      <c r="Q2938" s="26"/>
      <c r="R2938" s="26"/>
      <c r="S2938" s="26"/>
      <c r="T2938" s="26"/>
      <c r="U2938" s="26"/>
      <c r="V2938" s="26"/>
      <c r="W2938" s="26"/>
      <c r="X2938" s="26"/>
      <c r="Y2938" s="26"/>
      <c r="Z2938" s="26"/>
      <c r="AA2938" s="26"/>
      <c r="AB2938" s="26"/>
      <c r="AC2938" s="27"/>
    </row>
    <row r="2939" spans="1:29" x14ac:dyDescent="0.25">
      <c r="A2939" s="1"/>
      <c r="B2939" s="19"/>
      <c r="C2939" s="24"/>
      <c r="D2939" s="1"/>
      <c r="E2939" s="25"/>
      <c r="F2939" s="26"/>
      <c r="G2939" s="26"/>
      <c r="L2939" s="25"/>
      <c r="M2939" s="24"/>
      <c r="N2939" s="26"/>
      <c r="O2939" s="26"/>
      <c r="P2939" s="26"/>
      <c r="Q2939" s="26"/>
      <c r="R2939" s="26"/>
      <c r="S2939" s="26"/>
      <c r="T2939" s="26"/>
      <c r="U2939" s="26"/>
      <c r="V2939" s="26"/>
      <c r="W2939" s="26"/>
      <c r="X2939" s="26"/>
      <c r="Y2939" s="26"/>
      <c r="Z2939" s="26"/>
      <c r="AA2939" s="26"/>
      <c r="AB2939" s="26"/>
      <c r="AC2939" s="27"/>
    </row>
    <row r="2940" spans="1:29" x14ac:dyDescent="0.25">
      <c r="A2940" s="1"/>
      <c r="B2940" s="19"/>
      <c r="C2940" s="24"/>
      <c r="D2940" s="1"/>
      <c r="E2940" s="25"/>
      <c r="F2940" s="26"/>
      <c r="G2940" s="26"/>
      <c r="L2940" s="25"/>
      <c r="M2940" s="24"/>
      <c r="N2940" s="26"/>
      <c r="O2940" s="26"/>
      <c r="P2940" s="26"/>
      <c r="Q2940" s="26"/>
      <c r="R2940" s="26"/>
      <c r="S2940" s="26"/>
      <c r="T2940" s="26"/>
      <c r="U2940" s="26"/>
      <c r="V2940" s="26"/>
      <c r="W2940" s="26"/>
      <c r="X2940" s="26"/>
      <c r="Y2940" s="26"/>
      <c r="Z2940" s="26"/>
      <c r="AA2940" s="26"/>
      <c r="AB2940" s="26"/>
      <c r="AC2940" s="27"/>
    </row>
    <row r="2941" spans="1:29" x14ac:dyDescent="0.25">
      <c r="A2941" s="1"/>
      <c r="B2941" s="19"/>
      <c r="C2941" s="24"/>
      <c r="D2941" s="1"/>
      <c r="E2941" s="25"/>
      <c r="F2941" s="26"/>
      <c r="G2941" s="26"/>
      <c r="L2941" s="25"/>
      <c r="M2941" s="24"/>
      <c r="N2941" s="26"/>
      <c r="O2941" s="26"/>
      <c r="P2941" s="26"/>
      <c r="Q2941" s="26"/>
      <c r="R2941" s="26"/>
      <c r="S2941" s="26"/>
      <c r="T2941" s="26"/>
      <c r="U2941" s="26"/>
      <c r="V2941" s="26"/>
      <c r="W2941" s="26"/>
      <c r="X2941" s="26"/>
      <c r="Y2941" s="26"/>
      <c r="Z2941" s="26"/>
      <c r="AA2941" s="26"/>
      <c r="AB2941" s="26"/>
      <c r="AC2941" s="27"/>
    </row>
    <row r="2942" spans="1:29" x14ac:dyDescent="0.25">
      <c r="A2942" s="1"/>
      <c r="B2942" s="19"/>
      <c r="C2942" s="24"/>
      <c r="D2942" s="1"/>
      <c r="E2942" s="25"/>
      <c r="F2942" s="26"/>
      <c r="G2942" s="26"/>
      <c r="L2942" s="25"/>
      <c r="M2942" s="24"/>
      <c r="N2942" s="26"/>
      <c r="O2942" s="26"/>
      <c r="P2942" s="26"/>
      <c r="Q2942" s="26"/>
      <c r="R2942" s="26"/>
      <c r="S2942" s="26"/>
      <c r="T2942" s="26"/>
      <c r="U2942" s="26"/>
      <c r="V2942" s="26"/>
      <c r="W2942" s="26"/>
      <c r="X2942" s="26"/>
      <c r="Y2942" s="26"/>
      <c r="Z2942" s="26"/>
      <c r="AA2942" s="26"/>
      <c r="AB2942" s="26"/>
      <c r="AC2942" s="27"/>
    </row>
    <row r="2943" spans="1:29" x14ac:dyDescent="0.25">
      <c r="A2943" s="1"/>
      <c r="B2943" s="19"/>
      <c r="C2943" s="24"/>
      <c r="D2943" s="1"/>
      <c r="E2943" s="25"/>
      <c r="F2943" s="26"/>
      <c r="G2943" s="26"/>
      <c r="L2943" s="25"/>
      <c r="M2943" s="24"/>
      <c r="N2943" s="26"/>
      <c r="O2943" s="26"/>
      <c r="P2943" s="26"/>
      <c r="Q2943" s="26"/>
      <c r="R2943" s="26"/>
      <c r="S2943" s="26"/>
      <c r="T2943" s="26"/>
      <c r="U2943" s="26"/>
      <c r="V2943" s="26"/>
      <c r="W2943" s="26"/>
      <c r="X2943" s="26"/>
      <c r="Y2943" s="26"/>
      <c r="Z2943" s="26"/>
      <c r="AA2943" s="26"/>
      <c r="AB2943" s="26"/>
      <c r="AC2943" s="27"/>
    </row>
    <row r="2944" spans="1:29" x14ac:dyDescent="0.25">
      <c r="A2944" s="1"/>
      <c r="B2944" s="19"/>
      <c r="C2944" s="24"/>
      <c r="D2944" s="1"/>
      <c r="E2944" s="25"/>
      <c r="F2944" s="26"/>
      <c r="G2944" s="26"/>
      <c r="L2944" s="25"/>
      <c r="M2944" s="24"/>
      <c r="N2944" s="26"/>
      <c r="O2944" s="26"/>
      <c r="P2944" s="26"/>
      <c r="Q2944" s="26"/>
      <c r="R2944" s="26"/>
      <c r="S2944" s="26"/>
      <c r="T2944" s="26"/>
      <c r="U2944" s="26"/>
      <c r="V2944" s="26"/>
      <c r="W2944" s="26"/>
      <c r="X2944" s="26"/>
      <c r="Y2944" s="26"/>
      <c r="Z2944" s="26"/>
      <c r="AA2944" s="26"/>
      <c r="AB2944" s="26"/>
      <c r="AC2944" s="27"/>
    </row>
    <row r="2945" spans="1:29" x14ac:dyDescent="0.25">
      <c r="A2945" s="1"/>
      <c r="B2945" s="19"/>
      <c r="C2945" s="24"/>
      <c r="D2945" s="1"/>
      <c r="E2945" s="25"/>
      <c r="F2945" s="26"/>
      <c r="G2945" s="26"/>
      <c r="L2945" s="25"/>
      <c r="M2945" s="24"/>
      <c r="N2945" s="26"/>
      <c r="O2945" s="26"/>
      <c r="P2945" s="26"/>
      <c r="Q2945" s="26"/>
      <c r="R2945" s="26"/>
      <c r="S2945" s="26"/>
      <c r="T2945" s="26"/>
      <c r="U2945" s="26"/>
      <c r="V2945" s="26"/>
      <c r="W2945" s="26"/>
      <c r="X2945" s="26"/>
      <c r="Y2945" s="26"/>
      <c r="Z2945" s="26"/>
      <c r="AA2945" s="26"/>
      <c r="AB2945" s="26"/>
      <c r="AC2945" s="27"/>
    </row>
    <row r="2946" spans="1:29" x14ac:dyDescent="0.25">
      <c r="A2946" s="1"/>
      <c r="B2946" s="19"/>
      <c r="C2946" s="24"/>
      <c r="D2946" s="1"/>
      <c r="E2946" s="25"/>
      <c r="F2946" s="26"/>
      <c r="G2946" s="26"/>
      <c r="L2946" s="25"/>
      <c r="M2946" s="24"/>
      <c r="N2946" s="26"/>
      <c r="O2946" s="26"/>
      <c r="P2946" s="26"/>
      <c r="Q2946" s="26"/>
      <c r="R2946" s="26"/>
      <c r="S2946" s="26"/>
      <c r="T2946" s="26"/>
      <c r="U2946" s="26"/>
      <c r="V2946" s="26"/>
      <c r="W2946" s="26"/>
      <c r="X2946" s="26"/>
      <c r="Y2946" s="26"/>
      <c r="Z2946" s="26"/>
      <c r="AA2946" s="26"/>
      <c r="AB2946" s="26"/>
      <c r="AC2946" s="27"/>
    </row>
    <row r="2947" spans="1:29" x14ac:dyDescent="0.25">
      <c r="A2947" s="1"/>
      <c r="B2947" s="19"/>
      <c r="C2947" s="24"/>
      <c r="D2947" s="1"/>
      <c r="E2947" s="25"/>
      <c r="F2947" s="26"/>
      <c r="G2947" s="26"/>
      <c r="L2947" s="25"/>
      <c r="M2947" s="24"/>
      <c r="N2947" s="26"/>
      <c r="O2947" s="26"/>
      <c r="P2947" s="26"/>
      <c r="Q2947" s="26"/>
      <c r="R2947" s="26"/>
      <c r="S2947" s="26"/>
      <c r="T2947" s="26"/>
      <c r="U2947" s="26"/>
      <c r="V2947" s="26"/>
      <c r="W2947" s="26"/>
      <c r="X2947" s="26"/>
      <c r="Y2947" s="26"/>
      <c r="Z2947" s="26"/>
      <c r="AA2947" s="26"/>
      <c r="AB2947" s="26"/>
      <c r="AC2947" s="27"/>
    </row>
    <row r="2948" spans="1:29" x14ac:dyDescent="0.25">
      <c r="A2948" s="1"/>
      <c r="B2948" s="19"/>
      <c r="C2948" s="24"/>
      <c r="D2948" s="1"/>
      <c r="E2948" s="25"/>
      <c r="F2948" s="26"/>
      <c r="G2948" s="26"/>
      <c r="L2948" s="25"/>
      <c r="M2948" s="24"/>
      <c r="N2948" s="26"/>
      <c r="O2948" s="26"/>
      <c r="P2948" s="26"/>
      <c r="Q2948" s="26"/>
      <c r="R2948" s="26"/>
      <c r="S2948" s="26"/>
      <c r="T2948" s="26"/>
      <c r="U2948" s="26"/>
      <c r="V2948" s="26"/>
      <c r="W2948" s="26"/>
      <c r="X2948" s="26"/>
      <c r="Y2948" s="26"/>
      <c r="Z2948" s="26"/>
      <c r="AA2948" s="26"/>
      <c r="AB2948" s="26"/>
      <c r="AC2948" s="27"/>
    </row>
    <row r="2949" spans="1:29" x14ac:dyDescent="0.25">
      <c r="A2949" s="1"/>
      <c r="B2949" s="19"/>
      <c r="C2949" s="24"/>
      <c r="D2949" s="1"/>
      <c r="E2949" s="25"/>
      <c r="F2949" s="26"/>
      <c r="G2949" s="26"/>
      <c r="L2949" s="25"/>
      <c r="M2949" s="24"/>
      <c r="N2949" s="26"/>
      <c r="O2949" s="26"/>
      <c r="P2949" s="26"/>
      <c r="Q2949" s="26"/>
      <c r="R2949" s="26"/>
      <c r="S2949" s="26"/>
      <c r="T2949" s="26"/>
      <c r="U2949" s="26"/>
      <c r="V2949" s="26"/>
      <c r="W2949" s="26"/>
      <c r="X2949" s="26"/>
      <c r="Y2949" s="26"/>
      <c r="Z2949" s="26"/>
      <c r="AA2949" s="26"/>
      <c r="AB2949" s="26"/>
      <c r="AC2949" s="27"/>
    </row>
    <row r="2950" spans="1:29" x14ac:dyDescent="0.25">
      <c r="A2950" s="1"/>
      <c r="B2950" s="19"/>
      <c r="C2950" s="24"/>
      <c r="D2950" s="1"/>
      <c r="E2950" s="25"/>
      <c r="F2950" s="26"/>
      <c r="G2950" s="26"/>
      <c r="L2950" s="25"/>
      <c r="M2950" s="24"/>
      <c r="N2950" s="26"/>
      <c r="O2950" s="26"/>
      <c r="P2950" s="26"/>
      <c r="Q2950" s="26"/>
      <c r="R2950" s="26"/>
      <c r="S2950" s="26"/>
      <c r="T2950" s="26"/>
      <c r="U2950" s="26"/>
      <c r="V2950" s="26"/>
      <c r="W2950" s="26"/>
      <c r="X2950" s="26"/>
      <c r="Y2950" s="26"/>
      <c r="Z2950" s="26"/>
      <c r="AA2950" s="26"/>
      <c r="AB2950" s="26"/>
      <c r="AC2950" s="27"/>
    </row>
    <row r="2951" spans="1:29" x14ac:dyDescent="0.25">
      <c r="A2951" s="1"/>
      <c r="B2951" s="19"/>
      <c r="C2951" s="24"/>
      <c r="D2951" s="1"/>
      <c r="E2951" s="25"/>
      <c r="F2951" s="26"/>
      <c r="G2951" s="26"/>
      <c r="L2951" s="25"/>
      <c r="M2951" s="24"/>
      <c r="N2951" s="26"/>
      <c r="O2951" s="26"/>
      <c r="P2951" s="26"/>
      <c r="Q2951" s="26"/>
      <c r="R2951" s="26"/>
      <c r="S2951" s="26"/>
      <c r="T2951" s="26"/>
      <c r="U2951" s="26"/>
      <c r="V2951" s="26"/>
      <c r="W2951" s="26"/>
      <c r="X2951" s="26"/>
      <c r="Y2951" s="26"/>
      <c r="Z2951" s="26"/>
      <c r="AA2951" s="26"/>
      <c r="AB2951" s="26"/>
      <c r="AC2951" s="27"/>
    </row>
    <row r="2952" spans="1:29" x14ac:dyDescent="0.25">
      <c r="A2952" s="1"/>
      <c r="B2952" s="19"/>
      <c r="C2952" s="24"/>
      <c r="D2952" s="1"/>
      <c r="E2952" s="25"/>
      <c r="F2952" s="26"/>
      <c r="G2952" s="26"/>
      <c r="L2952" s="25"/>
      <c r="M2952" s="24"/>
      <c r="N2952" s="26"/>
      <c r="O2952" s="26"/>
      <c r="P2952" s="26"/>
      <c r="Q2952" s="26"/>
      <c r="R2952" s="26"/>
      <c r="S2952" s="26"/>
      <c r="T2952" s="26"/>
      <c r="U2952" s="26"/>
      <c r="V2952" s="26"/>
      <c r="W2952" s="26"/>
      <c r="X2952" s="26"/>
      <c r="Y2952" s="26"/>
      <c r="Z2952" s="26"/>
      <c r="AA2952" s="26"/>
      <c r="AB2952" s="26"/>
      <c r="AC2952" s="27"/>
    </row>
    <row r="2953" spans="1:29" x14ac:dyDescent="0.25">
      <c r="A2953" s="1"/>
      <c r="B2953" s="19"/>
      <c r="C2953" s="24"/>
      <c r="D2953" s="1"/>
      <c r="E2953" s="25"/>
      <c r="F2953" s="26"/>
      <c r="G2953" s="26"/>
      <c r="L2953" s="25"/>
      <c r="M2953" s="24"/>
      <c r="N2953" s="26"/>
      <c r="O2953" s="26"/>
      <c r="P2953" s="26"/>
      <c r="Q2953" s="26"/>
      <c r="R2953" s="26"/>
      <c r="S2953" s="26"/>
      <c r="T2953" s="26"/>
      <c r="U2953" s="26"/>
      <c r="V2953" s="26"/>
      <c r="W2953" s="26"/>
      <c r="X2953" s="26"/>
      <c r="Y2953" s="26"/>
      <c r="Z2953" s="26"/>
      <c r="AA2953" s="26"/>
      <c r="AB2953" s="26"/>
      <c r="AC2953" s="27"/>
    </row>
    <row r="2954" spans="1:29" x14ac:dyDescent="0.25">
      <c r="A2954" s="1"/>
      <c r="B2954" s="19"/>
      <c r="C2954" s="24"/>
      <c r="D2954" s="1"/>
      <c r="E2954" s="25"/>
      <c r="F2954" s="26"/>
      <c r="G2954" s="26"/>
      <c r="L2954" s="25"/>
      <c r="M2954" s="24"/>
      <c r="N2954" s="26"/>
      <c r="O2954" s="26"/>
      <c r="P2954" s="26"/>
      <c r="Q2954" s="26"/>
      <c r="R2954" s="26"/>
      <c r="S2954" s="26"/>
      <c r="T2954" s="26"/>
      <c r="U2954" s="26"/>
      <c r="V2954" s="26"/>
      <c r="W2954" s="26"/>
      <c r="X2954" s="26"/>
      <c r="Y2954" s="26"/>
      <c r="Z2954" s="26"/>
      <c r="AA2954" s="26"/>
      <c r="AB2954" s="26"/>
      <c r="AC2954" s="27"/>
    </row>
    <row r="2955" spans="1:29" x14ac:dyDescent="0.25">
      <c r="A2955" s="1"/>
      <c r="B2955" s="19"/>
      <c r="C2955" s="24"/>
      <c r="D2955" s="1"/>
      <c r="E2955" s="25"/>
      <c r="F2955" s="26"/>
      <c r="G2955" s="26"/>
      <c r="L2955" s="25"/>
      <c r="M2955" s="24"/>
      <c r="N2955" s="26"/>
      <c r="O2955" s="26"/>
      <c r="P2955" s="26"/>
      <c r="Q2955" s="26"/>
      <c r="R2955" s="26"/>
      <c r="S2955" s="26"/>
      <c r="T2955" s="26"/>
      <c r="U2955" s="26"/>
      <c r="V2955" s="26"/>
      <c r="W2955" s="26"/>
      <c r="X2955" s="26"/>
      <c r="Y2955" s="26"/>
      <c r="Z2955" s="26"/>
      <c r="AA2955" s="26"/>
      <c r="AB2955" s="26"/>
      <c r="AC2955" s="27"/>
    </row>
    <row r="2956" spans="1:29" x14ac:dyDescent="0.25">
      <c r="A2956" s="1"/>
      <c r="B2956" s="19"/>
      <c r="C2956" s="24"/>
      <c r="D2956" s="1"/>
      <c r="E2956" s="25"/>
      <c r="F2956" s="26"/>
      <c r="G2956" s="26"/>
      <c r="L2956" s="25"/>
      <c r="M2956" s="24"/>
      <c r="N2956" s="26"/>
      <c r="O2956" s="26"/>
      <c r="P2956" s="26"/>
      <c r="Q2956" s="26"/>
      <c r="R2956" s="26"/>
      <c r="S2956" s="26"/>
      <c r="T2956" s="26"/>
      <c r="U2956" s="26"/>
      <c r="V2956" s="26"/>
      <c r="W2956" s="26"/>
      <c r="X2956" s="26"/>
      <c r="Y2956" s="26"/>
      <c r="Z2956" s="26"/>
      <c r="AA2956" s="26"/>
      <c r="AB2956" s="26"/>
      <c r="AC2956" s="27"/>
    </row>
    <row r="2957" spans="1:29" x14ac:dyDescent="0.25">
      <c r="A2957" s="1"/>
      <c r="B2957" s="19"/>
      <c r="C2957" s="24"/>
      <c r="D2957" s="1"/>
      <c r="E2957" s="25"/>
      <c r="F2957" s="26"/>
      <c r="G2957" s="26"/>
      <c r="L2957" s="25"/>
      <c r="M2957" s="24"/>
      <c r="N2957" s="26"/>
      <c r="O2957" s="26"/>
      <c r="P2957" s="26"/>
      <c r="Q2957" s="26"/>
      <c r="R2957" s="26"/>
      <c r="S2957" s="26"/>
      <c r="T2957" s="26"/>
      <c r="U2957" s="26"/>
      <c r="V2957" s="26"/>
      <c r="W2957" s="26"/>
      <c r="X2957" s="26"/>
      <c r="Y2957" s="26"/>
      <c r="Z2957" s="26"/>
      <c r="AA2957" s="26"/>
      <c r="AB2957" s="26"/>
      <c r="AC2957" s="27"/>
    </row>
    <row r="2958" spans="1:29" x14ac:dyDescent="0.25">
      <c r="A2958" s="1"/>
      <c r="B2958" s="19"/>
      <c r="C2958" s="24"/>
      <c r="D2958" s="1"/>
      <c r="E2958" s="25"/>
      <c r="F2958" s="26"/>
      <c r="G2958" s="26"/>
      <c r="L2958" s="25"/>
      <c r="M2958" s="24"/>
      <c r="N2958" s="26"/>
      <c r="O2958" s="26"/>
      <c r="P2958" s="26"/>
      <c r="Q2958" s="26"/>
      <c r="R2958" s="26"/>
      <c r="S2958" s="26"/>
      <c r="T2958" s="26"/>
      <c r="U2958" s="26"/>
      <c r="V2958" s="26"/>
      <c r="W2958" s="26"/>
      <c r="X2958" s="26"/>
      <c r="Y2958" s="26"/>
      <c r="Z2958" s="26"/>
      <c r="AA2958" s="26"/>
      <c r="AB2958" s="26"/>
      <c r="AC2958" s="27"/>
    </row>
    <row r="2959" spans="1:29" x14ac:dyDescent="0.25">
      <c r="A2959" s="1"/>
      <c r="B2959" s="19"/>
      <c r="C2959" s="24"/>
      <c r="D2959" s="1"/>
      <c r="E2959" s="25"/>
      <c r="F2959" s="26"/>
      <c r="G2959" s="26"/>
      <c r="L2959" s="25"/>
      <c r="M2959" s="24"/>
      <c r="N2959" s="26"/>
      <c r="O2959" s="26"/>
      <c r="P2959" s="26"/>
      <c r="Q2959" s="26"/>
      <c r="R2959" s="26"/>
      <c r="S2959" s="26"/>
      <c r="T2959" s="26"/>
      <c r="U2959" s="26"/>
      <c r="V2959" s="26"/>
      <c r="W2959" s="26"/>
      <c r="X2959" s="26"/>
      <c r="Y2959" s="26"/>
      <c r="Z2959" s="26"/>
      <c r="AA2959" s="26"/>
      <c r="AB2959" s="26"/>
      <c r="AC2959" s="27"/>
    </row>
    <row r="2960" spans="1:29" x14ac:dyDescent="0.25">
      <c r="A2960" s="1"/>
      <c r="B2960" s="19"/>
      <c r="C2960" s="24"/>
      <c r="D2960" s="1"/>
      <c r="E2960" s="25"/>
      <c r="F2960" s="26"/>
      <c r="G2960" s="26"/>
      <c r="L2960" s="25"/>
      <c r="M2960" s="24"/>
      <c r="N2960" s="26"/>
      <c r="O2960" s="26"/>
      <c r="P2960" s="26"/>
      <c r="Q2960" s="26"/>
      <c r="R2960" s="26"/>
      <c r="S2960" s="26"/>
      <c r="T2960" s="26"/>
      <c r="U2960" s="26"/>
      <c r="V2960" s="26"/>
      <c r="W2960" s="26"/>
      <c r="X2960" s="26"/>
      <c r="Y2960" s="26"/>
      <c r="Z2960" s="26"/>
      <c r="AA2960" s="26"/>
      <c r="AB2960" s="26"/>
      <c r="AC2960" s="27"/>
    </row>
    <row r="2961" spans="1:29" x14ac:dyDescent="0.25">
      <c r="A2961" s="1"/>
      <c r="B2961" s="19"/>
      <c r="C2961" s="24"/>
      <c r="D2961" s="1"/>
      <c r="E2961" s="25"/>
      <c r="F2961" s="26"/>
      <c r="G2961" s="26"/>
      <c r="L2961" s="25"/>
      <c r="M2961" s="24"/>
      <c r="N2961" s="26"/>
      <c r="O2961" s="26"/>
      <c r="P2961" s="26"/>
      <c r="Q2961" s="26"/>
      <c r="R2961" s="26"/>
      <c r="S2961" s="26"/>
      <c r="T2961" s="26"/>
      <c r="U2961" s="26"/>
      <c r="V2961" s="26"/>
      <c r="W2961" s="26"/>
      <c r="X2961" s="26"/>
      <c r="Y2961" s="26"/>
      <c r="Z2961" s="26"/>
      <c r="AA2961" s="26"/>
      <c r="AB2961" s="26"/>
      <c r="AC2961" s="27"/>
    </row>
    <row r="2962" spans="1:29" x14ac:dyDescent="0.25">
      <c r="A2962" s="1"/>
      <c r="B2962" s="19"/>
      <c r="C2962" s="24"/>
      <c r="D2962" s="1"/>
      <c r="E2962" s="25"/>
      <c r="F2962" s="26"/>
      <c r="G2962" s="26"/>
      <c r="L2962" s="25"/>
      <c r="M2962" s="24"/>
      <c r="N2962" s="26"/>
      <c r="O2962" s="26"/>
      <c r="P2962" s="26"/>
      <c r="Q2962" s="26"/>
      <c r="R2962" s="26"/>
      <c r="S2962" s="26"/>
      <c r="T2962" s="26"/>
      <c r="U2962" s="26"/>
      <c r="V2962" s="26"/>
      <c r="W2962" s="26"/>
      <c r="X2962" s="26"/>
      <c r="Y2962" s="26"/>
      <c r="Z2962" s="26"/>
      <c r="AA2962" s="26"/>
      <c r="AB2962" s="26"/>
      <c r="AC2962" s="27"/>
    </row>
    <row r="2963" spans="1:29" x14ac:dyDescent="0.25">
      <c r="A2963" s="1"/>
      <c r="B2963" s="19"/>
      <c r="C2963" s="24"/>
      <c r="D2963" s="1"/>
      <c r="E2963" s="25"/>
      <c r="F2963" s="26"/>
      <c r="G2963" s="26"/>
      <c r="L2963" s="25"/>
      <c r="M2963" s="24"/>
      <c r="N2963" s="26"/>
      <c r="O2963" s="26"/>
      <c r="P2963" s="26"/>
      <c r="Q2963" s="26"/>
      <c r="R2963" s="26"/>
      <c r="S2963" s="26"/>
      <c r="T2963" s="26"/>
      <c r="U2963" s="26"/>
      <c r="V2963" s="26"/>
      <c r="W2963" s="26"/>
      <c r="X2963" s="26"/>
      <c r="Y2963" s="26"/>
      <c r="Z2963" s="26"/>
      <c r="AA2963" s="26"/>
      <c r="AB2963" s="26"/>
      <c r="AC2963" s="27"/>
    </row>
    <row r="2964" spans="1:29" x14ac:dyDescent="0.25">
      <c r="A2964" s="1"/>
      <c r="B2964" s="19"/>
      <c r="C2964" s="24"/>
      <c r="D2964" s="1"/>
      <c r="E2964" s="25"/>
      <c r="F2964" s="26"/>
      <c r="G2964" s="26"/>
      <c r="L2964" s="25"/>
      <c r="M2964" s="24"/>
      <c r="N2964" s="26"/>
      <c r="O2964" s="26"/>
      <c r="P2964" s="26"/>
      <c r="Q2964" s="26"/>
      <c r="R2964" s="26"/>
      <c r="S2964" s="26"/>
      <c r="T2964" s="26"/>
      <c r="U2964" s="26"/>
      <c r="V2964" s="26"/>
      <c r="W2964" s="26"/>
      <c r="X2964" s="26"/>
      <c r="Y2964" s="26"/>
      <c r="Z2964" s="26"/>
      <c r="AA2964" s="26"/>
      <c r="AB2964" s="26"/>
      <c r="AC2964" s="27"/>
    </row>
    <row r="2965" spans="1:29" x14ac:dyDescent="0.25">
      <c r="A2965" s="1"/>
      <c r="B2965" s="19"/>
      <c r="C2965" s="24"/>
      <c r="D2965" s="1"/>
      <c r="E2965" s="25"/>
      <c r="F2965" s="26"/>
      <c r="G2965" s="26"/>
      <c r="L2965" s="25"/>
      <c r="M2965" s="24"/>
      <c r="N2965" s="26"/>
      <c r="O2965" s="26"/>
      <c r="P2965" s="26"/>
      <c r="Q2965" s="26"/>
      <c r="R2965" s="26"/>
      <c r="S2965" s="26"/>
      <c r="T2965" s="26"/>
      <c r="U2965" s="26"/>
      <c r="V2965" s="26"/>
      <c r="W2965" s="26"/>
      <c r="X2965" s="26"/>
      <c r="Y2965" s="26"/>
      <c r="Z2965" s="26"/>
      <c r="AA2965" s="26"/>
      <c r="AB2965" s="26"/>
      <c r="AC2965" s="27"/>
    </row>
    <row r="2966" spans="1:29" x14ac:dyDescent="0.25">
      <c r="A2966" s="1"/>
      <c r="B2966" s="19"/>
      <c r="C2966" s="24"/>
      <c r="D2966" s="1"/>
      <c r="E2966" s="25"/>
      <c r="F2966" s="26"/>
      <c r="G2966" s="26"/>
      <c r="L2966" s="25"/>
      <c r="M2966" s="24"/>
      <c r="N2966" s="26"/>
      <c r="O2966" s="26"/>
      <c r="P2966" s="26"/>
      <c r="Q2966" s="26"/>
      <c r="R2966" s="26"/>
      <c r="S2966" s="26"/>
      <c r="T2966" s="26"/>
      <c r="U2966" s="26"/>
      <c r="V2966" s="26"/>
      <c r="W2966" s="26"/>
      <c r="X2966" s="26"/>
      <c r="Y2966" s="26"/>
      <c r="Z2966" s="26"/>
      <c r="AA2966" s="26"/>
      <c r="AB2966" s="26"/>
      <c r="AC2966" s="27"/>
    </row>
    <row r="2967" spans="1:29" x14ac:dyDescent="0.25">
      <c r="A2967" s="1"/>
      <c r="B2967" s="19"/>
      <c r="C2967" s="24"/>
      <c r="D2967" s="1"/>
      <c r="E2967" s="25"/>
      <c r="F2967" s="26"/>
      <c r="G2967" s="26"/>
      <c r="L2967" s="25"/>
      <c r="M2967" s="24"/>
      <c r="N2967" s="26"/>
      <c r="O2967" s="26"/>
      <c r="P2967" s="26"/>
      <c r="Q2967" s="26"/>
      <c r="R2967" s="26"/>
      <c r="S2967" s="26"/>
      <c r="T2967" s="26"/>
      <c r="U2967" s="26"/>
      <c r="V2967" s="26"/>
      <c r="W2967" s="26"/>
      <c r="X2967" s="26"/>
      <c r="Y2967" s="26"/>
      <c r="Z2967" s="26"/>
      <c r="AA2967" s="26"/>
      <c r="AB2967" s="26"/>
      <c r="AC2967" s="27"/>
    </row>
    <row r="2968" spans="1:29" x14ac:dyDescent="0.25">
      <c r="A2968" s="1"/>
      <c r="B2968" s="19"/>
      <c r="C2968" s="24"/>
      <c r="D2968" s="1"/>
      <c r="E2968" s="25"/>
      <c r="F2968" s="26"/>
      <c r="G2968" s="26"/>
      <c r="L2968" s="25"/>
      <c r="M2968" s="24"/>
      <c r="N2968" s="26"/>
      <c r="O2968" s="26"/>
      <c r="P2968" s="26"/>
      <c r="Q2968" s="26"/>
      <c r="R2968" s="26"/>
      <c r="S2968" s="26"/>
      <c r="T2968" s="26"/>
      <c r="U2968" s="26"/>
      <c r="V2968" s="26"/>
      <c r="W2968" s="26"/>
      <c r="X2968" s="26"/>
      <c r="Y2968" s="26"/>
      <c r="Z2968" s="26"/>
      <c r="AA2968" s="26"/>
      <c r="AB2968" s="26"/>
      <c r="AC2968" s="27"/>
    </row>
    <row r="2969" spans="1:29" x14ac:dyDescent="0.25">
      <c r="A2969" s="1"/>
      <c r="B2969" s="19"/>
      <c r="C2969" s="24"/>
      <c r="D2969" s="1"/>
      <c r="E2969" s="25"/>
      <c r="F2969" s="26"/>
      <c r="G2969" s="26"/>
      <c r="L2969" s="25"/>
      <c r="M2969" s="24"/>
      <c r="N2969" s="26"/>
      <c r="O2969" s="26"/>
      <c r="P2969" s="26"/>
      <c r="Q2969" s="26"/>
      <c r="R2969" s="26"/>
      <c r="S2969" s="26"/>
      <c r="T2969" s="26"/>
      <c r="U2969" s="26"/>
      <c r="V2969" s="26"/>
      <c r="W2969" s="26"/>
      <c r="X2969" s="26"/>
      <c r="Y2969" s="26"/>
      <c r="Z2969" s="26"/>
      <c r="AA2969" s="26"/>
      <c r="AB2969" s="26"/>
      <c r="AC2969" s="27"/>
    </row>
    <row r="2970" spans="1:29" x14ac:dyDescent="0.25">
      <c r="A2970" s="1"/>
      <c r="B2970" s="19"/>
      <c r="C2970" s="24"/>
      <c r="D2970" s="1"/>
      <c r="E2970" s="25"/>
      <c r="F2970" s="26"/>
      <c r="G2970" s="26"/>
      <c r="L2970" s="25"/>
      <c r="M2970" s="24"/>
      <c r="N2970" s="26"/>
      <c r="O2970" s="26"/>
      <c r="P2970" s="26"/>
      <c r="Q2970" s="26"/>
      <c r="R2970" s="26"/>
      <c r="S2970" s="26"/>
      <c r="T2970" s="26"/>
      <c r="U2970" s="26"/>
      <c r="V2970" s="26"/>
      <c r="W2970" s="26"/>
      <c r="X2970" s="26"/>
      <c r="Y2970" s="26"/>
      <c r="Z2970" s="26"/>
      <c r="AA2970" s="26"/>
      <c r="AB2970" s="26"/>
      <c r="AC2970" s="27"/>
    </row>
    <row r="2971" spans="1:29" x14ac:dyDescent="0.25">
      <c r="A2971" s="1"/>
      <c r="B2971" s="19"/>
      <c r="C2971" s="24"/>
      <c r="D2971" s="1"/>
      <c r="E2971" s="25"/>
      <c r="F2971" s="26"/>
      <c r="G2971" s="26"/>
      <c r="L2971" s="25"/>
      <c r="M2971" s="24"/>
      <c r="N2971" s="26"/>
      <c r="O2971" s="26"/>
      <c r="P2971" s="26"/>
      <c r="Q2971" s="26"/>
      <c r="R2971" s="26"/>
      <c r="S2971" s="26"/>
      <c r="T2971" s="26"/>
      <c r="U2971" s="26"/>
      <c r="V2971" s="26"/>
      <c r="W2971" s="26"/>
      <c r="X2971" s="26"/>
      <c r="Y2971" s="26"/>
      <c r="Z2971" s="26"/>
      <c r="AA2971" s="26"/>
      <c r="AB2971" s="26"/>
      <c r="AC2971" s="27"/>
    </row>
    <row r="2972" spans="1:29" x14ac:dyDescent="0.25">
      <c r="A2972" s="1"/>
      <c r="B2972" s="19"/>
      <c r="C2972" s="24"/>
      <c r="D2972" s="1"/>
      <c r="E2972" s="25"/>
      <c r="F2972" s="26"/>
      <c r="G2972" s="26"/>
      <c r="L2972" s="25"/>
      <c r="M2972" s="24"/>
      <c r="N2972" s="26"/>
      <c r="O2972" s="26"/>
      <c r="P2972" s="26"/>
      <c r="Q2972" s="26"/>
      <c r="R2972" s="26"/>
      <c r="S2972" s="26"/>
      <c r="T2972" s="26"/>
      <c r="U2972" s="26"/>
      <c r="V2972" s="26"/>
      <c r="W2972" s="26"/>
      <c r="X2972" s="26"/>
      <c r="Y2972" s="26"/>
      <c r="Z2972" s="26"/>
      <c r="AA2972" s="26"/>
      <c r="AB2972" s="26"/>
      <c r="AC2972" s="27"/>
    </row>
    <row r="2973" spans="1:29" x14ac:dyDescent="0.25">
      <c r="A2973" s="1"/>
      <c r="B2973" s="19"/>
      <c r="C2973" s="24"/>
      <c r="D2973" s="1"/>
      <c r="E2973" s="25"/>
      <c r="F2973" s="26"/>
      <c r="G2973" s="26"/>
      <c r="L2973" s="25"/>
      <c r="M2973" s="24"/>
      <c r="N2973" s="26"/>
      <c r="O2973" s="26"/>
      <c r="P2973" s="26"/>
      <c r="Q2973" s="26"/>
      <c r="R2973" s="26"/>
      <c r="S2973" s="26"/>
      <c r="T2973" s="26"/>
      <c r="U2973" s="26"/>
      <c r="V2973" s="26"/>
      <c r="W2973" s="26"/>
      <c r="X2973" s="26"/>
      <c r="Y2973" s="26"/>
      <c r="Z2973" s="26"/>
      <c r="AA2973" s="26"/>
      <c r="AB2973" s="26"/>
      <c r="AC2973" s="27"/>
    </row>
    <row r="2974" spans="1:29" x14ac:dyDescent="0.25">
      <c r="A2974" s="1"/>
      <c r="B2974" s="19"/>
      <c r="C2974" s="24"/>
      <c r="D2974" s="1"/>
      <c r="E2974" s="25"/>
      <c r="F2974" s="26"/>
      <c r="G2974" s="26"/>
      <c r="L2974" s="25"/>
      <c r="M2974" s="24"/>
      <c r="N2974" s="26"/>
      <c r="O2974" s="26"/>
      <c r="P2974" s="26"/>
      <c r="Q2974" s="26"/>
      <c r="R2974" s="26"/>
      <c r="S2974" s="26"/>
      <c r="T2974" s="26"/>
      <c r="U2974" s="26"/>
      <c r="V2974" s="26"/>
      <c r="W2974" s="26"/>
      <c r="X2974" s="26"/>
      <c r="Y2974" s="26"/>
      <c r="Z2974" s="26"/>
      <c r="AA2974" s="26"/>
      <c r="AB2974" s="26"/>
      <c r="AC2974" s="27"/>
    </row>
    <row r="2975" spans="1:29" x14ac:dyDescent="0.25">
      <c r="A2975" s="1"/>
      <c r="B2975" s="19"/>
      <c r="C2975" s="24"/>
      <c r="D2975" s="1"/>
      <c r="E2975" s="25"/>
      <c r="F2975" s="26"/>
      <c r="G2975" s="26"/>
      <c r="L2975" s="25"/>
      <c r="M2975" s="24"/>
      <c r="N2975" s="26"/>
      <c r="O2975" s="26"/>
      <c r="P2975" s="26"/>
      <c r="Q2975" s="26"/>
      <c r="R2975" s="26"/>
      <c r="S2975" s="26"/>
      <c r="T2975" s="26"/>
      <c r="U2975" s="26"/>
      <c r="V2975" s="26"/>
      <c r="W2975" s="26"/>
      <c r="X2975" s="26"/>
      <c r="Y2975" s="26"/>
      <c r="Z2975" s="26"/>
      <c r="AA2975" s="26"/>
      <c r="AB2975" s="26"/>
      <c r="AC2975" s="27"/>
    </row>
    <row r="2976" spans="1:29" x14ac:dyDescent="0.25">
      <c r="A2976" s="1"/>
      <c r="B2976" s="19"/>
      <c r="C2976" s="24"/>
      <c r="D2976" s="1"/>
      <c r="E2976" s="25"/>
      <c r="F2976" s="26"/>
      <c r="G2976" s="26"/>
      <c r="L2976" s="25"/>
      <c r="M2976" s="24"/>
      <c r="N2976" s="26"/>
      <c r="O2976" s="26"/>
      <c r="P2976" s="26"/>
      <c r="Q2976" s="26"/>
      <c r="R2976" s="26"/>
      <c r="S2976" s="26"/>
      <c r="T2976" s="26"/>
      <c r="U2976" s="26"/>
      <c r="V2976" s="26"/>
      <c r="W2976" s="26"/>
      <c r="X2976" s="26"/>
      <c r="Y2976" s="26"/>
      <c r="Z2976" s="26"/>
      <c r="AA2976" s="26"/>
      <c r="AB2976" s="26"/>
      <c r="AC2976" s="27"/>
    </row>
    <row r="2977" spans="1:29" x14ac:dyDescent="0.25">
      <c r="A2977" s="1"/>
      <c r="B2977" s="19"/>
      <c r="C2977" s="24"/>
      <c r="D2977" s="1"/>
      <c r="E2977" s="25"/>
      <c r="F2977" s="26"/>
      <c r="G2977" s="26"/>
      <c r="L2977" s="25"/>
      <c r="M2977" s="24"/>
      <c r="N2977" s="26"/>
      <c r="O2977" s="26"/>
      <c r="P2977" s="26"/>
      <c r="Q2977" s="26"/>
      <c r="R2977" s="26"/>
      <c r="S2977" s="26"/>
      <c r="T2977" s="26"/>
      <c r="U2977" s="26"/>
      <c r="V2977" s="26"/>
      <c r="W2977" s="26"/>
      <c r="X2977" s="26"/>
      <c r="Y2977" s="26"/>
      <c r="Z2977" s="26"/>
      <c r="AA2977" s="26"/>
      <c r="AB2977" s="26"/>
      <c r="AC2977" s="27"/>
    </row>
    <row r="2978" spans="1:29" x14ac:dyDescent="0.25">
      <c r="A2978" s="1"/>
      <c r="B2978" s="19"/>
      <c r="C2978" s="24"/>
      <c r="D2978" s="1"/>
      <c r="E2978" s="25"/>
      <c r="F2978" s="26"/>
      <c r="G2978" s="26"/>
      <c r="L2978" s="25"/>
      <c r="M2978" s="24"/>
      <c r="N2978" s="26"/>
      <c r="O2978" s="26"/>
      <c r="P2978" s="26"/>
      <c r="Q2978" s="26"/>
      <c r="R2978" s="26"/>
      <c r="S2978" s="26"/>
      <c r="T2978" s="26"/>
      <c r="U2978" s="26"/>
      <c r="V2978" s="26"/>
      <c r="W2978" s="26"/>
      <c r="X2978" s="26"/>
      <c r="Y2978" s="26"/>
      <c r="Z2978" s="26"/>
      <c r="AA2978" s="26"/>
      <c r="AB2978" s="26"/>
      <c r="AC2978" s="27"/>
    </row>
    <row r="2979" spans="1:29" x14ac:dyDescent="0.25">
      <c r="A2979" s="1"/>
      <c r="B2979" s="19"/>
      <c r="C2979" s="24"/>
      <c r="D2979" s="1"/>
      <c r="E2979" s="25"/>
      <c r="F2979" s="26"/>
      <c r="G2979" s="26"/>
      <c r="L2979" s="25"/>
      <c r="M2979" s="24"/>
      <c r="N2979" s="26"/>
      <c r="O2979" s="26"/>
      <c r="P2979" s="26"/>
      <c r="Q2979" s="26"/>
      <c r="R2979" s="26"/>
      <c r="S2979" s="26"/>
      <c r="T2979" s="26"/>
      <c r="U2979" s="26"/>
      <c r="V2979" s="26"/>
      <c r="W2979" s="26"/>
      <c r="X2979" s="26"/>
      <c r="Y2979" s="26"/>
      <c r="Z2979" s="26"/>
      <c r="AA2979" s="26"/>
      <c r="AB2979" s="26"/>
      <c r="AC2979" s="27"/>
    </row>
    <row r="2980" spans="1:29" x14ac:dyDescent="0.25">
      <c r="A2980" s="1"/>
      <c r="B2980" s="19"/>
      <c r="C2980" s="24"/>
      <c r="D2980" s="1"/>
      <c r="E2980" s="25"/>
      <c r="F2980" s="26"/>
      <c r="G2980" s="26"/>
      <c r="L2980" s="25"/>
      <c r="M2980" s="24"/>
      <c r="N2980" s="26"/>
      <c r="O2980" s="26"/>
      <c r="P2980" s="26"/>
      <c r="Q2980" s="26"/>
      <c r="R2980" s="26"/>
      <c r="S2980" s="26"/>
      <c r="T2980" s="26"/>
      <c r="U2980" s="26"/>
      <c r="V2980" s="26"/>
      <c r="W2980" s="26"/>
      <c r="X2980" s="26"/>
      <c r="Y2980" s="26"/>
      <c r="Z2980" s="26"/>
      <c r="AA2980" s="26"/>
      <c r="AB2980" s="26"/>
      <c r="AC2980" s="27"/>
    </row>
    <row r="2981" spans="1:29" x14ac:dyDescent="0.25">
      <c r="A2981" s="1"/>
      <c r="B2981" s="19"/>
      <c r="C2981" s="24"/>
      <c r="D2981" s="1"/>
      <c r="E2981" s="25"/>
      <c r="F2981" s="26"/>
      <c r="G2981" s="26"/>
      <c r="L2981" s="25"/>
      <c r="M2981" s="24"/>
      <c r="N2981" s="26"/>
      <c r="O2981" s="26"/>
      <c r="P2981" s="26"/>
      <c r="Q2981" s="26"/>
      <c r="R2981" s="26"/>
      <c r="S2981" s="26"/>
      <c r="T2981" s="26"/>
      <c r="U2981" s="26"/>
      <c r="V2981" s="26"/>
      <c r="W2981" s="26"/>
      <c r="X2981" s="26"/>
      <c r="Y2981" s="26"/>
      <c r="Z2981" s="26"/>
      <c r="AA2981" s="26"/>
      <c r="AB2981" s="26"/>
      <c r="AC2981" s="27"/>
    </row>
    <row r="2982" spans="1:29" x14ac:dyDescent="0.25">
      <c r="A2982" s="1"/>
      <c r="B2982" s="19"/>
      <c r="C2982" s="24"/>
      <c r="D2982" s="1"/>
      <c r="E2982" s="25"/>
      <c r="F2982" s="26"/>
      <c r="G2982" s="26"/>
      <c r="L2982" s="25"/>
      <c r="M2982" s="24"/>
      <c r="N2982" s="26"/>
      <c r="O2982" s="26"/>
      <c r="P2982" s="26"/>
      <c r="Q2982" s="26"/>
      <c r="R2982" s="26"/>
      <c r="S2982" s="26"/>
      <c r="T2982" s="26"/>
      <c r="U2982" s="26"/>
      <c r="V2982" s="26"/>
      <c r="W2982" s="26"/>
      <c r="X2982" s="26"/>
      <c r="Y2982" s="26"/>
      <c r="Z2982" s="26"/>
      <c r="AA2982" s="26"/>
      <c r="AB2982" s="26"/>
      <c r="AC2982" s="27"/>
    </row>
    <row r="2983" spans="1:29" x14ac:dyDescent="0.25">
      <c r="A2983" s="1"/>
      <c r="B2983" s="19"/>
      <c r="C2983" s="24"/>
      <c r="D2983" s="1"/>
      <c r="E2983" s="25"/>
      <c r="F2983" s="26"/>
      <c r="G2983" s="26"/>
      <c r="L2983" s="25"/>
      <c r="M2983" s="24"/>
      <c r="N2983" s="26"/>
      <c r="O2983" s="26"/>
      <c r="P2983" s="26"/>
      <c r="Q2983" s="26"/>
      <c r="R2983" s="26"/>
      <c r="S2983" s="26"/>
      <c r="T2983" s="26"/>
      <c r="U2983" s="26"/>
      <c r="V2983" s="26"/>
      <c r="W2983" s="26"/>
      <c r="X2983" s="26"/>
      <c r="Y2983" s="26"/>
      <c r="Z2983" s="26"/>
      <c r="AA2983" s="26"/>
      <c r="AB2983" s="26"/>
      <c r="AC2983" s="27"/>
    </row>
    <row r="2984" spans="1:29" x14ac:dyDescent="0.25">
      <c r="A2984" s="1"/>
      <c r="B2984" s="19"/>
      <c r="C2984" s="24"/>
      <c r="D2984" s="1"/>
      <c r="E2984" s="25"/>
      <c r="F2984" s="26"/>
      <c r="G2984" s="26"/>
      <c r="L2984" s="25"/>
      <c r="M2984" s="24"/>
      <c r="N2984" s="26"/>
      <c r="O2984" s="26"/>
      <c r="P2984" s="26"/>
      <c r="Q2984" s="26"/>
      <c r="R2984" s="26"/>
      <c r="S2984" s="26"/>
      <c r="T2984" s="26"/>
      <c r="U2984" s="26"/>
      <c r="V2984" s="26"/>
      <c r="W2984" s="26"/>
      <c r="X2984" s="26"/>
      <c r="Y2984" s="26"/>
      <c r="Z2984" s="26"/>
      <c r="AA2984" s="26"/>
      <c r="AB2984" s="26"/>
      <c r="AC2984" s="27"/>
    </row>
    <row r="2985" spans="1:29" x14ac:dyDescent="0.25">
      <c r="A2985" s="1"/>
      <c r="B2985" s="19"/>
      <c r="C2985" s="24"/>
      <c r="D2985" s="1"/>
      <c r="E2985" s="25"/>
      <c r="F2985" s="26"/>
      <c r="G2985" s="26"/>
      <c r="L2985" s="25"/>
      <c r="M2985" s="24"/>
      <c r="N2985" s="26"/>
      <c r="O2985" s="26"/>
      <c r="P2985" s="26"/>
      <c r="Q2985" s="26"/>
      <c r="R2985" s="26"/>
      <c r="S2985" s="26"/>
      <c r="T2985" s="26"/>
      <c r="U2985" s="26"/>
      <c r="V2985" s="26"/>
      <c r="W2985" s="26"/>
      <c r="X2985" s="26"/>
      <c r="Y2985" s="26"/>
      <c r="Z2985" s="26"/>
      <c r="AA2985" s="26"/>
      <c r="AB2985" s="26"/>
      <c r="AC2985" s="27"/>
    </row>
    <row r="2986" spans="1:29" x14ac:dyDescent="0.25">
      <c r="A2986" s="1"/>
      <c r="B2986" s="19"/>
      <c r="C2986" s="24"/>
      <c r="D2986" s="1"/>
      <c r="E2986" s="25"/>
      <c r="F2986" s="26"/>
      <c r="G2986" s="26"/>
      <c r="L2986" s="25"/>
      <c r="M2986" s="24"/>
      <c r="N2986" s="26"/>
      <c r="O2986" s="26"/>
      <c r="P2986" s="26"/>
      <c r="Q2986" s="26"/>
      <c r="R2986" s="26"/>
      <c r="S2986" s="26"/>
      <c r="T2986" s="26"/>
      <c r="U2986" s="26"/>
      <c r="V2986" s="26"/>
      <c r="W2986" s="26"/>
      <c r="X2986" s="26"/>
      <c r="Y2986" s="26"/>
      <c r="Z2986" s="26"/>
      <c r="AA2986" s="26"/>
      <c r="AB2986" s="26"/>
      <c r="AC2986" s="27"/>
    </row>
    <row r="2987" spans="1:29" x14ac:dyDescent="0.25">
      <c r="A2987" s="1"/>
      <c r="B2987" s="19"/>
      <c r="C2987" s="24"/>
      <c r="D2987" s="1"/>
      <c r="E2987" s="25"/>
      <c r="F2987" s="26"/>
      <c r="G2987" s="26"/>
      <c r="L2987" s="25"/>
      <c r="M2987" s="24"/>
      <c r="N2987" s="26"/>
      <c r="O2987" s="26"/>
      <c r="P2987" s="26"/>
      <c r="Q2987" s="26"/>
      <c r="R2987" s="26"/>
      <c r="S2987" s="26"/>
      <c r="T2987" s="26"/>
      <c r="U2987" s="26"/>
      <c r="V2987" s="26"/>
      <c r="W2987" s="26"/>
      <c r="X2987" s="26"/>
      <c r="Y2987" s="26"/>
      <c r="Z2987" s="26"/>
      <c r="AA2987" s="26"/>
      <c r="AB2987" s="26"/>
      <c r="AC2987" s="27"/>
    </row>
    <row r="2988" spans="1:29" x14ac:dyDescent="0.25">
      <c r="A2988" s="1"/>
      <c r="B2988" s="19"/>
      <c r="C2988" s="24"/>
      <c r="D2988" s="1"/>
      <c r="E2988" s="25"/>
      <c r="F2988" s="26"/>
      <c r="G2988" s="26"/>
      <c r="L2988" s="25"/>
      <c r="M2988" s="24"/>
      <c r="N2988" s="26"/>
      <c r="O2988" s="26"/>
      <c r="P2988" s="26"/>
      <c r="Q2988" s="26"/>
      <c r="R2988" s="26"/>
      <c r="S2988" s="26"/>
      <c r="T2988" s="26"/>
      <c r="U2988" s="26"/>
      <c r="V2988" s="26"/>
      <c r="W2988" s="26"/>
      <c r="X2988" s="26"/>
      <c r="Y2988" s="26"/>
      <c r="Z2988" s="26"/>
      <c r="AA2988" s="26"/>
      <c r="AB2988" s="26"/>
      <c r="AC2988" s="27"/>
    </row>
    <row r="2989" spans="1:29" x14ac:dyDescent="0.25">
      <c r="A2989" s="1"/>
      <c r="B2989" s="19"/>
      <c r="C2989" s="24"/>
      <c r="D2989" s="1"/>
      <c r="E2989" s="25"/>
      <c r="F2989" s="26"/>
      <c r="G2989" s="26"/>
      <c r="L2989" s="25"/>
      <c r="M2989" s="24"/>
      <c r="N2989" s="26"/>
      <c r="O2989" s="26"/>
      <c r="P2989" s="26"/>
      <c r="Q2989" s="26"/>
      <c r="R2989" s="26"/>
      <c r="S2989" s="26"/>
      <c r="T2989" s="26"/>
      <c r="U2989" s="26"/>
      <c r="V2989" s="26"/>
      <c r="W2989" s="26"/>
      <c r="X2989" s="26"/>
      <c r="Y2989" s="26"/>
      <c r="Z2989" s="26"/>
      <c r="AA2989" s="26"/>
      <c r="AB2989" s="26"/>
      <c r="AC2989" s="27"/>
    </row>
    <row r="2990" spans="1:29" x14ac:dyDescent="0.25">
      <c r="A2990" s="1"/>
      <c r="B2990" s="19"/>
      <c r="C2990" s="24"/>
      <c r="D2990" s="1"/>
      <c r="E2990" s="25"/>
      <c r="F2990" s="26"/>
      <c r="G2990" s="26"/>
      <c r="L2990" s="25"/>
      <c r="M2990" s="24"/>
      <c r="N2990" s="26"/>
      <c r="O2990" s="26"/>
      <c r="P2990" s="26"/>
      <c r="Q2990" s="26"/>
      <c r="R2990" s="26"/>
      <c r="S2990" s="26"/>
      <c r="T2990" s="26"/>
      <c r="U2990" s="26"/>
      <c r="V2990" s="26"/>
      <c r="W2990" s="26"/>
      <c r="X2990" s="26"/>
      <c r="Y2990" s="26"/>
      <c r="Z2990" s="26"/>
      <c r="AA2990" s="26"/>
      <c r="AB2990" s="26"/>
      <c r="AC2990" s="27"/>
    </row>
    <row r="2991" spans="1:29" x14ac:dyDescent="0.25">
      <c r="A2991" s="1"/>
      <c r="B2991" s="19"/>
      <c r="C2991" s="24"/>
      <c r="D2991" s="1"/>
      <c r="E2991" s="25"/>
      <c r="F2991" s="26"/>
      <c r="G2991" s="26"/>
      <c r="L2991" s="25"/>
      <c r="M2991" s="24"/>
      <c r="N2991" s="26"/>
      <c r="O2991" s="26"/>
      <c r="P2991" s="26"/>
      <c r="Q2991" s="26"/>
      <c r="R2991" s="26"/>
      <c r="S2991" s="26"/>
      <c r="T2991" s="26"/>
      <c r="U2991" s="26"/>
      <c r="V2991" s="26"/>
      <c r="W2991" s="26"/>
      <c r="X2991" s="26"/>
      <c r="Y2991" s="26"/>
      <c r="Z2991" s="26"/>
      <c r="AA2991" s="26"/>
      <c r="AB2991" s="26"/>
      <c r="AC2991" s="27"/>
    </row>
    <row r="2992" spans="1:29" x14ac:dyDescent="0.25">
      <c r="A2992" s="1"/>
      <c r="B2992" s="19"/>
      <c r="C2992" s="24"/>
      <c r="D2992" s="1"/>
      <c r="E2992" s="25"/>
      <c r="F2992" s="26"/>
      <c r="G2992" s="26"/>
      <c r="L2992" s="25"/>
      <c r="M2992" s="24"/>
      <c r="N2992" s="26"/>
      <c r="O2992" s="26"/>
      <c r="P2992" s="26"/>
      <c r="Q2992" s="26"/>
      <c r="R2992" s="26"/>
      <c r="S2992" s="26"/>
      <c r="T2992" s="26"/>
      <c r="U2992" s="26"/>
      <c r="V2992" s="26"/>
      <c r="W2992" s="26"/>
      <c r="X2992" s="26"/>
      <c r="Y2992" s="26"/>
      <c r="Z2992" s="26"/>
      <c r="AA2992" s="26"/>
      <c r="AB2992" s="26"/>
      <c r="AC2992" s="27"/>
    </row>
    <row r="2993" spans="1:29" x14ac:dyDescent="0.25">
      <c r="A2993" s="1"/>
      <c r="B2993" s="19"/>
      <c r="C2993" s="24"/>
      <c r="D2993" s="1"/>
      <c r="E2993" s="25"/>
      <c r="F2993" s="26"/>
      <c r="G2993" s="26"/>
      <c r="L2993" s="25"/>
      <c r="M2993" s="24"/>
      <c r="N2993" s="26"/>
      <c r="O2993" s="26"/>
      <c r="P2993" s="26"/>
      <c r="Q2993" s="26"/>
      <c r="R2993" s="26"/>
      <c r="S2993" s="26"/>
      <c r="T2993" s="26"/>
      <c r="U2993" s="26"/>
      <c r="V2993" s="26"/>
      <c r="W2993" s="26"/>
      <c r="X2993" s="26"/>
      <c r="Y2993" s="26"/>
      <c r="Z2993" s="26"/>
      <c r="AA2993" s="26"/>
      <c r="AB2993" s="26"/>
      <c r="AC2993" s="27"/>
    </row>
    <row r="2994" spans="1:29" x14ac:dyDescent="0.25">
      <c r="A2994" s="1"/>
      <c r="B2994" s="19"/>
      <c r="C2994" s="24"/>
      <c r="D2994" s="1"/>
      <c r="E2994" s="25"/>
      <c r="F2994" s="26"/>
      <c r="G2994" s="26"/>
      <c r="L2994" s="25"/>
      <c r="M2994" s="24"/>
      <c r="N2994" s="26"/>
      <c r="O2994" s="26"/>
      <c r="P2994" s="26"/>
      <c r="Q2994" s="26"/>
      <c r="R2994" s="26"/>
      <c r="S2994" s="26"/>
      <c r="T2994" s="26"/>
      <c r="U2994" s="26"/>
      <c r="V2994" s="26"/>
      <c r="W2994" s="26"/>
      <c r="X2994" s="26"/>
      <c r="Y2994" s="26"/>
      <c r="Z2994" s="26"/>
      <c r="AA2994" s="26"/>
      <c r="AB2994" s="26"/>
      <c r="AC2994" s="27"/>
    </row>
    <row r="2995" spans="1:29" x14ac:dyDescent="0.25">
      <c r="A2995" s="1"/>
      <c r="B2995" s="19"/>
      <c r="C2995" s="24"/>
      <c r="D2995" s="1"/>
      <c r="E2995" s="25"/>
      <c r="F2995" s="26"/>
      <c r="G2995" s="26"/>
      <c r="L2995" s="25"/>
      <c r="M2995" s="24"/>
      <c r="N2995" s="26"/>
      <c r="O2995" s="26"/>
      <c r="P2995" s="26"/>
      <c r="Q2995" s="26"/>
      <c r="R2995" s="26"/>
      <c r="S2995" s="26"/>
      <c r="T2995" s="26"/>
      <c r="U2995" s="26"/>
      <c r="V2995" s="26"/>
      <c r="W2995" s="26"/>
      <c r="X2995" s="26"/>
      <c r="Y2995" s="26"/>
      <c r="Z2995" s="26"/>
      <c r="AA2995" s="26"/>
      <c r="AB2995" s="26"/>
      <c r="AC2995" s="27"/>
    </row>
    <row r="2996" spans="1:29" x14ac:dyDescent="0.25">
      <c r="A2996" s="1"/>
      <c r="B2996" s="19"/>
      <c r="C2996" s="24"/>
      <c r="D2996" s="1"/>
      <c r="E2996" s="25"/>
      <c r="F2996" s="26"/>
      <c r="G2996" s="26"/>
      <c r="L2996" s="25"/>
      <c r="M2996" s="24"/>
      <c r="N2996" s="26"/>
      <c r="O2996" s="26"/>
      <c r="P2996" s="26"/>
      <c r="Q2996" s="26"/>
      <c r="R2996" s="26"/>
      <c r="S2996" s="26"/>
      <c r="T2996" s="26"/>
      <c r="U2996" s="26"/>
      <c r="V2996" s="26"/>
      <c r="W2996" s="26"/>
      <c r="X2996" s="26"/>
      <c r="Y2996" s="26"/>
      <c r="Z2996" s="26"/>
      <c r="AA2996" s="26"/>
      <c r="AB2996" s="26"/>
      <c r="AC2996" s="27"/>
    </row>
    <row r="2997" spans="1:29" x14ac:dyDescent="0.25">
      <c r="A2997" s="1"/>
      <c r="B2997" s="19"/>
      <c r="C2997" s="24"/>
      <c r="D2997" s="1"/>
      <c r="E2997" s="25"/>
      <c r="F2997" s="26"/>
      <c r="G2997" s="26"/>
      <c r="L2997" s="25"/>
      <c r="M2997" s="24"/>
      <c r="N2997" s="26"/>
      <c r="O2997" s="26"/>
      <c r="P2997" s="26"/>
      <c r="Q2997" s="26"/>
      <c r="R2997" s="26"/>
      <c r="S2997" s="26"/>
      <c r="T2997" s="26"/>
      <c r="U2997" s="26"/>
      <c r="V2997" s="26"/>
      <c r="W2997" s="26"/>
      <c r="X2997" s="26"/>
      <c r="Y2997" s="26"/>
      <c r="Z2997" s="26"/>
      <c r="AA2997" s="26"/>
      <c r="AB2997" s="26"/>
      <c r="AC2997" s="27"/>
    </row>
    <row r="2998" spans="1:29" x14ac:dyDescent="0.25">
      <c r="A2998" s="1"/>
      <c r="B2998" s="19"/>
      <c r="C2998" s="24"/>
      <c r="D2998" s="1"/>
      <c r="E2998" s="25"/>
      <c r="F2998" s="26"/>
      <c r="G2998" s="26"/>
      <c r="L2998" s="25"/>
      <c r="M2998" s="24"/>
      <c r="N2998" s="26"/>
      <c r="O2998" s="26"/>
      <c r="P2998" s="26"/>
      <c r="Q2998" s="26"/>
      <c r="R2998" s="26"/>
      <c r="S2998" s="26"/>
      <c r="T2998" s="26"/>
      <c r="U2998" s="26"/>
      <c r="V2998" s="26"/>
      <c r="W2998" s="26"/>
      <c r="X2998" s="26"/>
      <c r="Y2998" s="26"/>
      <c r="Z2998" s="26"/>
      <c r="AA2998" s="26"/>
      <c r="AB2998" s="26"/>
      <c r="AC2998" s="27"/>
    </row>
    <row r="2999" spans="1:29" x14ac:dyDescent="0.25">
      <c r="A2999" s="1"/>
      <c r="B2999" s="19"/>
      <c r="C2999" s="24"/>
      <c r="D2999" s="1"/>
      <c r="E2999" s="25"/>
      <c r="F2999" s="26"/>
      <c r="G2999" s="26"/>
      <c r="L2999" s="25"/>
      <c r="M2999" s="24"/>
      <c r="N2999" s="26"/>
      <c r="O2999" s="26"/>
      <c r="P2999" s="26"/>
      <c r="Q2999" s="26"/>
      <c r="R2999" s="26"/>
      <c r="S2999" s="26"/>
      <c r="T2999" s="26"/>
      <c r="U2999" s="26"/>
      <c r="V2999" s="26"/>
      <c r="W2999" s="26"/>
      <c r="X2999" s="26"/>
      <c r="Y2999" s="26"/>
      <c r="Z2999" s="26"/>
      <c r="AA2999" s="26"/>
      <c r="AB2999" s="26"/>
      <c r="AC2999" s="27"/>
    </row>
    <row r="3000" spans="1:29" x14ac:dyDescent="0.25">
      <c r="A3000" s="1"/>
      <c r="B3000" s="19"/>
      <c r="C3000" s="24"/>
      <c r="D3000" s="1"/>
      <c r="E3000" s="25"/>
      <c r="F3000" s="26"/>
      <c r="G3000" s="26"/>
      <c r="L3000" s="25"/>
      <c r="M3000" s="24"/>
      <c r="N3000" s="26"/>
      <c r="O3000" s="26"/>
      <c r="P3000" s="26"/>
      <c r="Q3000" s="26"/>
      <c r="R3000" s="26"/>
      <c r="S3000" s="26"/>
      <c r="T3000" s="26"/>
      <c r="U3000" s="26"/>
      <c r="V3000" s="26"/>
      <c r="W3000" s="26"/>
      <c r="X3000" s="26"/>
      <c r="Y3000" s="26"/>
      <c r="Z3000" s="26"/>
      <c r="AA3000" s="26"/>
      <c r="AB3000" s="26"/>
      <c r="AC3000" s="27"/>
    </row>
    <row r="3001" spans="1:29" x14ac:dyDescent="0.25">
      <c r="A3001" s="1"/>
      <c r="B3001" s="19"/>
      <c r="C3001" s="24"/>
      <c r="D3001" s="1"/>
      <c r="E3001" s="25"/>
      <c r="F3001" s="26"/>
      <c r="G3001" s="26"/>
      <c r="L3001" s="25"/>
      <c r="M3001" s="24"/>
      <c r="N3001" s="26"/>
      <c r="O3001" s="26"/>
      <c r="P3001" s="26"/>
      <c r="Q3001" s="26"/>
      <c r="R3001" s="26"/>
      <c r="S3001" s="26"/>
      <c r="T3001" s="26"/>
      <c r="U3001" s="26"/>
      <c r="V3001" s="26"/>
      <c r="W3001" s="26"/>
      <c r="X3001" s="26"/>
      <c r="Y3001" s="26"/>
      <c r="Z3001" s="26"/>
      <c r="AA3001" s="26"/>
      <c r="AB3001" s="26"/>
      <c r="AC3001" s="27"/>
    </row>
    <row r="3002" spans="1:29" x14ac:dyDescent="0.25">
      <c r="A3002" s="1"/>
      <c r="B3002" s="19"/>
      <c r="C3002" s="24"/>
      <c r="D3002" s="1"/>
      <c r="E3002" s="25"/>
      <c r="F3002" s="26"/>
      <c r="G3002" s="26"/>
      <c r="L3002" s="25"/>
      <c r="M3002" s="24"/>
      <c r="N3002" s="26"/>
      <c r="O3002" s="26"/>
      <c r="P3002" s="26"/>
      <c r="Q3002" s="26"/>
      <c r="R3002" s="26"/>
      <c r="S3002" s="26"/>
      <c r="T3002" s="26"/>
      <c r="U3002" s="26"/>
      <c r="V3002" s="26"/>
      <c r="W3002" s="26"/>
      <c r="X3002" s="26"/>
      <c r="Y3002" s="26"/>
      <c r="Z3002" s="26"/>
      <c r="AA3002" s="26"/>
      <c r="AB3002" s="26"/>
      <c r="AC3002" s="27"/>
    </row>
    <row r="3003" spans="1:29" x14ac:dyDescent="0.25">
      <c r="A3003" s="1"/>
      <c r="B3003" s="19"/>
      <c r="C3003" s="24"/>
      <c r="D3003" s="1"/>
      <c r="E3003" s="25"/>
      <c r="F3003" s="26"/>
      <c r="G3003" s="26"/>
      <c r="L3003" s="25"/>
      <c r="M3003" s="24"/>
      <c r="N3003" s="26"/>
      <c r="O3003" s="26"/>
      <c r="P3003" s="26"/>
      <c r="Q3003" s="26"/>
      <c r="R3003" s="26"/>
      <c r="S3003" s="26"/>
      <c r="T3003" s="26"/>
      <c r="U3003" s="26"/>
      <c r="V3003" s="26"/>
      <c r="W3003" s="26"/>
      <c r="X3003" s="26"/>
      <c r="Y3003" s="26"/>
      <c r="Z3003" s="26"/>
      <c r="AA3003" s="26"/>
      <c r="AB3003" s="26"/>
      <c r="AC3003" s="27"/>
    </row>
    <row r="3004" spans="1:29" x14ac:dyDescent="0.25">
      <c r="A3004" s="1"/>
      <c r="B3004" s="19"/>
      <c r="C3004" s="24"/>
      <c r="D3004" s="1"/>
      <c r="E3004" s="25"/>
      <c r="F3004" s="26"/>
      <c r="G3004" s="26"/>
      <c r="L3004" s="25"/>
      <c r="M3004" s="24"/>
      <c r="N3004" s="26"/>
      <c r="O3004" s="26"/>
      <c r="P3004" s="26"/>
      <c r="Q3004" s="26"/>
      <c r="R3004" s="26"/>
      <c r="S3004" s="26"/>
      <c r="T3004" s="26"/>
      <c r="U3004" s="26"/>
      <c r="V3004" s="26"/>
      <c r="W3004" s="26"/>
      <c r="X3004" s="26"/>
      <c r="Y3004" s="26"/>
      <c r="Z3004" s="26"/>
      <c r="AA3004" s="26"/>
      <c r="AB3004" s="26"/>
      <c r="AC3004" s="27"/>
    </row>
    <row r="3005" spans="1:29" x14ac:dyDescent="0.25">
      <c r="A3005" s="1"/>
      <c r="B3005" s="19"/>
      <c r="C3005" s="24"/>
      <c r="D3005" s="1"/>
      <c r="E3005" s="25"/>
      <c r="F3005" s="26"/>
      <c r="G3005" s="26"/>
      <c r="L3005" s="25"/>
      <c r="M3005" s="24"/>
      <c r="N3005" s="26"/>
      <c r="O3005" s="26"/>
      <c r="P3005" s="26"/>
      <c r="Q3005" s="26"/>
      <c r="R3005" s="26"/>
      <c r="S3005" s="26"/>
      <c r="T3005" s="26"/>
      <c r="U3005" s="26"/>
      <c r="V3005" s="26"/>
      <c r="W3005" s="26"/>
      <c r="X3005" s="26"/>
      <c r="Y3005" s="26"/>
      <c r="Z3005" s="26"/>
      <c r="AA3005" s="26"/>
      <c r="AB3005" s="26"/>
      <c r="AC3005" s="27"/>
    </row>
    <row r="3006" spans="1:29" x14ac:dyDescent="0.25">
      <c r="A3006" s="1"/>
      <c r="B3006" s="19"/>
      <c r="C3006" s="24"/>
      <c r="D3006" s="1"/>
      <c r="E3006" s="25"/>
      <c r="F3006" s="26"/>
      <c r="G3006" s="26"/>
      <c r="L3006" s="25"/>
      <c r="M3006" s="24"/>
      <c r="N3006" s="26"/>
      <c r="O3006" s="26"/>
      <c r="P3006" s="26"/>
      <c r="Q3006" s="26"/>
      <c r="R3006" s="26"/>
      <c r="S3006" s="26"/>
      <c r="T3006" s="26"/>
      <c r="U3006" s="26"/>
      <c r="V3006" s="26"/>
      <c r="W3006" s="26"/>
      <c r="X3006" s="26"/>
      <c r="Y3006" s="26"/>
      <c r="Z3006" s="26"/>
      <c r="AA3006" s="26"/>
      <c r="AB3006" s="26"/>
      <c r="AC3006" s="27"/>
    </row>
    <row r="3007" spans="1:29" x14ac:dyDescent="0.25">
      <c r="A3007" s="1"/>
      <c r="B3007" s="19"/>
      <c r="C3007" s="24"/>
      <c r="D3007" s="1"/>
      <c r="E3007" s="25"/>
      <c r="F3007" s="26"/>
      <c r="G3007" s="26"/>
      <c r="L3007" s="25"/>
      <c r="M3007" s="24"/>
      <c r="N3007" s="26"/>
      <c r="O3007" s="26"/>
      <c r="P3007" s="26"/>
      <c r="Q3007" s="26"/>
      <c r="R3007" s="26"/>
      <c r="S3007" s="26"/>
      <c r="T3007" s="26"/>
      <c r="U3007" s="26"/>
      <c r="V3007" s="26"/>
      <c r="W3007" s="26"/>
      <c r="X3007" s="26"/>
      <c r="Y3007" s="26"/>
      <c r="Z3007" s="26"/>
      <c r="AA3007" s="26"/>
      <c r="AB3007" s="26"/>
      <c r="AC3007" s="27"/>
    </row>
    <row r="3008" spans="1:29" x14ac:dyDescent="0.25">
      <c r="A3008" s="1"/>
      <c r="B3008" s="19"/>
      <c r="C3008" s="24"/>
      <c r="D3008" s="1"/>
      <c r="E3008" s="25"/>
      <c r="F3008" s="26"/>
      <c r="G3008" s="26"/>
      <c r="L3008" s="25"/>
      <c r="M3008" s="24"/>
      <c r="N3008" s="26"/>
      <c r="O3008" s="26"/>
      <c r="P3008" s="26"/>
      <c r="Q3008" s="26"/>
      <c r="R3008" s="26"/>
      <c r="S3008" s="26"/>
      <c r="T3008" s="26"/>
      <c r="U3008" s="26"/>
      <c r="V3008" s="26"/>
      <c r="W3008" s="26"/>
      <c r="X3008" s="26"/>
      <c r="Y3008" s="26"/>
      <c r="Z3008" s="26"/>
      <c r="AA3008" s="26"/>
      <c r="AB3008" s="26"/>
      <c r="AC3008" s="27"/>
    </row>
    <row r="3009" spans="1:29" x14ac:dyDescent="0.25">
      <c r="A3009" s="1"/>
      <c r="B3009" s="19"/>
      <c r="C3009" s="24"/>
      <c r="D3009" s="1"/>
      <c r="E3009" s="25"/>
      <c r="F3009" s="26"/>
      <c r="G3009" s="26"/>
      <c r="L3009" s="25"/>
      <c r="M3009" s="24"/>
      <c r="N3009" s="26"/>
      <c r="O3009" s="26"/>
      <c r="P3009" s="26"/>
      <c r="Q3009" s="26"/>
      <c r="R3009" s="26"/>
      <c r="S3009" s="26"/>
      <c r="T3009" s="26"/>
      <c r="U3009" s="26"/>
      <c r="V3009" s="26"/>
      <c r="W3009" s="26"/>
      <c r="X3009" s="26"/>
      <c r="Y3009" s="26"/>
      <c r="Z3009" s="26"/>
      <c r="AA3009" s="26"/>
      <c r="AB3009" s="26"/>
      <c r="AC3009" s="27"/>
    </row>
    <row r="3010" spans="1:29" x14ac:dyDescent="0.25">
      <c r="A3010" s="1"/>
      <c r="B3010" s="19"/>
      <c r="C3010" s="24"/>
      <c r="D3010" s="1"/>
      <c r="E3010" s="25"/>
      <c r="F3010" s="26"/>
      <c r="G3010" s="26"/>
      <c r="L3010" s="25"/>
      <c r="M3010" s="24"/>
      <c r="N3010" s="26"/>
      <c r="O3010" s="26"/>
      <c r="P3010" s="26"/>
      <c r="Q3010" s="26"/>
      <c r="R3010" s="26"/>
      <c r="S3010" s="26"/>
      <c r="T3010" s="26"/>
      <c r="U3010" s="26"/>
      <c r="V3010" s="26"/>
      <c r="W3010" s="26"/>
      <c r="X3010" s="26"/>
      <c r="Y3010" s="26"/>
      <c r="Z3010" s="26"/>
      <c r="AA3010" s="26"/>
      <c r="AB3010" s="26"/>
      <c r="AC3010" s="27"/>
    </row>
    <row r="3011" spans="1:29" x14ac:dyDescent="0.25">
      <c r="A3011" s="1"/>
      <c r="B3011" s="19"/>
      <c r="C3011" s="24"/>
      <c r="D3011" s="1"/>
      <c r="E3011" s="25"/>
      <c r="F3011" s="26"/>
      <c r="G3011" s="26"/>
      <c r="L3011" s="25"/>
      <c r="M3011" s="24"/>
      <c r="N3011" s="26"/>
      <c r="O3011" s="26"/>
      <c r="P3011" s="26"/>
      <c r="Q3011" s="26"/>
      <c r="R3011" s="26"/>
      <c r="S3011" s="26"/>
      <c r="T3011" s="26"/>
      <c r="U3011" s="26"/>
      <c r="V3011" s="26"/>
      <c r="W3011" s="26"/>
      <c r="X3011" s="26"/>
      <c r="Y3011" s="26"/>
      <c r="Z3011" s="26"/>
      <c r="AA3011" s="26"/>
      <c r="AB3011" s="26"/>
      <c r="AC3011" s="27"/>
    </row>
    <row r="3012" spans="1:29" x14ac:dyDescent="0.25">
      <c r="A3012" s="1"/>
      <c r="B3012" s="19"/>
      <c r="C3012" s="24"/>
      <c r="D3012" s="1"/>
      <c r="E3012" s="25"/>
      <c r="F3012" s="26"/>
      <c r="G3012" s="26"/>
      <c r="L3012" s="25"/>
      <c r="M3012" s="24"/>
      <c r="N3012" s="26"/>
      <c r="O3012" s="26"/>
      <c r="P3012" s="26"/>
      <c r="Q3012" s="26"/>
      <c r="R3012" s="26"/>
      <c r="S3012" s="26"/>
      <c r="T3012" s="26"/>
      <c r="U3012" s="26"/>
      <c r="V3012" s="26"/>
      <c r="W3012" s="26"/>
      <c r="X3012" s="26"/>
      <c r="Y3012" s="26"/>
      <c r="Z3012" s="26"/>
      <c r="AA3012" s="26"/>
      <c r="AB3012" s="26"/>
      <c r="AC3012" s="27"/>
    </row>
    <row r="3013" spans="1:29" x14ac:dyDescent="0.25">
      <c r="A3013" s="1"/>
      <c r="B3013" s="19"/>
      <c r="C3013" s="24"/>
      <c r="D3013" s="1"/>
      <c r="E3013" s="25"/>
      <c r="F3013" s="26"/>
      <c r="G3013" s="26"/>
      <c r="L3013" s="25"/>
      <c r="M3013" s="24"/>
      <c r="N3013" s="26"/>
      <c r="O3013" s="26"/>
      <c r="P3013" s="26"/>
      <c r="Q3013" s="26"/>
      <c r="R3013" s="26"/>
      <c r="S3013" s="26"/>
      <c r="T3013" s="26"/>
      <c r="U3013" s="26"/>
      <c r="V3013" s="26"/>
      <c r="W3013" s="26"/>
      <c r="X3013" s="26"/>
      <c r="Y3013" s="26"/>
      <c r="Z3013" s="26"/>
      <c r="AA3013" s="26"/>
      <c r="AB3013" s="26"/>
      <c r="AC3013" s="27"/>
    </row>
    <row r="3014" spans="1:29" x14ac:dyDescent="0.25">
      <c r="A3014" s="1"/>
      <c r="B3014" s="19"/>
      <c r="C3014" s="24"/>
      <c r="D3014" s="1"/>
      <c r="E3014" s="25"/>
      <c r="F3014" s="26"/>
      <c r="G3014" s="26"/>
      <c r="L3014" s="25"/>
      <c r="M3014" s="24"/>
      <c r="N3014" s="26"/>
      <c r="O3014" s="26"/>
      <c r="P3014" s="26"/>
      <c r="Q3014" s="26"/>
      <c r="R3014" s="26"/>
      <c r="S3014" s="26"/>
      <c r="T3014" s="26"/>
      <c r="U3014" s="26"/>
      <c r="V3014" s="26"/>
      <c r="W3014" s="26"/>
      <c r="X3014" s="26"/>
      <c r="Y3014" s="26"/>
      <c r="Z3014" s="26"/>
      <c r="AA3014" s="26"/>
      <c r="AB3014" s="26"/>
      <c r="AC3014" s="27"/>
    </row>
    <row r="3015" spans="1:29" x14ac:dyDescent="0.25">
      <c r="A3015" s="1"/>
      <c r="B3015" s="19"/>
      <c r="C3015" s="24"/>
      <c r="D3015" s="1"/>
      <c r="E3015" s="25"/>
      <c r="F3015" s="26"/>
      <c r="G3015" s="26"/>
      <c r="L3015" s="25"/>
      <c r="M3015" s="24"/>
      <c r="N3015" s="26"/>
      <c r="O3015" s="26"/>
      <c r="P3015" s="26"/>
      <c r="Q3015" s="26"/>
      <c r="R3015" s="26"/>
      <c r="S3015" s="26"/>
      <c r="T3015" s="26"/>
      <c r="U3015" s="26"/>
      <c r="V3015" s="26"/>
      <c r="W3015" s="26"/>
      <c r="X3015" s="26"/>
      <c r="Y3015" s="26"/>
      <c r="Z3015" s="26"/>
      <c r="AA3015" s="26"/>
      <c r="AB3015" s="26"/>
      <c r="AC3015" s="27"/>
    </row>
    <row r="3016" spans="1:29" x14ac:dyDescent="0.25">
      <c r="A3016" s="1"/>
      <c r="B3016" s="19"/>
      <c r="C3016" s="24"/>
      <c r="D3016" s="1"/>
      <c r="E3016" s="25"/>
      <c r="F3016" s="26"/>
      <c r="G3016" s="26"/>
      <c r="L3016" s="25"/>
      <c r="M3016" s="24"/>
      <c r="N3016" s="26"/>
      <c r="O3016" s="26"/>
      <c r="P3016" s="26"/>
      <c r="Q3016" s="26"/>
      <c r="R3016" s="26"/>
      <c r="S3016" s="26"/>
      <c r="T3016" s="26"/>
      <c r="U3016" s="26"/>
      <c r="V3016" s="26"/>
      <c r="W3016" s="26"/>
      <c r="X3016" s="26"/>
      <c r="Y3016" s="26"/>
      <c r="Z3016" s="26"/>
      <c r="AA3016" s="26"/>
      <c r="AB3016" s="26"/>
      <c r="AC3016" s="27"/>
    </row>
    <row r="3017" spans="1:29" x14ac:dyDescent="0.25">
      <c r="A3017" s="1"/>
      <c r="B3017" s="19"/>
      <c r="C3017" s="24"/>
      <c r="D3017" s="1"/>
      <c r="E3017" s="25"/>
      <c r="F3017" s="26"/>
      <c r="G3017" s="26"/>
      <c r="L3017" s="25"/>
      <c r="M3017" s="24"/>
      <c r="N3017" s="26"/>
      <c r="O3017" s="26"/>
      <c r="P3017" s="26"/>
      <c r="Q3017" s="26"/>
      <c r="R3017" s="26"/>
      <c r="S3017" s="26"/>
      <c r="T3017" s="26"/>
      <c r="U3017" s="26"/>
      <c r="V3017" s="26"/>
      <c r="W3017" s="26"/>
      <c r="X3017" s="26"/>
      <c r="Y3017" s="26"/>
      <c r="Z3017" s="26"/>
      <c r="AA3017" s="26"/>
      <c r="AB3017" s="26"/>
      <c r="AC3017" s="27"/>
    </row>
    <row r="3018" spans="1:29" x14ac:dyDescent="0.25">
      <c r="A3018" s="1"/>
      <c r="B3018" s="19"/>
      <c r="C3018" s="24"/>
      <c r="D3018" s="1"/>
      <c r="E3018" s="25"/>
      <c r="F3018" s="26"/>
      <c r="G3018" s="26"/>
      <c r="L3018" s="25"/>
      <c r="M3018" s="24"/>
      <c r="N3018" s="26"/>
      <c r="O3018" s="26"/>
      <c r="P3018" s="26"/>
      <c r="Q3018" s="26"/>
      <c r="R3018" s="26"/>
      <c r="S3018" s="26"/>
      <c r="T3018" s="26"/>
      <c r="U3018" s="26"/>
      <c r="V3018" s="26"/>
      <c r="W3018" s="26"/>
      <c r="X3018" s="26"/>
      <c r="Y3018" s="26"/>
      <c r="Z3018" s="26"/>
      <c r="AA3018" s="26"/>
      <c r="AB3018" s="26"/>
      <c r="AC3018" s="27"/>
    </row>
    <row r="3019" spans="1:29" x14ac:dyDescent="0.25">
      <c r="A3019" s="1"/>
      <c r="B3019" s="19"/>
      <c r="C3019" s="24"/>
      <c r="D3019" s="1"/>
      <c r="E3019" s="25"/>
      <c r="F3019" s="26"/>
      <c r="G3019" s="26"/>
      <c r="L3019" s="25"/>
      <c r="M3019" s="24"/>
      <c r="N3019" s="26"/>
      <c r="O3019" s="26"/>
      <c r="P3019" s="26"/>
      <c r="Q3019" s="26"/>
      <c r="R3019" s="26"/>
      <c r="S3019" s="26"/>
      <c r="T3019" s="26"/>
      <c r="U3019" s="26"/>
      <c r="V3019" s="26"/>
      <c r="W3019" s="26"/>
      <c r="X3019" s="26"/>
      <c r="Y3019" s="26"/>
      <c r="Z3019" s="26"/>
      <c r="AA3019" s="26"/>
      <c r="AB3019" s="26"/>
      <c r="AC3019" s="27"/>
    </row>
    <row r="3020" spans="1:29" x14ac:dyDescent="0.25">
      <c r="A3020" s="1"/>
      <c r="B3020" s="19"/>
      <c r="C3020" s="24"/>
      <c r="D3020" s="1"/>
      <c r="E3020" s="25"/>
      <c r="F3020" s="26"/>
      <c r="G3020" s="26"/>
      <c r="L3020" s="25"/>
      <c r="M3020" s="24"/>
      <c r="N3020" s="26"/>
      <c r="O3020" s="26"/>
      <c r="P3020" s="26"/>
      <c r="Q3020" s="26"/>
      <c r="R3020" s="26"/>
      <c r="S3020" s="26"/>
      <c r="T3020" s="26"/>
      <c r="U3020" s="26"/>
      <c r="V3020" s="26"/>
      <c r="W3020" s="26"/>
      <c r="X3020" s="26"/>
      <c r="Y3020" s="26"/>
      <c r="Z3020" s="26"/>
      <c r="AA3020" s="26"/>
      <c r="AB3020" s="26"/>
      <c r="AC3020" s="27"/>
    </row>
    <row r="3021" spans="1:29" x14ac:dyDescent="0.25">
      <c r="A3021" s="1"/>
      <c r="B3021" s="19"/>
      <c r="C3021" s="24"/>
      <c r="D3021" s="1"/>
      <c r="E3021" s="25"/>
      <c r="F3021" s="26"/>
      <c r="G3021" s="26"/>
      <c r="L3021" s="25"/>
      <c r="M3021" s="24"/>
      <c r="N3021" s="26"/>
      <c r="O3021" s="26"/>
      <c r="P3021" s="26"/>
      <c r="Q3021" s="26"/>
      <c r="R3021" s="26"/>
      <c r="S3021" s="26"/>
      <c r="T3021" s="26"/>
      <c r="U3021" s="26"/>
      <c r="V3021" s="26"/>
      <c r="W3021" s="26"/>
      <c r="X3021" s="26"/>
      <c r="Y3021" s="26"/>
      <c r="Z3021" s="26"/>
      <c r="AA3021" s="26"/>
      <c r="AB3021" s="26"/>
      <c r="AC3021" s="27"/>
    </row>
    <row r="3022" spans="1:29" x14ac:dyDescent="0.25">
      <c r="A3022" s="1"/>
      <c r="B3022" s="19"/>
      <c r="C3022" s="24"/>
      <c r="D3022" s="1"/>
      <c r="E3022" s="25"/>
      <c r="F3022" s="26"/>
      <c r="G3022" s="26"/>
      <c r="L3022" s="25"/>
      <c r="M3022" s="24"/>
      <c r="N3022" s="26"/>
      <c r="O3022" s="26"/>
      <c r="P3022" s="26"/>
      <c r="Q3022" s="26"/>
      <c r="R3022" s="26"/>
      <c r="S3022" s="26"/>
      <c r="T3022" s="26"/>
      <c r="U3022" s="26"/>
      <c r="V3022" s="26"/>
      <c r="W3022" s="26"/>
      <c r="X3022" s="26"/>
      <c r="Y3022" s="26"/>
      <c r="Z3022" s="26"/>
      <c r="AA3022" s="26"/>
      <c r="AB3022" s="26"/>
      <c r="AC3022" s="27"/>
    </row>
    <row r="3023" spans="1:29" x14ac:dyDescent="0.25">
      <c r="A3023" s="1"/>
      <c r="B3023" s="19"/>
      <c r="C3023" s="24"/>
      <c r="D3023" s="1"/>
      <c r="E3023" s="25"/>
      <c r="F3023" s="26"/>
      <c r="G3023" s="26"/>
      <c r="L3023" s="25"/>
      <c r="M3023" s="24"/>
      <c r="N3023" s="26"/>
      <c r="O3023" s="26"/>
      <c r="P3023" s="26"/>
      <c r="Q3023" s="26"/>
      <c r="R3023" s="26"/>
      <c r="S3023" s="26"/>
      <c r="T3023" s="26"/>
      <c r="U3023" s="26"/>
      <c r="V3023" s="26"/>
      <c r="W3023" s="26"/>
      <c r="X3023" s="26"/>
      <c r="Y3023" s="26"/>
      <c r="Z3023" s="26"/>
      <c r="AA3023" s="26"/>
      <c r="AB3023" s="26"/>
      <c r="AC3023" s="27"/>
    </row>
    <row r="3024" spans="1:29" x14ac:dyDescent="0.25">
      <c r="A3024" s="1"/>
      <c r="B3024" s="19"/>
      <c r="C3024" s="24"/>
      <c r="D3024" s="1"/>
      <c r="E3024" s="25"/>
      <c r="F3024" s="26"/>
      <c r="G3024" s="26"/>
      <c r="L3024" s="25"/>
      <c r="M3024" s="24"/>
      <c r="N3024" s="26"/>
      <c r="O3024" s="26"/>
      <c r="P3024" s="26"/>
      <c r="Q3024" s="26"/>
      <c r="R3024" s="26"/>
      <c r="S3024" s="26"/>
      <c r="T3024" s="26"/>
      <c r="U3024" s="26"/>
      <c r="V3024" s="26"/>
      <c r="W3024" s="26"/>
      <c r="X3024" s="26"/>
      <c r="Y3024" s="26"/>
      <c r="Z3024" s="26"/>
      <c r="AA3024" s="26"/>
      <c r="AB3024" s="26"/>
      <c r="AC3024" s="27"/>
    </row>
    <row r="3025" spans="1:29" x14ac:dyDescent="0.25">
      <c r="A3025" s="1"/>
      <c r="B3025" s="19"/>
      <c r="C3025" s="24"/>
      <c r="D3025" s="1"/>
      <c r="E3025" s="25"/>
      <c r="F3025" s="26"/>
      <c r="G3025" s="26"/>
      <c r="L3025" s="25"/>
      <c r="M3025" s="24"/>
      <c r="N3025" s="26"/>
      <c r="O3025" s="26"/>
      <c r="P3025" s="26"/>
      <c r="Q3025" s="26"/>
      <c r="R3025" s="26"/>
      <c r="S3025" s="26"/>
      <c r="T3025" s="26"/>
      <c r="U3025" s="26"/>
      <c r="V3025" s="26"/>
      <c r="W3025" s="26"/>
      <c r="X3025" s="26"/>
      <c r="Y3025" s="26"/>
      <c r="Z3025" s="26"/>
      <c r="AA3025" s="26"/>
      <c r="AB3025" s="26"/>
      <c r="AC3025" s="27"/>
    </row>
    <row r="3026" spans="1:29" x14ac:dyDescent="0.25">
      <c r="A3026" s="1"/>
      <c r="B3026" s="19"/>
      <c r="C3026" s="24"/>
      <c r="D3026" s="1"/>
      <c r="E3026" s="25"/>
      <c r="F3026" s="26"/>
      <c r="G3026" s="26"/>
      <c r="L3026" s="25"/>
      <c r="M3026" s="24"/>
      <c r="N3026" s="26"/>
      <c r="O3026" s="26"/>
      <c r="P3026" s="26"/>
      <c r="Q3026" s="26"/>
      <c r="R3026" s="26"/>
      <c r="S3026" s="26"/>
      <c r="T3026" s="26"/>
      <c r="U3026" s="26"/>
      <c r="V3026" s="26"/>
      <c r="W3026" s="26"/>
      <c r="X3026" s="26"/>
      <c r="Y3026" s="26"/>
      <c r="Z3026" s="26"/>
      <c r="AA3026" s="26"/>
      <c r="AB3026" s="26"/>
      <c r="AC3026" s="27"/>
    </row>
    <row r="3027" spans="1:29" x14ac:dyDescent="0.25">
      <c r="A3027" s="1"/>
      <c r="B3027" s="19"/>
      <c r="C3027" s="24"/>
      <c r="D3027" s="1"/>
      <c r="E3027" s="25"/>
      <c r="F3027" s="26"/>
      <c r="G3027" s="26"/>
      <c r="L3027" s="25"/>
      <c r="M3027" s="24"/>
      <c r="N3027" s="26"/>
      <c r="O3027" s="26"/>
      <c r="P3027" s="26"/>
      <c r="Q3027" s="26"/>
      <c r="R3027" s="26"/>
      <c r="S3027" s="26"/>
      <c r="T3027" s="26"/>
      <c r="U3027" s="26"/>
      <c r="V3027" s="26"/>
      <c r="W3027" s="26"/>
      <c r="X3027" s="26"/>
      <c r="Y3027" s="26"/>
      <c r="Z3027" s="26"/>
      <c r="AA3027" s="26"/>
      <c r="AB3027" s="26"/>
      <c r="AC3027" s="27"/>
    </row>
    <row r="3028" spans="1:29" x14ac:dyDescent="0.25">
      <c r="A3028" s="1"/>
      <c r="B3028" s="19"/>
      <c r="C3028" s="24"/>
      <c r="D3028" s="1"/>
      <c r="E3028" s="25"/>
      <c r="F3028" s="26"/>
      <c r="G3028" s="26"/>
      <c r="L3028" s="25"/>
      <c r="M3028" s="24"/>
      <c r="N3028" s="26"/>
      <c r="O3028" s="26"/>
      <c r="P3028" s="26"/>
      <c r="Q3028" s="26"/>
      <c r="R3028" s="26"/>
      <c r="S3028" s="26"/>
      <c r="T3028" s="26"/>
      <c r="U3028" s="26"/>
      <c r="V3028" s="26"/>
      <c r="W3028" s="26"/>
      <c r="X3028" s="26"/>
      <c r="Y3028" s="26"/>
      <c r="Z3028" s="26"/>
      <c r="AA3028" s="26"/>
      <c r="AB3028" s="26"/>
      <c r="AC3028" s="27"/>
    </row>
    <row r="3029" spans="1:29" x14ac:dyDescent="0.25">
      <c r="A3029" s="1"/>
      <c r="B3029" s="19"/>
      <c r="C3029" s="24"/>
      <c r="D3029" s="1"/>
      <c r="E3029" s="25"/>
      <c r="F3029" s="26"/>
      <c r="G3029" s="26"/>
      <c r="L3029" s="25"/>
      <c r="M3029" s="24"/>
      <c r="N3029" s="26"/>
      <c r="O3029" s="26"/>
      <c r="P3029" s="26"/>
      <c r="Q3029" s="26"/>
      <c r="R3029" s="26"/>
      <c r="S3029" s="26"/>
      <c r="T3029" s="26"/>
      <c r="U3029" s="26"/>
      <c r="V3029" s="26"/>
      <c r="W3029" s="26"/>
      <c r="X3029" s="26"/>
      <c r="Y3029" s="26"/>
      <c r="Z3029" s="26"/>
      <c r="AA3029" s="26"/>
      <c r="AB3029" s="26"/>
      <c r="AC3029" s="27"/>
    </row>
    <row r="3030" spans="1:29" x14ac:dyDescent="0.25">
      <c r="A3030" s="1"/>
      <c r="B3030" s="19"/>
      <c r="C3030" s="24"/>
      <c r="D3030" s="1"/>
      <c r="E3030" s="25"/>
      <c r="F3030" s="26"/>
      <c r="G3030" s="26"/>
      <c r="L3030" s="25"/>
      <c r="M3030" s="24"/>
      <c r="N3030" s="26"/>
      <c r="O3030" s="26"/>
      <c r="P3030" s="26"/>
      <c r="Q3030" s="26"/>
      <c r="R3030" s="26"/>
      <c r="S3030" s="26"/>
      <c r="T3030" s="26"/>
      <c r="U3030" s="26"/>
      <c r="V3030" s="26"/>
      <c r="W3030" s="26"/>
      <c r="X3030" s="26"/>
      <c r="Y3030" s="26"/>
      <c r="Z3030" s="26"/>
      <c r="AA3030" s="26"/>
      <c r="AB3030" s="26"/>
      <c r="AC3030" s="27"/>
    </row>
    <row r="3031" spans="1:29" x14ac:dyDescent="0.25">
      <c r="A3031" s="1"/>
      <c r="B3031" s="19"/>
      <c r="C3031" s="24"/>
      <c r="D3031" s="1"/>
      <c r="E3031" s="25"/>
      <c r="F3031" s="26"/>
      <c r="G3031" s="26"/>
      <c r="L3031" s="25"/>
      <c r="M3031" s="24"/>
      <c r="N3031" s="26"/>
      <c r="O3031" s="26"/>
      <c r="P3031" s="26"/>
      <c r="Q3031" s="26"/>
      <c r="R3031" s="26"/>
      <c r="S3031" s="26"/>
      <c r="T3031" s="26"/>
      <c r="U3031" s="26"/>
      <c r="V3031" s="26"/>
      <c r="W3031" s="26"/>
      <c r="X3031" s="26"/>
      <c r="Y3031" s="26"/>
      <c r="Z3031" s="26"/>
      <c r="AA3031" s="26"/>
      <c r="AB3031" s="26"/>
      <c r="AC3031" s="27"/>
    </row>
    <row r="3032" spans="1:29" x14ac:dyDescent="0.25">
      <c r="A3032" s="1"/>
      <c r="B3032" s="19"/>
      <c r="C3032" s="24"/>
      <c r="D3032" s="1"/>
      <c r="E3032" s="25"/>
      <c r="F3032" s="26"/>
      <c r="G3032" s="26"/>
      <c r="L3032" s="25"/>
      <c r="M3032" s="24"/>
      <c r="N3032" s="26"/>
      <c r="O3032" s="26"/>
      <c r="P3032" s="26"/>
      <c r="Q3032" s="26"/>
      <c r="R3032" s="26"/>
      <c r="S3032" s="26"/>
      <c r="T3032" s="26"/>
      <c r="U3032" s="26"/>
      <c r="V3032" s="26"/>
      <c r="W3032" s="26"/>
      <c r="X3032" s="26"/>
      <c r="Y3032" s="26"/>
      <c r="Z3032" s="26"/>
      <c r="AA3032" s="26"/>
      <c r="AB3032" s="26"/>
      <c r="AC3032" s="27"/>
    </row>
    <row r="3033" spans="1:29" x14ac:dyDescent="0.25">
      <c r="A3033" s="1"/>
      <c r="B3033" s="19"/>
      <c r="C3033" s="24"/>
      <c r="D3033" s="1"/>
      <c r="E3033" s="25"/>
      <c r="F3033" s="26"/>
      <c r="G3033" s="26"/>
      <c r="L3033" s="25"/>
      <c r="M3033" s="24"/>
      <c r="N3033" s="26"/>
      <c r="O3033" s="26"/>
      <c r="P3033" s="26"/>
      <c r="Q3033" s="26"/>
      <c r="R3033" s="26"/>
      <c r="S3033" s="26"/>
      <c r="T3033" s="26"/>
      <c r="U3033" s="26"/>
      <c r="V3033" s="26"/>
      <c r="W3033" s="26"/>
      <c r="X3033" s="26"/>
      <c r="Y3033" s="26"/>
      <c r="Z3033" s="26"/>
      <c r="AA3033" s="26"/>
      <c r="AB3033" s="26"/>
      <c r="AC3033" s="27"/>
    </row>
    <row r="3034" spans="1:29" x14ac:dyDescent="0.25">
      <c r="A3034" s="1"/>
      <c r="B3034" s="19"/>
      <c r="C3034" s="24"/>
      <c r="D3034" s="1"/>
      <c r="E3034" s="25"/>
      <c r="F3034" s="26"/>
      <c r="G3034" s="26"/>
      <c r="L3034" s="25"/>
      <c r="M3034" s="24"/>
      <c r="N3034" s="26"/>
      <c r="O3034" s="26"/>
      <c r="P3034" s="26"/>
      <c r="Q3034" s="26"/>
      <c r="R3034" s="26"/>
      <c r="S3034" s="26"/>
      <c r="T3034" s="26"/>
      <c r="U3034" s="26"/>
      <c r="V3034" s="26"/>
      <c r="W3034" s="26"/>
      <c r="X3034" s="26"/>
      <c r="Y3034" s="26"/>
      <c r="Z3034" s="26"/>
      <c r="AA3034" s="26"/>
      <c r="AB3034" s="26"/>
      <c r="AC3034" s="27"/>
    </row>
    <row r="3035" spans="1:29" x14ac:dyDescent="0.25">
      <c r="A3035" s="1"/>
      <c r="B3035" s="19"/>
      <c r="C3035" s="24"/>
      <c r="D3035" s="1"/>
      <c r="E3035" s="25"/>
      <c r="F3035" s="26"/>
      <c r="G3035" s="26"/>
      <c r="L3035" s="25"/>
      <c r="M3035" s="24"/>
      <c r="N3035" s="26"/>
      <c r="O3035" s="26"/>
      <c r="P3035" s="26"/>
      <c r="Q3035" s="26"/>
      <c r="R3035" s="26"/>
      <c r="S3035" s="26"/>
      <c r="T3035" s="26"/>
      <c r="U3035" s="26"/>
      <c r="V3035" s="26"/>
      <c r="W3035" s="26"/>
      <c r="X3035" s="26"/>
      <c r="Y3035" s="26"/>
      <c r="Z3035" s="26"/>
      <c r="AA3035" s="26"/>
      <c r="AB3035" s="26"/>
      <c r="AC3035" s="27"/>
    </row>
    <row r="3036" spans="1:29" x14ac:dyDescent="0.25">
      <c r="A3036" s="1"/>
      <c r="B3036" s="19"/>
      <c r="C3036" s="24"/>
      <c r="D3036" s="1"/>
      <c r="E3036" s="25"/>
      <c r="F3036" s="26"/>
      <c r="G3036" s="26"/>
      <c r="L3036" s="25"/>
      <c r="M3036" s="24"/>
      <c r="N3036" s="26"/>
      <c r="O3036" s="26"/>
      <c r="P3036" s="26"/>
      <c r="Q3036" s="26"/>
      <c r="R3036" s="26"/>
      <c r="S3036" s="26"/>
      <c r="T3036" s="26"/>
      <c r="U3036" s="26"/>
      <c r="V3036" s="26"/>
      <c r="W3036" s="26"/>
      <c r="X3036" s="26"/>
      <c r="Y3036" s="26"/>
      <c r="Z3036" s="26"/>
      <c r="AA3036" s="26"/>
      <c r="AB3036" s="26"/>
      <c r="AC3036" s="27"/>
    </row>
    <row r="3037" spans="1:29" x14ac:dyDescent="0.25">
      <c r="A3037" s="1"/>
      <c r="B3037" s="19"/>
      <c r="C3037" s="24"/>
      <c r="D3037" s="1"/>
      <c r="E3037" s="25"/>
      <c r="F3037" s="26"/>
      <c r="G3037" s="26"/>
      <c r="L3037" s="25"/>
      <c r="M3037" s="24"/>
      <c r="N3037" s="26"/>
      <c r="O3037" s="26"/>
      <c r="P3037" s="26"/>
      <c r="Q3037" s="26"/>
      <c r="R3037" s="26"/>
      <c r="S3037" s="26"/>
      <c r="T3037" s="26"/>
      <c r="U3037" s="26"/>
      <c r="V3037" s="26"/>
      <c r="W3037" s="26"/>
      <c r="X3037" s="26"/>
      <c r="Y3037" s="26"/>
      <c r="Z3037" s="26"/>
      <c r="AA3037" s="26"/>
      <c r="AB3037" s="26"/>
      <c r="AC3037" s="27"/>
    </row>
    <row r="3038" spans="1:29" x14ac:dyDescent="0.25">
      <c r="A3038" s="1"/>
      <c r="B3038" s="19"/>
      <c r="C3038" s="24"/>
      <c r="D3038" s="1"/>
      <c r="E3038" s="25"/>
      <c r="F3038" s="26"/>
      <c r="G3038" s="26"/>
      <c r="L3038" s="25"/>
      <c r="M3038" s="24"/>
      <c r="N3038" s="26"/>
      <c r="O3038" s="26"/>
      <c r="P3038" s="26"/>
      <c r="Q3038" s="26"/>
      <c r="R3038" s="26"/>
      <c r="S3038" s="26"/>
      <c r="T3038" s="26"/>
      <c r="U3038" s="26"/>
      <c r="V3038" s="26"/>
      <c r="W3038" s="26"/>
      <c r="X3038" s="26"/>
      <c r="Y3038" s="26"/>
      <c r="Z3038" s="26"/>
      <c r="AA3038" s="26"/>
      <c r="AB3038" s="26"/>
      <c r="AC3038" s="27"/>
    </row>
    <row r="3039" spans="1:29" x14ac:dyDescent="0.25">
      <c r="A3039" s="1"/>
      <c r="B3039" s="19"/>
      <c r="C3039" s="24"/>
      <c r="D3039" s="1"/>
      <c r="E3039" s="25"/>
      <c r="F3039" s="26"/>
      <c r="G3039" s="26"/>
      <c r="L3039" s="25"/>
      <c r="M3039" s="24"/>
      <c r="N3039" s="26"/>
      <c r="O3039" s="26"/>
      <c r="P3039" s="26"/>
      <c r="Q3039" s="26"/>
      <c r="R3039" s="26"/>
      <c r="S3039" s="26"/>
      <c r="T3039" s="26"/>
      <c r="U3039" s="26"/>
      <c r="V3039" s="26"/>
      <c r="W3039" s="26"/>
      <c r="X3039" s="26"/>
      <c r="Y3039" s="26"/>
      <c r="Z3039" s="26"/>
      <c r="AA3039" s="26"/>
      <c r="AB3039" s="26"/>
      <c r="AC3039" s="27"/>
    </row>
    <row r="3040" spans="1:29" x14ac:dyDescent="0.25">
      <c r="A3040" s="1"/>
      <c r="B3040" s="19"/>
      <c r="C3040" s="24"/>
      <c r="D3040" s="1"/>
      <c r="E3040" s="25"/>
      <c r="F3040" s="26"/>
      <c r="G3040" s="26"/>
      <c r="L3040" s="25"/>
      <c r="M3040" s="24"/>
      <c r="N3040" s="26"/>
      <c r="O3040" s="26"/>
      <c r="P3040" s="26"/>
      <c r="Q3040" s="26"/>
      <c r="R3040" s="26"/>
      <c r="S3040" s="26"/>
      <c r="T3040" s="26"/>
      <c r="U3040" s="26"/>
      <c r="V3040" s="26"/>
      <c r="W3040" s="26"/>
      <c r="X3040" s="26"/>
      <c r="Y3040" s="26"/>
      <c r="Z3040" s="26"/>
      <c r="AA3040" s="26"/>
      <c r="AB3040" s="26"/>
      <c r="AC3040" s="27"/>
    </row>
    <row r="3041" spans="1:29" x14ac:dyDescent="0.25">
      <c r="A3041" s="1"/>
      <c r="B3041" s="19"/>
      <c r="C3041" s="24"/>
      <c r="D3041" s="1"/>
      <c r="E3041" s="25"/>
      <c r="F3041" s="26"/>
      <c r="G3041" s="26"/>
      <c r="L3041" s="25"/>
      <c r="M3041" s="24"/>
      <c r="N3041" s="26"/>
      <c r="O3041" s="26"/>
      <c r="P3041" s="26"/>
      <c r="Q3041" s="26"/>
      <c r="R3041" s="26"/>
      <c r="S3041" s="26"/>
      <c r="T3041" s="26"/>
      <c r="U3041" s="26"/>
      <c r="V3041" s="26"/>
      <c r="W3041" s="26"/>
      <c r="X3041" s="26"/>
      <c r="Y3041" s="26"/>
      <c r="Z3041" s="26"/>
      <c r="AA3041" s="26"/>
      <c r="AB3041" s="26"/>
      <c r="AC3041" s="27"/>
    </row>
    <row r="3042" spans="1:29" x14ac:dyDescent="0.25">
      <c r="A3042" s="1"/>
      <c r="B3042" s="19"/>
      <c r="C3042" s="24"/>
      <c r="D3042" s="1"/>
      <c r="E3042" s="25"/>
      <c r="F3042" s="26"/>
      <c r="G3042" s="26"/>
      <c r="L3042" s="25"/>
      <c r="M3042" s="24"/>
      <c r="N3042" s="26"/>
      <c r="O3042" s="26"/>
      <c r="P3042" s="26"/>
      <c r="Q3042" s="26"/>
      <c r="R3042" s="26"/>
      <c r="S3042" s="26"/>
      <c r="T3042" s="26"/>
      <c r="U3042" s="26"/>
      <c r="V3042" s="26"/>
      <c r="W3042" s="26"/>
      <c r="X3042" s="26"/>
      <c r="Y3042" s="26"/>
      <c r="Z3042" s="26"/>
      <c r="AA3042" s="26"/>
      <c r="AB3042" s="26"/>
      <c r="AC3042" s="27"/>
    </row>
    <row r="3043" spans="1:29" x14ac:dyDescent="0.25">
      <c r="A3043" s="1"/>
      <c r="B3043" s="19"/>
      <c r="C3043" s="24"/>
      <c r="D3043" s="1"/>
      <c r="E3043" s="25"/>
      <c r="F3043" s="26"/>
      <c r="G3043" s="26"/>
      <c r="L3043" s="25"/>
      <c r="M3043" s="24"/>
      <c r="N3043" s="26"/>
      <c r="O3043" s="26"/>
      <c r="P3043" s="26"/>
      <c r="Q3043" s="26"/>
      <c r="R3043" s="26"/>
      <c r="S3043" s="26"/>
      <c r="T3043" s="26"/>
      <c r="U3043" s="26"/>
      <c r="V3043" s="26"/>
      <c r="W3043" s="26"/>
      <c r="X3043" s="26"/>
      <c r="Y3043" s="26"/>
      <c r="Z3043" s="26"/>
      <c r="AA3043" s="26"/>
      <c r="AB3043" s="26"/>
      <c r="AC3043" s="27"/>
    </row>
    <row r="3044" spans="1:29" x14ac:dyDescent="0.25">
      <c r="A3044" s="1"/>
      <c r="B3044" s="19"/>
      <c r="C3044" s="24"/>
      <c r="D3044" s="1"/>
      <c r="E3044" s="25"/>
      <c r="F3044" s="26"/>
      <c r="G3044" s="26"/>
      <c r="L3044" s="25"/>
      <c r="M3044" s="24"/>
      <c r="N3044" s="26"/>
      <c r="O3044" s="26"/>
      <c r="P3044" s="26"/>
      <c r="Q3044" s="26"/>
      <c r="R3044" s="26"/>
      <c r="S3044" s="26"/>
      <c r="T3044" s="26"/>
      <c r="U3044" s="26"/>
      <c r="V3044" s="26"/>
      <c r="W3044" s="26"/>
      <c r="X3044" s="26"/>
      <c r="Y3044" s="26"/>
      <c r="Z3044" s="26"/>
      <c r="AA3044" s="26"/>
      <c r="AB3044" s="26"/>
      <c r="AC3044" s="27"/>
    </row>
    <row r="3045" spans="1:29" x14ac:dyDescent="0.25">
      <c r="A3045" s="1"/>
      <c r="B3045" s="19"/>
      <c r="C3045" s="24"/>
      <c r="D3045" s="1"/>
      <c r="E3045" s="25"/>
      <c r="F3045" s="26"/>
      <c r="G3045" s="26"/>
      <c r="L3045" s="25"/>
      <c r="M3045" s="24"/>
      <c r="N3045" s="26"/>
      <c r="O3045" s="26"/>
      <c r="P3045" s="26"/>
      <c r="Q3045" s="26"/>
      <c r="R3045" s="26"/>
      <c r="S3045" s="26"/>
      <c r="T3045" s="26"/>
      <c r="U3045" s="26"/>
      <c r="V3045" s="26"/>
      <c r="W3045" s="26"/>
      <c r="X3045" s="26"/>
      <c r="Y3045" s="26"/>
      <c r="Z3045" s="26"/>
      <c r="AA3045" s="26"/>
      <c r="AB3045" s="26"/>
      <c r="AC3045" s="27"/>
    </row>
    <row r="3046" spans="1:29" x14ac:dyDescent="0.25">
      <c r="A3046" s="1"/>
      <c r="B3046" s="19"/>
      <c r="C3046" s="24"/>
      <c r="D3046" s="1"/>
      <c r="E3046" s="25"/>
      <c r="F3046" s="26"/>
      <c r="G3046" s="26"/>
      <c r="L3046" s="25"/>
      <c r="M3046" s="24"/>
      <c r="N3046" s="26"/>
      <c r="O3046" s="26"/>
      <c r="P3046" s="26"/>
      <c r="Q3046" s="26"/>
      <c r="R3046" s="26"/>
      <c r="S3046" s="26"/>
      <c r="T3046" s="26"/>
      <c r="U3046" s="26"/>
      <c r="V3046" s="26"/>
      <c r="W3046" s="26"/>
      <c r="X3046" s="26"/>
      <c r="Y3046" s="26"/>
      <c r="Z3046" s="26"/>
      <c r="AA3046" s="26"/>
      <c r="AB3046" s="26"/>
      <c r="AC3046" s="27"/>
    </row>
    <row r="3047" spans="1:29" x14ac:dyDescent="0.25">
      <c r="A3047" s="1"/>
      <c r="B3047" s="19"/>
      <c r="C3047" s="24"/>
      <c r="D3047" s="1"/>
      <c r="E3047" s="25"/>
      <c r="F3047" s="26"/>
      <c r="G3047" s="26"/>
      <c r="L3047" s="25"/>
      <c r="M3047" s="24"/>
      <c r="N3047" s="26"/>
      <c r="O3047" s="26"/>
      <c r="P3047" s="26"/>
      <c r="Q3047" s="26"/>
      <c r="R3047" s="26"/>
      <c r="S3047" s="26"/>
      <c r="T3047" s="26"/>
      <c r="U3047" s="26"/>
      <c r="V3047" s="26"/>
      <c r="W3047" s="26"/>
      <c r="X3047" s="26"/>
      <c r="Y3047" s="26"/>
      <c r="Z3047" s="26"/>
      <c r="AA3047" s="26"/>
      <c r="AB3047" s="26"/>
      <c r="AC3047" s="27"/>
    </row>
    <row r="3048" spans="1:29" x14ac:dyDescent="0.25">
      <c r="A3048" s="1"/>
      <c r="B3048" s="19"/>
      <c r="C3048" s="24"/>
      <c r="D3048" s="1"/>
      <c r="E3048" s="25"/>
      <c r="F3048" s="26"/>
      <c r="G3048" s="26"/>
      <c r="L3048" s="25"/>
      <c r="M3048" s="24"/>
      <c r="N3048" s="26"/>
      <c r="O3048" s="26"/>
      <c r="P3048" s="26"/>
      <c r="Q3048" s="26"/>
      <c r="R3048" s="26"/>
      <c r="S3048" s="26"/>
      <c r="T3048" s="26"/>
      <c r="U3048" s="26"/>
      <c r="V3048" s="26"/>
      <c r="W3048" s="26"/>
      <c r="X3048" s="26"/>
      <c r="Y3048" s="26"/>
      <c r="Z3048" s="26"/>
      <c r="AA3048" s="26"/>
      <c r="AB3048" s="26"/>
      <c r="AC3048" s="27"/>
    </row>
    <row r="3049" spans="1:29" x14ac:dyDescent="0.25">
      <c r="A3049" s="1"/>
      <c r="B3049" s="19"/>
      <c r="C3049" s="24"/>
      <c r="D3049" s="1"/>
      <c r="E3049" s="25"/>
      <c r="F3049" s="26"/>
      <c r="G3049" s="26"/>
      <c r="L3049" s="25"/>
      <c r="M3049" s="24"/>
      <c r="N3049" s="26"/>
      <c r="O3049" s="26"/>
      <c r="P3049" s="26"/>
      <c r="Q3049" s="26"/>
      <c r="R3049" s="26"/>
      <c r="S3049" s="26"/>
      <c r="T3049" s="26"/>
      <c r="U3049" s="26"/>
      <c r="V3049" s="26"/>
      <c r="W3049" s="26"/>
      <c r="X3049" s="26"/>
      <c r="Y3049" s="26"/>
      <c r="Z3049" s="26"/>
      <c r="AA3049" s="26"/>
      <c r="AB3049" s="26"/>
      <c r="AC3049" s="27"/>
    </row>
    <row r="3050" spans="1:29" x14ac:dyDescent="0.25">
      <c r="A3050" s="1"/>
      <c r="B3050" s="19"/>
      <c r="C3050" s="24"/>
      <c r="D3050" s="1"/>
      <c r="E3050" s="25"/>
      <c r="F3050" s="26"/>
      <c r="G3050" s="26"/>
      <c r="L3050" s="25"/>
      <c r="M3050" s="24"/>
      <c r="N3050" s="26"/>
      <c r="O3050" s="26"/>
      <c r="P3050" s="26"/>
      <c r="Q3050" s="26"/>
      <c r="R3050" s="26"/>
      <c r="S3050" s="26"/>
      <c r="T3050" s="26"/>
      <c r="U3050" s="26"/>
      <c r="V3050" s="26"/>
      <c r="W3050" s="26"/>
      <c r="X3050" s="26"/>
      <c r="Y3050" s="26"/>
      <c r="Z3050" s="26"/>
      <c r="AA3050" s="26"/>
      <c r="AB3050" s="26"/>
      <c r="AC3050" s="27"/>
    </row>
    <row r="3051" spans="1:29" x14ac:dyDescent="0.25">
      <c r="A3051" s="1"/>
      <c r="B3051" s="19"/>
      <c r="C3051" s="24"/>
      <c r="D3051" s="1"/>
      <c r="E3051" s="25"/>
      <c r="F3051" s="26"/>
      <c r="G3051" s="26"/>
      <c r="L3051" s="25"/>
      <c r="M3051" s="24"/>
      <c r="N3051" s="26"/>
      <c r="O3051" s="26"/>
      <c r="P3051" s="26"/>
      <c r="Q3051" s="26"/>
      <c r="R3051" s="26"/>
      <c r="S3051" s="26"/>
      <c r="T3051" s="26"/>
      <c r="U3051" s="26"/>
      <c r="V3051" s="26"/>
      <c r="W3051" s="26"/>
      <c r="X3051" s="26"/>
      <c r="Y3051" s="26"/>
      <c r="Z3051" s="26"/>
      <c r="AA3051" s="26"/>
      <c r="AB3051" s="26"/>
      <c r="AC3051" s="27"/>
    </row>
    <row r="3052" spans="1:29" x14ac:dyDescent="0.25">
      <c r="A3052" s="1"/>
      <c r="B3052" s="19"/>
      <c r="C3052" s="24"/>
      <c r="D3052" s="1"/>
      <c r="E3052" s="25"/>
      <c r="F3052" s="26"/>
      <c r="G3052" s="26"/>
      <c r="L3052" s="25"/>
      <c r="M3052" s="24"/>
      <c r="N3052" s="26"/>
      <c r="O3052" s="26"/>
      <c r="P3052" s="26"/>
      <c r="Q3052" s="26"/>
      <c r="R3052" s="26"/>
      <c r="S3052" s="26"/>
      <c r="T3052" s="26"/>
      <c r="U3052" s="26"/>
      <c r="V3052" s="26"/>
      <c r="W3052" s="26"/>
      <c r="X3052" s="26"/>
      <c r="Y3052" s="26"/>
      <c r="Z3052" s="26"/>
      <c r="AA3052" s="26"/>
      <c r="AB3052" s="26"/>
      <c r="AC3052" s="27"/>
    </row>
    <row r="3053" spans="1:29" x14ac:dyDescent="0.25">
      <c r="A3053" s="1"/>
      <c r="B3053" s="19"/>
      <c r="C3053" s="24"/>
      <c r="D3053" s="1"/>
      <c r="E3053" s="25"/>
      <c r="F3053" s="26"/>
      <c r="G3053" s="26"/>
      <c r="L3053" s="25"/>
      <c r="M3053" s="24"/>
      <c r="N3053" s="26"/>
      <c r="O3053" s="26"/>
      <c r="P3053" s="26"/>
      <c r="Q3053" s="26"/>
      <c r="R3053" s="26"/>
      <c r="S3053" s="26"/>
      <c r="T3053" s="26"/>
      <c r="U3053" s="26"/>
      <c r="V3053" s="26"/>
      <c r="W3053" s="26"/>
      <c r="X3053" s="26"/>
      <c r="Y3053" s="26"/>
      <c r="Z3053" s="26"/>
      <c r="AA3053" s="26"/>
      <c r="AB3053" s="26"/>
      <c r="AC3053" s="27"/>
    </row>
    <row r="3054" spans="1:29" x14ac:dyDescent="0.25">
      <c r="A3054" s="1"/>
      <c r="B3054" s="19"/>
      <c r="C3054" s="24"/>
      <c r="D3054" s="1"/>
      <c r="E3054" s="25"/>
      <c r="F3054" s="26"/>
      <c r="G3054" s="26"/>
      <c r="L3054" s="25"/>
      <c r="M3054" s="24"/>
      <c r="N3054" s="26"/>
      <c r="O3054" s="26"/>
      <c r="P3054" s="26"/>
      <c r="Q3054" s="26"/>
      <c r="R3054" s="26"/>
      <c r="S3054" s="26"/>
      <c r="T3054" s="26"/>
      <c r="U3054" s="26"/>
      <c r="V3054" s="26"/>
      <c r="W3054" s="26"/>
      <c r="X3054" s="26"/>
      <c r="Y3054" s="26"/>
      <c r="Z3054" s="26"/>
      <c r="AA3054" s="26"/>
      <c r="AB3054" s="26"/>
      <c r="AC3054" s="27"/>
    </row>
    <row r="3055" spans="1:29" x14ac:dyDescent="0.25">
      <c r="A3055" s="1"/>
      <c r="B3055" s="19"/>
      <c r="C3055" s="24"/>
      <c r="D3055" s="1"/>
      <c r="E3055" s="25"/>
      <c r="F3055" s="26"/>
      <c r="G3055" s="26"/>
      <c r="L3055" s="25"/>
      <c r="M3055" s="24"/>
      <c r="N3055" s="26"/>
      <c r="O3055" s="26"/>
      <c r="P3055" s="26"/>
      <c r="Q3055" s="26"/>
      <c r="R3055" s="26"/>
      <c r="S3055" s="26"/>
      <c r="T3055" s="26"/>
      <c r="U3055" s="26"/>
      <c r="V3055" s="26"/>
      <c r="W3055" s="26"/>
      <c r="X3055" s="26"/>
      <c r="Y3055" s="26"/>
      <c r="Z3055" s="26"/>
      <c r="AA3055" s="26"/>
      <c r="AB3055" s="26"/>
      <c r="AC3055" s="27"/>
    </row>
    <row r="3056" spans="1:29" x14ac:dyDescent="0.25">
      <c r="A3056" s="1"/>
      <c r="B3056" s="19"/>
      <c r="C3056" s="24"/>
      <c r="D3056" s="1"/>
      <c r="E3056" s="25"/>
      <c r="F3056" s="26"/>
      <c r="G3056" s="26"/>
      <c r="L3056" s="25"/>
      <c r="M3056" s="24"/>
      <c r="N3056" s="26"/>
      <c r="O3056" s="26"/>
      <c r="P3056" s="26"/>
      <c r="Q3056" s="26"/>
      <c r="R3056" s="26"/>
      <c r="S3056" s="26"/>
      <c r="T3056" s="26"/>
      <c r="U3056" s="26"/>
      <c r="V3056" s="26"/>
      <c r="W3056" s="26"/>
      <c r="X3056" s="26"/>
      <c r="Y3056" s="26"/>
      <c r="Z3056" s="26"/>
      <c r="AA3056" s="26"/>
      <c r="AB3056" s="26"/>
      <c r="AC3056" s="27"/>
    </row>
    <row r="3057" spans="1:29" x14ac:dyDescent="0.25">
      <c r="A3057" s="1"/>
      <c r="B3057" s="19"/>
      <c r="C3057" s="24"/>
      <c r="D3057" s="1"/>
      <c r="E3057" s="25"/>
      <c r="F3057" s="26"/>
      <c r="G3057" s="26"/>
      <c r="L3057" s="25"/>
      <c r="M3057" s="24"/>
      <c r="N3057" s="26"/>
      <c r="O3057" s="26"/>
      <c r="P3057" s="26"/>
      <c r="Q3057" s="26"/>
      <c r="R3057" s="26"/>
      <c r="S3057" s="26"/>
      <c r="T3057" s="26"/>
      <c r="U3057" s="26"/>
      <c r="V3057" s="26"/>
      <c r="W3057" s="26"/>
      <c r="X3057" s="26"/>
      <c r="Y3057" s="26"/>
      <c r="Z3057" s="26"/>
      <c r="AA3057" s="26"/>
      <c r="AB3057" s="26"/>
      <c r="AC3057" s="27"/>
    </row>
    <row r="3058" spans="1:29" x14ac:dyDescent="0.25">
      <c r="A3058" s="1"/>
      <c r="B3058" s="19"/>
      <c r="C3058" s="24"/>
      <c r="D3058" s="1"/>
      <c r="E3058" s="25"/>
      <c r="F3058" s="26"/>
      <c r="G3058" s="26"/>
      <c r="L3058" s="25"/>
      <c r="M3058" s="24"/>
      <c r="N3058" s="26"/>
      <c r="O3058" s="26"/>
      <c r="P3058" s="26"/>
      <c r="Q3058" s="26"/>
      <c r="R3058" s="26"/>
      <c r="S3058" s="26"/>
      <c r="T3058" s="26"/>
      <c r="U3058" s="26"/>
      <c r="V3058" s="26"/>
      <c r="W3058" s="26"/>
      <c r="X3058" s="26"/>
      <c r="Y3058" s="26"/>
      <c r="Z3058" s="26"/>
      <c r="AA3058" s="26"/>
      <c r="AB3058" s="26"/>
      <c r="AC3058" s="27"/>
    </row>
    <row r="3059" spans="1:29" x14ac:dyDescent="0.25">
      <c r="A3059" s="1"/>
      <c r="B3059" s="19"/>
      <c r="C3059" s="24"/>
      <c r="D3059" s="1"/>
      <c r="E3059" s="25"/>
      <c r="F3059" s="26"/>
      <c r="G3059" s="26"/>
      <c r="L3059" s="25"/>
      <c r="M3059" s="24"/>
      <c r="N3059" s="26"/>
      <c r="O3059" s="26"/>
      <c r="P3059" s="26"/>
      <c r="Q3059" s="26"/>
      <c r="R3059" s="26"/>
      <c r="S3059" s="26"/>
      <c r="T3059" s="26"/>
      <c r="U3059" s="26"/>
      <c r="V3059" s="26"/>
      <c r="W3059" s="26"/>
      <c r="X3059" s="26"/>
      <c r="Y3059" s="26"/>
      <c r="Z3059" s="26"/>
      <c r="AA3059" s="26"/>
      <c r="AB3059" s="26"/>
      <c r="AC3059" s="27"/>
    </row>
    <row r="3060" spans="1:29" x14ac:dyDescent="0.25">
      <c r="A3060" s="1"/>
      <c r="B3060" s="19"/>
      <c r="C3060" s="24"/>
      <c r="D3060" s="1"/>
      <c r="E3060" s="25"/>
      <c r="F3060" s="26"/>
      <c r="G3060" s="26"/>
      <c r="L3060" s="25"/>
      <c r="M3060" s="24"/>
      <c r="N3060" s="26"/>
      <c r="O3060" s="26"/>
      <c r="P3060" s="26"/>
      <c r="Q3060" s="26"/>
      <c r="R3060" s="26"/>
      <c r="S3060" s="26"/>
      <c r="T3060" s="26"/>
      <c r="U3060" s="26"/>
      <c r="V3060" s="26"/>
      <c r="W3060" s="26"/>
      <c r="X3060" s="26"/>
      <c r="Y3060" s="26"/>
      <c r="Z3060" s="26"/>
      <c r="AA3060" s="26"/>
      <c r="AB3060" s="26"/>
      <c r="AC3060" s="27"/>
    </row>
    <row r="3061" spans="1:29" x14ac:dyDescent="0.25">
      <c r="A3061" s="1"/>
      <c r="B3061" s="19"/>
      <c r="C3061" s="24"/>
      <c r="D3061" s="1"/>
      <c r="E3061" s="25"/>
      <c r="F3061" s="26"/>
      <c r="G3061" s="26"/>
      <c r="L3061" s="25"/>
      <c r="M3061" s="24"/>
      <c r="N3061" s="26"/>
      <c r="O3061" s="26"/>
      <c r="P3061" s="26"/>
      <c r="Q3061" s="26"/>
      <c r="R3061" s="26"/>
      <c r="S3061" s="26"/>
      <c r="T3061" s="26"/>
      <c r="U3061" s="26"/>
      <c r="V3061" s="26"/>
      <c r="W3061" s="26"/>
      <c r="X3061" s="26"/>
      <c r="Y3061" s="26"/>
      <c r="Z3061" s="26"/>
      <c r="AA3061" s="26"/>
      <c r="AB3061" s="26"/>
      <c r="AC3061" s="27"/>
    </row>
    <row r="3062" spans="1:29" x14ac:dyDescent="0.25">
      <c r="A3062" s="1"/>
      <c r="B3062" s="19"/>
      <c r="C3062" s="24"/>
      <c r="D3062" s="1"/>
      <c r="E3062" s="25"/>
      <c r="F3062" s="26"/>
      <c r="G3062" s="26"/>
      <c r="L3062" s="25"/>
      <c r="M3062" s="24"/>
      <c r="N3062" s="26"/>
      <c r="O3062" s="26"/>
      <c r="P3062" s="26"/>
      <c r="Q3062" s="26"/>
      <c r="R3062" s="26"/>
      <c r="S3062" s="26"/>
      <c r="T3062" s="26"/>
      <c r="U3062" s="26"/>
      <c r="V3062" s="26"/>
      <c r="W3062" s="26"/>
      <c r="X3062" s="26"/>
      <c r="Y3062" s="26"/>
      <c r="Z3062" s="26"/>
      <c r="AA3062" s="26"/>
      <c r="AB3062" s="26"/>
      <c r="AC3062" s="27"/>
    </row>
    <row r="3063" spans="1:29" x14ac:dyDescent="0.25">
      <c r="A3063" s="1"/>
      <c r="B3063" s="19"/>
      <c r="C3063" s="24"/>
      <c r="D3063" s="1"/>
      <c r="E3063" s="25"/>
      <c r="F3063" s="26"/>
      <c r="G3063" s="26"/>
      <c r="L3063" s="25"/>
      <c r="M3063" s="24"/>
      <c r="N3063" s="26"/>
      <c r="O3063" s="26"/>
      <c r="P3063" s="26"/>
      <c r="Q3063" s="26"/>
      <c r="R3063" s="26"/>
      <c r="S3063" s="26"/>
      <c r="T3063" s="26"/>
      <c r="U3063" s="26"/>
      <c r="V3063" s="26"/>
      <c r="W3063" s="26"/>
      <c r="X3063" s="26"/>
      <c r="Y3063" s="26"/>
      <c r="Z3063" s="26"/>
      <c r="AA3063" s="26"/>
      <c r="AB3063" s="26"/>
      <c r="AC3063" s="27"/>
    </row>
    <row r="3064" spans="1:29" x14ac:dyDescent="0.25">
      <c r="A3064" s="1"/>
      <c r="B3064" s="19"/>
      <c r="C3064" s="24"/>
      <c r="D3064" s="1"/>
      <c r="E3064" s="25"/>
      <c r="F3064" s="26"/>
      <c r="G3064" s="26"/>
      <c r="L3064" s="25"/>
      <c r="M3064" s="24"/>
      <c r="N3064" s="26"/>
      <c r="O3064" s="26"/>
      <c r="P3064" s="26"/>
      <c r="Q3064" s="26"/>
      <c r="R3064" s="26"/>
      <c r="S3064" s="26"/>
      <c r="T3064" s="26"/>
      <c r="U3064" s="26"/>
      <c r="V3064" s="26"/>
      <c r="W3064" s="26"/>
      <c r="X3064" s="26"/>
      <c r="Y3064" s="26"/>
      <c r="Z3064" s="26"/>
      <c r="AA3064" s="26"/>
      <c r="AB3064" s="26"/>
      <c r="AC3064" s="27"/>
    </row>
    <row r="3065" spans="1:29" x14ac:dyDescent="0.25">
      <c r="A3065" s="1"/>
      <c r="B3065" s="19"/>
      <c r="C3065" s="24"/>
      <c r="D3065" s="1"/>
      <c r="E3065" s="25"/>
      <c r="F3065" s="26"/>
      <c r="G3065" s="26"/>
      <c r="L3065" s="25"/>
      <c r="M3065" s="24"/>
      <c r="N3065" s="26"/>
      <c r="O3065" s="26"/>
      <c r="P3065" s="26"/>
      <c r="Q3065" s="26"/>
      <c r="R3065" s="26"/>
      <c r="S3065" s="26"/>
      <c r="T3065" s="26"/>
      <c r="U3065" s="26"/>
      <c r="V3065" s="26"/>
      <c r="W3065" s="26"/>
      <c r="X3065" s="26"/>
      <c r="Y3065" s="26"/>
      <c r="Z3065" s="26"/>
      <c r="AA3065" s="26"/>
      <c r="AB3065" s="26"/>
      <c r="AC3065" s="27"/>
    </row>
    <row r="3066" spans="1:29" x14ac:dyDescent="0.25">
      <c r="A3066" s="1"/>
      <c r="B3066" s="19"/>
      <c r="C3066" s="24"/>
      <c r="D3066" s="1"/>
      <c r="E3066" s="25"/>
      <c r="F3066" s="26"/>
      <c r="G3066" s="26"/>
      <c r="L3066" s="25"/>
      <c r="M3066" s="24"/>
      <c r="N3066" s="26"/>
      <c r="O3066" s="26"/>
      <c r="P3066" s="26"/>
      <c r="Q3066" s="26"/>
      <c r="R3066" s="26"/>
      <c r="S3066" s="26"/>
      <c r="T3066" s="26"/>
      <c r="U3066" s="26"/>
      <c r="V3066" s="26"/>
      <c r="W3066" s="26"/>
      <c r="X3066" s="26"/>
      <c r="Y3066" s="26"/>
      <c r="Z3066" s="26"/>
      <c r="AA3066" s="26"/>
      <c r="AB3066" s="26"/>
      <c r="AC3066" s="27"/>
    </row>
    <row r="3067" spans="1:29" x14ac:dyDescent="0.25">
      <c r="A3067" s="1"/>
      <c r="B3067" s="19"/>
      <c r="C3067" s="24"/>
      <c r="D3067" s="1"/>
      <c r="E3067" s="25"/>
      <c r="F3067" s="26"/>
      <c r="G3067" s="26"/>
      <c r="L3067" s="25"/>
      <c r="M3067" s="24"/>
      <c r="N3067" s="26"/>
      <c r="O3067" s="26"/>
      <c r="P3067" s="26"/>
      <c r="Q3067" s="26"/>
      <c r="R3067" s="26"/>
      <c r="S3067" s="26"/>
      <c r="T3067" s="26"/>
      <c r="U3067" s="26"/>
      <c r="V3067" s="26"/>
      <c r="W3067" s="26"/>
      <c r="X3067" s="26"/>
      <c r="Y3067" s="26"/>
      <c r="Z3067" s="26"/>
      <c r="AA3067" s="26"/>
      <c r="AB3067" s="26"/>
      <c r="AC3067" s="27"/>
    </row>
    <row r="3068" spans="1:29" x14ac:dyDescent="0.25">
      <c r="A3068" s="1"/>
      <c r="B3068" s="19"/>
      <c r="C3068" s="24"/>
      <c r="D3068" s="1"/>
      <c r="E3068" s="25"/>
      <c r="F3068" s="26"/>
      <c r="G3068" s="26"/>
      <c r="L3068" s="25"/>
      <c r="M3068" s="24"/>
      <c r="N3068" s="26"/>
      <c r="O3068" s="26"/>
      <c r="P3068" s="26"/>
      <c r="Q3068" s="26"/>
      <c r="R3068" s="26"/>
      <c r="S3068" s="26"/>
      <c r="T3068" s="26"/>
      <c r="U3068" s="26"/>
      <c r="V3068" s="26"/>
      <c r="W3068" s="26"/>
      <c r="X3068" s="26"/>
      <c r="Y3068" s="26"/>
      <c r="Z3068" s="26"/>
      <c r="AA3068" s="26"/>
      <c r="AB3068" s="26"/>
      <c r="AC3068" s="27"/>
    </row>
    <row r="3069" spans="1:29" x14ac:dyDescent="0.25">
      <c r="A3069" s="1"/>
      <c r="B3069" s="19"/>
      <c r="C3069" s="24"/>
      <c r="D3069" s="1"/>
      <c r="E3069" s="25"/>
      <c r="F3069" s="26"/>
      <c r="G3069" s="26"/>
      <c r="L3069" s="25"/>
      <c r="M3069" s="24"/>
      <c r="N3069" s="26"/>
      <c r="O3069" s="26"/>
      <c r="P3069" s="26"/>
      <c r="Q3069" s="26"/>
      <c r="R3069" s="26"/>
      <c r="S3069" s="26"/>
      <c r="T3069" s="26"/>
      <c r="U3069" s="26"/>
      <c r="V3069" s="26"/>
      <c r="W3069" s="26"/>
      <c r="X3069" s="26"/>
      <c r="Y3069" s="26"/>
      <c r="Z3069" s="26"/>
      <c r="AA3069" s="26"/>
      <c r="AB3069" s="26"/>
      <c r="AC3069" s="27"/>
    </row>
    <row r="3070" spans="1:29" x14ac:dyDescent="0.25">
      <c r="A3070" s="1"/>
      <c r="B3070" s="19"/>
      <c r="C3070" s="24"/>
      <c r="D3070" s="1"/>
      <c r="E3070" s="25"/>
      <c r="F3070" s="26"/>
      <c r="G3070" s="26"/>
      <c r="L3070" s="25"/>
      <c r="M3070" s="24"/>
      <c r="N3070" s="26"/>
      <c r="O3070" s="26"/>
      <c r="P3070" s="26"/>
      <c r="Q3070" s="26"/>
      <c r="R3070" s="26"/>
      <c r="S3070" s="26"/>
      <c r="T3070" s="26"/>
      <c r="U3070" s="26"/>
      <c r="V3070" s="26"/>
      <c r="W3070" s="26"/>
      <c r="X3070" s="26"/>
      <c r="Y3070" s="26"/>
      <c r="Z3070" s="26"/>
      <c r="AA3070" s="26"/>
      <c r="AB3070" s="26"/>
      <c r="AC3070" s="27"/>
    </row>
    <row r="3071" spans="1:29" x14ac:dyDescent="0.25">
      <c r="A3071" s="1"/>
      <c r="B3071" s="19"/>
      <c r="C3071" s="24"/>
      <c r="D3071" s="1"/>
      <c r="E3071" s="25"/>
      <c r="F3071" s="26"/>
      <c r="G3071" s="26"/>
      <c r="L3071" s="25"/>
      <c r="M3071" s="24"/>
      <c r="N3071" s="26"/>
      <c r="O3071" s="26"/>
      <c r="P3071" s="26"/>
      <c r="Q3071" s="26"/>
      <c r="R3071" s="26"/>
      <c r="S3071" s="26"/>
      <c r="T3071" s="26"/>
      <c r="U3071" s="26"/>
      <c r="V3071" s="26"/>
      <c r="W3071" s="26"/>
      <c r="X3071" s="26"/>
      <c r="Y3071" s="26"/>
      <c r="Z3071" s="26"/>
      <c r="AA3071" s="26"/>
      <c r="AB3071" s="26"/>
      <c r="AC3071" s="27"/>
    </row>
    <row r="3072" spans="1:29" x14ac:dyDescent="0.25">
      <c r="A3072" s="1"/>
      <c r="B3072" s="19"/>
      <c r="C3072" s="24"/>
      <c r="D3072" s="1"/>
      <c r="E3072" s="25"/>
      <c r="F3072" s="26"/>
      <c r="G3072" s="26"/>
      <c r="L3072" s="25"/>
      <c r="M3072" s="24"/>
      <c r="N3072" s="26"/>
      <c r="O3072" s="26"/>
      <c r="P3072" s="26"/>
      <c r="Q3072" s="26"/>
      <c r="R3072" s="26"/>
      <c r="S3072" s="26"/>
      <c r="T3072" s="26"/>
      <c r="U3072" s="26"/>
      <c r="V3072" s="26"/>
      <c r="W3072" s="26"/>
      <c r="X3072" s="26"/>
      <c r="Y3072" s="26"/>
      <c r="Z3072" s="26"/>
      <c r="AA3072" s="26"/>
      <c r="AB3072" s="26"/>
      <c r="AC3072" s="27"/>
    </row>
    <row r="3073" spans="1:29" x14ac:dyDescent="0.25">
      <c r="A3073" s="1"/>
      <c r="B3073" s="19"/>
      <c r="C3073" s="24"/>
      <c r="D3073" s="1"/>
      <c r="E3073" s="25"/>
      <c r="F3073" s="26"/>
      <c r="G3073" s="26"/>
      <c r="L3073" s="25"/>
      <c r="M3073" s="24"/>
      <c r="N3073" s="26"/>
      <c r="O3073" s="26"/>
      <c r="P3073" s="26"/>
      <c r="Q3073" s="26"/>
      <c r="R3073" s="26"/>
      <c r="S3073" s="26"/>
      <c r="T3073" s="26"/>
      <c r="U3073" s="26"/>
      <c r="V3073" s="26"/>
      <c r="W3073" s="26"/>
      <c r="X3073" s="26"/>
      <c r="Y3073" s="26"/>
      <c r="Z3073" s="26"/>
      <c r="AA3073" s="26"/>
      <c r="AB3073" s="26"/>
      <c r="AC3073" s="27"/>
    </row>
    <row r="3074" spans="1:29" x14ac:dyDescent="0.25">
      <c r="A3074" s="1"/>
      <c r="B3074" s="19"/>
      <c r="C3074" s="24"/>
      <c r="D3074" s="1"/>
      <c r="E3074" s="25"/>
      <c r="F3074" s="26"/>
      <c r="G3074" s="26"/>
      <c r="L3074" s="25"/>
      <c r="M3074" s="24"/>
      <c r="N3074" s="26"/>
      <c r="O3074" s="26"/>
      <c r="P3074" s="26"/>
      <c r="Q3074" s="26"/>
      <c r="R3074" s="26"/>
      <c r="S3074" s="26"/>
      <c r="T3074" s="26"/>
      <c r="U3074" s="26"/>
      <c r="V3074" s="26"/>
      <c r="W3074" s="26"/>
      <c r="X3074" s="26"/>
      <c r="Y3074" s="26"/>
      <c r="Z3074" s="26"/>
      <c r="AA3074" s="26"/>
      <c r="AB3074" s="26"/>
      <c r="AC3074" s="27"/>
    </row>
    <row r="3075" spans="1:29" x14ac:dyDescent="0.25">
      <c r="A3075" s="1"/>
      <c r="B3075" s="19"/>
      <c r="C3075" s="24"/>
      <c r="D3075" s="1"/>
      <c r="E3075" s="25"/>
      <c r="F3075" s="26"/>
      <c r="G3075" s="26"/>
      <c r="L3075" s="25"/>
      <c r="M3075" s="24"/>
      <c r="N3075" s="26"/>
      <c r="O3075" s="26"/>
      <c r="P3075" s="26"/>
      <c r="Q3075" s="26"/>
      <c r="R3075" s="26"/>
      <c r="S3075" s="26"/>
      <c r="T3075" s="26"/>
      <c r="U3075" s="26"/>
      <c r="V3075" s="26"/>
      <c r="W3075" s="26"/>
      <c r="X3075" s="26"/>
      <c r="Y3075" s="26"/>
      <c r="Z3075" s="26"/>
      <c r="AA3075" s="26"/>
      <c r="AB3075" s="26"/>
      <c r="AC3075" s="27"/>
    </row>
    <row r="3076" spans="1:29" x14ac:dyDescent="0.25">
      <c r="A3076" s="1"/>
      <c r="B3076" s="19"/>
      <c r="C3076" s="24"/>
      <c r="D3076" s="1"/>
      <c r="E3076" s="25"/>
      <c r="F3076" s="26"/>
      <c r="G3076" s="26"/>
      <c r="L3076" s="25"/>
      <c r="M3076" s="24"/>
      <c r="N3076" s="26"/>
      <c r="O3076" s="26"/>
      <c r="P3076" s="26"/>
      <c r="Q3076" s="26"/>
      <c r="R3076" s="26"/>
      <c r="S3076" s="26"/>
      <c r="T3076" s="26"/>
      <c r="U3076" s="26"/>
      <c r="V3076" s="26"/>
      <c r="W3076" s="26"/>
      <c r="X3076" s="26"/>
      <c r="Y3076" s="26"/>
      <c r="Z3076" s="26"/>
      <c r="AA3076" s="26"/>
      <c r="AB3076" s="26"/>
      <c r="AC3076" s="27"/>
    </row>
    <row r="3077" spans="1:29" x14ac:dyDescent="0.25">
      <c r="A3077" s="1"/>
      <c r="B3077" s="19"/>
      <c r="C3077" s="24"/>
      <c r="D3077" s="1"/>
      <c r="E3077" s="25"/>
      <c r="F3077" s="26"/>
      <c r="G3077" s="26"/>
      <c r="L3077" s="25"/>
      <c r="M3077" s="24"/>
      <c r="N3077" s="26"/>
      <c r="O3077" s="26"/>
      <c r="P3077" s="26"/>
      <c r="Q3077" s="26"/>
      <c r="R3077" s="26"/>
      <c r="S3077" s="26"/>
      <c r="T3077" s="26"/>
      <c r="U3077" s="26"/>
      <c r="V3077" s="26"/>
      <c r="W3077" s="26"/>
      <c r="X3077" s="26"/>
      <c r="Y3077" s="26"/>
      <c r="Z3077" s="26"/>
      <c r="AA3077" s="26"/>
      <c r="AB3077" s="26"/>
      <c r="AC3077" s="27"/>
    </row>
    <row r="3078" spans="1:29" x14ac:dyDescent="0.25">
      <c r="A3078" s="1"/>
      <c r="B3078" s="19"/>
      <c r="C3078" s="24"/>
      <c r="D3078" s="1"/>
      <c r="E3078" s="25"/>
      <c r="F3078" s="26"/>
      <c r="G3078" s="26"/>
      <c r="L3078" s="25"/>
      <c r="M3078" s="24"/>
      <c r="N3078" s="26"/>
      <c r="O3078" s="26"/>
      <c r="P3078" s="26"/>
      <c r="Q3078" s="26"/>
      <c r="R3078" s="26"/>
      <c r="S3078" s="26"/>
      <c r="T3078" s="26"/>
      <c r="U3078" s="26"/>
      <c r="V3078" s="26"/>
      <c r="W3078" s="26"/>
      <c r="X3078" s="26"/>
      <c r="Y3078" s="26"/>
      <c r="Z3078" s="26"/>
      <c r="AA3078" s="26"/>
      <c r="AB3078" s="26"/>
      <c r="AC3078" s="27"/>
    </row>
    <row r="3079" spans="1:29" x14ac:dyDescent="0.25">
      <c r="A3079" s="1"/>
      <c r="B3079" s="19"/>
      <c r="C3079" s="24"/>
      <c r="D3079" s="1"/>
      <c r="E3079" s="25"/>
      <c r="F3079" s="26"/>
      <c r="G3079" s="26"/>
      <c r="L3079" s="25"/>
      <c r="M3079" s="24"/>
      <c r="N3079" s="26"/>
      <c r="O3079" s="26"/>
      <c r="P3079" s="26"/>
      <c r="Q3079" s="26"/>
      <c r="R3079" s="26"/>
      <c r="S3079" s="26"/>
      <c r="T3079" s="26"/>
      <c r="U3079" s="26"/>
      <c r="V3079" s="26"/>
      <c r="W3079" s="26"/>
      <c r="X3079" s="26"/>
      <c r="Y3079" s="26"/>
      <c r="Z3079" s="26"/>
      <c r="AA3079" s="26"/>
      <c r="AB3079" s="26"/>
      <c r="AC3079" s="27"/>
    </row>
    <row r="3080" spans="1:29" x14ac:dyDescent="0.25">
      <c r="A3080" s="1"/>
      <c r="B3080" s="19"/>
      <c r="C3080" s="24"/>
      <c r="D3080" s="1"/>
      <c r="E3080" s="25"/>
      <c r="F3080" s="26"/>
      <c r="G3080" s="26"/>
      <c r="L3080" s="25"/>
      <c r="M3080" s="24"/>
      <c r="N3080" s="26"/>
      <c r="O3080" s="26"/>
      <c r="P3080" s="26"/>
      <c r="Q3080" s="26"/>
      <c r="R3080" s="26"/>
      <c r="S3080" s="26"/>
      <c r="T3080" s="26"/>
      <c r="U3080" s="26"/>
      <c r="V3080" s="26"/>
      <c r="W3080" s="26"/>
      <c r="X3080" s="26"/>
      <c r="Y3080" s="26"/>
      <c r="Z3080" s="26"/>
      <c r="AA3080" s="26"/>
      <c r="AB3080" s="26"/>
      <c r="AC3080" s="27"/>
    </row>
    <row r="3081" spans="1:29" x14ac:dyDescent="0.25">
      <c r="A3081" s="1"/>
      <c r="B3081" s="19"/>
      <c r="C3081" s="24"/>
      <c r="D3081" s="1"/>
      <c r="E3081" s="25"/>
      <c r="F3081" s="26"/>
      <c r="G3081" s="26"/>
      <c r="L3081" s="25"/>
      <c r="M3081" s="24"/>
      <c r="N3081" s="26"/>
      <c r="O3081" s="26"/>
      <c r="P3081" s="26"/>
      <c r="Q3081" s="26"/>
      <c r="R3081" s="26"/>
      <c r="S3081" s="26"/>
      <c r="T3081" s="26"/>
      <c r="U3081" s="26"/>
      <c r="V3081" s="26"/>
      <c r="W3081" s="26"/>
      <c r="X3081" s="26"/>
      <c r="Y3081" s="26"/>
      <c r="Z3081" s="26"/>
      <c r="AA3081" s="26"/>
      <c r="AB3081" s="26"/>
      <c r="AC3081" s="27"/>
    </row>
    <row r="3082" spans="1:29" x14ac:dyDescent="0.25">
      <c r="A3082" s="1"/>
      <c r="B3082" s="19"/>
      <c r="C3082" s="24"/>
      <c r="D3082" s="1"/>
      <c r="E3082" s="25"/>
      <c r="F3082" s="26"/>
      <c r="G3082" s="26"/>
      <c r="L3082" s="25"/>
      <c r="M3082" s="24"/>
      <c r="N3082" s="26"/>
      <c r="O3082" s="26"/>
      <c r="P3082" s="26"/>
      <c r="Q3082" s="26"/>
      <c r="R3082" s="26"/>
      <c r="S3082" s="26"/>
      <c r="T3082" s="26"/>
      <c r="U3082" s="26"/>
      <c r="V3082" s="26"/>
      <c r="W3082" s="26"/>
      <c r="X3082" s="26"/>
      <c r="Y3082" s="26"/>
      <c r="Z3082" s="26"/>
      <c r="AA3082" s="26"/>
      <c r="AB3082" s="26"/>
      <c r="AC3082" s="27"/>
    </row>
    <row r="3083" spans="1:29" x14ac:dyDescent="0.25">
      <c r="A3083" s="1"/>
      <c r="B3083" s="19"/>
      <c r="C3083" s="24"/>
      <c r="D3083" s="1"/>
      <c r="E3083" s="25"/>
      <c r="F3083" s="26"/>
      <c r="G3083" s="26"/>
      <c r="L3083" s="25"/>
      <c r="M3083" s="24"/>
      <c r="N3083" s="26"/>
      <c r="O3083" s="26"/>
      <c r="P3083" s="26"/>
      <c r="Q3083" s="26"/>
      <c r="R3083" s="26"/>
      <c r="S3083" s="26"/>
      <c r="T3083" s="26"/>
      <c r="U3083" s="26"/>
      <c r="V3083" s="26"/>
      <c r="W3083" s="26"/>
      <c r="X3083" s="26"/>
      <c r="Y3083" s="26"/>
      <c r="Z3083" s="26"/>
      <c r="AA3083" s="26"/>
      <c r="AB3083" s="26"/>
      <c r="AC3083" s="27"/>
    </row>
    <row r="3084" spans="1:29" x14ac:dyDescent="0.25">
      <c r="A3084" s="1"/>
      <c r="B3084" s="19"/>
      <c r="C3084" s="24"/>
      <c r="D3084" s="1"/>
      <c r="E3084" s="25"/>
      <c r="F3084" s="26"/>
      <c r="G3084" s="26"/>
      <c r="L3084" s="25"/>
      <c r="M3084" s="24"/>
      <c r="N3084" s="26"/>
      <c r="O3084" s="26"/>
      <c r="P3084" s="26"/>
      <c r="Q3084" s="26"/>
      <c r="R3084" s="26"/>
      <c r="S3084" s="26"/>
      <c r="T3084" s="26"/>
      <c r="U3084" s="26"/>
      <c r="V3084" s="26"/>
      <c r="W3084" s="26"/>
      <c r="X3084" s="26"/>
      <c r="Y3084" s="26"/>
      <c r="Z3084" s="26"/>
      <c r="AA3084" s="26"/>
      <c r="AB3084" s="26"/>
      <c r="AC3084" s="27"/>
    </row>
    <row r="3085" spans="1:29" x14ac:dyDescent="0.25">
      <c r="A3085" s="1"/>
      <c r="B3085" s="19"/>
      <c r="C3085" s="24"/>
      <c r="D3085" s="1"/>
      <c r="E3085" s="25"/>
      <c r="F3085" s="26"/>
      <c r="G3085" s="26"/>
      <c r="L3085" s="25"/>
      <c r="M3085" s="24"/>
      <c r="N3085" s="26"/>
      <c r="O3085" s="26"/>
      <c r="P3085" s="26"/>
      <c r="Q3085" s="26"/>
      <c r="R3085" s="26"/>
      <c r="S3085" s="26"/>
      <c r="T3085" s="26"/>
      <c r="U3085" s="26"/>
      <c r="V3085" s="26"/>
      <c r="W3085" s="26"/>
      <c r="X3085" s="26"/>
      <c r="Y3085" s="26"/>
      <c r="Z3085" s="26"/>
      <c r="AA3085" s="26"/>
      <c r="AB3085" s="26"/>
      <c r="AC3085" s="27"/>
    </row>
    <row r="3086" spans="1:29" x14ac:dyDescent="0.25">
      <c r="A3086" s="1"/>
      <c r="B3086" s="19"/>
      <c r="C3086" s="24"/>
      <c r="D3086" s="1"/>
      <c r="E3086" s="25"/>
      <c r="F3086" s="26"/>
      <c r="G3086" s="26"/>
      <c r="L3086" s="25"/>
      <c r="M3086" s="24"/>
      <c r="N3086" s="26"/>
      <c r="O3086" s="26"/>
      <c r="P3086" s="26"/>
      <c r="Q3086" s="26"/>
      <c r="R3086" s="26"/>
      <c r="S3086" s="26"/>
      <c r="T3086" s="26"/>
      <c r="U3086" s="26"/>
      <c r="V3086" s="26"/>
      <c r="W3086" s="26"/>
      <c r="X3086" s="26"/>
      <c r="Y3086" s="26"/>
      <c r="Z3086" s="26"/>
      <c r="AA3086" s="26"/>
      <c r="AB3086" s="26"/>
      <c r="AC3086" s="27"/>
    </row>
    <row r="3087" spans="1:29" x14ac:dyDescent="0.25">
      <c r="A3087" s="1"/>
      <c r="B3087" s="19"/>
      <c r="C3087" s="24"/>
      <c r="D3087" s="1"/>
      <c r="E3087" s="25"/>
      <c r="F3087" s="26"/>
      <c r="G3087" s="26"/>
      <c r="L3087" s="25"/>
      <c r="M3087" s="24"/>
      <c r="N3087" s="26"/>
      <c r="O3087" s="26"/>
      <c r="P3087" s="26"/>
      <c r="Q3087" s="26"/>
      <c r="R3087" s="26"/>
      <c r="S3087" s="26"/>
      <c r="T3087" s="26"/>
      <c r="U3087" s="26"/>
      <c r="V3087" s="26"/>
      <c r="W3087" s="26"/>
      <c r="X3087" s="26"/>
      <c r="Y3087" s="26"/>
      <c r="Z3087" s="26"/>
      <c r="AA3087" s="26"/>
      <c r="AB3087" s="26"/>
      <c r="AC3087" s="27"/>
    </row>
    <row r="3088" spans="1:29" x14ac:dyDescent="0.25">
      <c r="A3088" s="1"/>
      <c r="B3088" s="19"/>
      <c r="C3088" s="24"/>
      <c r="D3088" s="1"/>
      <c r="E3088" s="25"/>
      <c r="F3088" s="26"/>
      <c r="G3088" s="26"/>
      <c r="L3088" s="25"/>
      <c r="M3088" s="24"/>
      <c r="N3088" s="26"/>
      <c r="O3088" s="26"/>
      <c r="P3088" s="26"/>
      <c r="Q3088" s="26"/>
      <c r="R3088" s="26"/>
      <c r="S3088" s="26"/>
      <c r="T3088" s="26"/>
      <c r="U3088" s="26"/>
      <c r="V3088" s="26"/>
      <c r="W3088" s="26"/>
      <c r="X3088" s="26"/>
      <c r="Y3088" s="26"/>
      <c r="Z3088" s="26"/>
      <c r="AA3088" s="26"/>
      <c r="AB3088" s="26"/>
      <c r="AC3088" s="27"/>
    </row>
    <row r="3089" spans="1:29" x14ac:dyDescent="0.25">
      <c r="A3089" s="1"/>
      <c r="B3089" s="19"/>
      <c r="C3089" s="24"/>
      <c r="D3089" s="1"/>
      <c r="E3089" s="25"/>
      <c r="F3089" s="26"/>
      <c r="G3089" s="26"/>
      <c r="L3089" s="25"/>
      <c r="M3089" s="24"/>
      <c r="N3089" s="26"/>
      <c r="O3089" s="26"/>
      <c r="P3089" s="26"/>
      <c r="Q3089" s="26"/>
      <c r="R3089" s="26"/>
      <c r="S3089" s="26"/>
      <c r="T3089" s="26"/>
      <c r="U3089" s="26"/>
      <c r="V3089" s="26"/>
      <c r="W3089" s="26"/>
      <c r="X3089" s="26"/>
      <c r="Y3089" s="26"/>
      <c r="Z3089" s="26"/>
      <c r="AA3089" s="26"/>
      <c r="AB3089" s="26"/>
      <c r="AC3089" s="27"/>
    </row>
    <row r="3090" spans="1:29" x14ac:dyDescent="0.25">
      <c r="A3090" s="1"/>
      <c r="B3090" s="19"/>
      <c r="C3090" s="24"/>
      <c r="D3090" s="1"/>
      <c r="E3090" s="25"/>
      <c r="F3090" s="26"/>
      <c r="G3090" s="26"/>
      <c r="L3090" s="25"/>
      <c r="M3090" s="24"/>
      <c r="N3090" s="26"/>
      <c r="O3090" s="26"/>
      <c r="P3090" s="26"/>
      <c r="Q3090" s="26"/>
      <c r="R3090" s="26"/>
      <c r="S3090" s="26"/>
      <c r="T3090" s="26"/>
      <c r="U3090" s="26"/>
      <c r="V3090" s="26"/>
      <c r="W3090" s="26"/>
      <c r="X3090" s="26"/>
      <c r="Y3090" s="26"/>
      <c r="Z3090" s="26"/>
      <c r="AA3090" s="26"/>
      <c r="AB3090" s="26"/>
      <c r="AC3090" s="27"/>
    </row>
    <row r="3091" spans="1:29" x14ac:dyDescent="0.25">
      <c r="A3091" s="1"/>
      <c r="B3091" s="19"/>
      <c r="C3091" s="24"/>
      <c r="D3091" s="1"/>
      <c r="E3091" s="25"/>
      <c r="F3091" s="26"/>
      <c r="G3091" s="26"/>
      <c r="L3091" s="25"/>
      <c r="M3091" s="24"/>
      <c r="N3091" s="26"/>
      <c r="O3091" s="26"/>
      <c r="P3091" s="26"/>
      <c r="Q3091" s="26"/>
      <c r="R3091" s="26"/>
      <c r="S3091" s="26"/>
      <c r="T3091" s="26"/>
      <c r="U3091" s="26"/>
      <c r="V3091" s="26"/>
      <c r="W3091" s="26"/>
      <c r="X3091" s="26"/>
      <c r="Y3091" s="26"/>
      <c r="Z3091" s="26"/>
      <c r="AA3091" s="26"/>
      <c r="AB3091" s="26"/>
      <c r="AC3091" s="27"/>
    </row>
    <row r="3092" spans="1:29" x14ac:dyDescent="0.25">
      <c r="A3092" s="1"/>
      <c r="B3092" s="19"/>
      <c r="C3092" s="24"/>
      <c r="D3092" s="1"/>
      <c r="E3092" s="25"/>
      <c r="F3092" s="26"/>
      <c r="G3092" s="26"/>
      <c r="L3092" s="25"/>
      <c r="M3092" s="24"/>
      <c r="N3092" s="26"/>
      <c r="O3092" s="26"/>
      <c r="P3092" s="26"/>
      <c r="Q3092" s="26"/>
      <c r="R3092" s="26"/>
      <c r="S3092" s="26"/>
      <c r="T3092" s="26"/>
      <c r="U3092" s="26"/>
      <c r="V3092" s="26"/>
      <c r="W3092" s="26"/>
      <c r="X3092" s="26"/>
      <c r="Y3092" s="26"/>
      <c r="Z3092" s="26"/>
      <c r="AA3092" s="26"/>
      <c r="AB3092" s="26"/>
      <c r="AC3092" s="27"/>
    </row>
    <row r="3093" spans="1:29" x14ac:dyDescent="0.25">
      <c r="A3093" s="1"/>
      <c r="B3093" s="19"/>
      <c r="C3093" s="24"/>
      <c r="D3093" s="1"/>
      <c r="E3093" s="25"/>
      <c r="F3093" s="26"/>
      <c r="G3093" s="26"/>
      <c r="L3093" s="25"/>
      <c r="M3093" s="24"/>
      <c r="N3093" s="26"/>
      <c r="O3093" s="26"/>
      <c r="P3093" s="26"/>
      <c r="Q3093" s="26"/>
      <c r="R3093" s="26"/>
      <c r="S3093" s="26"/>
      <c r="T3093" s="26"/>
      <c r="U3093" s="26"/>
      <c r="V3093" s="26"/>
      <c r="W3093" s="26"/>
      <c r="X3093" s="26"/>
      <c r="Y3093" s="26"/>
      <c r="Z3093" s="26"/>
      <c r="AA3093" s="26"/>
      <c r="AB3093" s="26"/>
      <c r="AC3093" s="27"/>
    </row>
    <row r="3094" spans="1:29" x14ac:dyDescent="0.25">
      <c r="A3094" s="1"/>
      <c r="B3094" s="19"/>
      <c r="C3094" s="24"/>
      <c r="D3094" s="1"/>
      <c r="E3094" s="25"/>
      <c r="F3094" s="26"/>
      <c r="G3094" s="26"/>
      <c r="L3094" s="25"/>
      <c r="M3094" s="24"/>
      <c r="N3094" s="26"/>
      <c r="O3094" s="26"/>
      <c r="P3094" s="26"/>
      <c r="Q3094" s="26"/>
      <c r="R3094" s="26"/>
      <c r="S3094" s="26"/>
      <c r="T3094" s="26"/>
      <c r="U3094" s="26"/>
      <c r="V3094" s="26"/>
      <c r="W3094" s="26"/>
      <c r="X3094" s="26"/>
      <c r="Y3094" s="26"/>
      <c r="Z3094" s="26"/>
      <c r="AA3094" s="26"/>
      <c r="AB3094" s="26"/>
      <c r="AC3094" s="27"/>
    </row>
    <row r="3095" spans="1:29" x14ac:dyDescent="0.25">
      <c r="A3095" s="1"/>
      <c r="B3095" s="19"/>
      <c r="C3095" s="24"/>
      <c r="D3095" s="1"/>
      <c r="E3095" s="25"/>
      <c r="F3095" s="26"/>
      <c r="G3095" s="26"/>
      <c r="L3095" s="25"/>
      <c r="M3095" s="24"/>
      <c r="N3095" s="26"/>
      <c r="O3095" s="26"/>
      <c r="P3095" s="26"/>
      <c r="Q3095" s="26"/>
      <c r="R3095" s="26"/>
      <c r="S3095" s="26"/>
      <c r="T3095" s="26"/>
      <c r="U3095" s="26"/>
      <c r="V3095" s="26"/>
      <c r="W3095" s="26"/>
      <c r="X3095" s="26"/>
      <c r="Y3095" s="26"/>
      <c r="Z3095" s="26"/>
      <c r="AA3095" s="26"/>
      <c r="AB3095" s="26"/>
      <c r="AC3095" s="27"/>
    </row>
    <row r="3096" spans="1:29" x14ac:dyDescent="0.25">
      <c r="A3096" s="1"/>
      <c r="B3096" s="19"/>
      <c r="C3096" s="24"/>
      <c r="D3096" s="1"/>
      <c r="E3096" s="25"/>
      <c r="F3096" s="26"/>
      <c r="G3096" s="26"/>
      <c r="L3096" s="25"/>
      <c r="M3096" s="24"/>
      <c r="N3096" s="26"/>
      <c r="O3096" s="26"/>
      <c r="P3096" s="26"/>
      <c r="Q3096" s="26"/>
      <c r="R3096" s="26"/>
      <c r="S3096" s="26"/>
      <c r="T3096" s="26"/>
      <c r="U3096" s="26"/>
      <c r="V3096" s="26"/>
      <c r="W3096" s="26"/>
      <c r="X3096" s="26"/>
      <c r="Y3096" s="26"/>
      <c r="Z3096" s="26"/>
      <c r="AA3096" s="26"/>
      <c r="AB3096" s="26"/>
      <c r="AC3096" s="27"/>
    </row>
    <row r="3097" spans="1:29" x14ac:dyDescent="0.25">
      <c r="A3097" s="1"/>
      <c r="B3097" s="19"/>
      <c r="C3097" s="24"/>
      <c r="D3097" s="1"/>
      <c r="E3097" s="25"/>
      <c r="F3097" s="26"/>
      <c r="G3097" s="26"/>
      <c r="L3097" s="25"/>
      <c r="M3097" s="24"/>
      <c r="N3097" s="26"/>
      <c r="O3097" s="26"/>
      <c r="P3097" s="26"/>
      <c r="Q3097" s="26"/>
      <c r="R3097" s="26"/>
      <c r="S3097" s="26"/>
      <c r="T3097" s="26"/>
      <c r="U3097" s="26"/>
      <c r="V3097" s="26"/>
      <c r="W3097" s="26"/>
      <c r="X3097" s="26"/>
      <c r="Y3097" s="26"/>
      <c r="Z3097" s="26"/>
      <c r="AA3097" s="26"/>
      <c r="AB3097" s="26"/>
      <c r="AC3097" s="27"/>
    </row>
    <row r="3098" spans="1:29" x14ac:dyDescent="0.25">
      <c r="A3098" s="1"/>
      <c r="B3098" s="19"/>
      <c r="C3098" s="24"/>
      <c r="D3098" s="1"/>
      <c r="E3098" s="25"/>
      <c r="F3098" s="26"/>
      <c r="G3098" s="26"/>
      <c r="L3098" s="25"/>
      <c r="M3098" s="24"/>
      <c r="N3098" s="26"/>
      <c r="O3098" s="26"/>
      <c r="P3098" s="26"/>
      <c r="Q3098" s="26"/>
      <c r="R3098" s="26"/>
      <c r="S3098" s="26"/>
      <c r="T3098" s="26"/>
      <c r="U3098" s="26"/>
      <c r="V3098" s="26"/>
      <c r="W3098" s="26"/>
      <c r="X3098" s="26"/>
      <c r="Y3098" s="26"/>
      <c r="Z3098" s="26"/>
      <c r="AA3098" s="26"/>
      <c r="AB3098" s="26"/>
      <c r="AC3098" s="27"/>
    </row>
    <row r="3099" spans="1:29" x14ac:dyDescent="0.25">
      <c r="A3099" s="1"/>
      <c r="B3099" s="19"/>
      <c r="C3099" s="24"/>
      <c r="D3099" s="1"/>
      <c r="E3099" s="25"/>
      <c r="F3099" s="26"/>
      <c r="G3099" s="26"/>
      <c r="L3099" s="25"/>
      <c r="M3099" s="24"/>
      <c r="N3099" s="26"/>
      <c r="O3099" s="26"/>
      <c r="P3099" s="26"/>
      <c r="Q3099" s="26"/>
      <c r="R3099" s="26"/>
      <c r="S3099" s="26"/>
      <c r="T3099" s="26"/>
      <c r="U3099" s="26"/>
      <c r="V3099" s="26"/>
      <c r="W3099" s="26"/>
      <c r="X3099" s="26"/>
      <c r="Y3099" s="26"/>
      <c r="Z3099" s="26"/>
      <c r="AA3099" s="26"/>
      <c r="AB3099" s="26"/>
      <c r="AC3099" s="27"/>
    </row>
    <row r="3100" spans="1:29" x14ac:dyDescent="0.25">
      <c r="A3100" s="1"/>
      <c r="B3100" s="19"/>
      <c r="C3100" s="24"/>
      <c r="D3100" s="1"/>
      <c r="E3100" s="25"/>
      <c r="F3100" s="26"/>
      <c r="G3100" s="26"/>
      <c r="L3100" s="25"/>
      <c r="M3100" s="24"/>
      <c r="N3100" s="26"/>
      <c r="O3100" s="26"/>
      <c r="P3100" s="26"/>
      <c r="Q3100" s="26"/>
      <c r="R3100" s="26"/>
      <c r="S3100" s="26"/>
      <c r="T3100" s="26"/>
      <c r="U3100" s="26"/>
      <c r="V3100" s="26"/>
      <c r="W3100" s="26"/>
      <c r="X3100" s="26"/>
      <c r="Y3100" s="26"/>
      <c r="Z3100" s="26"/>
      <c r="AA3100" s="26"/>
      <c r="AB3100" s="26"/>
      <c r="AC3100" s="27"/>
    </row>
    <row r="3101" spans="1:29" x14ac:dyDescent="0.25">
      <c r="A3101" s="1"/>
      <c r="B3101" s="19"/>
      <c r="C3101" s="24"/>
      <c r="D3101" s="1"/>
      <c r="E3101" s="25"/>
      <c r="F3101" s="26"/>
      <c r="G3101" s="26"/>
      <c r="L3101" s="25"/>
      <c r="M3101" s="24"/>
      <c r="N3101" s="26"/>
      <c r="O3101" s="26"/>
      <c r="P3101" s="26"/>
      <c r="Q3101" s="26"/>
      <c r="R3101" s="26"/>
      <c r="S3101" s="26"/>
      <c r="T3101" s="26"/>
      <c r="U3101" s="26"/>
      <c r="V3101" s="26"/>
      <c r="W3101" s="26"/>
      <c r="X3101" s="26"/>
      <c r="Y3101" s="26"/>
      <c r="Z3101" s="26"/>
      <c r="AA3101" s="26"/>
      <c r="AB3101" s="26"/>
      <c r="AC3101" s="27"/>
    </row>
    <row r="3102" spans="1:29" x14ac:dyDescent="0.25">
      <c r="A3102" s="1"/>
      <c r="B3102" s="19"/>
      <c r="C3102" s="24"/>
      <c r="D3102" s="1"/>
      <c r="E3102" s="25"/>
      <c r="F3102" s="26"/>
      <c r="G3102" s="26"/>
      <c r="L3102" s="25"/>
      <c r="M3102" s="24"/>
      <c r="N3102" s="26"/>
      <c r="O3102" s="26"/>
      <c r="P3102" s="26"/>
      <c r="Q3102" s="26"/>
      <c r="R3102" s="26"/>
      <c r="S3102" s="26"/>
      <c r="T3102" s="26"/>
      <c r="U3102" s="26"/>
      <c r="V3102" s="26"/>
      <c r="W3102" s="26"/>
      <c r="X3102" s="26"/>
      <c r="Y3102" s="26"/>
      <c r="Z3102" s="26"/>
      <c r="AA3102" s="26"/>
      <c r="AB3102" s="26"/>
      <c r="AC3102" s="27"/>
    </row>
    <row r="3103" spans="1:29" x14ac:dyDescent="0.25">
      <c r="A3103" s="1"/>
      <c r="B3103" s="19"/>
      <c r="C3103" s="24"/>
      <c r="D3103" s="1"/>
      <c r="E3103" s="25"/>
      <c r="F3103" s="26"/>
      <c r="G3103" s="26"/>
      <c r="L3103" s="25"/>
      <c r="M3103" s="24"/>
      <c r="N3103" s="26"/>
      <c r="O3103" s="26"/>
      <c r="P3103" s="26"/>
      <c r="Q3103" s="26"/>
      <c r="R3103" s="26"/>
      <c r="S3103" s="26"/>
      <c r="T3103" s="26"/>
      <c r="U3103" s="26"/>
      <c r="V3103" s="26"/>
      <c r="W3103" s="26"/>
      <c r="X3103" s="26"/>
      <c r="Y3103" s="26"/>
      <c r="Z3103" s="26"/>
      <c r="AA3103" s="26"/>
      <c r="AB3103" s="26"/>
      <c r="AC3103" s="27"/>
    </row>
    <row r="3104" spans="1:29" x14ac:dyDescent="0.25">
      <c r="A3104" s="1"/>
      <c r="B3104" s="19"/>
      <c r="C3104" s="24"/>
      <c r="D3104" s="1"/>
      <c r="E3104" s="25"/>
      <c r="F3104" s="26"/>
      <c r="G3104" s="26"/>
      <c r="L3104" s="25"/>
      <c r="M3104" s="24"/>
      <c r="N3104" s="26"/>
      <c r="O3104" s="26"/>
      <c r="P3104" s="26"/>
      <c r="Q3104" s="26"/>
      <c r="R3104" s="26"/>
      <c r="S3104" s="26"/>
      <c r="T3104" s="26"/>
      <c r="U3104" s="26"/>
      <c r="V3104" s="26"/>
      <c r="W3104" s="26"/>
      <c r="X3104" s="26"/>
      <c r="Y3104" s="26"/>
      <c r="Z3104" s="26"/>
      <c r="AA3104" s="26"/>
      <c r="AB3104" s="26"/>
      <c r="AC3104" s="27"/>
    </row>
    <row r="3105" spans="1:29" x14ac:dyDescent="0.25">
      <c r="A3105" s="1"/>
      <c r="B3105" s="19"/>
      <c r="C3105" s="24"/>
      <c r="D3105" s="1"/>
      <c r="E3105" s="25"/>
      <c r="F3105" s="26"/>
      <c r="G3105" s="26"/>
      <c r="L3105" s="25"/>
      <c r="M3105" s="24"/>
      <c r="N3105" s="26"/>
      <c r="O3105" s="26"/>
      <c r="P3105" s="26"/>
      <c r="Q3105" s="26"/>
      <c r="R3105" s="26"/>
      <c r="S3105" s="26"/>
      <c r="T3105" s="26"/>
      <c r="U3105" s="26"/>
      <c r="V3105" s="26"/>
      <c r="W3105" s="26"/>
      <c r="X3105" s="26"/>
      <c r="Y3105" s="26"/>
      <c r="Z3105" s="26"/>
      <c r="AA3105" s="26"/>
      <c r="AB3105" s="26"/>
      <c r="AC3105" s="27"/>
    </row>
    <row r="3106" spans="1:29" x14ac:dyDescent="0.25">
      <c r="A3106" s="1"/>
      <c r="B3106" s="19"/>
      <c r="C3106" s="24"/>
      <c r="D3106" s="1"/>
      <c r="E3106" s="25"/>
      <c r="F3106" s="26"/>
      <c r="G3106" s="26"/>
      <c r="L3106" s="25"/>
      <c r="M3106" s="24"/>
      <c r="N3106" s="26"/>
      <c r="O3106" s="26"/>
      <c r="P3106" s="26"/>
      <c r="Q3106" s="26"/>
      <c r="R3106" s="26"/>
      <c r="S3106" s="26"/>
      <c r="T3106" s="26"/>
      <c r="U3106" s="26"/>
      <c r="V3106" s="26"/>
      <c r="W3106" s="26"/>
      <c r="X3106" s="26"/>
      <c r="Y3106" s="26"/>
      <c r="Z3106" s="26"/>
      <c r="AA3106" s="26"/>
      <c r="AB3106" s="26"/>
      <c r="AC3106" s="27"/>
    </row>
    <row r="3107" spans="1:29" x14ac:dyDescent="0.25">
      <c r="A3107" s="1"/>
      <c r="B3107" s="19"/>
      <c r="C3107" s="24"/>
      <c r="D3107" s="1"/>
      <c r="E3107" s="25"/>
      <c r="F3107" s="26"/>
      <c r="G3107" s="26"/>
      <c r="L3107" s="25"/>
      <c r="M3107" s="24"/>
      <c r="N3107" s="26"/>
      <c r="O3107" s="26"/>
      <c r="P3107" s="26"/>
      <c r="Q3107" s="26"/>
      <c r="R3107" s="26"/>
      <c r="S3107" s="26"/>
      <c r="T3107" s="26"/>
      <c r="U3107" s="26"/>
      <c r="V3107" s="26"/>
      <c r="W3107" s="26"/>
      <c r="X3107" s="26"/>
      <c r="Y3107" s="26"/>
      <c r="Z3107" s="26"/>
      <c r="AA3107" s="26"/>
      <c r="AB3107" s="26"/>
      <c r="AC3107" s="27"/>
    </row>
    <row r="3108" spans="1:29" x14ac:dyDescent="0.25">
      <c r="A3108" s="1"/>
      <c r="B3108" s="19"/>
      <c r="C3108" s="24"/>
      <c r="D3108" s="1"/>
      <c r="E3108" s="25"/>
      <c r="F3108" s="26"/>
      <c r="G3108" s="26"/>
      <c r="L3108" s="25"/>
      <c r="M3108" s="24"/>
      <c r="N3108" s="26"/>
      <c r="O3108" s="26"/>
      <c r="P3108" s="26"/>
      <c r="Q3108" s="26"/>
      <c r="R3108" s="26"/>
      <c r="S3108" s="26"/>
      <c r="T3108" s="26"/>
      <c r="U3108" s="26"/>
      <c r="V3108" s="26"/>
      <c r="W3108" s="26"/>
      <c r="X3108" s="26"/>
      <c r="Y3108" s="26"/>
      <c r="Z3108" s="26"/>
      <c r="AA3108" s="26"/>
      <c r="AB3108" s="26"/>
      <c r="AC3108" s="27"/>
    </row>
    <row r="3109" spans="1:29" x14ac:dyDescent="0.25">
      <c r="A3109" s="1"/>
      <c r="B3109" s="19"/>
      <c r="C3109" s="24"/>
      <c r="D3109" s="1"/>
      <c r="E3109" s="25"/>
      <c r="F3109" s="26"/>
      <c r="G3109" s="26"/>
      <c r="L3109" s="25"/>
      <c r="M3109" s="24"/>
      <c r="N3109" s="26"/>
      <c r="O3109" s="26"/>
      <c r="P3109" s="26"/>
      <c r="Q3109" s="26"/>
      <c r="R3109" s="26"/>
      <c r="S3109" s="26"/>
      <c r="T3109" s="26"/>
      <c r="U3109" s="26"/>
      <c r="V3109" s="26"/>
      <c r="W3109" s="26"/>
      <c r="X3109" s="26"/>
      <c r="Y3109" s="26"/>
      <c r="Z3109" s="26"/>
      <c r="AA3109" s="26"/>
      <c r="AB3109" s="26"/>
      <c r="AC3109" s="27"/>
    </row>
    <row r="3110" spans="1:29" x14ac:dyDescent="0.25">
      <c r="A3110" s="1"/>
      <c r="B3110" s="19"/>
      <c r="C3110" s="24"/>
      <c r="D3110" s="1"/>
      <c r="E3110" s="25"/>
      <c r="F3110" s="26"/>
      <c r="G3110" s="26"/>
      <c r="L3110" s="25"/>
      <c r="M3110" s="24"/>
      <c r="N3110" s="26"/>
      <c r="O3110" s="26"/>
      <c r="P3110" s="26"/>
      <c r="Q3110" s="26"/>
      <c r="R3110" s="26"/>
      <c r="S3110" s="26"/>
      <c r="T3110" s="26"/>
      <c r="U3110" s="26"/>
      <c r="V3110" s="26"/>
      <c r="W3110" s="26"/>
      <c r="X3110" s="26"/>
      <c r="Y3110" s="26"/>
      <c r="Z3110" s="26"/>
      <c r="AA3110" s="26"/>
      <c r="AB3110" s="26"/>
      <c r="AC3110" s="27"/>
    </row>
    <row r="3111" spans="1:29" x14ac:dyDescent="0.25">
      <c r="A3111" s="1"/>
      <c r="B3111" s="19"/>
      <c r="C3111" s="24"/>
      <c r="D3111" s="1"/>
      <c r="E3111" s="25"/>
      <c r="F3111" s="26"/>
      <c r="G3111" s="26"/>
      <c r="L3111" s="25"/>
      <c r="M3111" s="24"/>
      <c r="N3111" s="26"/>
      <c r="O3111" s="26"/>
      <c r="P3111" s="26"/>
      <c r="Q3111" s="26"/>
      <c r="R3111" s="26"/>
      <c r="S3111" s="26"/>
      <c r="T3111" s="26"/>
      <c r="U3111" s="26"/>
      <c r="V3111" s="26"/>
      <c r="W3111" s="26"/>
      <c r="X3111" s="26"/>
      <c r="Y3111" s="26"/>
      <c r="Z3111" s="26"/>
      <c r="AA3111" s="26"/>
      <c r="AB3111" s="26"/>
      <c r="AC3111" s="27"/>
    </row>
    <row r="3112" spans="1:29" x14ac:dyDescent="0.25">
      <c r="A3112" s="1"/>
      <c r="B3112" s="19"/>
      <c r="C3112" s="24"/>
      <c r="D3112" s="1"/>
      <c r="E3112" s="25"/>
      <c r="F3112" s="26"/>
      <c r="G3112" s="26"/>
      <c r="L3112" s="25"/>
      <c r="M3112" s="24"/>
      <c r="N3112" s="26"/>
      <c r="O3112" s="26"/>
      <c r="P3112" s="26"/>
      <c r="Q3112" s="26"/>
      <c r="R3112" s="26"/>
      <c r="S3112" s="26"/>
      <c r="T3112" s="26"/>
      <c r="U3112" s="26"/>
      <c r="V3112" s="26"/>
      <c r="W3112" s="26"/>
      <c r="X3112" s="26"/>
      <c r="Y3112" s="26"/>
      <c r="Z3112" s="26"/>
      <c r="AA3112" s="26"/>
      <c r="AB3112" s="26"/>
      <c r="AC3112" s="27"/>
    </row>
    <row r="3113" spans="1:29" x14ac:dyDescent="0.25">
      <c r="A3113" s="1"/>
      <c r="B3113" s="19"/>
      <c r="C3113" s="24"/>
      <c r="D3113" s="1"/>
      <c r="E3113" s="25"/>
      <c r="F3113" s="26"/>
      <c r="G3113" s="26"/>
      <c r="L3113" s="25"/>
      <c r="M3113" s="24"/>
      <c r="N3113" s="26"/>
      <c r="O3113" s="26"/>
      <c r="P3113" s="26"/>
      <c r="Q3113" s="26"/>
      <c r="R3113" s="26"/>
      <c r="S3113" s="26"/>
      <c r="T3113" s="26"/>
      <c r="U3113" s="26"/>
      <c r="V3113" s="26"/>
      <c r="W3113" s="26"/>
      <c r="X3113" s="26"/>
      <c r="Y3113" s="26"/>
      <c r="Z3113" s="26"/>
      <c r="AA3113" s="26"/>
      <c r="AB3113" s="26"/>
      <c r="AC3113" s="27"/>
    </row>
    <row r="3114" spans="1:29" x14ac:dyDescent="0.25">
      <c r="A3114" s="1"/>
      <c r="B3114" s="19"/>
      <c r="C3114" s="24"/>
      <c r="D3114" s="1"/>
      <c r="E3114" s="25"/>
      <c r="F3114" s="26"/>
      <c r="G3114" s="26"/>
      <c r="L3114" s="25"/>
      <c r="M3114" s="24"/>
      <c r="N3114" s="26"/>
      <c r="O3114" s="26"/>
      <c r="P3114" s="26"/>
      <c r="Q3114" s="26"/>
      <c r="R3114" s="26"/>
      <c r="S3114" s="26"/>
      <c r="T3114" s="26"/>
      <c r="U3114" s="26"/>
      <c r="V3114" s="26"/>
      <c r="W3114" s="26"/>
      <c r="X3114" s="26"/>
      <c r="Y3114" s="26"/>
      <c r="Z3114" s="26"/>
      <c r="AA3114" s="26"/>
      <c r="AB3114" s="26"/>
      <c r="AC3114" s="27"/>
    </row>
    <row r="3115" spans="1:29" x14ac:dyDescent="0.25">
      <c r="A3115" s="1"/>
      <c r="B3115" s="19"/>
      <c r="C3115" s="24"/>
      <c r="D3115" s="1"/>
      <c r="E3115" s="25"/>
      <c r="F3115" s="26"/>
      <c r="G3115" s="26"/>
      <c r="L3115" s="25"/>
      <c r="M3115" s="24"/>
      <c r="N3115" s="26"/>
      <c r="O3115" s="26"/>
      <c r="P3115" s="26"/>
      <c r="Q3115" s="26"/>
      <c r="R3115" s="26"/>
      <c r="S3115" s="26"/>
      <c r="T3115" s="26"/>
      <c r="U3115" s="26"/>
      <c r="V3115" s="26"/>
      <c r="W3115" s="26"/>
      <c r="X3115" s="26"/>
      <c r="Y3115" s="26"/>
      <c r="Z3115" s="26"/>
      <c r="AA3115" s="26"/>
      <c r="AB3115" s="26"/>
      <c r="AC3115" s="27"/>
    </row>
    <row r="3116" spans="1:29" x14ac:dyDescent="0.25">
      <c r="A3116" s="1"/>
      <c r="B3116" s="19"/>
      <c r="C3116" s="24"/>
      <c r="D3116" s="1"/>
      <c r="E3116" s="25"/>
      <c r="F3116" s="26"/>
      <c r="G3116" s="26"/>
      <c r="L3116" s="25"/>
      <c r="M3116" s="24"/>
      <c r="N3116" s="26"/>
      <c r="O3116" s="26"/>
      <c r="P3116" s="26"/>
      <c r="Q3116" s="26"/>
      <c r="R3116" s="26"/>
      <c r="S3116" s="26"/>
      <c r="T3116" s="26"/>
      <c r="U3116" s="26"/>
      <c r="V3116" s="26"/>
      <c r="W3116" s="26"/>
      <c r="X3116" s="26"/>
      <c r="Y3116" s="26"/>
      <c r="Z3116" s="26"/>
      <c r="AA3116" s="26"/>
      <c r="AB3116" s="26"/>
      <c r="AC3116" s="27"/>
    </row>
    <row r="3117" spans="1:29" x14ac:dyDescent="0.25">
      <c r="A3117" s="1"/>
      <c r="B3117" s="19"/>
      <c r="C3117" s="24"/>
      <c r="D3117" s="1"/>
      <c r="E3117" s="25"/>
      <c r="F3117" s="26"/>
      <c r="G3117" s="26"/>
      <c r="L3117" s="25"/>
      <c r="M3117" s="24"/>
      <c r="N3117" s="26"/>
      <c r="O3117" s="26"/>
      <c r="P3117" s="26"/>
      <c r="Q3117" s="26"/>
      <c r="R3117" s="26"/>
      <c r="S3117" s="26"/>
      <c r="T3117" s="26"/>
      <c r="U3117" s="26"/>
      <c r="V3117" s="26"/>
      <c r="W3117" s="26"/>
      <c r="X3117" s="26"/>
      <c r="Y3117" s="26"/>
      <c r="Z3117" s="26"/>
      <c r="AA3117" s="26"/>
      <c r="AB3117" s="26"/>
      <c r="AC3117" s="27"/>
    </row>
    <row r="3118" spans="1:29" x14ac:dyDescent="0.25">
      <c r="A3118" s="1"/>
      <c r="B3118" s="19"/>
      <c r="C3118" s="24"/>
      <c r="D3118" s="1"/>
      <c r="E3118" s="25"/>
      <c r="F3118" s="26"/>
      <c r="G3118" s="26"/>
      <c r="L3118" s="25"/>
      <c r="M3118" s="24"/>
      <c r="N3118" s="26"/>
      <c r="O3118" s="26"/>
      <c r="P3118" s="26"/>
      <c r="Q3118" s="26"/>
      <c r="R3118" s="26"/>
      <c r="S3118" s="26"/>
      <c r="T3118" s="26"/>
      <c r="U3118" s="26"/>
      <c r="V3118" s="26"/>
      <c r="W3118" s="26"/>
      <c r="X3118" s="26"/>
      <c r="Y3118" s="26"/>
      <c r="Z3118" s="26"/>
      <c r="AA3118" s="26"/>
      <c r="AB3118" s="26"/>
      <c r="AC3118" s="27"/>
    </row>
    <row r="3119" spans="1:29" x14ac:dyDescent="0.25">
      <c r="A3119" s="1"/>
      <c r="B3119" s="19"/>
      <c r="C3119" s="24"/>
      <c r="D3119" s="1"/>
      <c r="E3119" s="25"/>
      <c r="F3119" s="26"/>
      <c r="G3119" s="26"/>
      <c r="L3119" s="25"/>
      <c r="M3119" s="24"/>
      <c r="N3119" s="26"/>
      <c r="O3119" s="26"/>
      <c r="P3119" s="26"/>
      <c r="Q3119" s="26"/>
      <c r="R3119" s="26"/>
      <c r="S3119" s="26"/>
      <c r="T3119" s="26"/>
      <c r="U3119" s="26"/>
      <c r="V3119" s="26"/>
      <c r="W3119" s="26"/>
      <c r="X3119" s="26"/>
      <c r="Y3119" s="26"/>
      <c r="Z3119" s="26"/>
      <c r="AA3119" s="26"/>
      <c r="AB3119" s="26"/>
      <c r="AC3119" s="27"/>
    </row>
    <row r="3120" spans="1:29" x14ac:dyDescent="0.25">
      <c r="A3120" s="1"/>
      <c r="B3120" s="19"/>
      <c r="C3120" s="24"/>
      <c r="D3120" s="1"/>
      <c r="E3120" s="25"/>
      <c r="F3120" s="26"/>
      <c r="G3120" s="26"/>
      <c r="L3120" s="25"/>
      <c r="M3120" s="24"/>
      <c r="N3120" s="26"/>
      <c r="O3120" s="26"/>
      <c r="P3120" s="26"/>
      <c r="Q3120" s="26"/>
      <c r="R3120" s="26"/>
      <c r="S3120" s="26"/>
      <c r="T3120" s="26"/>
      <c r="U3120" s="26"/>
      <c r="V3120" s="26"/>
      <c r="W3120" s="26"/>
      <c r="X3120" s="26"/>
      <c r="Y3120" s="26"/>
      <c r="Z3120" s="26"/>
      <c r="AA3120" s="26"/>
      <c r="AB3120" s="26"/>
      <c r="AC3120" s="27"/>
    </row>
    <row r="3121" spans="1:29" x14ac:dyDescent="0.25">
      <c r="A3121" s="1"/>
      <c r="B3121" s="19"/>
      <c r="C3121" s="24"/>
      <c r="D3121" s="1"/>
      <c r="E3121" s="25"/>
      <c r="F3121" s="26"/>
      <c r="G3121" s="26"/>
      <c r="L3121" s="25"/>
      <c r="M3121" s="24"/>
      <c r="N3121" s="26"/>
      <c r="O3121" s="26"/>
      <c r="P3121" s="26"/>
      <c r="Q3121" s="26"/>
      <c r="R3121" s="26"/>
      <c r="S3121" s="26"/>
      <c r="T3121" s="26"/>
      <c r="U3121" s="26"/>
      <c r="V3121" s="26"/>
      <c r="W3121" s="26"/>
      <c r="X3121" s="26"/>
      <c r="Y3121" s="26"/>
      <c r="Z3121" s="26"/>
      <c r="AA3121" s="26"/>
      <c r="AB3121" s="26"/>
      <c r="AC3121" s="27"/>
    </row>
    <row r="3122" spans="1:29" x14ac:dyDescent="0.25">
      <c r="A3122" s="1"/>
      <c r="B3122" s="19"/>
      <c r="C3122" s="24"/>
      <c r="D3122" s="1"/>
      <c r="E3122" s="25"/>
      <c r="F3122" s="26"/>
      <c r="G3122" s="26"/>
      <c r="L3122" s="25"/>
      <c r="M3122" s="24"/>
      <c r="N3122" s="26"/>
      <c r="O3122" s="26"/>
      <c r="P3122" s="26"/>
      <c r="Q3122" s="26"/>
      <c r="R3122" s="26"/>
      <c r="S3122" s="26"/>
      <c r="T3122" s="26"/>
      <c r="U3122" s="26"/>
      <c r="V3122" s="26"/>
      <c r="W3122" s="26"/>
      <c r="X3122" s="26"/>
      <c r="Y3122" s="26"/>
      <c r="Z3122" s="26"/>
      <c r="AA3122" s="26"/>
      <c r="AB3122" s="26"/>
      <c r="AC3122" s="27"/>
    </row>
    <row r="3123" spans="1:29" x14ac:dyDescent="0.25">
      <c r="A3123" s="1"/>
      <c r="B3123" s="19"/>
      <c r="C3123" s="24"/>
      <c r="D3123" s="1"/>
      <c r="E3123" s="25"/>
      <c r="F3123" s="26"/>
      <c r="G3123" s="26"/>
      <c r="L3123" s="25"/>
      <c r="M3123" s="24"/>
      <c r="N3123" s="26"/>
      <c r="O3123" s="26"/>
      <c r="P3123" s="26"/>
      <c r="Q3123" s="26"/>
      <c r="R3123" s="26"/>
      <c r="S3123" s="26"/>
      <c r="T3123" s="26"/>
      <c r="U3123" s="26"/>
      <c r="V3123" s="26"/>
      <c r="W3123" s="26"/>
      <c r="X3123" s="26"/>
      <c r="Y3123" s="26"/>
      <c r="Z3123" s="26"/>
      <c r="AA3123" s="26"/>
      <c r="AB3123" s="26"/>
      <c r="AC3123" s="27"/>
    </row>
    <row r="3124" spans="1:29" x14ac:dyDescent="0.25">
      <c r="A3124" s="1"/>
      <c r="B3124" s="19"/>
      <c r="C3124" s="24"/>
      <c r="D3124" s="1"/>
      <c r="E3124" s="25"/>
      <c r="F3124" s="26"/>
      <c r="G3124" s="26"/>
      <c r="L3124" s="25"/>
      <c r="M3124" s="24"/>
      <c r="N3124" s="26"/>
      <c r="O3124" s="26"/>
      <c r="P3124" s="26"/>
      <c r="Q3124" s="26"/>
      <c r="R3124" s="26"/>
      <c r="S3124" s="26"/>
      <c r="T3124" s="26"/>
      <c r="U3124" s="26"/>
      <c r="V3124" s="26"/>
      <c r="W3124" s="26"/>
      <c r="X3124" s="26"/>
      <c r="Y3124" s="26"/>
      <c r="Z3124" s="26"/>
      <c r="AA3124" s="26"/>
      <c r="AB3124" s="26"/>
      <c r="AC3124" s="27"/>
    </row>
    <row r="3125" spans="1:29" x14ac:dyDescent="0.25">
      <c r="A3125" s="1"/>
      <c r="B3125" s="19"/>
      <c r="C3125" s="24"/>
      <c r="D3125" s="1"/>
      <c r="E3125" s="25"/>
      <c r="F3125" s="26"/>
      <c r="G3125" s="26"/>
      <c r="L3125" s="25"/>
      <c r="M3125" s="24"/>
      <c r="N3125" s="26"/>
      <c r="O3125" s="26"/>
      <c r="P3125" s="26"/>
      <c r="Q3125" s="26"/>
      <c r="R3125" s="26"/>
      <c r="S3125" s="26"/>
      <c r="T3125" s="26"/>
      <c r="U3125" s="26"/>
      <c r="V3125" s="26"/>
      <c r="W3125" s="26"/>
      <c r="X3125" s="26"/>
      <c r="Y3125" s="26"/>
      <c r="Z3125" s="26"/>
      <c r="AA3125" s="26"/>
      <c r="AB3125" s="26"/>
      <c r="AC3125" s="27"/>
    </row>
    <row r="3126" spans="1:29" x14ac:dyDescent="0.25">
      <c r="A3126" s="1"/>
      <c r="B3126" s="19"/>
      <c r="C3126" s="24"/>
      <c r="D3126" s="1"/>
      <c r="E3126" s="25"/>
      <c r="F3126" s="26"/>
      <c r="G3126" s="26"/>
      <c r="L3126" s="25"/>
      <c r="M3126" s="24"/>
      <c r="N3126" s="26"/>
      <c r="O3126" s="26"/>
      <c r="P3126" s="26"/>
      <c r="Q3126" s="26"/>
      <c r="R3126" s="26"/>
      <c r="S3126" s="26"/>
      <c r="T3126" s="26"/>
      <c r="U3126" s="26"/>
      <c r="V3126" s="26"/>
      <c r="W3126" s="26"/>
      <c r="X3126" s="26"/>
      <c r="Y3126" s="26"/>
      <c r="Z3126" s="26"/>
      <c r="AA3126" s="26"/>
      <c r="AB3126" s="26"/>
      <c r="AC3126" s="27"/>
    </row>
    <row r="3127" spans="1:29" x14ac:dyDescent="0.25">
      <c r="A3127" s="1"/>
      <c r="B3127" s="19"/>
      <c r="C3127" s="24"/>
      <c r="D3127" s="1"/>
      <c r="E3127" s="25"/>
      <c r="F3127" s="26"/>
      <c r="G3127" s="26"/>
      <c r="L3127" s="25"/>
      <c r="M3127" s="24"/>
      <c r="N3127" s="26"/>
      <c r="O3127" s="26"/>
      <c r="P3127" s="26"/>
      <c r="Q3127" s="26"/>
      <c r="R3127" s="26"/>
      <c r="S3127" s="26"/>
      <c r="T3127" s="26"/>
      <c r="U3127" s="26"/>
      <c r="V3127" s="26"/>
      <c r="W3127" s="26"/>
      <c r="X3127" s="26"/>
      <c r="Y3127" s="26"/>
      <c r="Z3127" s="26"/>
      <c r="AA3127" s="26"/>
      <c r="AB3127" s="26"/>
      <c r="AC3127" s="27"/>
    </row>
    <row r="3128" spans="1:29" x14ac:dyDescent="0.25">
      <c r="A3128" s="1"/>
      <c r="B3128" s="19"/>
      <c r="C3128" s="24"/>
      <c r="D3128" s="1"/>
      <c r="E3128" s="25"/>
      <c r="F3128" s="26"/>
      <c r="G3128" s="26"/>
      <c r="L3128" s="25"/>
      <c r="M3128" s="24"/>
      <c r="N3128" s="26"/>
      <c r="O3128" s="26"/>
      <c r="P3128" s="26"/>
      <c r="Q3128" s="26"/>
      <c r="R3128" s="26"/>
      <c r="S3128" s="26"/>
      <c r="T3128" s="26"/>
      <c r="U3128" s="26"/>
      <c r="V3128" s="26"/>
      <c r="W3128" s="26"/>
      <c r="X3128" s="26"/>
      <c r="Y3128" s="26"/>
      <c r="Z3128" s="26"/>
      <c r="AA3128" s="26"/>
      <c r="AB3128" s="26"/>
      <c r="AC3128" s="27"/>
    </row>
    <row r="3129" spans="1:29" x14ac:dyDescent="0.25">
      <c r="A3129" s="1"/>
      <c r="B3129" s="19"/>
      <c r="C3129" s="24"/>
      <c r="D3129" s="1"/>
      <c r="E3129" s="25"/>
      <c r="F3129" s="26"/>
      <c r="G3129" s="26"/>
      <c r="L3129" s="25"/>
      <c r="M3129" s="24"/>
      <c r="N3129" s="26"/>
      <c r="O3129" s="26"/>
      <c r="P3129" s="26"/>
      <c r="Q3129" s="26"/>
      <c r="R3129" s="26"/>
      <c r="S3129" s="26"/>
      <c r="T3129" s="26"/>
      <c r="U3129" s="26"/>
      <c r="V3129" s="26"/>
      <c r="W3129" s="26"/>
      <c r="X3129" s="26"/>
      <c r="Y3129" s="26"/>
      <c r="Z3129" s="26"/>
      <c r="AA3129" s="26"/>
      <c r="AB3129" s="26"/>
      <c r="AC3129" s="27"/>
    </row>
    <row r="3130" spans="1:29" x14ac:dyDescent="0.25">
      <c r="A3130" s="1"/>
      <c r="B3130" s="19"/>
      <c r="C3130" s="24"/>
      <c r="D3130" s="1"/>
      <c r="E3130" s="25"/>
      <c r="F3130" s="26"/>
      <c r="G3130" s="26"/>
      <c r="L3130" s="25"/>
      <c r="M3130" s="24"/>
      <c r="N3130" s="26"/>
      <c r="O3130" s="26"/>
      <c r="P3130" s="26"/>
      <c r="Q3130" s="26"/>
      <c r="R3130" s="26"/>
      <c r="S3130" s="26"/>
      <c r="T3130" s="26"/>
      <c r="U3130" s="26"/>
      <c r="V3130" s="26"/>
      <c r="W3130" s="26"/>
      <c r="X3130" s="26"/>
      <c r="Y3130" s="26"/>
      <c r="Z3130" s="26"/>
      <c r="AA3130" s="26"/>
      <c r="AB3130" s="26"/>
      <c r="AC3130" s="27"/>
    </row>
    <row r="3131" spans="1:29" x14ac:dyDescent="0.25">
      <c r="A3131" s="1"/>
      <c r="B3131" s="19"/>
      <c r="C3131" s="24"/>
      <c r="D3131" s="1"/>
      <c r="E3131" s="25"/>
      <c r="F3131" s="26"/>
      <c r="G3131" s="26"/>
      <c r="L3131" s="25"/>
      <c r="M3131" s="24"/>
      <c r="N3131" s="26"/>
      <c r="O3131" s="26"/>
      <c r="P3131" s="26"/>
      <c r="Q3131" s="26"/>
      <c r="R3131" s="26"/>
      <c r="S3131" s="26"/>
      <c r="T3131" s="26"/>
      <c r="U3131" s="26"/>
      <c r="V3131" s="26"/>
      <c r="W3131" s="26"/>
      <c r="X3131" s="26"/>
      <c r="Y3131" s="26"/>
      <c r="Z3131" s="26"/>
      <c r="AA3131" s="26"/>
      <c r="AB3131" s="26"/>
      <c r="AC3131" s="27"/>
    </row>
    <row r="3132" spans="1:29" x14ac:dyDescent="0.25">
      <c r="A3132" s="1"/>
      <c r="B3132" s="19"/>
      <c r="C3132" s="24"/>
      <c r="D3132" s="1"/>
      <c r="E3132" s="25"/>
      <c r="F3132" s="26"/>
      <c r="G3132" s="26"/>
      <c r="L3132" s="25"/>
      <c r="M3132" s="24"/>
      <c r="N3132" s="26"/>
      <c r="O3132" s="26"/>
      <c r="P3132" s="26"/>
      <c r="Q3132" s="26"/>
      <c r="R3132" s="26"/>
      <c r="S3132" s="26"/>
      <c r="T3132" s="26"/>
      <c r="U3132" s="26"/>
      <c r="V3132" s="26"/>
      <c r="W3132" s="26"/>
      <c r="X3132" s="26"/>
      <c r="Y3132" s="26"/>
      <c r="Z3132" s="26"/>
      <c r="AA3132" s="26"/>
      <c r="AB3132" s="26"/>
      <c r="AC3132" s="27"/>
    </row>
    <row r="3133" spans="1:29" x14ac:dyDescent="0.25">
      <c r="A3133" s="1"/>
      <c r="B3133" s="19"/>
      <c r="C3133" s="24"/>
      <c r="D3133" s="1"/>
      <c r="E3133" s="25"/>
      <c r="F3133" s="26"/>
      <c r="G3133" s="26"/>
      <c r="L3133" s="25"/>
      <c r="M3133" s="24"/>
      <c r="N3133" s="26"/>
      <c r="O3133" s="26"/>
      <c r="P3133" s="26"/>
      <c r="Q3133" s="26"/>
      <c r="R3133" s="26"/>
      <c r="S3133" s="26"/>
      <c r="T3133" s="26"/>
      <c r="U3133" s="26"/>
      <c r="V3133" s="26"/>
      <c r="W3133" s="26"/>
      <c r="X3133" s="26"/>
      <c r="Y3133" s="26"/>
      <c r="Z3133" s="26"/>
      <c r="AA3133" s="26"/>
      <c r="AB3133" s="26"/>
      <c r="AC3133" s="27"/>
    </row>
    <row r="3134" spans="1:29" x14ac:dyDescent="0.25">
      <c r="A3134" s="1"/>
      <c r="B3134" s="19"/>
      <c r="C3134" s="24"/>
      <c r="D3134" s="1"/>
      <c r="E3134" s="25"/>
      <c r="F3134" s="26"/>
      <c r="G3134" s="26"/>
      <c r="L3134" s="25"/>
      <c r="M3134" s="24"/>
      <c r="N3134" s="26"/>
      <c r="O3134" s="26"/>
      <c r="P3134" s="26"/>
      <c r="Q3134" s="26"/>
      <c r="R3134" s="26"/>
      <c r="S3134" s="26"/>
      <c r="T3134" s="26"/>
      <c r="U3134" s="26"/>
      <c r="V3134" s="26"/>
      <c r="W3134" s="26"/>
      <c r="X3134" s="26"/>
      <c r="Y3134" s="26"/>
      <c r="Z3134" s="26"/>
      <c r="AA3134" s="26"/>
      <c r="AB3134" s="26"/>
      <c r="AC3134" s="27"/>
    </row>
    <row r="3135" spans="1:29" x14ac:dyDescent="0.25">
      <c r="A3135" s="1"/>
      <c r="B3135" s="19"/>
      <c r="C3135" s="24"/>
      <c r="D3135" s="1"/>
      <c r="E3135" s="25"/>
      <c r="F3135" s="26"/>
      <c r="G3135" s="26"/>
      <c r="L3135" s="25"/>
      <c r="M3135" s="24"/>
      <c r="N3135" s="26"/>
      <c r="O3135" s="26"/>
      <c r="P3135" s="26"/>
      <c r="Q3135" s="26"/>
      <c r="R3135" s="26"/>
      <c r="S3135" s="26"/>
      <c r="T3135" s="26"/>
      <c r="U3135" s="26"/>
      <c r="V3135" s="26"/>
      <c r="W3135" s="26"/>
      <c r="X3135" s="26"/>
      <c r="Y3135" s="26"/>
      <c r="Z3135" s="26"/>
      <c r="AA3135" s="26"/>
      <c r="AB3135" s="26"/>
      <c r="AC3135" s="27"/>
    </row>
    <row r="3136" spans="1:29" x14ac:dyDescent="0.25">
      <c r="A3136" s="1"/>
      <c r="B3136" s="19"/>
      <c r="C3136" s="24"/>
      <c r="D3136" s="1"/>
      <c r="E3136" s="25"/>
      <c r="F3136" s="26"/>
      <c r="G3136" s="26"/>
      <c r="L3136" s="25"/>
      <c r="M3136" s="24"/>
      <c r="N3136" s="26"/>
      <c r="O3136" s="26"/>
      <c r="P3136" s="26"/>
      <c r="Q3136" s="26"/>
      <c r="R3136" s="26"/>
      <c r="S3136" s="26"/>
      <c r="T3136" s="26"/>
      <c r="U3136" s="26"/>
      <c r="V3136" s="26"/>
      <c r="W3136" s="26"/>
      <c r="X3136" s="26"/>
      <c r="Y3136" s="26"/>
      <c r="Z3136" s="26"/>
      <c r="AA3136" s="26"/>
      <c r="AB3136" s="26"/>
      <c r="AC3136" s="27"/>
    </row>
    <row r="3137" spans="1:29" x14ac:dyDescent="0.25">
      <c r="A3137" s="1"/>
      <c r="B3137" s="19"/>
      <c r="C3137" s="24"/>
      <c r="D3137" s="1"/>
      <c r="E3137" s="25"/>
      <c r="F3137" s="26"/>
      <c r="G3137" s="26"/>
      <c r="L3137" s="25"/>
      <c r="M3137" s="24"/>
      <c r="N3137" s="26"/>
      <c r="O3137" s="26"/>
      <c r="P3137" s="26"/>
      <c r="Q3137" s="26"/>
      <c r="R3137" s="26"/>
      <c r="S3137" s="26"/>
      <c r="T3137" s="26"/>
      <c r="U3137" s="26"/>
      <c r="V3137" s="26"/>
      <c r="W3137" s="26"/>
      <c r="X3137" s="26"/>
      <c r="Y3137" s="26"/>
      <c r="Z3137" s="26"/>
      <c r="AA3137" s="26"/>
      <c r="AB3137" s="26"/>
      <c r="AC3137" s="27"/>
    </row>
    <row r="3138" spans="1:29" x14ac:dyDescent="0.25">
      <c r="A3138" s="1"/>
      <c r="B3138" s="19"/>
      <c r="C3138" s="24"/>
      <c r="D3138" s="1"/>
      <c r="E3138" s="25"/>
      <c r="F3138" s="26"/>
      <c r="G3138" s="26"/>
      <c r="L3138" s="25"/>
      <c r="M3138" s="24"/>
      <c r="N3138" s="26"/>
      <c r="O3138" s="26"/>
      <c r="P3138" s="26"/>
      <c r="Q3138" s="26"/>
      <c r="R3138" s="26"/>
      <c r="S3138" s="26"/>
      <c r="T3138" s="26"/>
      <c r="U3138" s="26"/>
      <c r="V3138" s="26"/>
      <c r="W3138" s="26"/>
      <c r="X3138" s="26"/>
      <c r="Y3138" s="26"/>
      <c r="Z3138" s="26"/>
      <c r="AA3138" s="26"/>
      <c r="AB3138" s="26"/>
      <c r="AC3138" s="27"/>
    </row>
    <row r="3139" spans="1:29" x14ac:dyDescent="0.25">
      <c r="A3139" s="1"/>
      <c r="B3139" s="19"/>
      <c r="C3139" s="24"/>
      <c r="D3139" s="1"/>
      <c r="E3139" s="25"/>
      <c r="F3139" s="26"/>
      <c r="G3139" s="26"/>
      <c r="L3139" s="25"/>
      <c r="M3139" s="24"/>
      <c r="N3139" s="26"/>
      <c r="O3139" s="26"/>
      <c r="P3139" s="26"/>
      <c r="Q3139" s="26"/>
      <c r="R3139" s="26"/>
      <c r="S3139" s="26"/>
      <c r="T3139" s="26"/>
      <c r="U3139" s="26"/>
      <c r="V3139" s="26"/>
      <c r="W3139" s="26"/>
      <c r="X3139" s="26"/>
      <c r="Y3139" s="26"/>
      <c r="Z3139" s="26"/>
      <c r="AA3139" s="26"/>
      <c r="AB3139" s="26"/>
      <c r="AC3139" s="27"/>
    </row>
    <row r="3140" spans="1:29" x14ac:dyDescent="0.25">
      <c r="A3140" s="1"/>
      <c r="B3140" s="19"/>
      <c r="C3140" s="24"/>
      <c r="D3140" s="1"/>
      <c r="E3140" s="25"/>
      <c r="F3140" s="26"/>
      <c r="G3140" s="26"/>
      <c r="L3140" s="25"/>
      <c r="M3140" s="24"/>
      <c r="N3140" s="26"/>
      <c r="O3140" s="26"/>
      <c r="P3140" s="26"/>
      <c r="Q3140" s="26"/>
      <c r="R3140" s="26"/>
      <c r="S3140" s="26"/>
      <c r="T3140" s="26"/>
      <c r="U3140" s="26"/>
      <c r="V3140" s="26"/>
      <c r="W3140" s="26"/>
      <c r="X3140" s="26"/>
      <c r="Y3140" s="26"/>
      <c r="Z3140" s="26"/>
      <c r="AA3140" s="26"/>
      <c r="AB3140" s="26"/>
      <c r="AC3140" s="27"/>
    </row>
    <row r="3141" spans="1:29" x14ac:dyDescent="0.25">
      <c r="A3141" s="1"/>
      <c r="B3141" s="19"/>
      <c r="C3141" s="24"/>
      <c r="D3141" s="1"/>
      <c r="E3141" s="25"/>
      <c r="F3141" s="26"/>
      <c r="G3141" s="26"/>
      <c r="L3141" s="25"/>
      <c r="M3141" s="24"/>
      <c r="N3141" s="26"/>
      <c r="O3141" s="26"/>
      <c r="P3141" s="26"/>
      <c r="Q3141" s="26"/>
      <c r="R3141" s="26"/>
      <c r="S3141" s="26"/>
      <c r="T3141" s="26"/>
      <c r="U3141" s="26"/>
      <c r="V3141" s="26"/>
      <c r="W3141" s="26"/>
      <c r="X3141" s="26"/>
      <c r="Y3141" s="26"/>
      <c r="Z3141" s="26"/>
      <c r="AA3141" s="26"/>
      <c r="AB3141" s="26"/>
      <c r="AC3141" s="27"/>
    </row>
    <row r="3142" spans="1:29" x14ac:dyDescent="0.25">
      <c r="A3142" s="1"/>
      <c r="B3142" s="19"/>
      <c r="C3142" s="24"/>
      <c r="D3142" s="1"/>
      <c r="E3142" s="25"/>
      <c r="F3142" s="26"/>
      <c r="G3142" s="26"/>
      <c r="L3142" s="25"/>
      <c r="M3142" s="24"/>
      <c r="N3142" s="26"/>
      <c r="O3142" s="26"/>
      <c r="P3142" s="26"/>
      <c r="Q3142" s="26"/>
      <c r="R3142" s="26"/>
      <c r="S3142" s="26"/>
      <c r="T3142" s="26"/>
      <c r="U3142" s="26"/>
      <c r="V3142" s="26"/>
      <c r="W3142" s="26"/>
      <c r="X3142" s="26"/>
      <c r="Y3142" s="26"/>
      <c r="Z3142" s="26"/>
      <c r="AA3142" s="26"/>
      <c r="AB3142" s="26"/>
      <c r="AC3142" s="27"/>
    </row>
    <row r="3143" spans="1:29" x14ac:dyDescent="0.25">
      <c r="A3143" s="1"/>
      <c r="B3143" s="19"/>
      <c r="C3143" s="24"/>
      <c r="D3143" s="1"/>
      <c r="E3143" s="25"/>
      <c r="F3143" s="26"/>
      <c r="G3143" s="26"/>
      <c r="L3143" s="25"/>
      <c r="M3143" s="24"/>
      <c r="N3143" s="26"/>
      <c r="O3143" s="26"/>
      <c r="P3143" s="26"/>
      <c r="Q3143" s="26"/>
      <c r="R3143" s="26"/>
      <c r="S3143" s="26"/>
      <c r="T3143" s="26"/>
      <c r="U3143" s="26"/>
      <c r="V3143" s="26"/>
      <c r="W3143" s="26"/>
      <c r="X3143" s="26"/>
      <c r="Y3143" s="26"/>
      <c r="Z3143" s="26"/>
      <c r="AA3143" s="26"/>
      <c r="AB3143" s="26"/>
      <c r="AC3143" s="27"/>
    </row>
    <row r="3144" spans="1:29" x14ac:dyDescent="0.25">
      <c r="A3144" s="1"/>
      <c r="B3144" s="19"/>
      <c r="C3144" s="24"/>
      <c r="D3144" s="1"/>
      <c r="E3144" s="25"/>
      <c r="F3144" s="26"/>
      <c r="G3144" s="26"/>
      <c r="L3144" s="25"/>
      <c r="M3144" s="24"/>
      <c r="N3144" s="26"/>
      <c r="O3144" s="26"/>
      <c r="P3144" s="26"/>
      <c r="Q3144" s="26"/>
      <c r="R3144" s="26"/>
      <c r="S3144" s="26"/>
      <c r="T3144" s="26"/>
      <c r="U3144" s="26"/>
      <c r="V3144" s="26"/>
      <c r="W3144" s="26"/>
      <c r="X3144" s="26"/>
      <c r="Y3144" s="26"/>
      <c r="Z3144" s="26"/>
      <c r="AA3144" s="26"/>
      <c r="AB3144" s="26"/>
      <c r="AC3144" s="27"/>
    </row>
    <row r="3145" spans="1:29" x14ac:dyDescent="0.25">
      <c r="A3145" s="1"/>
      <c r="B3145" s="19"/>
      <c r="C3145" s="24"/>
      <c r="D3145" s="1"/>
      <c r="E3145" s="25"/>
      <c r="F3145" s="26"/>
      <c r="G3145" s="26"/>
      <c r="L3145" s="25"/>
      <c r="M3145" s="24"/>
      <c r="N3145" s="26"/>
      <c r="O3145" s="26"/>
      <c r="P3145" s="26"/>
      <c r="Q3145" s="26"/>
      <c r="R3145" s="26"/>
      <c r="S3145" s="26"/>
      <c r="T3145" s="26"/>
      <c r="U3145" s="26"/>
      <c r="V3145" s="26"/>
      <c r="W3145" s="26"/>
      <c r="X3145" s="26"/>
      <c r="Y3145" s="26"/>
      <c r="Z3145" s="26"/>
      <c r="AA3145" s="26"/>
      <c r="AB3145" s="26"/>
      <c r="AC3145" s="27"/>
    </row>
    <row r="3146" spans="1:29" x14ac:dyDescent="0.25">
      <c r="A3146" s="1"/>
      <c r="B3146" s="19"/>
      <c r="C3146" s="24"/>
      <c r="D3146" s="1"/>
      <c r="E3146" s="25"/>
      <c r="F3146" s="26"/>
      <c r="G3146" s="26"/>
      <c r="L3146" s="25"/>
      <c r="M3146" s="24"/>
      <c r="N3146" s="26"/>
      <c r="O3146" s="26"/>
      <c r="P3146" s="26"/>
      <c r="Q3146" s="26"/>
      <c r="R3146" s="26"/>
      <c r="S3146" s="26"/>
      <c r="T3146" s="26"/>
      <c r="U3146" s="26"/>
      <c r="V3146" s="26"/>
      <c r="W3146" s="26"/>
      <c r="X3146" s="26"/>
      <c r="Y3146" s="26"/>
      <c r="Z3146" s="26"/>
      <c r="AA3146" s="26"/>
      <c r="AB3146" s="26"/>
      <c r="AC3146" s="27"/>
    </row>
    <row r="3147" spans="1:29" x14ac:dyDescent="0.25">
      <c r="A3147" s="1"/>
      <c r="B3147" s="19"/>
      <c r="C3147" s="24"/>
      <c r="D3147" s="1"/>
      <c r="E3147" s="25"/>
      <c r="F3147" s="26"/>
      <c r="G3147" s="26"/>
      <c r="L3147" s="25"/>
      <c r="M3147" s="24"/>
      <c r="N3147" s="26"/>
      <c r="O3147" s="26"/>
      <c r="P3147" s="26"/>
      <c r="Q3147" s="26"/>
      <c r="R3147" s="26"/>
      <c r="S3147" s="26"/>
      <c r="T3147" s="26"/>
      <c r="U3147" s="26"/>
      <c r="V3147" s="26"/>
      <c r="W3147" s="26"/>
      <c r="X3147" s="26"/>
      <c r="Y3147" s="26"/>
      <c r="Z3147" s="26"/>
      <c r="AA3147" s="26"/>
      <c r="AB3147" s="26"/>
      <c r="AC3147" s="27"/>
    </row>
    <row r="3148" spans="1:29" x14ac:dyDescent="0.25">
      <c r="A3148" s="1"/>
      <c r="B3148" s="19"/>
      <c r="C3148" s="24"/>
      <c r="D3148" s="1"/>
      <c r="E3148" s="25"/>
      <c r="F3148" s="26"/>
      <c r="G3148" s="26"/>
      <c r="L3148" s="25"/>
      <c r="M3148" s="24"/>
      <c r="N3148" s="26"/>
      <c r="O3148" s="26"/>
      <c r="P3148" s="26"/>
      <c r="Q3148" s="26"/>
      <c r="R3148" s="26"/>
      <c r="S3148" s="26"/>
      <c r="T3148" s="26"/>
      <c r="U3148" s="26"/>
      <c r="V3148" s="26"/>
      <c r="W3148" s="26"/>
      <c r="X3148" s="26"/>
      <c r="Y3148" s="26"/>
      <c r="Z3148" s="26"/>
      <c r="AA3148" s="26"/>
      <c r="AB3148" s="26"/>
      <c r="AC3148" s="27"/>
    </row>
    <row r="3149" spans="1:29" x14ac:dyDescent="0.25">
      <c r="A3149" s="1"/>
      <c r="B3149" s="19"/>
      <c r="C3149" s="24"/>
      <c r="D3149" s="1"/>
      <c r="E3149" s="25"/>
      <c r="F3149" s="26"/>
      <c r="G3149" s="26"/>
      <c r="L3149" s="25"/>
      <c r="M3149" s="24"/>
      <c r="N3149" s="26"/>
      <c r="O3149" s="26"/>
      <c r="P3149" s="26"/>
      <c r="Q3149" s="26"/>
      <c r="R3149" s="26"/>
      <c r="S3149" s="26"/>
      <c r="T3149" s="26"/>
      <c r="U3149" s="26"/>
      <c r="V3149" s="26"/>
      <c r="W3149" s="26"/>
      <c r="X3149" s="26"/>
      <c r="Y3149" s="26"/>
      <c r="Z3149" s="26"/>
      <c r="AA3149" s="26"/>
      <c r="AB3149" s="26"/>
      <c r="AC3149" s="27"/>
    </row>
    <row r="3150" spans="1:29" x14ac:dyDescent="0.25">
      <c r="A3150" s="1"/>
      <c r="B3150" s="19"/>
      <c r="C3150" s="24"/>
      <c r="D3150" s="1"/>
      <c r="E3150" s="25"/>
      <c r="F3150" s="26"/>
      <c r="G3150" s="26"/>
      <c r="L3150" s="25"/>
      <c r="M3150" s="24"/>
      <c r="N3150" s="26"/>
      <c r="O3150" s="26"/>
      <c r="P3150" s="26"/>
      <c r="Q3150" s="26"/>
      <c r="R3150" s="26"/>
      <c r="S3150" s="26"/>
      <c r="T3150" s="26"/>
      <c r="U3150" s="26"/>
      <c r="V3150" s="26"/>
      <c r="W3150" s="26"/>
      <c r="X3150" s="26"/>
      <c r="Y3150" s="26"/>
      <c r="Z3150" s="26"/>
      <c r="AA3150" s="26"/>
      <c r="AB3150" s="26"/>
      <c r="AC3150" s="27"/>
    </row>
    <row r="3151" spans="1:29" x14ac:dyDescent="0.25">
      <c r="A3151" s="1"/>
      <c r="B3151" s="19"/>
      <c r="C3151" s="24"/>
      <c r="D3151" s="1"/>
      <c r="E3151" s="25"/>
      <c r="F3151" s="26"/>
      <c r="G3151" s="26"/>
      <c r="L3151" s="25"/>
      <c r="M3151" s="24"/>
      <c r="N3151" s="26"/>
      <c r="O3151" s="26"/>
      <c r="P3151" s="26"/>
      <c r="Q3151" s="26"/>
      <c r="R3151" s="26"/>
      <c r="S3151" s="26"/>
      <c r="T3151" s="26"/>
      <c r="U3151" s="26"/>
      <c r="V3151" s="26"/>
      <c r="W3151" s="26"/>
      <c r="X3151" s="26"/>
      <c r="Y3151" s="26"/>
      <c r="Z3151" s="26"/>
      <c r="AA3151" s="26"/>
      <c r="AB3151" s="26"/>
      <c r="AC3151" s="27"/>
    </row>
    <row r="3152" spans="1:29" x14ac:dyDescent="0.25">
      <c r="A3152" s="1"/>
      <c r="B3152" s="19"/>
      <c r="C3152" s="24"/>
      <c r="D3152" s="1"/>
      <c r="E3152" s="25"/>
      <c r="F3152" s="26"/>
      <c r="G3152" s="26"/>
      <c r="L3152" s="25"/>
      <c r="M3152" s="24"/>
      <c r="N3152" s="26"/>
      <c r="O3152" s="26"/>
      <c r="P3152" s="26"/>
      <c r="Q3152" s="26"/>
      <c r="R3152" s="26"/>
      <c r="S3152" s="26"/>
      <c r="T3152" s="26"/>
      <c r="U3152" s="26"/>
      <c r="V3152" s="26"/>
      <c r="W3152" s="26"/>
      <c r="X3152" s="26"/>
      <c r="Y3152" s="26"/>
      <c r="Z3152" s="26"/>
      <c r="AA3152" s="26"/>
      <c r="AB3152" s="26"/>
      <c r="AC3152" s="27"/>
    </row>
    <row r="3153" spans="1:29" x14ac:dyDescent="0.25">
      <c r="A3153" s="1"/>
      <c r="B3153" s="19"/>
      <c r="C3153" s="24"/>
      <c r="D3153" s="1"/>
      <c r="E3153" s="25"/>
      <c r="F3153" s="26"/>
      <c r="G3153" s="26"/>
      <c r="L3153" s="25"/>
      <c r="M3153" s="24"/>
      <c r="N3153" s="26"/>
      <c r="O3153" s="26"/>
      <c r="P3153" s="26"/>
      <c r="Q3153" s="26"/>
      <c r="R3153" s="26"/>
      <c r="S3153" s="26"/>
      <c r="T3153" s="26"/>
      <c r="U3153" s="26"/>
      <c r="V3153" s="26"/>
      <c r="W3153" s="26"/>
      <c r="X3153" s="26"/>
      <c r="Y3153" s="26"/>
      <c r="Z3153" s="26"/>
      <c r="AA3153" s="26"/>
      <c r="AB3153" s="26"/>
      <c r="AC3153" s="27"/>
    </row>
    <row r="3154" spans="1:29" x14ac:dyDescent="0.25">
      <c r="A3154" s="1"/>
      <c r="B3154" s="19"/>
      <c r="C3154" s="24"/>
      <c r="D3154" s="1"/>
      <c r="E3154" s="25"/>
      <c r="F3154" s="26"/>
      <c r="G3154" s="26"/>
      <c r="L3154" s="25"/>
      <c r="M3154" s="24"/>
      <c r="N3154" s="26"/>
      <c r="O3154" s="26"/>
      <c r="P3154" s="26"/>
      <c r="Q3154" s="26"/>
      <c r="R3154" s="26"/>
      <c r="S3154" s="26"/>
      <c r="T3154" s="26"/>
      <c r="U3154" s="26"/>
      <c r="V3154" s="26"/>
      <c r="W3154" s="26"/>
      <c r="X3154" s="26"/>
      <c r="Y3154" s="26"/>
      <c r="Z3154" s="26"/>
      <c r="AA3154" s="26"/>
      <c r="AB3154" s="26"/>
      <c r="AC3154" s="27"/>
    </row>
    <row r="3155" spans="1:29" x14ac:dyDescent="0.25">
      <c r="A3155" s="1"/>
      <c r="B3155" s="19"/>
      <c r="C3155" s="24"/>
      <c r="D3155" s="1"/>
      <c r="E3155" s="25"/>
      <c r="F3155" s="26"/>
      <c r="G3155" s="26"/>
      <c r="L3155" s="25"/>
      <c r="M3155" s="24"/>
      <c r="N3155" s="26"/>
      <c r="O3155" s="26"/>
      <c r="P3155" s="26"/>
      <c r="Q3155" s="26"/>
      <c r="R3155" s="26"/>
      <c r="S3155" s="26"/>
      <c r="T3155" s="26"/>
      <c r="U3155" s="26"/>
      <c r="V3155" s="26"/>
      <c r="W3155" s="26"/>
      <c r="X3155" s="26"/>
      <c r="Y3155" s="26"/>
      <c r="Z3155" s="26"/>
      <c r="AA3155" s="26"/>
      <c r="AB3155" s="26"/>
      <c r="AC3155" s="27"/>
    </row>
    <row r="3156" spans="1:29" x14ac:dyDescent="0.25">
      <c r="A3156" s="1"/>
      <c r="B3156" s="19"/>
      <c r="C3156" s="24"/>
      <c r="D3156" s="1"/>
      <c r="E3156" s="25"/>
      <c r="F3156" s="26"/>
      <c r="G3156" s="26"/>
      <c r="L3156" s="25"/>
      <c r="M3156" s="24"/>
      <c r="N3156" s="26"/>
      <c r="O3156" s="26"/>
      <c r="P3156" s="26"/>
      <c r="Q3156" s="26"/>
      <c r="R3156" s="26"/>
      <c r="S3156" s="26"/>
      <c r="T3156" s="26"/>
      <c r="U3156" s="26"/>
      <c r="V3156" s="26"/>
      <c r="W3156" s="26"/>
      <c r="X3156" s="26"/>
      <c r="Y3156" s="26"/>
      <c r="Z3156" s="26"/>
      <c r="AA3156" s="26"/>
      <c r="AB3156" s="26"/>
      <c r="AC3156" s="27"/>
    </row>
    <row r="3157" spans="1:29" x14ac:dyDescent="0.25">
      <c r="A3157" s="1"/>
      <c r="B3157" s="19"/>
      <c r="C3157" s="24"/>
      <c r="D3157" s="1"/>
      <c r="E3157" s="25"/>
      <c r="F3157" s="26"/>
      <c r="G3157" s="26"/>
      <c r="L3157" s="25"/>
      <c r="M3157" s="24"/>
      <c r="N3157" s="26"/>
      <c r="O3157" s="26"/>
      <c r="P3157" s="26"/>
      <c r="Q3157" s="26"/>
      <c r="R3157" s="26"/>
      <c r="S3157" s="26"/>
      <c r="T3157" s="26"/>
      <c r="U3157" s="26"/>
      <c r="V3157" s="26"/>
      <c r="W3157" s="26"/>
      <c r="X3157" s="26"/>
      <c r="Y3157" s="26"/>
      <c r="Z3157" s="26"/>
      <c r="AA3157" s="26"/>
      <c r="AB3157" s="26"/>
      <c r="AC3157" s="27"/>
    </row>
    <row r="3158" spans="1:29" x14ac:dyDescent="0.25">
      <c r="A3158" s="1"/>
      <c r="B3158" s="19"/>
      <c r="C3158" s="24"/>
      <c r="D3158" s="1"/>
      <c r="E3158" s="25"/>
      <c r="F3158" s="26"/>
      <c r="G3158" s="26"/>
      <c r="L3158" s="25"/>
      <c r="M3158" s="24"/>
      <c r="N3158" s="26"/>
      <c r="O3158" s="26"/>
      <c r="P3158" s="26"/>
      <c r="Q3158" s="26"/>
      <c r="R3158" s="26"/>
      <c r="S3158" s="26"/>
      <c r="T3158" s="26"/>
      <c r="U3158" s="26"/>
      <c r="V3158" s="26"/>
      <c r="W3158" s="26"/>
      <c r="X3158" s="26"/>
      <c r="Y3158" s="26"/>
      <c r="Z3158" s="26"/>
      <c r="AA3158" s="26"/>
      <c r="AB3158" s="26"/>
      <c r="AC3158" s="27"/>
    </row>
    <row r="3159" spans="1:29" x14ac:dyDescent="0.25">
      <c r="A3159" s="1"/>
      <c r="B3159" s="19"/>
      <c r="C3159" s="24"/>
      <c r="D3159" s="1"/>
      <c r="E3159" s="25"/>
      <c r="F3159" s="26"/>
      <c r="G3159" s="26"/>
      <c r="L3159" s="25"/>
      <c r="M3159" s="24"/>
      <c r="N3159" s="26"/>
      <c r="O3159" s="26"/>
      <c r="P3159" s="26"/>
      <c r="Q3159" s="26"/>
      <c r="R3159" s="26"/>
      <c r="S3159" s="26"/>
      <c r="T3159" s="26"/>
      <c r="U3159" s="26"/>
      <c r="V3159" s="26"/>
      <c r="W3159" s="26"/>
      <c r="X3159" s="26"/>
      <c r="Y3159" s="26"/>
      <c r="Z3159" s="26"/>
      <c r="AA3159" s="26"/>
      <c r="AB3159" s="26"/>
      <c r="AC3159" s="27"/>
    </row>
    <row r="3160" spans="1:29" x14ac:dyDescent="0.25">
      <c r="A3160" s="1"/>
      <c r="B3160" s="19"/>
      <c r="C3160" s="24"/>
      <c r="D3160" s="1"/>
      <c r="E3160" s="25"/>
      <c r="F3160" s="26"/>
      <c r="G3160" s="26"/>
      <c r="L3160" s="25"/>
      <c r="M3160" s="24"/>
      <c r="N3160" s="26"/>
      <c r="O3160" s="26"/>
      <c r="P3160" s="26"/>
      <c r="Q3160" s="26"/>
      <c r="R3160" s="26"/>
      <c r="S3160" s="26"/>
      <c r="T3160" s="26"/>
      <c r="U3160" s="26"/>
      <c r="V3160" s="26"/>
      <c r="W3160" s="26"/>
      <c r="X3160" s="26"/>
      <c r="Y3160" s="26"/>
      <c r="Z3160" s="26"/>
      <c r="AA3160" s="26"/>
      <c r="AB3160" s="26"/>
      <c r="AC3160" s="27"/>
    </row>
    <row r="3161" spans="1:29" x14ac:dyDescent="0.25">
      <c r="A3161" s="1"/>
      <c r="B3161" s="19"/>
      <c r="C3161" s="24"/>
      <c r="D3161" s="1"/>
      <c r="E3161" s="25"/>
      <c r="F3161" s="26"/>
      <c r="G3161" s="26"/>
      <c r="L3161" s="25"/>
      <c r="M3161" s="24"/>
      <c r="N3161" s="26"/>
      <c r="O3161" s="26"/>
      <c r="P3161" s="26"/>
      <c r="Q3161" s="26"/>
      <c r="R3161" s="26"/>
      <c r="S3161" s="26"/>
      <c r="T3161" s="26"/>
      <c r="U3161" s="26"/>
      <c r="V3161" s="26"/>
      <c r="W3161" s="26"/>
      <c r="X3161" s="26"/>
      <c r="Y3161" s="26"/>
      <c r="Z3161" s="26"/>
      <c r="AA3161" s="26"/>
      <c r="AB3161" s="26"/>
      <c r="AC3161" s="27"/>
    </row>
    <row r="3162" spans="1:29" x14ac:dyDescent="0.25">
      <c r="A3162" s="1"/>
      <c r="B3162" s="19"/>
      <c r="C3162" s="24"/>
      <c r="D3162" s="1"/>
      <c r="E3162" s="25"/>
      <c r="F3162" s="26"/>
      <c r="G3162" s="26"/>
      <c r="L3162" s="25"/>
      <c r="M3162" s="24"/>
      <c r="N3162" s="26"/>
      <c r="O3162" s="26"/>
      <c r="P3162" s="26"/>
      <c r="Q3162" s="26"/>
      <c r="R3162" s="26"/>
      <c r="S3162" s="26"/>
      <c r="T3162" s="26"/>
      <c r="U3162" s="26"/>
      <c r="V3162" s="26"/>
      <c r="W3162" s="26"/>
      <c r="X3162" s="26"/>
      <c r="Y3162" s="26"/>
      <c r="Z3162" s="26"/>
      <c r="AA3162" s="26"/>
      <c r="AB3162" s="26"/>
      <c r="AC3162" s="27"/>
    </row>
    <row r="3163" spans="1:29" x14ac:dyDescent="0.25">
      <c r="A3163" s="1"/>
      <c r="B3163" s="19"/>
      <c r="C3163" s="24"/>
      <c r="D3163" s="1"/>
      <c r="E3163" s="25"/>
      <c r="F3163" s="26"/>
      <c r="G3163" s="26"/>
      <c r="L3163" s="25"/>
      <c r="M3163" s="24"/>
      <c r="N3163" s="26"/>
      <c r="O3163" s="26"/>
      <c r="P3163" s="26"/>
      <c r="Q3163" s="26"/>
      <c r="R3163" s="26"/>
      <c r="S3163" s="26"/>
      <c r="T3163" s="26"/>
      <c r="U3163" s="26"/>
      <c r="V3163" s="26"/>
      <c r="W3163" s="26"/>
      <c r="X3163" s="26"/>
      <c r="Y3163" s="26"/>
      <c r="Z3163" s="26"/>
      <c r="AA3163" s="26"/>
      <c r="AB3163" s="26"/>
      <c r="AC3163" s="27"/>
    </row>
    <row r="3164" spans="1:29" x14ac:dyDescent="0.25">
      <c r="A3164" s="1"/>
      <c r="B3164" s="19"/>
      <c r="C3164" s="24"/>
      <c r="D3164" s="1"/>
      <c r="E3164" s="25"/>
      <c r="F3164" s="26"/>
      <c r="G3164" s="26"/>
      <c r="L3164" s="25"/>
      <c r="M3164" s="24"/>
      <c r="N3164" s="26"/>
      <c r="O3164" s="26"/>
      <c r="P3164" s="26"/>
      <c r="Q3164" s="26"/>
      <c r="R3164" s="26"/>
      <c r="S3164" s="26"/>
      <c r="T3164" s="26"/>
      <c r="U3164" s="26"/>
      <c r="V3164" s="26"/>
      <c r="W3164" s="26"/>
      <c r="X3164" s="26"/>
      <c r="Y3164" s="26"/>
      <c r="Z3164" s="26"/>
      <c r="AA3164" s="26"/>
      <c r="AB3164" s="26"/>
      <c r="AC3164" s="27"/>
    </row>
    <row r="3165" spans="1:29" x14ac:dyDescent="0.25">
      <c r="A3165" s="1"/>
      <c r="B3165" s="19"/>
      <c r="C3165" s="24"/>
      <c r="D3165" s="1"/>
      <c r="E3165" s="25"/>
      <c r="F3165" s="26"/>
      <c r="G3165" s="26"/>
      <c r="L3165" s="25"/>
      <c r="M3165" s="24"/>
      <c r="N3165" s="26"/>
      <c r="O3165" s="26"/>
      <c r="P3165" s="26"/>
      <c r="Q3165" s="26"/>
      <c r="R3165" s="26"/>
      <c r="S3165" s="26"/>
      <c r="T3165" s="26"/>
      <c r="U3165" s="26"/>
      <c r="V3165" s="26"/>
      <c r="W3165" s="26"/>
      <c r="X3165" s="26"/>
      <c r="Y3165" s="26"/>
      <c r="Z3165" s="26"/>
      <c r="AA3165" s="26"/>
      <c r="AB3165" s="26"/>
      <c r="AC3165" s="27"/>
    </row>
    <row r="3166" spans="1:29" x14ac:dyDescent="0.25">
      <c r="A3166" s="1"/>
      <c r="B3166" s="19"/>
      <c r="C3166" s="24"/>
      <c r="D3166" s="1"/>
      <c r="E3166" s="25"/>
      <c r="F3166" s="26"/>
      <c r="G3166" s="26"/>
      <c r="L3166" s="25"/>
      <c r="M3166" s="24"/>
      <c r="N3166" s="26"/>
      <c r="O3166" s="26"/>
      <c r="P3166" s="26"/>
      <c r="Q3166" s="26"/>
      <c r="R3166" s="26"/>
      <c r="S3166" s="26"/>
      <c r="T3166" s="26"/>
      <c r="U3166" s="26"/>
      <c r="V3166" s="26"/>
      <c r="W3166" s="26"/>
      <c r="X3166" s="26"/>
      <c r="Y3166" s="26"/>
      <c r="Z3166" s="26"/>
      <c r="AA3166" s="26"/>
      <c r="AB3166" s="26"/>
      <c r="AC3166" s="27"/>
    </row>
    <row r="3167" spans="1:29" x14ac:dyDescent="0.25">
      <c r="A3167" s="1"/>
      <c r="B3167" s="19"/>
      <c r="C3167" s="24"/>
      <c r="D3167" s="1"/>
      <c r="E3167" s="25"/>
      <c r="F3167" s="26"/>
      <c r="G3167" s="26"/>
      <c r="L3167" s="25"/>
      <c r="M3167" s="24"/>
      <c r="N3167" s="26"/>
      <c r="O3167" s="26"/>
      <c r="P3167" s="26"/>
      <c r="Q3167" s="26"/>
      <c r="R3167" s="26"/>
      <c r="S3167" s="26"/>
      <c r="T3167" s="26"/>
      <c r="U3167" s="26"/>
      <c r="V3167" s="26"/>
      <c r="W3167" s="26"/>
      <c r="X3167" s="26"/>
      <c r="Y3167" s="26"/>
      <c r="Z3167" s="26"/>
      <c r="AA3167" s="26"/>
      <c r="AB3167" s="26"/>
      <c r="AC3167" s="27"/>
    </row>
    <row r="3168" spans="1:29" x14ac:dyDescent="0.25">
      <c r="A3168" s="1"/>
      <c r="B3168" s="19"/>
      <c r="C3168" s="24"/>
      <c r="D3168" s="1"/>
      <c r="E3168" s="25"/>
      <c r="F3168" s="26"/>
      <c r="G3168" s="26"/>
      <c r="L3168" s="25"/>
      <c r="M3168" s="24"/>
      <c r="N3168" s="26"/>
      <c r="O3168" s="26"/>
      <c r="P3168" s="26"/>
      <c r="Q3168" s="26"/>
      <c r="R3168" s="26"/>
      <c r="S3168" s="26"/>
      <c r="T3168" s="26"/>
      <c r="U3168" s="26"/>
      <c r="V3168" s="26"/>
      <c r="W3168" s="26"/>
      <c r="X3168" s="26"/>
      <c r="Y3168" s="26"/>
      <c r="Z3168" s="26"/>
      <c r="AA3168" s="26"/>
      <c r="AB3168" s="26"/>
      <c r="AC3168" s="27"/>
    </row>
    <row r="3169" spans="1:29" x14ac:dyDescent="0.25">
      <c r="A3169" s="1"/>
      <c r="B3169" s="19"/>
      <c r="C3169" s="24"/>
      <c r="D3169" s="1"/>
      <c r="E3169" s="25"/>
      <c r="F3169" s="26"/>
      <c r="G3169" s="26"/>
      <c r="L3169" s="25"/>
      <c r="M3169" s="24"/>
      <c r="N3169" s="26"/>
      <c r="O3169" s="26"/>
      <c r="P3169" s="26"/>
      <c r="Q3169" s="26"/>
      <c r="R3169" s="26"/>
      <c r="S3169" s="26"/>
      <c r="T3169" s="26"/>
      <c r="U3169" s="26"/>
      <c r="V3169" s="26"/>
      <c r="W3169" s="26"/>
      <c r="X3169" s="26"/>
      <c r="Y3169" s="26"/>
      <c r="Z3169" s="26"/>
      <c r="AA3169" s="26"/>
      <c r="AB3169" s="26"/>
      <c r="AC3169" s="27"/>
    </row>
    <row r="3170" spans="1:29" x14ac:dyDescent="0.25">
      <c r="A3170" s="1"/>
      <c r="B3170" s="19"/>
      <c r="C3170" s="24"/>
      <c r="D3170" s="1"/>
      <c r="E3170" s="25"/>
      <c r="F3170" s="26"/>
      <c r="G3170" s="26"/>
      <c r="L3170" s="25"/>
      <c r="M3170" s="24"/>
      <c r="N3170" s="26"/>
      <c r="O3170" s="26"/>
      <c r="P3170" s="26"/>
      <c r="Q3170" s="26"/>
      <c r="R3170" s="26"/>
      <c r="S3170" s="26"/>
      <c r="T3170" s="26"/>
      <c r="U3170" s="26"/>
      <c r="V3170" s="26"/>
      <c r="W3170" s="26"/>
      <c r="X3170" s="26"/>
      <c r="Y3170" s="26"/>
      <c r="Z3170" s="26"/>
      <c r="AA3170" s="26"/>
      <c r="AB3170" s="26"/>
      <c r="AC3170" s="27"/>
    </row>
    <row r="3171" spans="1:29" x14ac:dyDescent="0.25">
      <c r="A3171" s="1"/>
      <c r="B3171" s="19"/>
      <c r="C3171" s="24"/>
      <c r="D3171" s="1"/>
      <c r="E3171" s="25"/>
      <c r="F3171" s="26"/>
      <c r="G3171" s="26"/>
      <c r="L3171" s="25"/>
      <c r="M3171" s="24"/>
      <c r="N3171" s="26"/>
      <c r="O3171" s="26"/>
      <c r="P3171" s="26"/>
      <c r="Q3171" s="26"/>
      <c r="R3171" s="26"/>
      <c r="S3171" s="26"/>
      <c r="T3171" s="26"/>
      <c r="U3171" s="26"/>
      <c r="V3171" s="26"/>
      <c r="W3171" s="26"/>
      <c r="X3171" s="26"/>
      <c r="Y3171" s="26"/>
      <c r="Z3171" s="26"/>
      <c r="AA3171" s="26"/>
      <c r="AB3171" s="26"/>
      <c r="AC3171" s="27"/>
    </row>
    <row r="3172" spans="1:29" x14ac:dyDescent="0.25">
      <c r="A3172" s="1"/>
      <c r="B3172" s="19"/>
      <c r="C3172" s="24"/>
      <c r="D3172" s="1"/>
      <c r="E3172" s="25"/>
      <c r="F3172" s="26"/>
      <c r="G3172" s="26"/>
      <c r="L3172" s="25"/>
      <c r="M3172" s="24"/>
      <c r="N3172" s="26"/>
      <c r="O3172" s="26"/>
      <c r="P3172" s="26"/>
      <c r="Q3172" s="26"/>
      <c r="R3172" s="26"/>
      <c r="S3172" s="26"/>
      <c r="T3172" s="26"/>
      <c r="U3172" s="26"/>
      <c r="V3172" s="26"/>
      <c r="W3172" s="26"/>
      <c r="X3172" s="26"/>
      <c r="Y3172" s="26"/>
      <c r="Z3172" s="26"/>
      <c r="AA3172" s="26"/>
      <c r="AB3172" s="26"/>
      <c r="AC3172" s="27"/>
    </row>
    <row r="3173" spans="1:29" x14ac:dyDescent="0.25">
      <c r="A3173" s="1"/>
      <c r="B3173" s="19"/>
      <c r="C3173" s="24"/>
      <c r="D3173" s="1"/>
      <c r="E3173" s="25"/>
      <c r="F3173" s="26"/>
      <c r="G3173" s="26"/>
      <c r="L3173" s="25"/>
      <c r="M3173" s="24"/>
      <c r="N3173" s="26"/>
      <c r="O3173" s="26"/>
      <c r="P3173" s="26"/>
      <c r="Q3173" s="26"/>
      <c r="R3173" s="26"/>
      <c r="S3173" s="26"/>
      <c r="T3173" s="26"/>
      <c r="U3173" s="26"/>
      <c r="V3173" s="26"/>
      <c r="W3173" s="26"/>
      <c r="X3173" s="26"/>
      <c r="Y3173" s="26"/>
      <c r="Z3173" s="26"/>
      <c r="AA3173" s="26"/>
      <c r="AB3173" s="26"/>
      <c r="AC3173" s="27"/>
    </row>
    <row r="3174" spans="1:29" x14ac:dyDescent="0.25">
      <c r="A3174" s="1"/>
      <c r="B3174" s="19"/>
      <c r="C3174" s="24"/>
      <c r="D3174" s="1"/>
      <c r="E3174" s="25"/>
      <c r="F3174" s="26"/>
      <c r="G3174" s="26"/>
      <c r="L3174" s="25"/>
      <c r="M3174" s="24"/>
      <c r="N3174" s="26"/>
      <c r="O3174" s="26"/>
      <c r="P3174" s="26"/>
      <c r="Q3174" s="26"/>
      <c r="R3174" s="26"/>
      <c r="S3174" s="26"/>
      <c r="T3174" s="26"/>
      <c r="U3174" s="26"/>
      <c r="V3174" s="26"/>
      <c r="W3174" s="26"/>
      <c r="X3174" s="26"/>
      <c r="Y3174" s="26"/>
      <c r="Z3174" s="26"/>
      <c r="AA3174" s="26"/>
      <c r="AB3174" s="26"/>
      <c r="AC3174" s="27"/>
    </row>
    <row r="3175" spans="1:29" x14ac:dyDescent="0.25">
      <c r="A3175" s="1"/>
      <c r="B3175" s="19"/>
      <c r="C3175" s="24"/>
      <c r="D3175" s="1"/>
      <c r="E3175" s="25"/>
      <c r="F3175" s="26"/>
      <c r="G3175" s="26"/>
      <c r="L3175" s="25"/>
      <c r="M3175" s="24"/>
      <c r="N3175" s="26"/>
      <c r="O3175" s="26"/>
      <c r="P3175" s="26"/>
      <c r="Q3175" s="26"/>
      <c r="R3175" s="26"/>
      <c r="S3175" s="26"/>
      <c r="T3175" s="26"/>
      <c r="U3175" s="26"/>
      <c r="V3175" s="26"/>
      <c r="W3175" s="26"/>
      <c r="X3175" s="26"/>
      <c r="Y3175" s="26"/>
      <c r="Z3175" s="26"/>
      <c r="AA3175" s="26"/>
      <c r="AB3175" s="26"/>
      <c r="AC3175" s="27"/>
    </row>
    <row r="3176" spans="1:29" x14ac:dyDescent="0.25">
      <c r="A3176" s="1"/>
      <c r="B3176" s="19"/>
      <c r="C3176" s="24"/>
      <c r="D3176" s="1"/>
      <c r="E3176" s="25"/>
      <c r="F3176" s="26"/>
      <c r="G3176" s="26"/>
      <c r="L3176" s="25"/>
      <c r="M3176" s="24"/>
      <c r="N3176" s="26"/>
      <c r="O3176" s="26"/>
      <c r="P3176" s="26"/>
      <c r="Q3176" s="26"/>
      <c r="R3176" s="26"/>
      <c r="S3176" s="26"/>
      <c r="T3176" s="26"/>
      <c r="U3176" s="26"/>
      <c r="V3176" s="26"/>
      <c r="W3176" s="26"/>
      <c r="X3176" s="26"/>
      <c r="Y3176" s="26"/>
      <c r="Z3176" s="26"/>
      <c r="AA3176" s="26"/>
      <c r="AB3176" s="26"/>
      <c r="AC3176" s="27"/>
    </row>
    <row r="3177" spans="1:29" x14ac:dyDescent="0.25">
      <c r="A3177" s="1"/>
      <c r="B3177" s="19"/>
      <c r="C3177" s="24"/>
      <c r="D3177" s="1"/>
      <c r="E3177" s="25"/>
      <c r="F3177" s="26"/>
      <c r="G3177" s="26"/>
      <c r="L3177" s="25"/>
      <c r="M3177" s="24"/>
      <c r="N3177" s="26"/>
      <c r="O3177" s="26"/>
      <c r="P3177" s="26"/>
      <c r="Q3177" s="26"/>
      <c r="R3177" s="26"/>
      <c r="S3177" s="26"/>
      <c r="T3177" s="26"/>
      <c r="U3177" s="26"/>
      <c r="V3177" s="26"/>
      <c r="W3177" s="26"/>
      <c r="X3177" s="26"/>
      <c r="Y3177" s="26"/>
      <c r="Z3177" s="26"/>
      <c r="AA3177" s="26"/>
      <c r="AB3177" s="26"/>
      <c r="AC3177" s="27"/>
    </row>
    <row r="3178" spans="1:29" x14ac:dyDescent="0.25">
      <c r="A3178" s="1"/>
      <c r="B3178" s="19"/>
      <c r="C3178" s="24"/>
      <c r="D3178" s="1"/>
      <c r="E3178" s="25"/>
      <c r="F3178" s="26"/>
      <c r="G3178" s="26"/>
      <c r="L3178" s="25"/>
      <c r="M3178" s="24"/>
      <c r="N3178" s="26"/>
      <c r="O3178" s="26"/>
      <c r="P3178" s="26"/>
      <c r="Q3178" s="26"/>
      <c r="R3178" s="26"/>
      <c r="S3178" s="26"/>
      <c r="T3178" s="26"/>
      <c r="U3178" s="26"/>
      <c r="V3178" s="26"/>
      <c r="W3178" s="26"/>
      <c r="X3178" s="26"/>
      <c r="Y3178" s="26"/>
      <c r="Z3178" s="26"/>
      <c r="AA3178" s="26"/>
      <c r="AB3178" s="26"/>
      <c r="AC3178" s="27"/>
    </row>
    <row r="3179" spans="1:29" x14ac:dyDescent="0.25">
      <c r="A3179" s="1"/>
      <c r="B3179" s="19"/>
      <c r="C3179" s="24"/>
      <c r="D3179" s="1"/>
      <c r="E3179" s="25"/>
      <c r="F3179" s="26"/>
      <c r="G3179" s="26"/>
      <c r="L3179" s="25"/>
      <c r="M3179" s="24"/>
      <c r="N3179" s="26"/>
      <c r="O3179" s="26"/>
      <c r="P3179" s="26"/>
      <c r="Q3179" s="26"/>
      <c r="R3179" s="26"/>
      <c r="S3179" s="26"/>
      <c r="T3179" s="26"/>
      <c r="U3179" s="26"/>
      <c r="V3179" s="26"/>
      <c r="W3179" s="26"/>
      <c r="X3179" s="26"/>
      <c r="Y3179" s="26"/>
      <c r="Z3179" s="26"/>
      <c r="AA3179" s="26"/>
      <c r="AB3179" s="26"/>
      <c r="AC3179" s="27"/>
    </row>
    <row r="3180" spans="1:29" x14ac:dyDescent="0.25">
      <c r="A3180" s="1"/>
      <c r="B3180" s="19"/>
      <c r="C3180" s="24"/>
      <c r="D3180" s="1"/>
      <c r="E3180" s="25"/>
      <c r="F3180" s="26"/>
      <c r="G3180" s="26"/>
      <c r="L3180" s="25"/>
      <c r="M3180" s="24"/>
      <c r="N3180" s="26"/>
      <c r="O3180" s="26"/>
      <c r="P3180" s="26"/>
      <c r="Q3180" s="26"/>
      <c r="R3180" s="26"/>
      <c r="S3180" s="26"/>
      <c r="T3180" s="26"/>
      <c r="U3180" s="26"/>
      <c r="V3180" s="26"/>
      <c r="W3180" s="26"/>
      <c r="X3180" s="26"/>
      <c r="Y3180" s="26"/>
      <c r="Z3180" s="26"/>
      <c r="AA3180" s="26"/>
      <c r="AB3180" s="26"/>
      <c r="AC3180" s="27"/>
    </row>
    <row r="3181" spans="1:29" x14ac:dyDescent="0.25">
      <c r="A3181" s="1"/>
      <c r="B3181" s="19"/>
      <c r="C3181" s="24"/>
      <c r="D3181" s="1"/>
      <c r="E3181" s="25"/>
      <c r="F3181" s="26"/>
      <c r="G3181" s="26"/>
      <c r="L3181" s="25"/>
      <c r="M3181" s="24"/>
      <c r="N3181" s="26"/>
      <c r="O3181" s="26"/>
      <c r="P3181" s="26"/>
      <c r="Q3181" s="26"/>
      <c r="R3181" s="26"/>
      <c r="S3181" s="26"/>
      <c r="T3181" s="26"/>
      <c r="U3181" s="26"/>
      <c r="V3181" s="26"/>
      <c r="W3181" s="26"/>
      <c r="X3181" s="26"/>
      <c r="Y3181" s="26"/>
      <c r="Z3181" s="26"/>
      <c r="AA3181" s="26"/>
      <c r="AB3181" s="26"/>
      <c r="AC3181" s="27"/>
    </row>
    <row r="3182" spans="1:29" x14ac:dyDescent="0.25">
      <c r="A3182" s="1"/>
      <c r="B3182" s="19"/>
      <c r="C3182" s="24"/>
      <c r="D3182" s="1"/>
      <c r="E3182" s="25"/>
      <c r="F3182" s="26"/>
      <c r="G3182" s="26"/>
      <c r="L3182" s="25"/>
      <c r="M3182" s="24"/>
      <c r="N3182" s="26"/>
      <c r="O3182" s="26"/>
      <c r="P3182" s="26"/>
      <c r="Q3182" s="26"/>
      <c r="R3182" s="26"/>
      <c r="S3182" s="26"/>
      <c r="T3182" s="26"/>
      <c r="U3182" s="26"/>
      <c r="V3182" s="26"/>
      <c r="W3182" s="26"/>
      <c r="X3182" s="26"/>
      <c r="Y3182" s="26"/>
      <c r="Z3182" s="26"/>
      <c r="AA3182" s="26"/>
      <c r="AB3182" s="26"/>
      <c r="AC3182" s="27"/>
    </row>
    <row r="3183" spans="1:29" x14ac:dyDescent="0.25">
      <c r="A3183" s="1"/>
      <c r="B3183" s="19"/>
      <c r="C3183" s="24"/>
      <c r="D3183" s="1"/>
      <c r="E3183" s="25"/>
      <c r="F3183" s="26"/>
      <c r="G3183" s="26"/>
      <c r="L3183" s="25"/>
      <c r="M3183" s="24"/>
      <c r="N3183" s="26"/>
      <c r="O3183" s="26"/>
      <c r="P3183" s="26"/>
      <c r="Q3183" s="26"/>
      <c r="R3183" s="26"/>
      <c r="S3183" s="26"/>
      <c r="T3183" s="26"/>
      <c r="U3183" s="26"/>
      <c r="V3183" s="26"/>
      <c r="W3183" s="26"/>
      <c r="X3183" s="26"/>
      <c r="Y3183" s="26"/>
      <c r="Z3183" s="26"/>
      <c r="AA3183" s="26"/>
      <c r="AB3183" s="26"/>
      <c r="AC3183" s="27"/>
    </row>
    <row r="3184" spans="1:29" x14ac:dyDescent="0.25">
      <c r="A3184" s="1"/>
      <c r="B3184" s="19"/>
      <c r="C3184" s="24"/>
      <c r="D3184" s="1"/>
      <c r="E3184" s="25"/>
      <c r="F3184" s="26"/>
      <c r="G3184" s="26"/>
      <c r="L3184" s="25"/>
      <c r="M3184" s="24"/>
      <c r="N3184" s="26"/>
      <c r="O3184" s="26"/>
      <c r="P3184" s="26"/>
      <c r="Q3184" s="26"/>
      <c r="R3184" s="26"/>
      <c r="S3184" s="26"/>
      <c r="T3184" s="26"/>
      <c r="U3184" s="26"/>
      <c r="V3184" s="26"/>
      <c r="W3184" s="26"/>
      <c r="X3184" s="26"/>
      <c r="Y3184" s="26"/>
      <c r="Z3184" s="26"/>
      <c r="AA3184" s="26"/>
      <c r="AB3184" s="26"/>
      <c r="AC3184" s="27"/>
    </row>
    <row r="3185" spans="1:29" x14ac:dyDescent="0.25">
      <c r="A3185" s="1"/>
      <c r="B3185" s="19"/>
      <c r="C3185" s="24"/>
      <c r="D3185" s="1"/>
      <c r="E3185" s="25"/>
      <c r="F3185" s="26"/>
      <c r="G3185" s="26"/>
      <c r="L3185" s="25"/>
      <c r="M3185" s="24"/>
      <c r="N3185" s="26"/>
      <c r="O3185" s="26"/>
      <c r="P3185" s="26"/>
      <c r="Q3185" s="26"/>
      <c r="R3185" s="26"/>
      <c r="S3185" s="26"/>
      <c r="T3185" s="26"/>
      <c r="U3185" s="26"/>
      <c r="V3185" s="26"/>
      <c r="W3185" s="26"/>
      <c r="X3185" s="26"/>
      <c r="Y3185" s="26"/>
      <c r="Z3185" s="26"/>
      <c r="AA3185" s="26"/>
      <c r="AB3185" s="26"/>
      <c r="AC3185" s="27"/>
    </row>
    <row r="3186" spans="1:29" x14ac:dyDescent="0.25">
      <c r="A3186" s="1"/>
      <c r="B3186" s="19"/>
      <c r="C3186" s="24"/>
      <c r="D3186" s="1"/>
      <c r="E3186" s="25"/>
      <c r="F3186" s="26"/>
      <c r="G3186" s="26"/>
      <c r="L3186" s="25"/>
      <c r="M3186" s="24"/>
      <c r="N3186" s="26"/>
      <c r="O3186" s="26"/>
      <c r="P3186" s="26"/>
      <c r="Q3186" s="26"/>
      <c r="R3186" s="26"/>
      <c r="S3186" s="26"/>
      <c r="T3186" s="26"/>
      <c r="U3186" s="26"/>
      <c r="V3186" s="26"/>
      <c r="W3186" s="26"/>
      <c r="X3186" s="26"/>
      <c r="Y3186" s="26"/>
      <c r="Z3186" s="26"/>
      <c r="AA3186" s="26"/>
      <c r="AB3186" s="26"/>
      <c r="AC3186" s="27"/>
    </row>
    <row r="3187" spans="1:29" x14ac:dyDescent="0.25">
      <c r="A3187" s="1"/>
      <c r="B3187" s="19"/>
      <c r="C3187" s="24"/>
      <c r="D3187" s="1"/>
      <c r="E3187" s="25"/>
      <c r="F3187" s="26"/>
      <c r="G3187" s="26"/>
      <c r="L3187" s="25"/>
      <c r="M3187" s="24"/>
      <c r="N3187" s="26"/>
      <c r="O3187" s="26"/>
      <c r="P3187" s="26"/>
      <c r="Q3187" s="26"/>
      <c r="R3187" s="26"/>
      <c r="S3187" s="26"/>
      <c r="T3187" s="26"/>
      <c r="U3187" s="26"/>
      <c r="V3187" s="26"/>
      <c r="W3187" s="26"/>
      <c r="X3187" s="26"/>
      <c r="Y3187" s="26"/>
      <c r="Z3187" s="26"/>
      <c r="AA3187" s="26"/>
      <c r="AB3187" s="26"/>
      <c r="AC3187" s="27"/>
    </row>
    <row r="3188" spans="1:29" x14ac:dyDescent="0.25">
      <c r="A3188" s="1"/>
      <c r="B3188" s="19"/>
      <c r="C3188" s="24"/>
      <c r="D3188" s="1"/>
      <c r="E3188" s="25"/>
      <c r="F3188" s="26"/>
      <c r="G3188" s="26"/>
      <c r="L3188" s="25"/>
      <c r="M3188" s="24"/>
      <c r="N3188" s="26"/>
      <c r="O3188" s="26"/>
      <c r="P3188" s="26"/>
      <c r="Q3188" s="26"/>
      <c r="R3188" s="26"/>
      <c r="S3188" s="26"/>
      <c r="T3188" s="26"/>
      <c r="U3188" s="26"/>
      <c r="V3188" s="26"/>
      <c r="W3188" s="26"/>
      <c r="X3188" s="26"/>
      <c r="Y3188" s="26"/>
      <c r="Z3188" s="26"/>
      <c r="AA3188" s="26"/>
      <c r="AB3188" s="26"/>
      <c r="AC3188" s="27"/>
    </row>
    <row r="3189" spans="1:29" x14ac:dyDescent="0.25">
      <c r="A3189" s="1"/>
      <c r="B3189" s="19"/>
      <c r="C3189" s="24"/>
      <c r="D3189" s="1"/>
      <c r="E3189" s="25"/>
      <c r="F3189" s="26"/>
      <c r="G3189" s="26"/>
      <c r="L3189" s="25"/>
      <c r="M3189" s="24"/>
      <c r="N3189" s="26"/>
      <c r="O3189" s="26"/>
      <c r="P3189" s="26"/>
      <c r="Q3189" s="26"/>
      <c r="R3189" s="26"/>
      <c r="S3189" s="26"/>
      <c r="T3189" s="26"/>
      <c r="U3189" s="26"/>
      <c r="V3189" s="26"/>
      <c r="W3189" s="26"/>
      <c r="X3189" s="26"/>
      <c r="Y3189" s="26"/>
      <c r="Z3189" s="26"/>
      <c r="AA3189" s="26"/>
      <c r="AB3189" s="26"/>
      <c r="AC3189" s="27"/>
    </row>
    <row r="3190" spans="1:29" x14ac:dyDescent="0.25">
      <c r="A3190" s="1"/>
      <c r="B3190" s="19"/>
      <c r="C3190" s="24"/>
      <c r="D3190" s="1"/>
      <c r="E3190" s="25"/>
      <c r="F3190" s="26"/>
      <c r="G3190" s="26"/>
      <c r="L3190" s="25"/>
      <c r="M3190" s="24"/>
      <c r="N3190" s="26"/>
      <c r="O3190" s="26"/>
      <c r="P3190" s="26"/>
      <c r="Q3190" s="26"/>
      <c r="R3190" s="26"/>
      <c r="S3190" s="26"/>
      <c r="T3190" s="26"/>
      <c r="U3190" s="26"/>
      <c r="V3190" s="26"/>
      <c r="W3190" s="26"/>
      <c r="X3190" s="26"/>
      <c r="Y3190" s="26"/>
      <c r="Z3190" s="26"/>
      <c r="AA3190" s="26"/>
      <c r="AB3190" s="26"/>
      <c r="AC3190" s="27"/>
    </row>
    <row r="3191" spans="1:29" x14ac:dyDescent="0.25">
      <c r="A3191" s="1"/>
      <c r="B3191" s="19"/>
      <c r="C3191" s="24"/>
      <c r="D3191" s="1"/>
      <c r="E3191" s="25"/>
      <c r="F3191" s="26"/>
      <c r="G3191" s="26"/>
      <c r="L3191" s="25"/>
      <c r="M3191" s="24"/>
      <c r="N3191" s="26"/>
      <c r="O3191" s="26"/>
      <c r="P3191" s="26"/>
      <c r="Q3191" s="26"/>
      <c r="R3191" s="26"/>
      <c r="S3191" s="26"/>
      <c r="T3191" s="26"/>
      <c r="U3191" s="26"/>
      <c r="V3191" s="26"/>
      <c r="W3191" s="26"/>
      <c r="X3191" s="26"/>
      <c r="Y3191" s="26"/>
      <c r="Z3191" s="26"/>
      <c r="AA3191" s="26"/>
      <c r="AB3191" s="26"/>
      <c r="AC3191" s="27"/>
    </row>
    <row r="3192" spans="1:29" x14ac:dyDescent="0.25">
      <c r="A3192" s="1"/>
      <c r="B3192" s="19"/>
      <c r="C3192" s="24"/>
      <c r="D3192" s="1"/>
      <c r="E3192" s="25"/>
      <c r="F3192" s="26"/>
      <c r="G3192" s="26"/>
      <c r="L3192" s="25"/>
      <c r="M3192" s="24"/>
      <c r="N3192" s="26"/>
      <c r="O3192" s="26"/>
      <c r="P3192" s="26"/>
      <c r="Q3192" s="26"/>
      <c r="R3192" s="26"/>
      <c r="S3192" s="26"/>
      <c r="T3192" s="26"/>
      <c r="U3192" s="26"/>
      <c r="V3192" s="26"/>
      <c r="W3192" s="26"/>
      <c r="X3192" s="26"/>
      <c r="Y3192" s="26"/>
      <c r="Z3192" s="26"/>
      <c r="AA3192" s="26"/>
      <c r="AB3192" s="26"/>
      <c r="AC3192" s="27"/>
    </row>
    <row r="3193" spans="1:29" x14ac:dyDescent="0.25">
      <c r="A3193" s="1"/>
      <c r="B3193" s="19"/>
      <c r="C3193" s="24"/>
      <c r="D3193" s="1"/>
      <c r="E3193" s="25"/>
      <c r="F3193" s="26"/>
      <c r="G3193" s="26"/>
      <c r="L3193" s="25"/>
      <c r="M3193" s="24"/>
      <c r="N3193" s="26"/>
      <c r="O3193" s="26"/>
      <c r="P3193" s="26"/>
      <c r="Q3193" s="26"/>
      <c r="R3193" s="26"/>
      <c r="S3193" s="26"/>
      <c r="T3193" s="26"/>
      <c r="U3193" s="26"/>
      <c r="V3193" s="26"/>
      <c r="W3193" s="26"/>
      <c r="X3193" s="26"/>
      <c r="Y3193" s="26"/>
      <c r="Z3193" s="26"/>
      <c r="AA3193" s="26"/>
      <c r="AB3193" s="26"/>
      <c r="AC3193" s="27"/>
    </row>
    <row r="3194" spans="1:29" x14ac:dyDescent="0.25">
      <c r="A3194" s="1"/>
      <c r="B3194" s="19"/>
      <c r="C3194" s="24"/>
      <c r="D3194" s="1"/>
      <c r="E3194" s="25"/>
      <c r="F3194" s="26"/>
      <c r="G3194" s="26"/>
      <c r="L3194" s="25"/>
      <c r="M3194" s="24"/>
      <c r="N3194" s="26"/>
      <c r="O3194" s="26"/>
      <c r="P3194" s="26"/>
      <c r="Q3194" s="26"/>
      <c r="R3194" s="26"/>
      <c r="S3194" s="26"/>
      <c r="T3194" s="26"/>
      <c r="U3194" s="26"/>
      <c r="V3194" s="26"/>
      <c r="W3194" s="26"/>
      <c r="X3194" s="26"/>
      <c r="Y3194" s="26"/>
      <c r="Z3194" s="26"/>
      <c r="AA3194" s="26"/>
      <c r="AB3194" s="26"/>
      <c r="AC3194" s="27"/>
    </row>
    <row r="3195" spans="1:29" x14ac:dyDescent="0.25">
      <c r="A3195" s="1"/>
      <c r="B3195" s="19"/>
      <c r="C3195" s="24"/>
      <c r="D3195" s="1"/>
      <c r="E3195" s="25"/>
      <c r="F3195" s="26"/>
      <c r="G3195" s="26"/>
      <c r="L3195" s="25"/>
      <c r="M3195" s="24"/>
      <c r="N3195" s="26"/>
      <c r="O3195" s="26"/>
      <c r="P3195" s="26"/>
      <c r="Q3195" s="26"/>
      <c r="R3195" s="26"/>
      <c r="S3195" s="26"/>
      <c r="T3195" s="26"/>
      <c r="U3195" s="26"/>
      <c r="V3195" s="26"/>
      <c r="W3195" s="26"/>
      <c r="X3195" s="26"/>
      <c r="Y3195" s="26"/>
      <c r="Z3195" s="26"/>
      <c r="AA3195" s="26"/>
      <c r="AB3195" s="26"/>
      <c r="AC3195" s="27"/>
    </row>
    <row r="3196" spans="1:29" x14ac:dyDescent="0.25">
      <c r="A3196" s="1"/>
      <c r="B3196" s="19"/>
      <c r="C3196" s="24"/>
      <c r="D3196" s="1"/>
      <c r="E3196" s="25"/>
      <c r="F3196" s="26"/>
      <c r="G3196" s="26"/>
      <c r="L3196" s="25"/>
      <c r="M3196" s="24"/>
      <c r="N3196" s="26"/>
      <c r="O3196" s="26"/>
      <c r="P3196" s="26"/>
      <c r="Q3196" s="26"/>
      <c r="R3196" s="26"/>
      <c r="S3196" s="26"/>
      <c r="T3196" s="26"/>
      <c r="U3196" s="26"/>
      <c r="V3196" s="26"/>
      <c r="W3196" s="26"/>
      <c r="X3196" s="26"/>
      <c r="Y3196" s="26"/>
      <c r="Z3196" s="26"/>
      <c r="AA3196" s="26"/>
      <c r="AB3196" s="26"/>
      <c r="AC3196" s="27"/>
    </row>
    <row r="3197" spans="1:29" x14ac:dyDescent="0.25">
      <c r="A3197" s="1"/>
      <c r="B3197" s="19"/>
      <c r="C3197" s="24"/>
      <c r="D3197" s="1"/>
      <c r="E3197" s="25"/>
      <c r="F3197" s="26"/>
      <c r="G3197" s="26"/>
      <c r="L3197" s="25"/>
      <c r="M3197" s="24"/>
      <c r="N3197" s="26"/>
      <c r="O3197" s="26"/>
      <c r="P3197" s="26"/>
      <c r="Q3197" s="26"/>
      <c r="R3197" s="26"/>
      <c r="S3197" s="26"/>
      <c r="T3197" s="26"/>
      <c r="U3197" s="26"/>
      <c r="V3197" s="26"/>
      <c r="W3197" s="26"/>
      <c r="X3197" s="26"/>
      <c r="Y3197" s="26"/>
      <c r="Z3197" s="26"/>
      <c r="AA3197" s="26"/>
      <c r="AB3197" s="26"/>
      <c r="AC3197" s="27"/>
    </row>
    <row r="3198" spans="1:29" x14ac:dyDescent="0.25">
      <c r="A3198" s="1"/>
      <c r="B3198" s="19"/>
      <c r="C3198" s="24"/>
      <c r="D3198" s="1"/>
      <c r="E3198" s="25"/>
      <c r="F3198" s="26"/>
      <c r="G3198" s="26"/>
      <c r="L3198" s="25"/>
      <c r="M3198" s="24"/>
      <c r="N3198" s="26"/>
      <c r="O3198" s="26"/>
      <c r="P3198" s="26"/>
      <c r="Q3198" s="26"/>
      <c r="R3198" s="26"/>
      <c r="S3198" s="26"/>
      <c r="T3198" s="26"/>
      <c r="U3198" s="26"/>
      <c r="V3198" s="26"/>
      <c r="W3198" s="26"/>
      <c r="X3198" s="26"/>
      <c r="Y3198" s="26"/>
      <c r="Z3198" s="26"/>
      <c r="AA3198" s="26"/>
      <c r="AB3198" s="26"/>
      <c r="AC3198" s="27"/>
    </row>
    <row r="3199" spans="1:29" x14ac:dyDescent="0.25">
      <c r="A3199" s="1"/>
      <c r="B3199" s="19"/>
      <c r="C3199" s="24"/>
      <c r="D3199" s="1"/>
      <c r="E3199" s="25"/>
      <c r="F3199" s="26"/>
      <c r="G3199" s="26"/>
      <c r="L3199" s="25"/>
      <c r="M3199" s="24"/>
      <c r="N3199" s="26"/>
      <c r="O3199" s="26"/>
      <c r="P3199" s="26"/>
      <c r="Q3199" s="26"/>
      <c r="R3199" s="26"/>
      <c r="S3199" s="26"/>
      <c r="T3199" s="26"/>
      <c r="U3199" s="26"/>
      <c r="V3199" s="26"/>
      <c r="W3199" s="26"/>
      <c r="X3199" s="26"/>
      <c r="Y3199" s="26"/>
      <c r="Z3199" s="26"/>
      <c r="AA3199" s="26"/>
      <c r="AB3199" s="26"/>
      <c r="AC3199" s="27"/>
    </row>
    <row r="3200" spans="1:29" x14ac:dyDescent="0.25">
      <c r="A3200" s="1"/>
      <c r="B3200" s="19"/>
      <c r="C3200" s="24"/>
      <c r="D3200" s="1"/>
      <c r="E3200" s="25"/>
      <c r="F3200" s="26"/>
      <c r="G3200" s="26"/>
      <c r="L3200" s="25"/>
      <c r="M3200" s="24"/>
      <c r="N3200" s="26"/>
      <c r="O3200" s="26"/>
      <c r="P3200" s="26"/>
      <c r="Q3200" s="26"/>
      <c r="R3200" s="26"/>
      <c r="S3200" s="26"/>
      <c r="T3200" s="26"/>
      <c r="U3200" s="26"/>
      <c r="V3200" s="26"/>
      <c r="W3200" s="26"/>
      <c r="X3200" s="26"/>
      <c r="Y3200" s="26"/>
      <c r="Z3200" s="26"/>
      <c r="AA3200" s="26"/>
      <c r="AB3200" s="26"/>
      <c r="AC3200" s="27"/>
    </row>
    <row r="3201" spans="1:29" x14ac:dyDescent="0.25">
      <c r="A3201" s="1"/>
      <c r="B3201" s="19"/>
      <c r="C3201" s="24"/>
      <c r="D3201" s="1"/>
      <c r="E3201" s="25"/>
      <c r="F3201" s="26"/>
      <c r="G3201" s="26"/>
      <c r="L3201" s="25"/>
      <c r="M3201" s="24"/>
      <c r="N3201" s="26"/>
      <c r="O3201" s="26"/>
      <c r="P3201" s="26"/>
      <c r="Q3201" s="26"/>
      <c r="R3201" s="26"/>
      <c r="S3201" s="26"/>
      <c r="T3201" s="26"/>
      <c r="U3201" s="26"/>
      <c r="V3201" s="26"/>
      <c r="W3201" s="26"/>
      <c r="X3201" s="26"/>
      <c r="Y3201" s="26"/>
      <c r="Z3201" s="26"/>
      <c r="AA3201" s="26"/>
      <c r="AB3201" s="26"/>
      <c r="AC3201" s="27"/>
    </row>
    <row r="3202" spans="1:29" x14ac:dyDescent="0.25">
      <c r="A3202" s="1"/>
      <c r="B3202" s="19"/>
      <c r="C3202" s="24"/>
      <c r="D3202" s="1"/>
      <c r="E3202" s="25"/>
      <c r="F3202" s="26"/>
      <c r="G3202" s="26"/>
      <c r="L3202" s="25"/>
      <c r="M3202" s="24"/>
      <c r="N3202" s="26"/>
      <c r="O3202" s="26"/>
      <c r="P3202" s="26"/>
      <c r="Q3202" s="26"/>
      <c r="R3202" s="26"/>
      <c r="S3202" s="26"/>
      <c r="T3202" s="26"/>
      <c r="U3202" s="26"/>
      <c r="V3202" s="26"/>
      <c r="W3202" s="26"/>
      <c r="X3202" s="26"/>
      <c r="Y3202" s="26"/>
      <c r="Z3202" s="26"/>
      <c r="AA3202" s="26"/>
      <c r="AB3202" s="26"/>
      <c r="AC3202" s="27"/>
    </row>
    <row r="3203" spans="1:29" x14ac:dyDescent="0.25">
      <c r="A3203" s="1"/>
      <c r="B3203" s="19"/>
      <c r="C3203" s="24"/>
      <c r="D3203" s="1"/>
      <c r="E3203" s="25"/>
      <c r="F3203" s="26"/>
      <c r="G3203" s="26"/>
      <c r="L3203" s="25"/>
      <c r="M3203" s="24"/>
      <c r="N3203" s="26"/>
      <c r="O3203" s="26"/>
      <c r="P3203" s="26"/>
      <c r="Q3203" s="26"/>
      <c r="R3203" s="26"/>
      <c r="S3203" s="26"/>
      <c r="T3203" s="26"/>
      <c r="U3203" s="26"/>
      <c r="V3203" s="26"/>
      <c r="W3203" s="26"/>
      <c r="X3203" s="26"/>
      <c r="Y3203" s="26"/>
      <c r="Z3203" s="26"/>
      <c r="AA3203" s="26"/>
      <c r="AB3203" s="26"/>
      <c r="AC3203" s="27"/>
    </row>
    <row r="3204" spans="1:29" x14ac:dyDescent="0.25">
      <c r="A3204" s="1"/>
      <c r="B3204" s="19"/>
      <c r="C3204" s="24"/>
      <c r="D3204" s="1"/>
      <c r="E3204" s="25"/>
      <c r="F3204" s="26"/>
      <c r="G3204" s="26"/>
      <c r="L3204" s="25"/>
      <c r="M3204" s="24"/>
      <c r="N3204" s="26"/>
      <c r="O3204" s="26"/>
      <c r="P3204" s="26"/>
      <c r="Q3204" s="26"/>
      <c r="R3204" s="26"/>
      <c r="S3204" s="26"/>
      <c r="T3204" s="26"/>
      <c r="U3204" s="26"/>
      <c r="V3204" s="26"/>
      <c r="W3204" s="26"/>
      <c r="X3204" s="26"/>
      <c r="Y3204" s="26"/>
      <c r="Z3204" s="26"/>
      <c r="AA3204" s="26"/>
      <c r="AB3204" s="26"/>
      <c r="AC3204" s="27"/>
    </row>
    <row r="3205" spans="1:29" x14ac:dyDescent="0.25">
      <c r="A3205" s="1"/>
      <c r="B3205" s="19"/>
      <c r="C3205" s="24"/>
      <c r="D3205" s="1"/>
      <c r="E3205" s="25"/>
      <c r="F3205" s="26"/>
      <c r="G3205" s="26"/>
      <c r="L3205" s="25"/>
      <c r="M3205" s="24"/>
      <c r="N3205" s="26"/>
      <c r="O3205" s="26"/>
      <c r="P3205" s="26"/>
      <c r="Q3205" s="26"/>
      <c r="R3205" s="26"/>
      <c r="S3205" s="26"/>
      <c r="T3205" s="26"/>
      <c r="U3205" s="26"/>
      <c r="V3205" s="26"/>
      <c r="W3205" s="26"/>
      <c r="X3205" s="26"/>
      <c r="Y3205" s="26"/>
      <c r="Z3205" s="26"/>
      <c r="AA3205" s="26"/>
      <c r="AB3205" s="26"/>
      <c r="AC3205" s="27"/>
    </row>
    <row r="3206" spans="1:29" x14ac:dyDescent="0.25">
      <c r="A3206" s="1"/>
      <c r="B3206" s="19"/>
      <c r="C3206" s="24"/>
      <c r="D3206" s="1"/>
      <c r="E3206" s="25"/>
      <c r="F3206" s="26"/>
      <c r="G3206" s="26"/>
      <c r="L3206" s="25"/>
      <c r="M3206" s="24"/>
      <c r="N3206" s="26"/>
      <c r="O3206" s="26"/>
      <c r="P3206" s="26"/>
      <c r="Q3206" s="26"/>
      <c r="R3206" s="26"/>
      <c r="S3206" s="26"/>
      <c r="T3206" s="26"/>
      <c r="U3206" s="26"/>
      <c r="V3206" s="26"/>
      <c r="W3206" s="26"/>
      <c r="X3206" s="26"/>
      <c r="Y3206" s="26"/>
      <c r="Z3206" s="26"/>
      <c r="AA3206" s="26"/>
      <c r="AB3206" s="26"/>
      <c r="AC3206" s="27"/>
    </row>
    <row r="3207" spans="1:29" x14ac:dyDescent="0.25">
      <c r="A3207" s="1"/>
      <c r="B3207" s="19"/>
      <c r="C3207" s="24"/>
      <c r="D3207" s="1"/>
      <c r="E3207" s="25"/>
      <c r="F3207" s="26"/>
      <c r="G3207" s="26"/>
      <c r="L3207" s="25"/>
      <c r="M3207" s="24"/>
      <c r="N3207" s="26"/>
      <c r="O3207" s="26"/>
      <c r="P3207" s="26"/>
      <c r="Q3207" s="26"/>
      <c r="R3207" s="26"/>
      <c r="S3207" s="26"/>
      <c r="T3207" s="26"/>
      <c r="U3207" s="26"/>
      <c r="V3207" s="26"/>
      <c r="W3207" s="26"/>
      <c r="X3207" s="26"/>
      <c r="Y3207" s="26"/>
      <c r="Z3207" s="26"/>
      <c r="AA3207" s="26"/>
      <c r="AB3207" s="26"/>
      <c r="AC3207" s="27"/>
    </row>
    <row r="3208" spans="1:29" x14ac:dyDescent="0.25">
      <c r="A3208" s="1"/>
      <c r="B3208" s="19"/>
      <c r="C3208" s="24"/>
      <c r="D3208" s="1"/>
      <c r="E3208" s="25"/>
      <c r="F3208" s="26"/>
      <c r="G3208" s="26"/>
      <c r="L3208" s="25"/>
      <c r="M3208" s="24"/>
      <c r="N3208" s="26"/>
      <c r="O3208" s="26"/>
      <c r="P3208" s="26"/>
      <c r="Q3208" s="26"/>
      <c r="R3208" s="26"/>
      <c r="S3208" s="26"/>
      <c r="T3208" s="26"/>
      <c r="U3208" s="26"/>
      <c r="V3208" s="26"/>
      <c r="W3208" s="26"/>
      <c r="X3208" s="26"/>
      <c r="Y3208" s="26"/>
      <c r="Z3208" s="26"/>
      <c r="AA3208" s="26"/>
      <c r="AB3208" s="26"/>
      <c r="AC3208" s="27"/>
    </row>
    <row r="3209" spans="1:29" x14ac:dyDescent="0.25">
      <c r="A3209" s="1"/>
      <c r="B3209" s="19"/>
      <c r="C3209" s="24"/>
      <c r="D3209" s="1"/>
      <c r="E3209" s="25"/>
      <c r="F3209" s="26"/>
      <c r="G3209" s="26"/>
      <c r="L3209" s="25"/>
      <c r="M3209" s="24"/>
      <c r="N3209" s="26"/>
      <c r="O3209" s="26"/>
      <c r="P3209" s="26"/>
      <c r="Q3209" s="26"/>
      <c r="R3209" s="26"/>
      <c r="S3209" s="26"/>
      <c r="T3209" s="26"/>
      <c r="U3209" s="26"/>
      <c r="V3209" s="26"/>
      <c r="W3209" s="26"/>
      <c r="X3209" s="26"/>
      <c r="Y3209" s="26"/>
      <c r="Z3209" s="26"/>
      <c r="AA3209" s="26"/>
      <c r="AB3209" s="26"/>
      <c r="AC3209" s="27"/>
    </row>
    <row r="3210" spans="1:29" x14ac:dyDescent="0.25">
      <c r="A3210" s="1"/>
      <c r="B3210" s="19"/>
      <c r="C3210" s="24"/>
      <c r="D3210" s="1"/>
      <c r="E3210" s="25"/>
      <c r="F3210" s="26"/>
      <c r="G3210" s="26"/>
      <c r="L3210" s="25"/>
      <c r="M3210" s="24"/>
      <c r="N3210" s="26"/>
      <c r="O3210" s="26"/>
      <c r="P3210" s="26"/>
      <c r="Q3210" s="26"/>
      <c r="R3210" s="26"/>
      <c r="S3210" s="26"/>
      <c r="T3210" s="26"/>
      <c r="U3210" s="26"/>
      <c r="V3210" s="26"/>
      <c r="W3210" s="26"/>
      <c r="X3210" s="26"/>
      <c r="Y3210" s="26"/>
      <c r="Z3210" s="26"/>
      <c r="AA3210" s="26"/>
      <c r="AB3210" s="26"/>
      <c r="AC3210" s="27"/>
    </row>
    <row r="3211" spans="1:29" x14ac:dyDescent="0.25">
      <c r="A3211" s="1"/>
      <c r="B3211" s="19"/>
      <c r="C3211" s="24"/>
      <c r="D3211" s="1"/>
      <c r="E3211" s="25"/>
      <c r="F3211" s="26"/>
      <c r="G3211" s="26"/>
      <c r="L3211" s="25"/>
      <c r="M3211" s="24"/>
      <c r="N3211" s="26"/>
      <c r="O3211" s="26"/>
      <c r="P3211" s="26"/>
      <c r="Q3211" s="26"/>
      <c r="R3211" s="26"/>
      <c r="S3211" s="26"/>
      <c r="T3211" s="26"/>
      <c r="U3211" s="26"/>
      <c r="V3211" s="26"/>
      <c r="W3211" s="26"/>
      <c r="X3211" s="26"/>
      <c r="Y3211" s="26"/>
      <c r="Z3211" s="26"/>
      <c r="AA3211" s="26"/>
      <c r="AB3211" s="26"/>
      <c r="AC3211" s="27"/>
    </row>
    <row r="3212" spans="1:29" x14ac:dyDescent="0.25">
      <c r="A3212" s="1"/>
      <c r="B3212" s="19"/>
      <c r="C3212" s="24"/>
      <c r="D3212" s="1"/>
      <c r="E3212" s="25"/>
      <c r="F3212" s="26"/>
      <c r="G3212" s="26"/>
      <c r="L3212" s="25"/>
      <c r="M3212" s="24"/>
      <c r="N3212" s="26"/>
      <c r="O3212" s="26"/>
      <c r="P3212" s="26"/>
      <c r="Q3212" s="26"/>
      <c r="R3212" s="26"/>
      <c r="S3212" s="26"/>
      <c r="T3212" s="26"/>
      <c r="U3212" s="26"/>
      <c r="V3212" s="26"/>
      <c r="W3212" s="26"/>
      <c r="X3212" s="26"/>
      <c r="Y3212" s="26"/>
      <c r="Z3212" s="26"/>
      <c r="AA3212" s="26"/>
      <c r="AB3212" s="26"/>
      <c r="AC3212" s="27"/>
    </row>
    <row r="3213" spans="1:29" x14ac:dyDescent="0.25">
      <c r="A3213" s="1"/>
      <c r="B3213" s="19"/>
      <c r="C3213" s="24"/>
      <c r="D3213" s="1"/>
      <c r="E3213" s="25"/>
      <c r="F3213" s="26"/>
      <c r="G3213" s="26"/>
      <c r="L3213" s="25"/>
      <c r="M3213" s="24"/>
      <c r="N3213" s="26"/>
      <c r="O3213" s="26"/>
      <c r="P3213" s="26"/>
      <c r="Q3213" s="26"/>
      <c r="R3213" s="26"/>
      <c r="S3213" s="26"/>
      <c r="T3213" s="26"/>
      <c r="U3213" s="26"/>
      <c r="V3213" s="26"/>
      <c r="W3213" s="26"/>
      <c r="X3213" s="26"/>
      <c r="Y3213" s="26"/>
      <c r="Z3213" s="26"/>
      <c r="AA3213" s="26"/>
      <c r="AB3213" s="26"/>
      <c r="AC3213" s="27"/>
    </row>
    <row r="3214" spans="1:29" x14ac:dyDescent="0.25">
      <c r="A3214" s="1"/>
      <c r="B3214" s="19"/>
      <c r="C3214" s="24"/>
      <c r="D3214" s="1"/>
      <c r="E3214" s="25"/>
      <c r="F3214" s="26"/>
      <c r="G3214" s="26"/>
      <c r="L3214" s="25"/>
      <c r="M3214" s="24"/>
      <c r="N3214" s="26"/>
      <c r="O3214" s="26"/>
      <c r="P3214" s="26"/>
      <c r="Q3214" s="26"/>
      <c r="R3214" s="26"/>
      <c r="S3214" s="26"/>
      <c r="T3214" s="26"/>
      <c r="U3214" s="26"/>
      <c r="V3214" s="26"/>
      <c r="W3214" s="26"/>
      <c r="X3214" s="26"/>
      <c r="Y3214" s="26"/>
      <c r="Z3214" s="26"/>
      <c r="AA3214" s="26"/>
      <c r="AB3214" s="26"/>
      <c r="AC3214" s="27"/>
    </row>
    <row r="3215" spans="1:29" x14ac:dyDescent="0.25">
      <c r="A3215" s="1"/>
      <c r="B3215" s="19"/>
      <c r="C3215" s="24"/>
      <c r="D3215" s="1"/>
      <c r="E3215" s="25"/>
      <c r="F3215" s="26"/>
      <c r="G3215" s="26"/>
      <c r="L3215" s="25"/>
      <c r="M3215" s="24"/>
      <c r="N3215" s="26"/>
      <c r="O3215" s="26"/>
      <c r="P3215" s="26"/>
      <c r="Q3215" s="26"/>
      <c r="R3215" s="26"/>
      <c r="S3215" s="26"/>
      <c r="T3215" s="26"/>
      <c r="U3215" s="26"/>
      <c r="V3215" s="26"/>
      <c r="W3215" s="26"/>
      <c r="X3215" s="26"/>
      <c r="Y3215" s="26"/>
      <c r="Z3215" s="26"/>
      <c r="AA3215" s="26"/>
      <c r="AB3215" s="26"/>
      <c r="AC3215" s="27"/>
    </row>
    <row r="3216" spans="1:29" x14ac:dyDescent="0.25">
      <c r="A3216" s="1"/>
      <c r="B3216" s="19"/>
      <c r="C3216" s="24"/>
      <c r="D3216" s="1"/>
      <c r="E3216" s="25"/>
      <c r="F3216" s="26"/>
      <c r="G3216" s="26"/>
      <c r="L3216" s="25"/>
      <c r="M3216" s="24"/>
      <c r="N3216" s="26"/>
      <c r="O3216" s="26"/>
      <c r="P3216" s="26"/>
      <c r="Q3216" s="26"/>
      <c r="R3216" s="26"/>
      <c r="S3216" s="26"/>
      <c r="T3216" s="26"/>
      <c r="U3216" s="26"/>
      <c r="V3216" s="26"/>
      <c r="W3216" s="26"/>
      <c r="X3216" s="26"/>
      <c r="Y3216" s="26"/>
      <c r="Z3216" s="26"/>
      <c r="AA3216" s="26"/>
      <c r="AB3216" s="26"/>
      <c r="AC3216" s="27"/>
    </row>
    <row r="3217" spans="1:29" x14ac:dyDescent="0.25">
      <c r="A3217" s="1"/>
      <c r="B3217" s="19"/>
      <c r="C3217" s="24"/>
      <c r="D3217" s="1"/>
      <c r="E3217" s="25"/>
      <c r="F3217" s="26"/>
      <c r="G3217" s="26"/>
      <c r="L3217" s="25"/>
      <c r="M3217" s="24"/>
      <c r="N3217" s="26"/>
      <c r="O3217" s="26"/>
      <c r="P3217" s="26"/>
      <c r="Q3217" s="26"/>
      <c r="R3217" s="26"/>
      <c r="S3217" s="26"/>
      <c r="T3217" s="26"/>
      <c r="U3217" s="26"/>
      <c r="V3217" s="26"/>
      <c r="W3217" s="26"/>
      <c r="X3217" s="26"/>
      <c r="Y3217" s="26"/>
      <c r="Z3217" s="26"/>
      <c r="AA3217" s="26"/>
      <c r="AB3217" s="26"/>
      <c r="AC3217" s="27"/>
    </row>
    <row r="3218" spans="1:29" x14ac:dyDescent="0.25">
      <c r="A3218" s="1"/>
      <c r="B3218" s="19"/>
      <c r="C3218" s="24"/>
      <c r="D3218" s="1"/>
      <c r="E3218" s="25"/>
      <c r="F3218" s="26"/>
      <c r="G3218" s="26"/>
      <c r="L3218" s="25"/>
      <c r="M3218" s="24"/>
      <c r="N3218" s="26"/>
      <c r="O3218" s="26"/>
      <c r="P3218" s="26"/>
      <c r="Q3218" s="26"/>
      <c r="R3218" s="26"/>
      <c r="S3218" s="26"/>
      <c r="T3218" s="26"/>
      <c r="U3218" s="26"/>
      <c r="V3218" s="26"/>
      <c r="W3218" s="26"/>
      <c r="X3218" s="26"/>
      <c r="Y3218" s="26"/>
      <c r="Z3218" s="26"/>
      <c r="AA3218" s="26"/>
      <c r="AB3218" s="26"/>
      <c r="AC3218" s="27"/>
    </row>
    <row r="3219" spans="1:29" x14ac:dyDescent="0.25">
      <c r="A3219" s="1"/>
      <c r="B3219" s="19"/>
      <c r="C3219" s="24"/>
      <c r="D3219" s="1"/>
      <c r="E3219" s="25"/>
      <c r="F3219" s="26"/>
      <c r="G3219" s="26"/>
      <c r="L3219" s="25"/>
      <c r="M3219" s="24"/>
      <c r="N3219" s="26"/>
      <c r="O3219" s="26"/>
      <c r="P3219" s="26"/>
      <c r="Q3219" s="26"/>
      <c r="R3219" s="26"/>
      <c r="S3219" s="26"/>
      <c r="T3219" s="26"/>
      <c r="U3219" s="26"/>
      <c r="V3219" s="26"/>
      <c r="W3219" s="26"/>
      <c r="X3219" s="26"/>
      <c r="Y3219" s="26"/>
      <c r="Z3219" s="26"/>
      <c r="AA3219" s="26"/>
      <c r="AB3219" s="26"/>
      <c r="AC3219" s="27"/>
    </row>
    <row r="3220" spans="1:29" x14ac:dyDescent="0.25">
      <c r="A3220" s="1"/>
      <c r="B3220" s="19"/>
      <c r="C3220" s="24"/>
      <c r="D3220" s="1"/>
      <c r="E3220" s="25"/>
      <c r="F3220" s="26"/>
      <c r="G3220" s="26"/>
      <c r="L3220" s="25"/>
      <c r="M3220" s="24"/>
      <c r="N3220" s="26"/>
      <c r="O3220" s="26"/>
      <c r="P3220" s="26"/>
      <c r="Q3220" s="26"/>
      <c r="R3220" s="26"/>
      <c r="S3220" s="26"/>
      <c r="T3220" s="26"/>
      <c r="U3220" s="26"/>
      <c r="V3220" s="26"/>
      <c r="W3220" s="26"/>
      <c r="X3220" s="26"/>
      <c r="Y3220" s="26"/>
      <c r="Z3220" s="26"/>
      <c r="AA3220" s="26"/>
      <c r="AB3220" s="26"/>
      <c r="AC3220" s="27"/>
    </row>
    <row r="3221" spans="1:29" x14ac:dyDescent="0.25">
      <c r="A3221" s="1"/>
      <c r="B3221" s="19"/>
      <c r="C3221" s="24"/>
      <c r="D3221" s="1"/>
      <c r="E3221" s="25"/>
      <c r="F3221" s="26"/>
      <c r="G3221" s="26"/>
      <c r="L3221" s="25"/>
      <c r="M3221" s="24"/>
      <c r="N3221" s="26"/>
      <c r="O3221" s="26"/>
      <c r="P3221" s="26"/>
      <c r="Q3221" s="26"/>
      <c r="R3221" s="26"/>
      <c r="S3221" s="26"/>
      <c r="T3221" s="26"/>
      <c r="U3221" s="26"/>
      <c r="V3221" s="26"/>
      <c r="W3221" s="26"/>
      <c r="X3221" s="26"/>
      <c r="Y3221" s="26"/>
      <c r="Z3221" s="26"/>
      <c r="AA3221" s="26"/>
      <c r="AB3221" s="26"/>
      <c r="AC3221" s="27"/>
    </row>
    <row r="3222" spans="1:29" x14ac:dyDescent="0.25">
      <c r="A3222" s="1"/>
      <c r="B3222" s="19"/>
      <c r="C3222" s="24"/>
      <c r="D3222" s="1"/>
      <c r="E3222" s="25"/>
      <c r="F3222" s="26"/>
      <c r="G3222" s="26"/>
      <c r="L3222" s="25"/>
      <c r="M3222" s="24"/>
      <c r="N3222" s="26"/>
      <c r="O3222" s="26"/>
      <c r="P3222" s="26"/>
      <c r="Q3222" s="26"/>
      <c r="R3222" s="26"/>
      <c r="S3222" s="26"/>
      <c r="T3222" s="26"/>
      <c r="U3222" s="26"/>
      <c r="V3222" s="26"/>
      <c r="W3222" s="26"/>
      <c r="X3222" s="26"/>
      <c r="Y3222" s="26"/>
      <c r="Z3222" s="26"/>
      <c r="AA3222" s="26"/>
      <c r="AB3222" s="26"/>
      <c r="AC3222" s="27"/>
    </row>
    <row r="3223" spans="1:29" x14ac:dyDescent="0.25">
      <c r="A3223" s="1"/>
      <c r="B3223" s="19"/>
      <c r="C3223" s="24"/>
      <c r="D3223" s="1"/>
      <c r="E3223" s="25"/>
      <c r="F3223" s="26"/>
      <c r="G3223" s="26"/>
      <c r="L3223" s="25"/>
      <c r="M3223" s="24"/>
      <c r="N3223" s="26"/>
      <c r="O3223" s="26"/>
      <c r="P3223" s="26"/>
      <c r="Q3223" s="26"/>
      <c r="R3223" s="26"/>
      <c r="S3223" s="26"/>
      <c r="T3223" s="26"/>
      <c r="U3223" s="26"/>
      <c r="V3223" s="26"/>
      <c r="W3223" s="26"/>
      <c r="X3223" s="26"/>
      <c r="Y3223" s="26"/>
      <c r="Z3223" s="26"/>
      <c r="AA3223" s="26"/>
      <c r="AB3223" s="26"/>
      <c r="AC3223" s="27"/>
    </row>
    <row r="3224" spans="1:29" x14ac:dyDescent="0.25">
      <c r="A3224" s="1"/>
      <c r="B3224" s="19"/>
      <c r="C3224" s="24"/>
      <c r="D3224" s="1"/>
      <c r="E3224" s="25"/>
      <c r="F3224" s="26"/>
      <c r="G3224" s="26"/>
      <c r="L3224" s="25"/>
      <c r="M3224" s="24"/>
      <c r="N3224" s="26"/>
      <c r="O3224" s="26"/>
      <c r="P3224" s="26"/>
      <c r="Q3224" s="26"/>
      <c r="R3224" s="26"/>
      <c r="S3224" s="26"/>
      <c r="T3224" s="26"/>
      <c r="U3224" s="26"/>
      <c r="V3224" s="26"/>
      <c r="W3224" s="26"/>
      <c r="X3224" s="26"/>
      <c r="Y3224" s="26"/>
      <c r="Z3224" s="26"/>
      <c r="AA3224" s="26"/>
      <c r="AB3224" s="26"/>
      <c r="AC3224" s="27"/>
    </row>
    <row r="3225" spans="1:29" x14ac:dyDescent="0.25">
      <c r="A3225" s="1"/>
      <c r="B3225" s="19"/>
      <c r="C3225" s="24"/>
      <c r="D3225" s="1"/>
      <c r="E3225" s="25"/>
      <c r="F3225" s="26"/>
      <c r="G3225" s="26"/>
      <c r="L3225" s="25"/>
      <c r="M3225" s="24"/>
      <c r="N3225" s="26"/>
      <c r="O3225" s="26"/>
      <c r="P3225" s="26"/>
      <c r="Q3225" s="26"/>
      <c r="R3225" s="26"/>
      <c r="S3225" s="26"/>
      <c r="T3225" s="26"/>
      <c r="U3225" s="26"/>
      <c r="V3225" s="26"/>
      <c r="W3225" s="26"/>
      <c r="X3225" s="26"/>
      <c r="Y3225" s="26"/>
      <c r="Z3225" s="26"/>
      <c r="AA3225" s="26"/>
      <c r="AB3225" s="26"/>
      <c r="AC3225" s="27"/>
    </row>
    <row r="3226" spans="1:29" x14ac:dyDescent="0.25">
      <c r="A3226" s="1"/>
      <c r="B3226" s="19"/>
      <c r="C3226" s="24"/>
      <c r="D3226" s="1"/>
      <c r="E3226" s="25"/>
      <c r="F3226" s="26"/>
      <c r="G3226" s="26"/>
      <c r="L3226" s="25"/>
      <c r="M3226" s="24"/>
      <c r="N3226" s="26"/>
      <c r="O3226" s="26"/>
      <c r="P3226" s="26"/>
      <c r="Q3226" s="26"/>
      <c r="R3226" s="26"/>
      <c r="S3226" s="26"/>
      <c r="T3226" s="26"/>
      <c r="U3226" s="26"/>
      <c r="V3226" s="26"/>
      <c r="W3226" s="26"/>
      <c r="X3226" s="26"/>
      <c r="Y3226" s="26"/>
      <c r="Z3226" s="26"/>
      <c r="AA3226" s="26"/>
      <c r="AB3226" s="26"/>
      <c r="AC3226" s="27"/>
    </row>
    <row r="3227" spans="1:29" x14ac:dyDescent="0.25">
      <c r="A3227" s="1"/>
      <c r="B3227" s="19"/>
      <c r="C3227" s="24"/>
      <c r="D3227" s="1"/>
      <c r="E3227" s="25"/>
      <c r="F3227" s="26"/>
      <c r="G3227" s="26"/>
      <c r="L3227" s="25"/>
      <c r="M3227" s="24"/>
      <c r="N3227" s="26"/>
      <c r="O3227" s="26"/>
      <c r="P3227" s="26"/>
      <c r="Q3227" s="26"/>
      <c r="R3227" s="26"/>
      <c r="S3227" s="26"/>
      <c r="T3227" s="26"/>
      <c r="U3227" s="26"/>
      <c r="V3227" s="26"/>
      <c r="W3227" s="26"/>
      <c r="X3227" s="26"/>
      <c r="Y3227" s="26"/>
      <c r="Z3227" s="26"/>
      <c r="AA3227" s="26"/>
      <c r="AB3227" s="26"/>
      <c r="AC3227" s="27"/>
    </row>
    <row r="3228" spans="1:29" x14ac:dyDescent="0.25">
      <c r="A3228" s="1"/>
      <c r="B3228" s="19"/>
      <c r="C3228" s="24"/>
      <c r="D3228" s="1"/>
      <c r="E3228" s="25"/>
      <c r="F3228" s="26"/>
      <c r="G3228" s="26"/>
      <c r="L3228" s="25"/>
      <c r="M3228" s="24"/>
      <c r="N3228" s="26"/>
      <c r="O3228" s="26"/>
      <c r="P3228" s="26"/>
      <c r="Q3228" s="26"/>
      <c r="R3228" s="26"/>
      <c r="S3228" s="26"/>
      <c r="T3228" s="26"/>
      <c r="U3228" s="26"/>
      <c r="V3228" s="26"/>
      <c r="W3228" s="26"/>
      <c r="X3228" s="26"/>
      <c r="Y3228" s="26"/>
      <c r="Z3228" s="26"/>
      <c r="AA3228" s="26"/>
      <c r="AB3228" s="26"/>
      <c r="AC3228" s="27"/>
    </row>
    <row r="3229" spans="1:29" x14ac:dyDescent="0.25">
      <c r="A3229" s="1"/>
      <c r="B3229" s="19"/>
      <c r="C3229" s="24"/>
      <c r="D3229" s="1"/>
      <c r="E3229" s="25"/>
      <c r="F3229" s="26"/>
      <c r="G3229" s="26"/>
      <c r="L3229" s="25"/>
      <c r="M3229" s="24"/>
      <c r="N3229" s="26"/>
      <c r="O3229" s="26"/>
      <c r="P3229" s="26"/>
      <c r="Q3229" s="26"/>
      <c r="R3229" s="26"/>
      <c r="S3229" s="26"/>
      <c r="T3229" s="26"/>
      <c r="U3229" s="26"/>
      <c r="V3229" s="26"/>
      <c r="W3229" s="26"/>
      <c r="X3229" s="26"/>
      <c r="Y3229" s="26"/>
      <c r="Z3229" s="26"/>
      <c r="AA3229" s="26"/>
      <c r="AB3229" s="26"/>
      <c r="AC3229" s="27"/>
    </row>
    <row r="3230" spans="1:29" x14ac:dyDescent="0.25">
      <c r="A3230" s="1"/>
      <c r="B3230" s="19"/>
      <c r="C3230" s="24"/>
      <c r="D3230" s="1"/>
      <c r="E3230" s="25"/>
      <c r="F3230" s="26"/>
      <c r="G3230" s="26"/>
      <c r="L3230" s="25"/>
      <c r="M3230" s="24"/>
      <c r="N3230" s="26"/>
      <c r="O3230" s="26"/>
      <c r="P3230" s="26"/>
      <c r="Q3230" s="26"/>
      <c r="R3230" s="26"/>
      <c r="S3230" s="26"/>
      <c r="T3230" s="26"/>
      <c r="U3230" s="26"/>
      <c r="V3230" s="26"/>
      <c r="W3230" s="26"/>
      <c r="X3230" s="26"/>
      <c r="Y3230" s="26"/>
      <c r="Z3230" s="26"/>
      <c r="AA3230" s="26"/>
      <c r="AB3230" s="26"/>
      <c r="AC3230" s="27"/>
    </row>
    <row r="3231" spans="1:29" x14ac:dyDescent="0.25">
      <c r="A3231" s="1"/>
      <c r="B3231" s="19"/>
      <c r="C3231" s="24"/>
      <c r="D3231" s="1"/>
      <c r="E3231" s="25"/>
      <c r="F3231" s="26"/>
      <c r="G3231" s="26"/>
      <c r="L3231" s="25"/>
      <c r="M3231" s="24"/>
      <c r="N3231" s="26"/>
      <c r="O3231" s="26"/>
      <c r="P3231" s="26"/>
      <c r="Q3231" s="26"/>
      <c r="R3231" s="26"/>
      <c r="S3231" s="26"/>
      <c r="T3231" s="26"/>
      <c r="U3231" s="26"/>
      <c r="V3231" s="26"/>
      <c r="W3231" s="26"/>
      <c r="X3231" s="26"/>
      <c r="Y3231" s="26"/>
      <c r="Z3231" s="26"/>
      <c r="AA3231" s="26"/>
      <c r="AB3231" s="26"/>
      <c r="AC3231" s="27"/>
    </row>
    <row r="3232" spans="1:29" x14ac:dyDescent="0.25">
      <c r="A3232" s="1"/>
      <c r="B3232" s="19"/>
      <c r="C3232" s="24"/>
      <c r="D3232" s="1"/>
      <c r="E3232" s="25"/>
      <c r="F3232" s="26"/>
      <c r="G3232" s="26"/>
      <c r="L3232" s="25"/>
      <c r="M3232" s="24"/>
      <c r="N3232" s="26"/>
      <c r="O3232" s="26"/>
      <c r="P3232" s="26"/>
      <c r="Q3232" s="26"/>
      <c r="R3232" s="26"/>
      <c r="S3232" s="26"/>
      <c r="T3232" s="26"/>
      <c r="U3232" s="26"/>
      <c r="V3232" s="26"/>
      <c r="W3232" s="26"/>
      <c r="X3232" s="26"/>
      <c r="Y3232" s="26"/>
      <c r="Z3232" s="26"/>
      <c r="AA3232" s="26"/>
      <c r="AB3232" s="26"/>
      <c r="AC3232" s="27"/>
    </row>
    <row r="3233" spans="1:29" x14ac:dyDescent="0.25">
      <c r="A3233" s="1"/>
      <c r="B3233" s="19"/>
      <c r="C3233" s="24"/>
      <c r="D3233" s="1"/>
      <c r="E3233" s="25"/>
      <c r="F3233" s="26"/>
      <c r="G3233" s="26"/>
      <c r="L3233" s="25"/>
      <c r="M3233" s="24"/>
      <c r="N3233" s="26"/>
      <c r="O3233" s="26"/>
      <c r="P3233" s="26"/>
      <c r="Q3233" s="26"/>
      <c r="R3233" s="26"/>
      <c r="S3233" s="26"/>
      <c r="T3233" s="26"/>
      <c r="U3233" s="26"/>
      <c r="V3233" s="26"/>
      <c r="W3233" s="26"/>
      <c r="X3233" s="26"/>
      <c r="Y3233" s="26"/>
      <c r="Z3233" s="26"/>
      <c r="AA3233" s="26"/>
      <c r="AB3233" s="26"/>
      <c r="AC3233" s="27"/>
    </row>
    <row r="3234" spans="1:29" x14ac:dyDescent="0.25">
      <c r="A3234" s="1"/>
      <c r="B3234" s="19"/>
      <c r="C3234" s="24"/>
      <c r="D3234" s="1"/>
      <c r="E3234" s="25"/>
      <c r="F3234" s="26"/>
      <c r="G3234" s="26"/>
      <c r="L3234" s="25"/>
      <c r="M3234" s="24"/>
      <c r="N3234" s="26"/>
      <c r="O3234" s="26"/>
      <c r="P3234" s="26"/>
      <c r="Q3234" s="26"/>
      <c r="R3234" s="26"/>
      <c r="S3234" s="26"/>
      <c r="T3234" s="26"/>
      <c r="U3234" s="26"/>
      <c r="V3234" s="26"/>
      <c r="W3234" s="26"/>
      <c r="X3234" s="26"/>
      <c r="Y3234" s="26"/>
      <c r="Z3234" s="26"/>
      <c r="AA3234" s="26"/>
      <c r="AB3234" s="26"/>
      <c r="AC3234" s="27"/>
    </row>
    <row r="3235" spans="1:29" x14ac:dyDescent="0.25">
      <c r="A3235" s="1"/>
      <c r="B3235" s="19"/>
      <c r="C3235" s="24"/>
      <c r="D3235" s="1"/>
      <c r="E3235" s="25"/>
      <c r="F3235" s="26"/>
      <c r="G3235" s="26"/>
      <c r="L3235" s="25"/>
      <c r="M3235" s="24"/>
      <c r="N3235" s="26"/>
      <c r="O3235" s="26"/>
      <c r="P3235" s="26"/>
      <c r="Q3235" s="26"/>
      <c r="R3235" s="26"/>
      <c r="S3235" s="26"/>
      <c r="T3235" s="26"/>
      <c r="U3235" s="26"/>
      <c r="V3235" s="26"/>
      <c r="W3235" s="26"/>
      <c r="X3235" s="26"/>
      <c r="Y3235" s="26"/>
      <c r="Z3235" s="26"/>
      <c r="AA3235" s="26"/>
      <c r="AB3235" s="26"/>
      <c r="AC3235" s="27"/>
    </row>
    <row r="3236" spans="1:29" x14ac:dyDescent="0.25">
      <c r="A3236" s="1"/>
      <c r="B3236" s="19"/>
      <c r="C3236" s="24"/>
      <c r="D3236" s="1"/>
      <c r="E3236" s="25"/>
      <c r="F3236" s="26"/>
      <c r="G3236" s="26"/>
      <c r="L3236" s="25"/>
      <c r="M3236" s="24"/>
      <c r="N3236" s="26"/>
      <c r="O3236" s="26"/>
      <c r="P3236" s="26"/>
      <c r="Q3236" s="26"/>
      <c r="R3236" s="26"/>
      <c r="S3236" s="26"/>
      <c r="T3236" s="26"/>
      <c r="U3236" s="26"/>
      <c r="V3236" s="26"/>
      <c r="W3236" s="26"/>
      <c r="X3236" s="26"/>
      <c r="Y3236" s="26"/>
      <c r="Z3236" s="26"/>
      <c r="AA3236" s="26"/>
      <c r="AB3236" s="26"/>
      <c r="AC3236" s="27"/>
    </row>
    <row r="3237" spans="1:29" x14ac:dyDescent="0.25">
      <c r="A3237" s="1"/>
      <c r="B3237" s="19"/>
      <c r="C3237" s="24"/>
      <c r="D3237" s="1"/>
      <c r="E3237" s="25"/>
      <c r="F3237" s="26"/>
      <c r="G3237" s="26"/>
      <c r="L3237" s="25"/>
      <c r="M3237" s="24"/>
      <c r="N3237" s="26"/>
      <c r="O3237" s="26"/>
      <c r="P3237" s="26"/>
      <c r="Q3237" s="26"/>
      <c r="R3237" s="26"/>
      <c r="S3237" s="26"/>
      <c r="T3237" s="26"/>
      <c r="U3237" s="26"/>
      <c r="V3237" s="26"/>
      <c r="W3237" s="26"/>
      <c r="X3237" s="26"/>
      <c r="Y3237" s="26"/>
      <c r="Z3237" s="26"/>
      <c r="AA3237" s="26"/>
      <c r="AB3237" s="26"/>
      <c r="AC3237" s="27"/>
    </row>
    <row r="3238" spans="1:29" x14ac:dyDescent="0.25">
      <c r="A3238" s="1"/>
      <c r="B3238" s="19"/>
      <c r="C3238" s="24"/>
      <c r="D3238" s="1"/>
      <c r="E3238" s="25"/>
      <c r="F3238" s="26"/>
      <c r="G3238" s="26"/>
      <c r="L3238" s="25"/>
      <c r="M3238" s="24"/>
      <c r="N3238" s="26"/>
      <c r="O3238" s="26"/>
      <c r="P3238" s="26"/>
      <c r="Q3238" s="26"/>
      <c r="R3238" s="26"/>
      <c r="S3238" s="26"/>
      <c r="T3238" s="26"/>
      <c r="U3238" s="26"/>
      <c r="V3238" s="26"/>
      <c r="W3238" s="26"/>
      <c r="X3238" s="26"/>
      <c r="Y3238" s="26"/>
      <c r="Z3238" s="26"/>
      <c r="AA3238" s="26"/>
      <c r="AB3238" s="26"/>
      <c r="AC3238" s="27"/>
    </row>
    <row r="3239" spans="1:29" x14ac:dyDescent="0.25">
      <c r="A3239" s="1"/>
      <c r="B3239" s="19"/>
      <c r="C3239" s="24"/>
      <c r="D3239" s="1"/>
      <c r="E3239" s="25"/>
      <c r="F3239" s="26"/>
      <c r="G3239" s="26"/>
      <c r="L3239" s="25"/>
      <c r="M3239" s="24"/>
      <c r="N3239" s="26"/>
      <c r="O3239" s="26"/>
      <c r="P3239" s="26"/>
      <c r="Q3239" s="26"/>
      <c r="R3239" s="26"/>
      <c r="S3239" s="26"/>
      <c r="T3239" s="26"/>
      <c r="U3239" s="26"/>
      <c r="V3239" s="26"/>
      <c r="W3239" s="26"/>
      <c r="X3239" s="26"/>
      <c r="Y3239" s="26"/>
      <c r="Z3239" s="26"/>
      <c r="AA3239" s="26"/>
      <c r="AB3239" s="26"/>
      <c r="AC3239" s="27"/>
    </row>
    <row r="3240" spans="1:29" x14ac:dyDescent="0.25">
      <c r="A3240" s="1"/>
      <c r="B3240" s="19"/>
      <c r="C3240" s="24"/>
      <c r="D3240" s="1"/>
      <c r="E3240" s="25"/>
      <c r="F3240" s="26"/>
      <c r="G3240" s="26"/>
      <c r="L3240" s="25"/>
      <c r="M3240" s="24"/>
      <c r="N3240" s="26"/>
      <c r="O3240" s="26"/>
      <c r="P3240" s="26"/>
      <c r="Q3240" s="26"/>
      <c r="R3240" s="26"/>
      <c r="S3240" s="26"/>
      <c r="T3240" s="26"/>
      <c r="U3240" s="26"/>
      <c r="V3240" s="26"/>
      <c r="W3240" s="26"/>
      <c r="X3240" s="26"/>
      <c r="Y3240" s="26"/>
      <c r="Z3240" s="26"/>
      <c r="AA3240" s="26"/>
      <c r="AB3240" s="26"/>
      <c r="AC3240" s="27"/>
    </row>
    <row r="3241" spans="1:29" x14ac:dyDescent="0.25">
      <c r="A3241" s="1"/>
      <c r="B3241" s="19"/>
      <c r="C3241" s="24"/>
      <c r="D3241" s="1"/>
      <c r="E3241" s="25"/>
      <c r="F3241" s="26"/>
      <c r="G3241" s="26"/>
      <c r="L3241" s="25"/>
      <c r="M3241" s="24"/>
      <c r="N3241" s="26"/>
      <c r="O3241" s="26"/>
      <c r="P3241" s="26"/>
      <c r="Q3241" s="26"/>
      <c r="R3241" s="26"/>
      <c r="S3241" s="26"/>
      <c r="T3241" s="26"/>
      <c r="U3241" s="26"/>
      <c r="V3241" s="26"/>
      <c r="W3241" s="26"/>
      <c r="X3241" s="26"/>
      <c r="Y3241" s="26"/>
      <c r="Z3241" s="26"/>
      <c r="AA3241" s="26"/>
      <c r="AB3241" s="26"/>
      <c r="AC3241" s="27"/>
    </row>
    <row r="3242" spans="1:29" x14ac:dyDescent="0.25">
      <c r="A3242" s="1"/>
      <c r="B3242" s="19"/>
      <c r="C3242" s="24"/>
      <c r="D3242" s="1"/>
      <c r="E3242" s="25"/>
      <c r="F3242" s="26"/>
      <c r="G3242" s="26"/>
      <c r="L3242" s="25"/>
      <c r="M3242" s="24"/>
      <c r="N3242" s="26"/>
      <c r="O3242" s="26"/>
      <c r="P3242" s="26"/>
      <c r="Q3242" s="26"/>
      <c r="R3242" s="26"/>
      <c r="S3242" s="26"/>
      <c r="T3242" s="26"/>
      <c r="U3242" s="26"/>
      <c r="V3242" s="26"/>
      <c r="W3242" s="26"/>
      <c r="X3242" s="26"/>
      <c r="Y3242" s="26"/>
      <c r="Z3242" s="26"/>
      <c r="AA3242" s="26"/>
      <c r="AB3242" s="26"/>
      <c r="AC3242" s="27"/>
    </row>
    <row r="3243" spans="1:29" x14ac:dyDescent="0.25">
      <c r="A3243" s="1"/>
      <c r="B3243" s="19"/>
      <c r="C3243" s="24"/>
      <c r="D3243" s="1"/>
      <c r="E3243" s="25"/>
      <c r="F3243" s="26"/>
      <c r="G3243" s="26"/>
      <c r="L3243" s="25"/>
      <c r="M3243" s="24"/>
      <c r="N3243" s="26"/>
      <c r="O3243" s="26"/>
      <c r="P3243" s="26"/>
      <c r="Q3243" s="26"/>
      <c r="R3243" s="26"/>
      <c r="S3243" s="26"/>
      <c r="T3243" s="26"/>
      <c r="U3243" s="26"/>
      <c r="V3243" s="26"/>
      <c r="W3243" s="26"/>
      <c r="X3243" s="26"/>
      <c r="Y3243" s="26"/>
      <c r="Z3243" s="26"/>
      <c r="AA3243" s="26"/>
      <c r="AB3243" s="26"/>
      <c r="AC3243" s="27"/>
    </row>
    <row r="3244" spans="1:29" x14ac:dyDescent="0.25">
      <c r="A3244" s="1"/>
      <c r="B3244" s="19"/>
      <c r="C3244" s="24"/>
      <c r="D3244" s="1"/>
      <c r="E3244" s="25"/>
      <c r="F3244" s="26"/>
      <c r="G3244" s="26"/>
      <c r="L3244" s="25"/>
      <c r="M3244" s="24"/>
      <c r="N3244" s="26"/>
      <c r="O3244" s="26"/>
      <c r="P3244" s="26"/>
      <c r="Q3244" s="26"/>
      <c r="R3244" s="26"/>
      <c r="S3244" s="26"/>
      <c r="T3244" s="26"/>
      <c r="U3244" s="26"/>
      <c r="V3244" s="26"/>
      <c r="W3244" s="26"/>
      <c r="X3244" s="26"/>
      <c r="Y3244" s="26"/>
      <c r="Z3244" s="26"/>
      <c r="AA3244" s="26"/>
      <c r="AB3244" s="26"/>
      <c r="AC3244" s="27"/>
    </row>
    <row r="3245" spans="1:29" x14ac:dyDescent="0.25">
      <c r="A3245" s="1"/>
      <c r="B3245" s="19"/>
      <c r="C3245" s="24"/>
      <c r="D3245" s="1"/>
      <c r="E3245" s="25"/>
      <c r="F3245" s="26"/>
      <c r="G3245" s="26"/>
      <c r="L3245" s="25"/>
      <c r="M3245" s="24"/>
      <c r="N3245" s="26"/>
      <c r="O3245" s="26"/>
      <c r="P3245" s="26"/>
      <c r="Q3245" s="26"/>
      <c r="R3245" s="26"/>
      <c r="S3245" s="26"/>
      <c r="T3245" s="26"/>
      <c r="U3245" s="26"/>
      <c r="V3245" s="26"/>
      <c r="W3245" s="26"/>
      <c r="X3245" s="26"/>
      <c r="Y3245" s="26"/>
      <c r="Z3245" s="26"/>
      <c r="AA3245" s="26"/>
      <c r="AB3245" s="26"/>
      <c r="AC3245" s="27"/>
    </row>
    <row r="3246" spans="1:29" x14ac:dyDescent="0.25">
      <c r="A3246" s="1"/>
      <c r="B3246" s="19"/>
      <c r="C3246" s="24"/>
      <c r="D3246" s="1"/>
      <c r="E3246" s="25"/>
      <c r="F3246" s="26"/>
      <c r="G3246" s="26"/>
      <c r="L3246" s="25"/>
      <c r="M3246" s="24"/>
      <c r="N3246" s="26"/>
      <c r="O3246" s="26"/>
      <c r="P3246" s="26"/>
      <c r="Q3246" s="26"/>
      <c r="R3246" s="26"/>
      <c r="S3246" s="26"/>
      <c r="T3246" s="26"/>
      <c r="U3246" s="26"/>
      <c r="V3246" s="26"/>
      <c r="W3246" s="26"/>
      <c r="X3246" s="26"/>
      <c r="Y3246" s="26"/>
      <c r="Z3246" s="26"/>
      <c r="AA3246" s="26"/>
      <c r="AB3246" s="26"/>
      <c r="AC3246" s="27"/>
    </row>
    <row r="3247" spans="1:29" x14ac:dyDescent="0.25">
      <c r="A3247" s="1"/>
      <c r="B3247" s="19"/>
      <c r="C3247" s="24"/>
      <c r="D3247" s="1"/>
      <c r="E3247" s="25"/>
      <c r="F3247" s="26"/>
      <c r="G3247" s="26"/>
      <c r="L3247" s="25"/>
      <c r="M3247" s="24"/>
      <c r="N3247" s="26"/>
      <c r="O3247" s="26"/>
      <c r="P3247" s="26"/>
      <c r="Q3247" s="26"/>
      <c r="R3247" s="26"/>
      <c r="S3247" s="26"/>
      <c r="T3247" s="26"/>
      <c r="U3247" s="26"/>
      <c r="V3247" s="26"/>
      <c r="W3247" s="26"/>
      <c r="X3247" s="26"/>
      <c r="Y3247" s="26"/>
      <c r="Z3247" s="26"/>
      <c r="AA3247" s="26"/>
      <c r="AB3247" s="26"/>
      <c r="AC3247" s="27"/>
    </row>
    <row r="3248" spans="1:29" x14ac:dyDescent="0.25">
      <c r="A3248" s="1"/>
      <c r="B3248" s="19"/>
      <c r="C3248" s="24"/>
      <c r="D3248" s="1"/>
      <c r="E3248" s="25"/>
      <c r="F3248" s="26"/>
      <c r="G3248" s="26"/>
      <c r="L3248" s="25"/>
      <c r="M3248" s="24"/>
      <c r="N3248" s="26"/>
      <c r="O3248" s="26"/>
      <c r="P3248" s="26"/>
      <c r="Q3248" s="26"/>
      <c r="R3248" s="26"/>
      <c r="S3248" s="26"/>
      <c r="T3248" s="26"/>
      <c r="U3248" s="26"/>
      <c r="V3248" s="26"/>
      <c r="W3248" s="26"/>
      <c r="X3248" s="26"/>
      <c r="Y3248" s="26"/>
      <c r="Z3248" s="26"/>
      <c r="AA3248" s="26"/>
      <c r="AB3248" s="26"/>
      <c r="AC3248" s="27"/>
    </row>
    <row r="3249" spans="1:29" x14ac:dyDescent="0.25">
      <c r="A3249" s="1"/>
      <c r="B3249" s="19"/>
      <c r="C3249" s="24"/>
      <c r="D3249" s="1"/>
      <c r="E3249" s="25"/>
      <c r="F3249" s="26"/>
      <c r="G3249" s="26"/>
      <c r="L3249" s="25"/>
      <c r="M3249" s="24"/>
      <c r="N3249" s="26"/>
      <c r="O3249" s="26"/>
      <c r="P3249" s="26"/>
      <c r="Q3249" s="26"/>
      <c r="R3249" s="26"/>
      <c r="S3249" s="26"/>
      <c r="T3249" s="26"/>
      <c r="U3249" s="26"/>
      <c r="V3249" s="26"/>
      <c r="W3249" s="26"/>
      <c r="X3249" s="26"/>
      <c r="Y3249" s="26"/>
      <c r="Z3249" s="26"/>
      <c r="AA3249" s="26"/>
      <c r="AB3249" s="26"/>
      <c r="AC3249" s="27"/>
    </row>
    <row r="3250" spans="1:29" x14ac:dyDescent="0.25">
      <c r="A3250" s="1"/>
      <c r="B3250" s="19"/>
      <c r="C3250" s="24"/>
      <c r="D3250" s="1"/>
      <c r="E3250" s="25"/>
      <c r="F3250" s="26"/>
      <c r="G3250" s="26"/>
      <c r="L3250" s="25"/>
      <c r="M3250" s="24"/>
      <c r="N3250" s="26"/>
      <c r="O3250" s="26"/>
      <c r="P3250" s="26"/>
      <c r="Q3250" s="26"/>
      <c r="R3250" s="26"/>
      <c r="S3250" s="26"/>
      <c r="T3250" s="26"/>
      <c r="U3250" s="26"/>
      <c r="V3250" s="26"/>
      <c r="W3250" s="26"/>
      <c r="X3250" s="26"/>
      <c r="Y3250" s="26"/>
      <c r="Z3250" s="26"/>
      <c r="AA3250" s="26"/>
      <c r="AB3250" s="26"/>
      <c r="AC3250" s="27"/>
    </row>
    <row r="3251" spans="1:29" x14ac:dyDescent="0.25">
      <c r="A3251" s="1"/>
      <c r="B3251" s="19"/>
      <c r="C3251" s="24"/>
      <c r="D3251" s="1"/>
      <c r="E3251" s="25"/>
      <c r="F3251" s="26"/>
      <c r="G3251" s="26"/>
      <c r="L3251" s="25"/>
      <c r="M3251" s="24"/>
      <c r="N3251" s="26"/>
      <c r="O3251" s="26"/>
      <c r="P3251" s="26"/>
      <c r="Q3251" s="26"/>
      <c r="R3251" s="26"/>
      <c r="S3251" s="26"/>
      <c r="T3251" s="26"/>
      <c r="U3251" s="26"/>
      <c r="V3251" s="26"/>
      <c r="W3251" s="26"/>
      <c r="X3251" s="26"/>
      <c r="Y3251" s="26"/>
      <c r="Z3251" s="26"/>
      <c r="AA3251" s="26"/>
      <c r="AB3251" s="26"/>
      <c r="AC3251" s="27"/>
    </row>
    <row r="3252" spans="1:29" x14ac:dyDescent="0.25">
      <c r="A3252" s="1"/>
      <c r="B3252" s="19"/>
      <c r="C3252" s="24"/>
      <c r="D3252" s="1"/>
      <c r="E3252" s="25"/>
      <c r="F3252" s="26"/>
      <c r="G3252" s="26"/>
      <c r="L3252" s="25"/>
      <c r="M3252" s="24"/>
      <c r="N3252" s="26"/>
      <c r="O3252" s="26"/>
      <c r="P3252" s="26"/>
      <c r="Q3252" s="26"/>
      <c r="R3252" s="26"/>
      <c r="S3252" s="26"/>
      <c r="T3252" s="26"/>
      <c r="U3252" s="26"/>
      <c r="V3252" s="26"/>
      <c r="W3252" s="26"/>
      <c r="X3252" s="26"/>
      <c r="Y3252" s="26"/>
      <c r="Z3252" s="26"/>
      <c r="AA3252" s="26"/>
      <c r="AB3252" s="26"/>
      <c r="AC3252" s="27"/>
    </row>
    <row r="3253" spans="1:29" x14ac:dyDescent="0.25">
      <c r="A3253" s="1"/>
      <c r="B3253" s="19"/>
      <c r="C3253" s="24"/>
      <c r="D3253" s="1"/>
      <c r="E3253" s="25"/>
      <c r="F3253" s="26"/>
      <c r="G3253" s="26"/>
      <c r="L3253" s="25"/>
      <c r="M3253" s="24"/>
      <c r="N3253" s="26"/>
      <c r="O3253" s="26"/>
      <c r="P3253" s="26"/>
      <c r="Q3253" s="26"/>
      <c r="R3253" s="26"/>
      <c r="S3253" s="26"/>
      <c r="T3253" s="26"/>
      <c r="U3253" s="26"/>
      <c r="V3253" s="26"/>
      <c r="W3253" s="26"/>
      <c r="X3253" s="26"/>
      <c r="Y3253" s="26"/>
      <c r="Z3253" s="26"/>
      <c r="AA3253" s="26"/>
      <c r="AB3253" s="26"/>
      <c r="AC3253" s="27"/>
    </row>
    <row r="3254" spans="1:29" x14ac:dyDescent="0.25">
      <c r="A3254" s="1"/>
      <c r="B3254" s="19"/>
      <c r="C3254" s="24"/>
      <c r="D3254" s="1"/>
      <c r="E3254" s="25"/>
      <c r="F3254" s="26"/>
      <c r="G3254" s="26"/>
      <c r="L3254" s="25"/>
      <c r="M3254" s="24"/>
      <c r="N3254" s="26"/>
      <c r="O3254" s="26"/>
      <c r="P3254" s="26"/>
      <c r="Q3254" s="26"/>
      <c r="R3254" s="26"/>
      <c r="S3254" s="26"/>
      <c r="T3254" s="26"/>
      <c r="U3254" s="26"/>
      <c r="V3254" s="26"/>
      <c r="W3254" s="26"/>
      <c r="X3254" s="26"/>
      <c r="Y3254" s="26"/>
      <c r="Z3254" s="26"/>
      <c r="AA3254" s="26"/>
      <c r="AB3254" s="26"/>
      <c r="AC3254" s="27"/>
    </row>
    <row r="3255" spans="1:29" x14ac:dyDescent="0.25">
      <c r="A3255" s="1"/>
      <c r="B3255" s="19"/>
      <c r="C3255" s="24"/>
      <c r="D3255" s="1"/>
      <c r="E3255" s="25"/>
      <c r="F3255" s="26"/>
      <c r="G3255" s="26"/>
      <c r="L3255" s="25"/>
      <c r="M3255" s="24"/>
      <c r="N3255" s="26"/>
      <c r="O3255" s="26"/>
      <c r="P3255" s="26"/>
      <c r="Q3255" s="26"/>
      <c r="R3255" s="26"/>
      <c r="S3255" s="26"/>
      <c r="T3255" s="26"/>
      <c r="U3255" s="26"/>
      <c r="V3255" s="26"/>
      <c r="W3255" s="26"/>
      <c r="X3255" s="26"/>
      <c r="Y3255" s="26"/>
      <c r="Z3255" s="26"/>
      <c r="AA3255" s="26"/>
      <c r="AB3255" s="26"/>
      <c r="AC3255" s="27"/>
    </row>
    <row r="3256" spans="1:29" x14ac:dyDescent="0.25">
      <c r="A3256" s="1"/>
      <c r="B3256" s="19"/>
      <c r="C3256" s="24"/>
      <c r="D3256" s="1"/>
      <c r="E3256" s="25"/>
      <c r="F3256" s="26"/>
      <c r="G3256" s="26"/>
      <c r="L3256" s="25"/>
      <c r="M3256" s="24"/>
      <c r="N3256" s="26"/>
      <c r="O3256" s="26"/>
      <c r="P3256" s="26"/>
      <c r="Q3256" s="26"/>
      <c r="R3256" s="26"/>
      <c r="S3256" s="26"/>
      <c r="T3256" s="26"/>
      <c r="U3256" s="26"/>
      <c r="V3256" s="26"/>
      <c r="W3256" s="26"/>
      <c r="X3256" s="26"/>
      <c r="Y3256" s="26"/>
      <c r="Z3256" s="26"/>
      <c r="AA3256" s="26"/>
      <c r="AB3256" s="26"/>
      <c r="AC3256" s="27"/>
    </row>
    <row r="3257" spans="1:29" x14ac:dyDescent="0.25">
      <c r="A3257" s="1"/>
      <c r="B3257" s="19"/>
      <c r="C3257" s="24"/>
      <c r="D3257" s="1"/>
      <c r="E3257" s="25"/>
      <c r="F3257" s="26"/>
      <c r="G3257" s="26"/>
      <c r="L3257" s="25"/>
      <c r="M3257" s="24"/>
      <c r="N3257" s="26"/>
      <c r="O3257" s="26"/>
      <c r="P3257" s="26"/>
      <c r="Q3257" s="26"/>
      <c r="R3257" s="26"/>
      <c r="S3257" s="26"/>
      <c r="T3257" s="26"/>
      <c r="U3257" s="26"/>
      <c r="V3257" s="26"/>
      <c r="W3257" s="26"/>
      <c r="X3257" s="26"/>
      <c r="Y3257" s="26"/>
      <c r="Z3257" s="26"/>
      <c r="AA3257" s="26"/>
      <c r="AB3257" s="26"/>
      <c r="AC3257" s="27"/>
    </row>
    <row r="3258" spans="1:29" x14ac:dyDescent="0.25">
      <c r="A3258" s="1"/>
      <c r="B3258" s="19"/>
      <c r="C3258" s="24"/>
      <c r="D3258" s="1"/>
      <c r="E3258" s="25"/>
      <c r="F3258" s="26"/>
      <c r="G3258" s="26"/>
      <c r="L3258" s="25"/>
      <c r="M3258" s="24"/>
      <c r="N3258" s="26"/>
      <c r="O3258" s="26"/>
      <c r="P3258" s="26"/>
      <c r="Q3258" s="26"/>
      <c r="R3258" s="26"/>
      <c r="S3258" s="26"/>
      <c r="T3258" s="26"/>
      <c r="U3258" s="26"/>
      <c r="V3258" s="26"/>
      <c r="W3258" s="26"/>
      <c r="X3258" s="26"/>
      <c r="Y3258" s="26"/>
      <c r="Z3258" s="26"/>
      <c r="AA3258" s="26"/>
      <c r="AB3258" s="26"/>
      <c r="AC3258" s="27"/>
    </row>
    <row r="3259" spans="1:29" x14ac:dyDescent="0.25">
      <c r="A3259" s="1"/>
      <c r="B3259" s="19"/>
      <c r="C3259" s="24"/>
      <c r="D3259" s="1"/>
      <c r="E3259" s="25"/>
      <c r="F3259" s="26"/>
      <c r="G3259" s="26"/>
      <c r="L3259" s="25"/>
      <c r="M3259" s="24"/>
      <c r="N3259" s="26"/>
      <c r="O3259" s="26"/>
      <c r="P3259" s="26"/>
      <c r="Q3259" s="26"/>
      <c r="R3259" s="26"/>
      <c r="S3259" s="26"/>
      <c r="T3259" s="26"/>
      <c r="U3259" s="26"/>
      <c r="V3259" s="26"/>
      <c r="W3259" s="26"/>
      <c r="X3259" s="26"/>
      <c r="Y3259" s="26"/>
      <c r="Z3259" s="26"/>
      <c r="AA3259" s="26"/>
      <c r="AB3259" s="26"/>
      <c r="AC3259" s="27"/>
    </row>
    <row r="3260" spans="1:29" x14ac:dyDescent="0.25">
      <c r="A3260" s="1"/>
      <c r="B3260" s="19"/>
      <c r="C3260" s="24"/>
      <c r="D3260" s="1"/>
      <c r="E3260" s="25"/>
      <c r="F3260" s="26"/>
      <c r="G3260" s="26"/>
      <c r="L3260" s="25"/>
      <c r="M3260" s="24"/>
      <c r="N3260" s="26"/>
      <c r="O3260" s="26"/>
      <c r="P3260" s="26"/>
      <c r="Q3260" s="26"/>
      <c r="R3260" s="26"/>
      <c r="S3260" s="26"/>
      <c r="T3260" s="26"/>
      <c r="U3260" s="26"/>
      <c r="V3260" s="26"/>
      <c r="W3260" s="26"/>
      <c r="X3260" s="26"/>
      <c r="Y3260" s="26"/>
      <c r="Z3260" s="26"/>
      <c r="AA3260" s="26"/>
      <c r="AB3260" s="26"/>
      <c r="AC3260" s="27"/>
    </row>
    <row r="3261" spans="1:29" x14ac:dyDescent="0.25">
      <c r="A3261" s="1"/>
      <c r="B3261" s="19"/>
      <c r="C3261" s="24"/>
      <c r="D3261" s="1"/>
      <c r="E3261" s="25"/>
      <c r="F3261" s="26"/>
      <c r="G3261" s="26"/>
      <c r="L3261" s="25"/>
      <c r="M3261" s="24"/>
      <c r="N3261" s="26"/>
      <c r="O3261" s="26"/>
      <c r="P3261" s="26"/>
      <c r="Q3261" s="26"/>
      <c r="R3261" s="26"/>
      <c r="S3261" s="26"/>
      <c r="T3261" s="26"/>
      <c r="U3261" s="26"/>
      <c r="V3261" s="26"/>
      <c r="W3261" s="26"/>
      <c r="X3261" s="26"/>
      <c r="Y3261" s="26"/>
      <c r="Z3261" s="26"/>
      <c r="AA3261" s="26"/>
      <c r="AB3261" s="26"/>
      <c r="AC3261" s="27"/>
    </row>
    <row r="3262" spans="1:29" x14ac:dyDescent="0.25">
      <c r="A3262" s="1"/>
      <c r="B3262" s="19"/>
      <c r="C3262" s="24"/>
      <c r="D3262" s="1"/>
      <c r="E3262" s="25"/>
      <c r="F3262" s="26"/>
      <c r="G3262" s="26"/>
      <c r="L3262" s="25"/>
      <c r="M3262" s="24"/>
      <c r="N3262" s="26"/>
      <c r="O3262" s="26"/>
      <c r="P3262" s="26"/>
      <c r="Q3262" s="26"/>
      <c r="R3262" s="26"/>
      <c r="S3262" s="26"/>
      <c r="T3262" s="26"/>
      <c r="U3262" s="26"/>
      <c r="V3262" s="26"/>
      <c r="W3262" s="26"/>
      <c r="X3262" s="26"/>
      <c r="Y3262" s="26"/>
      <c r="Z3262" s="26"/>
      <c r="AA3262" s="26"/>
      <c r="AB3262" s="26"/>
      <c r="AC3262" s="27"/>
    </row>
    <row r="3263" spans="1:29" x14ac:dyDescent="0.25">
      <c r="A3263" s="1"/>
      <c r="B3263" s="19"/>
      <c r="C3263" s="24"/>
      <c r="D3263" s="1"/>
      <c r="E3263" s="25"/>
      <c r="F3263" s="26"/>
      <c r="G3263" s="26"/>
      <c r="L3263" s="25"/>
      <c r="M3263" s="24"/>
      <c r="N3263" s="26"/>
      <c r="O3263" s="26"/>
      <c r="P3263" s="26"/>
      <c r="Q3263" s="26"/>
      <c r="R3263" s="26"/>
      <c r="S3263" s="26"/>
      <c r="T3263" s="26"/>
      <c r="U3263" s="26"/>
      <c r="V3263" s="26"/>
      <c r="W3263" s="26"/>
      <c r="X3263" s="26"/>
      <c r="Y3263" s="26"/>
      <c r="Z3263" s="26"/>
      <c r="AA3263" s="26"/>
      <c r="AB3263" s="26"/>
      <c r="AC3263" s="27"/>
    </row>
    <row r="3264" spans="1:29" x14ac:dyDescent="0.25">
      <c r="A3264" s="1"/>
      <c r="B3264" s="19"/>
      <c r="C3264" s="24"/>
      <c r="D3264" s="1"/>
      <c r="E3264" s="25"/>
      <c r="F3264" s="26"/>
      <c r="G3264" s="26"/>
      <c r="L3264" s="25"/>
      <c r="M3264" s="24"/>
      <c r="N3264" s="26"/>
      <c r="O3264" s="26"/>
      <c r="P3264" s="26"/>
      <c r="Q3264" s="26"/>
      <c r="R3264" s="26"/>
      <c r="S3264" s="26"/>
      <c r="T3264" s="26"/>
      <c r="U3264" s="26"/>
      <c r="V3264" s="26"/>
      <c r="W3264" s="26"/>
      <c r="X3264" s="26"/>
      <c r="Y3264" s="26"/>
      <c r="Z3264" s="26"/>
      <c r="AA3264" s="26"/>
      <c r="AB3264" s="26"/>
      <c r="AC3264" s="27"/>
    </row>
    <row r="3265" spans="1:29" x14ac:dyDescent="0.25">
      <c r="A3265" s="1"/>
      <c r="B3265" s="19"/>
      <c r="C3265" s="24"/>
      <c r="D3265" s="1"/>
      <c r="E3265" s="25"/>
      <c r="F3265" s="26"/>
      <c r="G3265" s="26"/>
      <c r="L3265" s="25"/>
      <c r="M3265" s="24"/>
      <c r="N3265" s="26"/>
      <c r="O3265" s="26"/>
      <c r="P3265" s="26"/>
      <c r="Q3265" s="26"/>
      <c r="R3265" s="26"/>
      <c r="S3265" s="26"/>
      <c r="T3265" s="26"/>
      <c r="U3265" s="26"/>
      <c r="V3265" s="26"/>
      <c r="W3265" s="26"/>
      <c r="X3265" s="26"/>
      <c r="Y3265" s="26"/>
      <c r="Z3265" s="26"/>
      <c r="AA3265" s="26"/>
      <c r="AB3265" s="26"/>
      <c r="AC3265" s="27"/>
    </row>
    <row r="3266" spans="1:29" x14ac:dyDescent="0.25">
      <c r="A3266" s="1"/>
      <c r="B3266" s="19"/>
      <c r="C3266" s="24"/>
      <c r="D3266" s="1"/>
      <c r="E3266" s="25"/>
      <c r="F3266" s="26"/>
      <c r="G3266" s="26"/>
      <c r="L3266" s="25"/>
      <c r="M3266" s="24"/>
      <c r="N3266" s="26"/>
      <c r="O3266" s="26"/>
      <c r="P3266" s="26"/>
      <c r="Q3266" s="26"/>
      <c r="R3266" s="26"/>
      <c r="S3266" s="26"/>
      <c r="T3266" s="26"/>
      <c r="U3266" s="26"/>
      <c r="V3266" s="26"/>
      <c r="W3266" s="26"/>
      <c r="X3266" s="26"/>
      <c r="Y3266" s="26"/>
      <c r="Z3266" s="26"/>
      <c r="AA3266" s="26"/>
      <c r="AB3266" s="26"/>
      <c r="AC3266" s="27"/>
    </row>
    <row r="3267" spans="1:29" x14ac:dyDescent="0.25">
      <c r="A3267" s="1"/>
      <c r="B3267" s="19"/>
      <c r="C3267" s="24"/>
      <c r="D3267" s="1"/>
      <c r="E3267" s="25"/>
      <c r="F3267" s="26"/>
      <c r="G3267" s="26"/>
      <c r="L3267" s="25"/>
      <c r="M3267" s="24"/>
      <c r="N3267" s="26"/>
      <c r="O3267" s="26"/>
      <c r="P3267" s="26"/>
      <c r="Q3267" s="26"/>
      <c r="R3267" s="26"/>
      <c r="S3267" s="26"/>
      <c r="T3267" s="26"/>
      <c r="U3267" s="26"/>
      <c r="V3267" s="26"/>
      <c r="W3267" s="26"/>
      <c r="X3267" s="26"/>
      <c r="Y3267" s="26"/>
      <c r="Z3267" s="26"/>
      <c r="AA3267" s="26"/>
      <c r="AB3267" s="26"/>
      <c r="AC3267" s="27"/>
    </row>
    <row r="3268" spans="1:29" x14ac:dyDescent="0.25">
      <c r="A3268" s="1"/>
      <c r="B3268" s="19"/>
      <c r="C3268" s="24"/>
      <c r="D3268" s="1"/>
      <c r="E3268" s="25"/>
      <c r="F3268" s="26"/>
      <c r="G3268" s="26"/>
      <c r="L3268" s="25"/>
      <c r="M3268" s="24"/>
      <c r="N3268" s="26"/>
      <c r="O3268" s="26"/>
      <c r="P3268" s="26"/>
      <c r="Q3268" s="26"/>
      <c r="R3268" s="26"/>
      <c r="S3268" s="26"/>
      <c r="T3268" s="26"/>
      <c r="U3268" s="26"/>
      <c r="V3268" s="26"/>
      <c r="W3268" s="26"/>
      <c r="X3268" s="26"/>
      <c r="Y3268" s="26"/>
      <c r="Z3268" s="26"/>
      <c r="AA3268" s="26"/>
      <c r="AB3268" s="26"/>
      <c r="AC3268" s="27"/>
    </row>
    <row r="3269" spans="1:29" x14ac:dyDescent="0.25">
      <c r="A3269" s="1"/>
      <c r="B3269" s="19"/>
      <c r="C3269" s="24"/>
      <c r="D3269" s="1"/>
      <c r="E3269" s="25"/>
      <c r="F3269" s="26"/>
      <c r="G3269" s="26"/>
      <c r="L3269" s="25"/>
      <c r="M3269" s="24"/>
      <c r="N3269" s="26"/>
      <c r="O3269" s="26"/>
      <c r="P3269" s="26"/>
      <c r="Q3269" s="26"/>
      <c r="R3269" s="26"/>
      <c r="S3269" s="26"/>
      <c r="T3269" s="26"/>
      <c r="U3269" s="26"/>
      <c r="V3269" s="26"/>
      <c r="W3269" s="26"/>
      <c r="X3269" s="26"/>
      <c r="Y3269" s="26"/>
      <c r="Z3269" s="26"/>
      <c r="AA3269" s="26"/>
      <c r="AB3269" s="26"/>
      <c r="AC3269" s="27"/>
    </row>
    <row r="3270" spans="1:29" x14ac:dyDescent="0.25">
      <c r="A3270" s="1"/>
      <c r="B3270" s="19"/>
      <c r="C3270" s="24"/>
      <c r="D3270" s="1"/>
      <c r="E3270" s="25"/>
      <c r="F3270" s="26"/>
      <c r="G3270" s="26"/>
      <c r="L3270" s="25"/>
      <c r="M3270" s="24"/>
      <c r="N3270" s="26"/>
      <c r="O3270" s="26"/>
      <c r="P3270" s="26"/>
      <c r="Q3270" s="26"/>
      <c r="R3270" s="26"/>
      <c r="S3270" s="26"/>
      <c r="T3270" s="26"/>
      <c r="U3270" s="26"/>
      <c r="V3270" s="26"/>
      <c r="W3270" s="26"/>
      <c r="X3270" s="26"/>
      <c r="Y3270" s="26"/>
      <c r="Z3270" s="26"/>
      <c r="AA3270" s="26"/>
      <c r="AB3270" s="26"/>
      <c r="AC3270" s="27"/>
    </row>
    <row r="3271" spans="1:29" x14ac:dyDescent="0.25">
      <c r="A3271" s="1"/>
      <c r="B3271" s="19"/>
      <c r="C3271" s="24"/>
      <c r="D3271" s="1"/>
      <c r="E3271" s="25"/>
      <c r="F3271" s="26"/>
      <c r="G3271" s="26"/>
      <c r="L3271" s="25"/>
      <c r="M3271" s="24"/>
      <c r="N3271" s="26"/>
      <c r="O3271" s="26"/>
      <c r="P3271" s="26"/>
      <c r="Q3271" s="26"/>
      <c r="R3271" s="26"/>
      <c r="S3271" s="26"/>
      <c r="T3271" s="26"/>
      <c r="U3271" s="26"/>
      <c r="V3271" s="26"/>
      <c r="W3271" s="26"/>
      <c r="X3271" s="26"/>
      <c r="Y3271" s="26"/>
      <c r="Z3271" s="26"/>
      <c r="AA3271" s="26"/>
      <c r="AB3271" s="26"/>
      <c r="AC3271" s="27"/>
    </row>
    <row r="3272" spans="1:29" x14ac:dyDescent="0.25">
      <c r="A3272" s="1"/>
      <c r="B3272" s="19"/>
      <c r="C3272" s="24"/>
      <c r="D3272" s="1"/>
      <c r="E3272" s="25"/>
      <c r="F3272" s="26"/>
      <c r="G3272" s="26"/>
      <c r="L3272" s="25"/>
      <c r="M3272" s="24"/>
      <c r="N3272" s="26"/>
      <c r="O3272" s="26"/>
      <c r="P3272" s="26"/>
      <c r="Q3272" s="26"/>
      <c r="R3272" s="26"/>
      <c r="S3272" s="26"/>
      <c r="T3272" s="26"/>
      <c r="U3272" s="26"/>
      <c r="V3272" s="26"/>
      <c r="W3272" s="26"/>
      <c r="X3272" s="26"/>
      <c r="Y3272" s="26"/>
      <c r="Z3272" s="26"/>
      <c r="AA3272" s="26"/>
      <c r="AB3272" s="26"/>
      <c r="AC3272" s="27"/>
    </row>
    <row r="3273" spans="1:29" x14ac:dyDescent="0.25">
      <c r="A3273" s="1"/>
      <c r="B3273" s="19"/>
      <c r="C3273" s="24"/>
      <c r="D3273" s="1"/>
      <c r="E3273" s="25"/>
      <c r="F3273" s="26"/>
      <c r="G3273" s="26"/>
      <c r="L3273" s="25"/>
      <c r="M3273" s="24"/>
      <c r="N3273" s="26"/>
      <c r="O3273" s="26"/>
      <c r="P3273" s="26"/>
      <c r="Q3273" s="26"/>
      <c r="R3273" s="26"/>
      <c r="S3273" s="26"/>
      <c r="T3273" s="26"/>
      <c r="U3273" s="26"/>
      <c r="V3273" s="26"/>
      <c r="W3273" s="26"/>
      <c r="X3273" s="26"/>
      <c r="Y3273" s="26"/>
      <c r="Z3273" s="26"/>
      <c r="AA3273" s="26"/>
      <c r="AB3273" s="26"/>
      <c r="AC3273" s="27"/>
    </row>
    <row r="3274" spans="1:29" x14ac:dyDescent="0.25">
      <c r="A3274" s="1"/>
      <c r="B3274" s="19"/>
      <c r="C3274" s="24"/>
      <c r="D3274" s="1"/>
      <c r="E3274" s="25"/>
      <c r="F3274" s="26"/>
      <c r="G3274" s="26"/>
      <c r="L3274" s="25"/>
      <c r="M3274" s="24"/>
      <c r="N3274" s="26"/>
      <c r="O3274" s="26"/>
      <c r="P3274" s="26"/>
      <c r="Q3274" s="26"/>
      <c r="R3274" s="26"/>
      <c r="S3274" s="26"/>
      <c r="T3274" s="26"/>
      <c r="U3274" s="26"/>
      <c r="V3274" s="26"/>
      <c r="W3274" s="26"/>
      <c r="X3274" s="26"/>
      <c r="Y3274" s="26"/>
      <c r="Z3274" s="26"/>
      <c r="AA3274" s="26"/>
      <c r="AB3274" s="26"/>
      <c r="AC3274" s="27"/>
    </row>
    <row r="3275" spans="1:29" x14ac:dyDescent="0.25">
      <c r="A3275" s="1"/>
      <c r="B3275" s="19"/>
      <c r="C3275" s="24"/>
      <c r="D3275" s="1"/>
      <c r="E3275" s="25"/>
      <c r="F3275" s="26"/>
      <c r="G3275" s="26"/>
      <c r="L3275" s="25"/>
      <c r="M3275" s="24"/>
      <c r="N3275" s="26"/>
      <c r="O3275" s="26"/>
      <c r="P3275" s="26"/>
      <c r="Q3275" s="26"/>
      <c r="R3275" s="26"/>
      <c r="S3275" s="26"/>
      <c r="T3275" s="26"/>
      <c r="U3275" s="26"/>
      <c r="V3275" s="26"/>
      <c r="W3275" s="26"/>
      <c r="X3275" s="26"/>
      <c r="Y3275" s="26"/>
      <c r="Z3275" s="26"/>
      <c r="AA3275" s="26"/>
      <c r="AB3275" s="26"/>
      <c r="AC3275" s="27"/>
    </row>
    <row r="3276" spans="1:29" x14ac:dyDescent="0.25">
      <c r="A3276" s="1"/>
      <c r="B3276" s="19"/>
      <c r="C3276" s="24"/>
      <c r="D3276" s="1"/>
      <c r="E3276" s="25"/>
      <c r="F3276" s="26"/>
      <c r="G3276" s="26"/>
      <c r="L3276" s="25"/>
      <c r="M3276" s="24"/>
      <c r="N3276" s="26"/>
      <c r="O3276" s="26"/>
      <c r="P3276" s="26"/>
      <c r="Q3276" s="26"/>
      <c r="R3276" s="26"/>
      <c r="S3276" s="26"/>
      <c r="T3276" s="26"/>
      <c r="U3276" s="26"/>
      <c r="V3276" s="26"/>
      <c r="W3276" s="26"/>
      <c r="X3276" s="26"/>
      <c r="Y3276" s="26"/>
      <c r="Z3276" s="26"/>
      <c r="AA3276" s="26"/>
      <c r="AB3276" s="26"/>
      <c r="AC3276" s="27"/>
    </row>
    <row r="3277" spans="1:29" x14ac:dyDescent="0.25">
      <c r="A3277" s="1"/>
      <c r="B3277" s="19"/>
      <c r="C3277" s="24"/>
      <c r="D3277" s="1"/>
      <c r="E3277" s="25"/>
      <c r="F3277" s="26"/>
      <c r="G3277" s="26"/>
      <c r="L3277" s="25"/>
      <c r="M3277" s="24"/>
      <c r="N3277" s="26"/>
      <c r="O3277" s="26"/>
      <c r="P3277" s="26"/>
      <c r="Q3277" s="26"/>
      <c r="R3277" s="26"/>
      <c r="S3277" s="26"/>
      <c r="T3277" s="26"/>
      <c r="U3277" s="26"/>
      <c r="V3277" s="26"/>
      <c r="W3277" s="26"/>
      <c r="X3277" s="26"/>
      <c r="Y3277" s="26"/>
      <c r="Z3277" s="26"/>
      <c r="AA3277" s="26"/>
      <c r="AB3277" s="26"/>
      <c r="AC3277" s="27"/>
    </row>
    <row r="3278" spans="1:29" x14ac:dyDescent="0.25">
      <c r="A3278" s="1"/>
      <c r="B3278" s="19"/>
      <c r="C3278" s="24"/>
      <c r="D3278" s="1"/>
      <c r="E3278" s="25"/>
      <c r="F3278" s="26"/>
      <c r="G3278" s="26"/>
      <c r="L3278" s="25"/>
      <c r="M3278" s="24"/>
      <c r="N3278" s="26"/>
      <c r="O3278" s="26"/>
      <c r="P3278" s="26"/>
      <c r="Q3278" s="26"/>
      <c r="R3278" s="26"/>
      <c r="S3278" s="26"/>
      <c r="T3278" s="26"/>
      <c r="U3278" s="26"/>
      <c r="V3278" s="26"/>
      <c r="W3278" s="26"/>
      <c r="X3278" s="26"/>
      <c r="Y3278" s="26"/>
      <c r="Z3278" s="26"/>
      <c r="AA3278" s="26"/>
      <c r="AB3278" s="26"/>
      <c r="AC3278" s="27"/>
    </row>
    <row r="3279" spans="1:29" x14ac:dyDescent="0.25">
      <c r="A3279" s="1"/>
      <c r="B3279" s="19"/>
      <c r="C3279" s="24"/>
      <c r="D3279" s="1"/>
      <c r="E3279" s="25"/>
      <c r="F3279" s="26"/>
      <c r="G3279" s="26"/>
      <c r="L3279" s="25"/>
      <c r="M3279" s="24"/>
      <c r="N3279" s="26"/>
      <c r="O3279" s="26"/>
      <c r="P3279" s="26"/>
      <c r="Q3279" s="26"/>
      <c r="R3279" s="26"/>
      <c r="S3279" s="26"/>
      <c r="T3279" s="26"/>
      <c r="U3279" s="26"/>
      <c r="V3279" s="26"/>
      <c r="W3279" s="26"/>
      <c r="X3279" s="26"/>
      <c r="Y3279" s="26"/>
      <c r="Z3279" s="26"/>
      <c r="AA3279" s="26"/>
      <c r="AB3279" s="26"/>
      <c r="AC3279" s="27"/>
    </row>
    <row r="3280" spans="1:29" x14ac:dyDescent="0.25">
      <c r="A3280" s="1"/>
      <c r="B3280" s="19"/>
      <c r="C3280" s="24"/>
      <c r="D3280" s="1"/>
      <c r="E3280" s="25"/>
      <c r="F3280" s="26"/>
      <c r="G3280" s="26"/>
      <c r="L3280" s="25"/>
      <c r="M3280" s="24"/>
      <c r="N3280" s="26"/>
      <c r="O3280" s="26"/>
      <c r="P3280" s="26"/>
      <c r="Q3280" s="26"/>
      <c r="R3280" s="26"/>
      <c r="S3280" s="26"/>
      <c r="T3280" s="26"/>
      <c r="U3280" s="26"/>
      <c r="V3280" s="26"/>
      <c r="W3280" s="26"/>
      <c r="X3280" s="26"/>
      <c r="Y3280" s="26"/>
      <c r="Z3280" s="26"/>
      <c r="AA3280" s="26"/>
      <c r="AB3280" s="26"/>
      <c r="AC3280" s="27"/>
    </row>
    <row r="3281" spans="1:29" x14ac:dyDescent="0.25">
      <c r="A3281" s="1"/>
      <c r="B3281" s="19"/>
      <c r="C3281" s="24"/>
      <c r="D3281" s="1"/>
      <c r="E3281" s="25"/>
      <c r="F3281" s="26"/>
      <c r="G3281" s="26"/>
      <c r="L3281" s="25"/>
      <c r="M3281" s="24"/>
      <c r="N3281" s="26"/>
      <c r="O3281" s="26"/>
      <c r="P3281" s="26"/>
      <c r="Q3281" s="26"/>
      <c r="R3281" s="26"/>
      <c r="S3281" s="26"/>
      <c r="T3281" s="26"/>
      <c r="U3281" s="26"/>
      <c r="V3281" s="26"/>
      <c r="W3281" s="26"/>
      <c r="X3281" s="26"/>
      <c r="Y3281" s="26"/>
      <c r="Z3281" s="26"/>
      <c r="AA3281" s="26"/>
      <c r="AB3281" s="26"/>
      <c r="AC3281" s="27"/>
    </row>
    <row r="3282" spans="1:29" x14ac:dyDescent="0.25">
      <c r="A3282" s="1"/>
      <c r="B3282" s="19"/>
      <c r="C3282" s="24"/>
      <c r="D3282" s="1"/>
      <c r="E3282" s="25"/>
      <c r="F3282" s="26"/>
      <c r="G3282" s="26"/>
      <c r="L3282" s="25"/>
      <c r="M3282" s="24"/>
      <c r="N3282" s="26"/>
      <c r="O3282" s="26"/>
      <c r="P3282" s="26"/>
      <c r="Q3282" s="26"/>
      <c r="R3282" s="26"/>
      <c r="S3282" s="26"/>
      <c r="T3282" s="26"/>
      <c r="U3282" s="26"/>
      <c r="V3282" s="26"/>
      <c r="W3282" s="26"/>
      <c r="X3282" s="26"/>
      <c r="Y3282" s="26"/>
      <c r="Z3282" s="26"/>
      <c r="AA3282" s="26"/>
      <c r="AB3282" s="26"/>
      <c r="AC3282" s="27"/>
    </row>
    <row r="3283" spans="1:29" x14ac:dyDescent="0.25">
      <c r="A3283" s="1"/>
      <c r="B3283" s="19"/>
      <c r="C3283" s="24"/>
      <c r="D3283" s="1"/>
      <c r="E3283" s="25"/>
      <c r="F3283" s="26"/>
      <c r="G3283" s="26"/>
      <c r="L3283" s="25"/>
      <c r="M3283" s="24"/>
      <c r="N3283" s="26"/>
      <c r="O3283" s="26"/>
      <c r="P3283" s="26"/>
      <c r="Q3283" s="26"/>
      <c r="R3283" s="26"/>
      <c r="S3283" s="26"/>
      <c r="T3283" s="26"/>
      <c r="U3283" s="26"/>
      <c r="V3283" s="26"/>
      <c r="W3283" s="26"/>
      <c r="X3283" s="26"/>
      <c r="Y3283" s="26"/>
      <c r="Z3283" s="26"/>
      <c r="AA3283" s="26"/>
      <c r="AB3283" s="26"/>
      <c r="AC3283" s="27"/>
    </row>
    <row r="3284" spans="1:29" x14ac:dyDescent="0.25">
      <c r="A3284" s="1"/>
      <c r="B3284" s="19"/>
      <c r="C3284" s="24"/>
      <c r="D3284" s="1"/>
      <c r="E3284" s="25"/>
      <c r="F3284" s="26"/>
      <c r="G3284" s="26"/>
      <c r="L3284" s="25"/>
      <c r="M3284" s="24"/>
      <c r="N3284" s="26"/>
      <c r="O3284" s="26"/>
      <c r="P3284" s="26"/>
      <c r="Q3284" s="26"/>
      <c r="R3284" s="26"/>
      <c r="S3284" s="26"/>
      <c r="T3284" s="26"/>
      <c r="U3284" s="26"/>
      <c r="V3284" s="26"/>
      <c r="W3284" s="26"/>
      <c r="X3284" s="26"/>
      <c r="Y3284" s="26"/>
      <c r="Z3284" s="26"/>
      <c r="AA3284" s="26"/>
      <c r="AB3284" s="26"/>
      <c r="AC3284" s="27"/>
    </row>
    <row r="3285" spans="1:29" x14ac:dyDescent="0.25">
      <c r="A3285" s="1"/>
      <c r="B3285" s="19"/>
      <c r="C3285" s="24"/>
      <c r="D3285" s="1"/>
      <c r="E3285" s="25"/>
      <c r="F3285" s="26"/>
      <c r="G3285" s="26"/>
      <c r="L3285" s="25"/>
      <c r="M3285" s="24"/>
      <c r="N3285" s="26"/>
      <c r="O3285" s="26"/>
      <c r="P3285" s="26"/>
      <c r="Q3285" s="26"/>
      <c r="R3285" s="26"/>
      <c r="S3285" s="26"/>
      <c r="T3285" s="26"/>
      <c r="U3285" s="26"/>
      <c r="V3285" s="26"/>
      <c r="W3285" s="26"/>
      <c r="X3285" s="26"/>
      <c r="Y3285" s="26"/>
      <c r="Z3285" s="26"/>
      <c r="AA3285" s="26"/>
      <c r="AB3285" s="26"/>
      <c r="AC3285" s="27"/>
    </row>
    <row r="3286" spans="1:29" x14ac:dyDescent="0.25">
      <c r="A3286" s="1"/>
      <c r="B3286" s="19"/>
      <c r="C3286" s="24"/>
      <c r="D3286" s="1"/>
      <c r="E3286" s="25"/>
      <c r="F3286" s="26"/>
      <c r="G3286" s="26"/>
      <c r="L3286" s="25"/>
      <c r="M3286" s="24"/>
      <c r="N3286" s="26"/>
      <c r="O3286" s="26"/>
      <c r="P3286" s="26"/>
      <c r="Q3286" s="26"/>
      <c r="R3286" s="26"/>
      <c r="S3286" s="26"/>
      <c r="T3286" s="26"/>
      <c r="U3286" s="26"/>
      <c r="V3286" s="26"/>
      <c r="W3286" s="26"/>
      <c r="X3286" s="26"/>
      <c r="Y3286" s="26"/>
      <c r="Z3286" s="26"/>
      <c r="AA3286" s="26"/>
      <c r="AB3286" s="26"/>
      <c r="AC3286" s="27"/>
    </row>
    <row r="3287" spans="1:29" x14ac:dyDescent="0.25">
      <c r="A3287" s="1"/>
      <c r="B3287" s="19"/>
      <c r="C3287" s="24"/>
      <c r="D3287" s="1"/>
      <c r="E3287" s="25"/>
      <c r="F3287" s="26"/>
      <c r="G3287" s="26"/>
      <c r="L3287" s="25"/>
      <c r="M3287" s="24"/>
      <c r="N3287" s="26"/>
      <c r="O3287" s="26"/>
      <c r="P3287" s="26"/>
      <c r="Q3287" s="26"/>
      <c r="R3287" s="26"/>
      <c r="S3287" s="26"/>
      <c r="T3287" s="26"/>
      <c r="U3287" s="26"/>
      <c r="V3287" s="26"/>
      <c r="W3287" s="26"/>
      <c r="X3287" s="26"/>
      <c r="Y3287" s="26"/>
      <c r="Z3287" s="26"/>
      <c r="AA3287" s="26"/>
      <c r="AB3287" s="26"/>
      <c r="AC3287" s="27"/>
    </row>
    <row r="3288" spans="1:29" x14ac:dyDescent="0.25">
      <c r="A3288" s="1"/>
      <c r="B3288" s="19"/>
      <c r="C3288" s="24"/>
      <c r="D3288" s="1"/>
      <c r="E3288" s="25"/>
      <c r="F3288" s="26"/>
      <c r="G3288" s="26"/>
      <c r="L3288" s="25"/>
      <c r="M3288" s="24"/>
      <c r="N3288" s="26"/>
      <c r="O3288" s="26"/>
      <c r="P3288" s="26"/>
      <c r="Q3288" s="26"/>
      <c r="R3288" s="26"/>
      <c r="S3288" s="26"/>
      <c r="T3288" s="26"/>
      <c r="U3288" s="26"/>
      <c r="V3288" s="26"/>
      <c r="W3288" s="26"/>
      <c r="X3288" s="26"/>
      <c r="Y3288" s="26"/>
      <c r="Z3288" s="26"/>
      <c r="AA3288" s="26"/>
      <c r="AB3288" s="26"/>
      <c r="AC3288" s="27"/>
    </row>
    <row r="3289" spans="1:29" x14ac:dyDescent="0.25">
      <c r="A3289" s="1"/>
      <c r="B3289" s="19"/>
      <c r="C3289" s="24"/>
      <c r="D3289" s="1"/>
      <c r="E3289" s="25"/>
      <c r="F3289" s="26"/>
      <c r="G3289" s="26"/>
      <c r="L3289" s="25"/>
      <c r="M3289" s="24"/>
      <c r="N3289" s="26"/>
      <c r="O3289" s="26"/>
      <c r="P3289" s="26"/>
      <c r="Q3289" s="26"/>
      <c r="R3289" s="26"/>
      <c r="S3289" s="26"/>
      <c r="T3289" s="26"/>
      <c r="U3289" s="26"/>
      <c r="V3289" s="26"/>
      <c r="W3289" s="26"/>
      <c r="X3289" s="26"/>
      <c r="Y3289" s="26"/>
      <c r="Z3289" s="26"/>
      <c r="AA3289" s="26"/>
      <c r="AB3289" s="26"/>
      <c r="AC3289" s="27"/>
    </row>
    <row r="3290" spans="1:29" x14ac:dyDescent="0.25">
      <c r="A3290" s="1"/>
      <c r="B3290" s="19"/>
      <c r="C3290" s="24"/>
      <c r="D3290" s="1"/>
      <c r="E3290" s="25"/>
      <c r="F3290" s="26"/>
      <c r="G3290" s="26"/>
      <c r="L3290" s="25"/>
      <c r="M3290" s="24"/>
      <c r="N3290" s="26"/>
      <c r="O3290" s="26"/>
      <c r="P3290" s="26"/>
      <c r="Q3290" s="26"/>
      <c r="R3290" s="26"/>
      <c r="S3290" s="26"/>
      <c r="T3290" s="26"/>
      <c r="U3290" s="26"/>
      <c r="V3290" s="26"/>
      <c r="W3290" s="26"/>
      <c r="X3290" s="26"/>
      <c r="Y3290" s="26"/>
      <c r="Z3290" s="26"/>
      <c r="AA3290" s="26"/>
      <c r="AB3290" s="26"/>
      <c r="AC3290" s="27"/>
    </row>
    <row r="3291" spans="1:29" x14ac:dyDescent="0.25">
      <c r="A3291" s="1"/>
      <c r="B3291" s="19"/>
      <c r="C3291" s="24"/>
      <c r="D3291" s="1"/>
      <c r="E3291" s="25"/>
      <c r="F3291" s="26"/>
      <c r="G3291" s="26"/>
      <c r="L3291" s="25"/>
      <c r="M3291" s="24"/>
      <c r="N3291" s="26"/>
      <c r="O3291" s="26"/>
      <c r="P3291" s="26"/>
      <c r="Q3291" s="26"/>
      <c r="R3291" s="26"/>
      <c r="S3291" s="26"/>
      <c r="T3291" s="26"/>
      <c r="U3291" s="26"/>
      <c r="V3291" s="26"/>
      <c r="W3291" s="26"/>
      <c r="X3291" s="26"/>
      <c r="Y3291" s="26"/>
      <c r="Z3291" s="26"/>
      <c r="AA3291" s="26"/>
      <c r="AB3291" s="26"/>
      <c r="AC3291" s="27"/>
    </row>
    <row r="3292" spans="1:29" x14ac:dyDescent="0.25">
      <c r="A3292" s="1"/>
      <c r="B3292" s="19"/>
      <c r="C3292" s="24"/>
      <c r="D3292" s="1"/>
      <c r="E3292" s="25"/>
      <c r="F3292" s="26"/>
      <c r="G3292" s="26"/>
      <c r="L3292" s="25"/>
      <c r="M3292" s="24"/>
      <c r="N3292" s="26"/>
      <c r="O3292" s="26"/>
      <c r="P3292" s="26"/>
      <c r="Q3292" s="26"/>
      <c r="R3292" s="26"/>
      <c r="S3292" s="26"/>
      <c r="T3292" s="26"/>
      <c r="U3292" s="26"/>
      <c r="V3292" s="26"/>
      <c r="W3292" s="26"/>
      <c r="X3292" s="26"/>
      <c r="Y3292" s="26"/>
      <c r="Z3292" s="26"/>
      <c r="AA3292" s="26"/>
      <c r="AB3292" s="26"/>
      <c r="AC3292" s="27"/>
    </row>
    <row r="3293" spans="1:29" x14ac:dyDescent="0.25">
      <c r="A3293" s="1"/>
      <c r="B3293" s="19"/>
      <c r="C3293" s="24"/>
      <c r="D3293" s="1"/>
      <c r="E3293" s="25"/>
      <c r="F3293" s="26"/>
      <c r="G3293" s="26"/>
      <c r="L3293" s="25"/>
      <c r="M3293" s="24"/>
      <c r="N3293" s="26"/>
      <c r="O3293" s="26"/>
      <c r="P3293" s="26"/>
      <c r="Q3293" s="26"/>
      <c r="R3293" s="26"/>
      <c r="S3293" s="26"/>
      <c r="T3293" s="26"/>
      <c r="U3293" s="26"/>
      <c r="V3293" s="26"/>
      <c r="W3293" s="26"/>
      <c r="X3293" s="26"/>
      <c r="Y3293" s="26"/>
      <c r="Z3293" s="26"/>
      <c r="AA3293" s="26"/>
      <c r="AB3293" s="26"/>
      <c r="AC3293" s="27"/>
    </row>
    <row r="3294" spans="1:29" x14ac:dyDescent="0.25">
      <c r="A3294" s="1"/>
      <c r="B3294" s="19"/>
      <c r="C3294" s="24"/>
      <c r="D3294" s="1"/>
      <c r="E3294" s="25"/>
      <c r="F3294" s="26"/>
      <c r="G3294" s="26"/>
      <c r="L3294" s="25"/>
      <c r="M3294" s="24"/>
      <c r="N3294" s="26"/>
      <c r="O3294" s="26"/>
      <c r="P3294" s="26"/>
      <c r="Q3294" s="26"/>
      <c r="R3294" s="26"/>
      <c r="S3294" s="26"/>
      <c r="T3294" s="26"/>
      <c r="U3294" s="26"/>
      <c r="V3294" s="26"/>
      <c r="W3294" s="26"/>
      <c r="X3294" s="26"/>
      <c r="Y3294" s="26"/>
      <c r="Z3294" s="26"/>
      <c r="AA3294" s="26"/>
      <c r="AB3294" s="26"/>
      <c r="AC3294" s="27"/>
    </row>
    <row r="3295" spans="1:29" x14ac:dyDescent="0.25">
      <c r="A3295" s="1"/>
      <c r="B3295" s="19"/>
      <c r="C3295" s="24"/>
      <c r="D3295" s="1"/>
      <c r="E3295" s="25"/>
      <c r="F3295" s="26"/>
      <c r="G3295" s="26"/>
      <c r="L3295" s="25"/>
      <c r="M3295" s="24"/>
      <c r="N3295" s="26"/>
      <c r="O3295" s="26"/>
      <c r="P3295" s="26"/>
      <c r="Q3295" s="26"/>
      <c r="R3295" s="26"/>
      <c r="S3295" s="26"/>
      <c r="T3295" s="26"/>
      <c r="U3295" s="26"/>
      <c r="V3295" s="26"/>
      <c r="W3295" s="26"/>
      <c r="X3295" s="26"/>
      <c r="Y3295" s="26"/>
      <c r="Z3295" s="26"/>
      <c r="AA3295" s="26"/>
      <c r="AB3295" s="26"/>
      <c r="AC3295" s="27"/>
    </row>
    <row r="3296" spans="1:29" x14ac:dyDescent="0.25">
      <c r="A3296" s="1"/>
      <c r="B3296" s="19"/>
      <c r="C3296" s="24"/>
      <c r="D3296" s="1"/>
      <c r="E3296" s="25"/>
      <c r="F3296" s="26"/>
      <c r="G3296" s="26"/>
      <c r="L3296" s="25"/>
      <c r="M3296" s="24"/>
      <c r="N3296" s="26"/>
      <c r="O3296" s="26"/>
      <c r="P3296" s="26"/>
      <c r="Q3296" s="26"/>
      <c r="R3296" s="26"/>
      <c r="S3296" s="26"/>
      <c r="T3296" s="26"/>
      <c r="U3296" s="26"/>
      <c r="V3296" s="26"/>
      <c r="W3296" s="26"/>
      <c r="X3296" s="26"/>
      <c r="Y3296" s="26"/>
      <c r="Z3296" s="26"/>
      <c r="AA3296" s="26"/>
      <c r="AB3296" s="26"/>
      <c r="AC3296" s="27"/>
    </row>
    <row r="3297" spans="1:29" x14ac:dyDescent="0.25">
      <c r="A3297" s="1"/>
      <c r="B3297" s="19"/>
      <c r="C3297" s="24"/>
      <c r="D3297" s="1"/>
      <c r="E3297" s="25"/>
      <c r="F3297" s="26"/>
      <c r="G3297" s="26"/>
      <c r="L3297" s="25"/>
      <c r="M3297" s="24"/>
      <c r="N3297" s="26"/>
      <c r="O3297" s="26"/>
      <c r="P3297" s="26"/>
      <c r="Q3297" s="26"/>
      <c r="R3297" s="26"/>
      <c r="S3297" s="26"/>
      <c r="T3297" s="26"/>
      <c r="U3297" s="26"/>
      <c r="V3297" s="26"/>
      <c r="W3297" s="26"/>
      <c r="X3297" s="26"/>
      <c r="Y3297" s="26"/>
      <c r="Z3297" s="26"/>
      <c r="AA3297" s="26"/>
      <c r="AB3297" s="26"/>
      <c r="AC3297" s="27"/>
    </row>
    <row r="3298" spans="1:29" x14ac:dyDescent="0.25">
      <c r="A3298" s="1"/>
      <c r="B3298" s="19"/>
      <c r="C3298" s="24"/>
      <c r="D3298" s="1"/>
      <c r="E3298" s="25"/>
      <c r="F3298" s="26"/>
      <c r="G3298" s="26"/>
      <c r="L3298" s="25"/>
      <c r="M3298" s="24"/>
      <c r="N3298" s="26"/>
      <c r="O3298" s="26"/>
      <c r="P3298" s="26"/>
      <c r="Q3298" s="26"/>
      <c r="R3298" s="26"/>
      <c r="S3298" s="26"/>
      <c r="T3298" s="26"/>
      <c r="U3298" s="26"/>
      <c r="V3298" s="26"/>
      <c r="W3298" s="26"/>
      <c r="X3298" s="26"/>
      <c r="Y3298" s="26"/>
      <c r="Z3298" s="26"/>
      <c r="AA3298" s="26"/>
      <c r="AB3298" s="26"/>
      <c r="AC3298" s="27"/>
    </row>
    <row r="3299" spans="1:29" x14ac:dyDescent="0.25">
      <c r="A3299" s="1"/>
      <c r="B3299" s="19"/>
      <c r="C3299" s="24"/>
      <c r="D3299" s="1"/>
      <c r="E3299" s="25"/>
      <c r="F3299" s="26"/>
      <c r="G3299" s="26"/>
      <c r="L3299" s="25"/>
      <c r="M3299" s="24"/>
      <c r="N3299" s="26"/>
      <c r="O3299" s="26"/>
      <c r="P3299" s="26"/>
      <c r="Q3299" s="26"/>
      <c r="R3299" s="26"/>
      <c r="S3299" s="26"/>
      <c r="T3299" s="26"/>
      <c r="U3299" s="26"/>
      <c r="V3299" s="26"/>
      <c r="W3299" s="26"/>
      <c r="X3299" s="26"/>
      <c r="Y3299" s="26"/>
      <c r="Z3299" s="26"/>
      <c r="AA3299" s="26"/>
      <c r="AB3299" s="26"/>
      <c r="AC3299" s="27"/>
    </row>
    <row r="3300" spans="1:29" x14ac:dyDescent="0.25">
      <c r="A3300" s="1"/>
      <c r="B3300" s="19"/>
      <c r="C3300" s="24"/>
      <c r="D3300" s="1"/>
      <c r="E3300" s="25"/>
      <c r="F3300" s="26"/>
      <c r="G3300" s="26"/>
      <c r="L3300" s="25"/>
      <c r="M3300" s="24"/>
      <c r="N3300" s="26"/>
      <c r="O3300" s="26"/>
      <c r="P3300" s="26"/>
      <c r="Q3300" s="26"/>
      <c r="R3300" s="26"/>
      <c r="S3300" s="26"/>
      <c r="T3300" s="26"/>
      <c r="U3300" s="26"/>
      <c r="V3300" s="26"/>
      <c r="W3300" s="26"/>
      <c r="X3300" s="26"/>
      <c r="Y3300" s="26"/>
      <c r="Z3300" s="26"/>
      <c r="AA3300" s="26"/>
      <c r="AB3300" s="26"/>
      <c r="AC3300" s="27"/>
    </row>
    <row r="3301" spans="1:29" x14ac:dyDescent="0.25">
      <c r="A3301" s="1"/>
      <c r="B3301" s="19"/>
      <c r="C3301" s="24"/>
      <c r="D3301" s="1"/>
      <c r="E3301" s="25"/>
      <c r="F3301" s="26"/>
      <c r="G3301" s="26"/>
      <c r="L3301" s="25"/>
      <c r="M3301" s="24"/>
      <c r="N3301" s="26"/>
      <c r="O3301" s="26"/>
      <c r="P3301" s="26"/>
      <c r="Q3301" s="26"/>
      <c r="R3301" s="26"/>
      <c r="S3301" s="26"/>
      <c r="T3301" s="26"/>
      <c r="U3301" s="26"/>
      <c r="V3301" s="26"/>
      <c r="W3301" s="26"/>
      <c r="X3301" s="26"/>
      <c r="Y3301" s="26"/>
      <c r="Z3301" s="26"/>
      <c r="AA3301" s="26"/>
      <c r="AB3301" s="26"/>
      <c r="AC3301" s="27"/>
    </row>
    <row r="3302" spans="1:29" x14ac:dyDescent="0.25">
      <c r="A3302" s="1"/>
      <c r="B3302" s="19"/>
      <c r="C3302" s="24"/>
      <c r="D3302" s="1"/>
      <c r="E3302" s="25"/>
      <c r="F3302" s="26"/>
      <c r="G3302" s="26"/>
      <c r="L3302" s="25"/>
      <c r="M3302" s="24"/>
      <c r="N3302" s="26"/>
      <c r="O3302" s="26"/>
      <c r="P3302" s="26"/>
      <c r="Q3302" s="26"/>
      <c r="R3302" s="26"/>
      <c r="S3302" s="26"/>
      <c r="T3302" s="26"/>
      <c r="U3302" s="26"/>
      <c r="V3302" s="26"/>
      <c r="W3302" s="26"/>
      <c r="X3302" s="26"/>
      <c r="Y3302" s="26"/>
      <c r="Z3302" s="26"/>
      <c r="AA3302" s="26"/>
      <c r="AB3302" s="26"/>
      <c r="AC3302" s="27"/>
    </row>
    <row r="3303" spans="1:29" x14ac:dyDescent="0.25">
      <c r="A3303" s="1"/>
      <c r="B3303" s="19"/>
      <c r="C3303" s="24"/>
      <c r="D3303" s="1"/>
      <c r="E3303" s="25"/>
      <c r="F3303" s="26"/>
      <c r="G3303" s="26"/>
      <c r="L3303" s="25"/>
      <c r="M3303" s="24"/>
      <c r="N3303" s="26"/>
      <c r="O3303" s="26"/>
      <c r="P3303" s="26"/>
      <c r="Q3303" s="26"/>
      <c r="R3303" s="26"/>
      <c r="S3303" s="26"/>
      <c r="T3303" s="26"/>
      <c r="U3303" s="26"/>
      <c r="V3303" s="26"/>
      <c r="W3303" s="26"/>
      <c r="X3303" s="26"/>
      <c r="Y3303" s="26"/>
      <c r="Z3303" s="26"/>
      <c r="AA3303" s="26"/>
      <c r="AB3303" s="26"/>
      <c r="AC3303" s="27"/>
    </row>
    <row r="3304" spans="1:29" x14ac:dyDescent="0.25">
      <c r="A3304" s="1"/>
      <c r="B3304" s="19"/>
      <c r="C3304" s="24"/>
      <c r="D3304" s="1"/>
      <c r="E3304" s="25"/>
      <c r="F3304" s="26"/>
      <c r="G3304" s="26"/>
      <c r="L3304" s="25"/>
      <c r="M3304" s="24"/>
      <c r="N3304" s="26"/>
      <c r="O3304" s="26"/>
      <c r="P3304" s="26"/>
      <c r="Q3304" s="26"/>
      <c r="R3304" s="26"/>
      <c r="S3304" s="26"/>
      <c r="T3304" s="26"/>
      <c r="U3304" s="26"/>
      <c r="V3304" s="26"/>
      <c r="W3304" s="26"/>
      <c r="X3304" s="26"/>
      <c r="Y3304" s="26"/>
      <c r="Z3304" s="26"/>
      <c r="AA3304" s="26"/>
      <c r="AB3304" s="26"/>
      <c r="AC3304" s="27"/>
    </row>
    <row r="3305" spans="1:29" x14ac:dyDescent="0.25">
      <c r="A3305" s="1"/>
      <c r="B3305" s="19"/>
      <c r="C3305" s="24"/>
      <c r="D3305" s="1"/>
      <c r="E3305" s="25"/>
      <c r="F3305" s="26"/>
      <c r="G3305" s="26"/>
      <c r="L3305" s="25"/>
      <c r="M3305" s="24"/>
      <c r="N3305" s="26"/>
      <c r="O3305" s="26"/>
      <c r="P3305" s="26"/>
      <c r="Q3305" s="26"/>
      <c r="R3305" s="26"/>
      <c r="S3305" s="26"/>
      <c r="T3305" s="26"/>
      <c r="U3305" s="26"/>
      <c r="V3305" s="26"/>
      <c r="W3305" s="26"/>
      <c r="X3305" s="26"/>
      <c r="Y3305" s="26"/>
      <c r="Z3305" s="26"/>
      <c r="AA3305" s="26"/>
      <c r="AB3305" s="26"/>
      <c r="AC3305" s="27"/>
    </row>
    <row r="3306" spans="1:29" x14ac:dyDescent="0.25">
      <c r="A3306" s="1"/>
      <c r="B3306" s="19"/>
      <c r="C3306" s="24"/>
      <c r="D3306" s="1"/>
      <c r="E3306" s="25"/>
      <c r="F3306" s="26"/>
      <c r="G3306" s="26"/>
      <c r="L3306" s="25"/>
      <c r="M3306" s="24"/>
      <c r="N3306" s="26"/>
      <c r="O3306" s="26"/>
      <c r="P3306" s="26"/>
      <c r="Q3306" s="26"/>
      <c r="R3306" s="26"/>
      <c r="S3306" s="26"/>
      <c r="T3306" s="26"/>
      <c r="U3306" s="26"/>
      <c r="V3306" s="26"/>
      <c r="W3306" s="26"/>
      <c r="X3306" s="26"/>
      <c r="Y3306" s="26"/>
      <c r="Z3306" s="26"/>
      <c r="AA3306" s="26"/>
      <c r="AB3306" s="26"/>
      <c r="AC3306" s="27"/>
    </row>
    <row r="3307" spans="1:29" x14ac:dyDescent="0.25">
      <c r="A3307" s="1"/>
      <c r="B3307" s="19"/>
      <c r="C3307" s="24"/>
      <c r="D3307" s="1"/>
      <c r="E3307" s="25"/>
      <c r="F3307" s="26"/>
      <c r="G3307" s="26"/>
      <c r="L3307" s="25"/>
      <c r="M3307" s="24"/>
      <c r="N3307" s="26"/>
      <c r="O3307" s="26"/>
      <c r="P3307" s="26"/>
      <c r="Q3307" s="26"/>
      <c r="R3307" s="26"/>
      <c r="S3307" s="26"/>
      <c r="T3307" s="26"/>
      <c r="U3307" s="26"/>
      <c r="V3307" s="26"/>
      <c r="W3307" s="26"/>
      <c r="X3307" s="26"/>
      <c r="Y3307" s="26"/>
      <c r="Z3307" s="26"/>
      <c r="AA3307" s="26"/>
      <c r="AB3307" s="26"/>
      <c r="AC3307" s="27"/>
    </row>
    <row r="3308" spans="1:29" x14ac:dyDescent="0.25">
      <c r="A3308" s="1"/>
      <c r="B3308" s="19"/>
      <c r="C3308" s="24"/>
      <c r="D3308" s="1"/>
      <c r="E3308" s="25"/>
      <c r="F3308" s="26"/>
      <c r="G3308" s="26"/>
      <c r="L3308" s="25"/>
      <c r="M3308" s="24"/>
      <c r="N3308" s="26"/>
      <c r="O3308" s="26"/>
      <c r="P3308" s="26"/>
      <c r="Q3308" s="26"/>
      <c r="R3308" s="26"/>
      <c r="S3308" s="26"/>
      <c r="T3308" s="26"/>
      <c r="U3308" s="26"/>
      <c r="V3308" s="26"/>
      <c r="W3308" s="26"/>
      <c r="X3308" s="26"/>
      <c r="Y3308" s="26"/>
      <c r="Z3308" s="26"/>
      <c r="AA3308" s="26"/>
      <c r="AB3308" s="26"/>
      <c r="AC3308" s="27"/>
    </row>
    <row r="3309" spans="1:29" x14ac:dyDescent="0.25">
      <c r="A3309" s="1"/>
      <c r="B3309" s="19"/>
      <c r="C3309" s="24"/>
      <c r="D3309" s="1"/>
      <c r="E3309" s="25"/>
      <c r="F3309" s="26"/>
      <c r="G3309" s="26"/>
      <c r="L3309" s="25"/>
      <c r="M3309" s="24"/>
      <c r="N3309" s="26"/>
      <c r="O3309" s="26"/>
      <c r="P3309" s="26"/>
      <c r="Q3309" s="26"/>
      <c r="R3309" s="26"/>
      <c r="S3309" s="26"/>
      <c r="T3309" s="26"/>
      <c r="U3309" s="26"/>
      <c r="V3309" s="26"/>
      <c r="W3309" s="26"/>
      <c r="X3309" s="26"/>
      <c r="Y3309" s="26"/>
      <c r="Z3309" s="26"/>
      <c r="AA3309" s="26"/>
      <c r="AB3309" s="26"/>
      <c r="AC3309" s="27"/>
    </row>
    <row r="3310" spans="1:29" x14ac:dyDescent="0.25">
      <c r="A3310" s="1"/>
      <c r="B3310" s="19"/>
      <c r="C3310" s="24"/>
      <c r="D3310" s="1"/>
      <c r="E3310" s="25"/>
      <c r="F3310" s="26"/>
      <c r="G3310" s="26"/>
      <c r="L3310" s="25"/>
      <c r="M3310" s="24"/>
      <c r="N3310" s="26"/>
      <c r="O3310" s="26"/>
      <c r="P3310" s="26"/>
      <c r="Q3310" s="26"/>
      <c r="R3310" s="26"/>
      <c r="S3310" s="26"/>
      <c r="T3310" s="26"/>
      <c r="U3310" s="26"/>
      <c r="V3310" s="26"/>
      <c r="W3310" s="26"/>
      <c r="X3310" s="26"/>
      <c r="Y3310" s="26"/>
      <c r="Z3310" s="26"/>
      <c r="AA3310" s="26"/>
      <c r="AB3310" s="26"/>
      <c r="AC3310" s="27"/>
    </row>
    <row r="3311" spans="1:29" x14ac:dyDescent="0.25">
      <c r="A3311" s="1"/>
      <c r="B3311" s="19"/>
      <c r="C3311" s="24"/>
      <c r="D3311" s="1"/>
      <c r="E3311" s="25"/>
      <c r="F3311" s="26"/>
      <c r="G3311" s="26"/>
      <c r="L3311" s="25"/>
      <c r="M3311" s="24"/>
      <c r="N3311" s="26"/>
      <c r="O3311" s="26"/>
      <c r="P3311" s="26"/>
      <c r="Q3311" s="26"/>
      <c r="R3311" s="26"/>
      <c r="S3311" s="26"/>
      <c r="T3311" s="26"/>
      <c r="U3311" s="26"/>
      <c r="V3311" s="26"/>
      <c r="W3311" s="26"/>
      <c r="X3311" s="26"/>
      <c r="Y3311" s="26"/>
      <c r="Z3311" s="26"/>
      <c r="AA3311" s="26"/>
      <c r="AB3311" s="26"/>
      <c r="AC3311" s="27"/>
    </row>
    <row r="3312" spans="1:29" x14ac:dyDescent="0.25">
      <c r="A3312" s="1"/>
      <c r="B3312" s="19"/>
      <c r="C3312" s="24"/>
      <c r="D3312" s="1"/>
      <c r="E3312" s="25"/>
      <c r="F3312" s="26"/>
      <c r="G3312" s="26"/>
      <c r="L3312" s="25"/>
      <c r="M3312" s="24"/>
      <c r="N3312" s="26"/>
      <c r="O3312" s="26"/>
      <c r="P3312" s="26"/>
      <c r="Q3312" s="26"/>
      <c r="R3312" s="26"/>
      <c r="S3312" s="26"/>
      <c r="T3312" s="26"/>
      <c r="U3312" s="26"/>
      <c r="V3312" s="26"/>
      <c r="W3312" s="26"/>
      <c r="X3312" s="26"/>
      <c r="Y3312" s="26"/>
      <c r="Z3312" s="26"/>
      <c r="AA3312" s="26"/>
      <c r="AB3312" s="26"/>
      <c r="AC3312" s="27"/>
    </row>
    <row r="3313" spans="1:29" x14ac:dyDescent="0.25">
      <c r="A3313" s="1"/>
      <c r="B3313" s="19"/>
      <c r="C3313" s="24"/>
      <c r="D3313" s="1"/>
      <c r="E3313" s="25"/>
      <c r="F3313" s="26"/>
      <c r="G3313" s="26"/>
      <c r="L3313" s="25"/>
      <c r="M3313" s="24"/>
      <c r="N3313" s="26"/>
      <c r="O3313" s="26"/>
      <c r="P3313" s="26"/>
      <c r="Q3313" s="26"/>
      <c r="R3313" s="26"/>
      <c r="S3313" s="26"/>
      <c r="T3313" s="26"/>
      <c r="U3313" s="26"/>
      <c r="V3313" s="26"/>
      <c r="W3313" s="26"/>
      <c r="X3313" s="26"/>
      <c r="Y3313" s="26"/>
      <c r="Z3313" s="26"/>
      <c r="AA3313" s="26"/>
      <c r="AB3313" s="26"/>
      <c r="AC3313" s="27"/>
    </row>
    <row r="3314" spans="1:29" x14ac:dyDescent="0.25">
      <c r="A3314" s="1"/>
      <c r="B3314" s="19"/>
      <c r="C3314" s="24"/>
      <c r="D3314" s="1"/>
      <c r="E3314" s="25"/>
      <c r="F3314" s="26"/>
      <c r="G3314" s="26"/>
      <c r="L3314" s="25"/>
      <c r="M3314" s="24"/>
      <c r="N3314" s="26"/>
      <c r="O3314" s="26"/>
      <c r="P3314" s="26"/>
      <c r="Q3314" s="26"/>
      <c r="R3314" s="26"/>
      <c r="S3314" s="26"/>
      <c r="T3314" s="26"/>
      <c r="U3314" s="26"/>
      <c r="V3314" s="26"/>
      <c r="W3314" s="26"/>
      <c r="X3314" s="26"/>
      <c r="Y3314" s="26"/>
      <c r="Z3314" s="26"/>
      <c r="AA3314" s="26"/>
      <c r="AB3314" s="26"/>
      <c r="AC3314" s="27"/>
    </row>
    <row r="3315" spans="1:29" x14ac:dyDescent="0.25">
      <c r="A3315" s="1"/>
      <c r="B3315" s="19"/>
      <c r="C3315" s="24"/>
      <c r="D3315" s="1"/>
      <c r="E3315" s="25"/>
      <c r="F3315" s="26"/>
      <c r="G3315" s="26"/>
      <c r="L3315" s="25"/>
      <c r="M3315" s="24"/>
      <c r="N3315" s="26"/>
      <c r="O3315" s="26"/>
      <c r="P3315" s="26"/>
      <c r="Q3315" s="26"/>
      <c r="R3315" s="26"/>
      <c r="S3315" s="26"/>
      <c r="T3315" s="26"/>
      <c r="U3315" s="26"/>
      <c r="V3315" s="26"/>
      <c r="W3315" s="26"/>
      <c r="X3315" s="26"/>
      <c r="Y3315" s="26"/>
      <c r="Z3315" s="26"/>
      <c r="AA3315" s="26"/>
      <c r="AB3315" s="26"/>
      <c r="AC3315" s="27"/>
    </row>
    <row r="3316" spans="1:29" x14ac:dyDescent="0.25">
      <c r="A3316" s="1"/>
      <c r="B3316" s="19"/>
      <c r="C3316" s="24"/>
      <c r="D3316" s="1"/>
      <c r="E3316" s="25"/>
      <c r="F3316" s="26"/>
      <c r="G3316" s="26"/>
      <c r="L3316" s="25"/>
      <c r="M3316" s="24"/>
      <c r="N3316" s="26"/>
      <c r="O3316" s="26"/>
      <c r="P3316" s="26"/>
      <c r="Q3316" s="26"/>
      <c r="R3316" s="26"/>
      <c r="S3316" s="26"/>
      <c r="T3316" s="26"/>
      <c r="U3316" s="26"/>
      <c r="V3316" s="26"/>
      <c r="W3316" s="26"/>
      <c r="X3316" s="26"/>
      <c r="Y3316" s="26"/>
      <c r="Z3316" s="26"/>
      <c r="AA3316" s="26"/>
      <c r="AB3316" s="26"/>
      <c r="AC3316" s="27"/>
    </row>
    <row r="3317" spans="1:29" x14ac:dyDescent="0.25">
      <c r="A3317" s="1"/>
      <c r="B3317" s="19"/>
      <c r="C3317" s="24"/>
      <c r="D3317" s="1"/>
      <c r="E3317" s="25"/>
      <c r="F3317" s="26"/>
      <c r="G3317" s="26"/>
      <c r="L3317" s="25"/>
      <c r="M3317" s="24"/>
      <c r="N3317" s="26"/>
      <c r="O3317" s="26"/>
      <c r="P3317" s="26"/>
      <c r="Q3317" s="26"/>
      <c r="R3317" s="26"/>
      <c r="S3317" s="26"/>
      <c r="T3317" s="26"/>
      <c r="U3317" s="26"/>
      <c r="V3317" s="26"/>
      <c r="W3317" s="26"/>
      <c r="X3317" s="26"/>
      <c r="Y3317" s="26"/>
      <c r="Z3317" s="26"/>
      <c r="AA3317" s="26"/>
      <c r="AB3317" s="26"/>
      <c r="AC3317" s="27"/>
    </row>
    <row r="3318" spans="1:29" x14ac:dyDescent="0.25">
      <c r="A3318" s="1"/>
      <c r="B3318" s="19"/>
      <c r="C3318" s="24"/>
      <c r="D3318" s="1"/>
      <c r="E3318" s="25"/>
      <c r="F3318" s="26"/>
      <c r="G3318" s="26"/>
      <c r="L3318" s="25"/>
      <c r="M3318" s="24"/>
      <c r="N3318" s="26"/>
      <c r="O3318" s="26"/>
      <c r="P3318" s="26"/>
      <c r="Q3318" s="26"/>
      <c r="R3318" s="26"/>
      <c r="S3318" s="26"/>
      <c r="T3318" s="26"/>
      <c r="U3318" s="26"/>
      <c r="V3318" s="26"/>
      <c r="W3318" s="26"/>
      <c r="X3318" s="26"/>
      <c r="Y3318" s="26"/>
      <c r="Z3318" s="26"/>
      <c r="AA3318" s="26"/>
      <c r="AB3318" s="26"/>
      <c r="AC3318" s="27"/>
    </row>
    <row r="3319" spans="1:29" x14ac:dyDescent="0.25">
      <c r="A3319" s="1"/>
      <c r="B3319" s="19"/>
      <c r="C3319" s="24"/>
      <c r="D3319" s="1"/>
      <c r="E3319" s="25"/>
      <c r="F3319" s="26"/>
      <c r="G3319" s="26"/>
      <c r="L3319" s="25"/>
      <c r="M3319" s="24"/>
      <c r="N3319" s="26"/>
      <c r="O3319" s="26"/>
      <c r="P3319" s="26"/>
      <c r="Q3319" s="26"/>
      <c r="R3319" s="26"/>
      <c r="S3319" s="26"/>
      <c r="T3319" s="26"/>
      <c r="U3319" s="26"/>
      <c r="V3319" s="26"/>
      <c r="W3319" s="26"/>
      <c r="X3319" s="26"/>
      <c r="Y3319" s="26"/>
      <c r="Z3319" s="26"/>
      <c r="AA3319" s="26"/>
      <c r="AB3319" s="26"/>
      <c r="AC3319" s="27"/>
    </row>
    <row r="3320" spans="1:29" x14ac:dyDescent="0.25">
      <c r="A3320" s="1"/>
      <c r="B3320" s="19"/>
      <c r="C3320" s="24"/>
      <c r="D3320" s="1"/>
      <c r="E3320" s="25"/>
      <c r="F3320" s="26"/>
      <c r="G3320" s="26"/>
      <c r="L3320" s="25"/>
      <c r="M3320" s="24"/>
      <c r="N3320" s="26"/>
      <c r="O3320" s="26"/>
      <c r="P3320" s="26"/>
      <c r="Q3320" s="26"/>
      <c r="R3320" s="26"/>
      <c r="S3320" s="26"/>
      <c r="T3320" s="26"/>
      <c r="U3320" s="26"/>
      <c r="V3320" s="26"/>
      <c r="W3320" s="26"/>
      <c r="X3320" s="26"/>
      <c r="Y3320" s="26"/>
      <c r="Z3320" s="26"/>
      <c r="AA3320" s="26"/>
      <c r="AB3320" s="26"/>
      <c r="AC3320" s="27"/>
    </row>
    <row r="3321" spans="1:29" x14ac:dyDescent="0.25">
      <c r="A3321" s="1"/>
      <c r="B3321" s="19"/>
      <c r="C3321" s="24"/>
      <c r="D3321" s="1"/>
      <c r="E3321" s="25"/>
      <c r="F3321" s="26"/>
      <c r="G3321" s="26"/>
      <c r="L3321" s="25"/>
      <c r="M3321" s="24"/>
      <c r="N3321" s="26"/>
      <c r="O3321" s="26"/>
      <c r="P3321" s="26"/>
      <c r="Q3321" s="26"/>
      <c r="R3321" s="26"/>
      <c r="S3321" s="26"/>
      <c r="T3321" s="26"/>
      <c r="U3321" s="26"/>
      <c r="V3321" s="26"/>
      <c r="W3321" s="26"/>
      <c r="X3321" s="26"/>
      <c r="Y3321" s="26"/>
      <c r="Z3321" s="26"/>
      <c r="AA3321" s="26"/>
      <c r="AB3321" s="26"/>
      <c r="AC3321" s="27"/>
    </row>
    <row r="3322" spans="1:29" x14ac:dyDescent="0.25">
      <c r="A3322" s="1"/>
      <c r="B3322" s="19"/>
      <c r="C3322" s="24"/>
      <c r="D3322" s="1"/>
      <c r="E3322" s="25"/>
      <c r="F3322" s="26"/>
      <c r="G3322" s="26"/>
      <c r="L3322" s="25"/>
      <c r="M3322" s="24"/>
      <c r="N3322" s="26"/>
      <c r="O3322" s="26"/>
      <c r="P3322" s="26"/>
      <c r="Q3322" s="26"/>
      <c r="R3322" s="26"/>
      <c r="S3322" s="26"/>
      <c r="T3322" s="26"/>
      <c r="U3322" s="26"/>
      <c r="V3322" s="26"/>
      <c r="W3322" s="26"/>
      <c r="X3322" s="26"/>
      <c r="Y3322" s="26"/>
      <c r="Z3322" s="26"/>
      <c r="AA3322" s="26"/>
      <c r="AB3322" s="26"/>
      <c r="AC3322" s="27"/>
    </row>
    <row r="3323" spans="1:29" x14ac:dyDescent="0.25">
      <c r="A3323" s="1"/>
      <c r="B3323" s="19"/>
      <c r="C3323" s="24"/>
      <c r="D3323" s="1"/>
      <c r="E3323" s="25"/>
      <c r="F3323" s="26"/>
      <c r="G3323" s="26"/>
      <c r="L3323" s="25"/>
      <c r="M3323" s="24"/>
      <c r="N3323" s="26"/>
      <c r="O3323" s="26"/>
      <c r="P3323" s="26"/>
      <c r="Q3323" s="26"/>
      <c r="R3323" s="26"/>
      <c r="S3323" s="26"/>
      <c r="T3323" s="26"/>
      <c r="U3323" s="26"/>
      <c r="V3323" s="26"/>
      <c r="W3323" s="26"/>
      <c r="X3323" s="26"/>
      <c r="Y3323" s="26"/>
      <c r="Z3323" s="26"/>
      <c r="AA3323" s="26"/>
      <c r="AB3323" s="26"/>
      <c r="AC3323" s="27"/>
    </row>
    <row r="3324" spans="1:29" x14ac:dyDescent="0.25">
      <c r="A3324" s="1"/>
      <c r="B3324" s="19"/>
      <c r="C3324" s="24"/>
      <c r="D3324" s="1"/>
      <c r="E3324" s="25"/>
      <c r="F3324" s="26"/>
      <c r="G3324" s="26"/>
      <c r="L3324" s="25"/>
      <c r="M3324" s="24"/>
      <c r="N3324" s="26"/>
      <c r="O3324" s="26"/>
      <c r="P3324" s="26"/>
      <c r="Q3324" s="26"/>
      <c r="R3324" s="26"/>
      <c r="S3324" s="26"/>
      <c r="T3324" s="26"/>
      <c r="U3324" s="26"/>
      <c r="V3324" s="26"/>
      <c r="W3324" s="26"/>
      <c r="X3324" s="26"/>
      <c r="Y3324" s="26"/>
      <c r="Z3324" s="26"/>
      <c r="AA3324" s="26"/>
      <c r="AB3324" s="26"/>
      <c r="AC3324" s="27"/>
    </row>
    <row r="3325" spans="1:29" x14ac:dyDescent="0.25">
      <c r="A3325" s="1"/>
      <c r="B3325" s="19"/>
      <c r="C3325" s="24"/>
      <c r="D3325" s="1"/>
      <c r="E3325" s="25"/>
      <c r="F3325" s="26"/>
      <c r="G3325" s="26"/>
      <c r="L3325" s="25"/>
      <c r="M3325" s="24"/>
      <c r="N3325" s="26"/>
      <c r="O3325" s="26"/>
      <c r="P3325" s="26"/>
      <c r="Q3325" s="26"/>
      <c r="R3325" s="26"/>
      <c r="S3325" s="26"/>
      <c r="T3325" s="26"/>
      <c r="U3325" s="26"/>
      <c r="V3325" s="26"/>
      <c r="W3325" s="26"/>
      <c r="X3325" s="26"/>
      <c r="Y3325" s="26"/>
      <c r="Z3325" s="26"/>
      <c r="AA3325" s="26"/>
      <c r="AB3325" s="26"/>
      <c r="AC3325" s="27"/>
    </row>
    <row r="3326" spans="1:29" x14ac:dyDescent="0.25">
      <c r="A3326" s="1"/>
      <c r="B3326" s="19"/>
      <c r="C3326" s="24"/>
      <c r="D3326" s="1"/>
      <c r="E3326" s="25"/>
      <c r="F3326" s="26"/>
      <c r="G3326" s="26"/>
      <c r="L3326" s="25"/>
      <c r="M3326" s="24"/>
      <c r="N3326" s="26"/>
      <c r="O3326" s="26"/>
      <c r="P3326" s="26"/>
      <c r="Q3326" s="26"/>
      <c r="R3326" s="26"/>
      <c r="S3326" s="26"/>
      <c r="T3326" s="26"/>
      <c r="U3326" s="26"/>
      <c r="V3326" s="26"/>
      <c r="W3326" s="26"/>
      <c r="X3326" s="26"/>
      <c r="Y3326" s="26"/>
      <c r="Z3326" s="26"/>
      <c r="AA3326" s="26"/>
      <c r="AB3326" s="26"/>
      <c r="AC3326" s="27"/>
    </row>
    <row r="3327" spans="1:29" x14ac:dyDescent="0.25">
      <c r="A3327" s="1"/>
      <c r="B3327" s="19"/>
      <c r="C3327" s="24"/>
      <c r="D3327" s="1"/>
      <c r="E3327" s="25"/>
      <c r="F3327" s="26"/>
      <c r="G3327" s="26"/>
      <c r="L3327" s="25"/>
      <c r="M3327" s="24"/>
      <c r="N3327" s="26"/>
      <c r="O3327" s="26"/>
      <c r="P3327" s="26"/>
      <c r="Q3327" s="26"/>
      <c r="R3327" s="26"/>
      <c r="S3327" s="26"/>
      <c r="T3327" s="26"/>
      <c r="U3327" s="26"/>
      <c r="V3327" s="26"/>
      <c r="W3327" s="26"/>
      <c r="X3327" s="26"/>
      <c r="Y3327" s="26"/>
      <c r="Z3327" s="26"/>
      <c r="AA3327" s="26"/>
      <c r="AB3327" s="26"/>
      <c r="AC3327" s="27"/>
    </row>
    <row r="3328" spans="1:29" x14ac:dyDescent="0.25">
      <c r="A3328" s="1"/>
      <c r="B3328" s="19"/>
      <c r="C3328" s="24"/>
      <c r="D3328" s="1"/>
      <c r="E3328" s="25"/>
      <c r="F3328" s="26"/>
      <c r="G3328" s="26"/>
      <c r="L3328" s="25"/>
      <c r="M3328" s="24"/>
      <c r="N3328" s="26"/>
      <c r="O3328" s="26"/>
      <c r="P3328" s="26"/>
      <c r="Q3328" s="26"/>
      <c r="R3328" s="26"/>
      <c r="S3328" s="26"/>
      <c r="T3328" s="26"/>
      <c r="U3328" s="26"/>
      <c r="V3328" s="26"/>
      <c r="W3328" s="26"/>
      <c r="X3328" s="26"/>
      <c r="Y3328" s="26"/>
      <c r="Z3328" s="26"/>
      <c r="AA3328" s="26"/>
      <c r="AB3328" s="26"/>
      <c r="AC3328" s="27"/>
    </row>
    <row r="3329" spans="1:29" x14ac:dyDescent="0.25">
      <c r="A3329" s="1"/>
      <c r="B3329" s="19"/>
      <c r="C3329" s="24"/>
      <c r="D3329" s="1"/>
      <c r="E3329" s="25"/>
      <c r="F3329" s="26"/>
      <c r="G3329" s="26"/>
      <c r="L3329" s="25"/>
      <c r="M3329" s="24"/>
      <c r="N3329" s="26"/>
      <c r="O3329" s="26"/>
      <c r="P3329" s="26"/>
      <c r="Q3329" s="26"/>
      <c r="R3329" s="26"/>
      <c r="S3329" s="26"/>
      <c r="T3329" s="26"/>
      <c r="U3329" s="26"/>
      <c r="V3329" s="26"/>
      <c r="W3329" s="26"/>
      <c r="X3329" s="26"/>
      <c r="Y3329" s="26"/>
      <c r="Z3329" s="26"/>
      <c r="AA3329" s="26"/>
      <c r="AB3329" s="26"/>
      <c r="AC3329" s="27"/>
    </row>
    <row r="3330" spans="1:29" x14ac:dyDescent="0.25">
      <c r="A3330" s="1"/>
      <c r="B3330" s="19"/>
      <c r="C3330" s="24"/>
      <c r="D3330" s="1"/>
      <c r="E3330" s="25"/>
      <c r="F3330" s="26"/>
      <c r="G3330" s="26"/>
      <c r="L3330" s="25"/>
      <c r="M3330" s="24"/>
      <c r="N3330" s="26"/>
      <c r="O3330" s="26"/>
      <c r="P3330" s="26"/>
      <c r="Q3330" s="26"/>
      <c r="R3330" s="26"/>
      <c r="S3330" s="26"/>
      <c r="T3330" s="26"/>
      <c r="U3330" s="26"/>
      <c r="V3330" s="26"/>
      <c r="W3330" s="26"/>
      <c r="X3330" s="26"/>
      <c r="Y3330" s="26"/>
      <c r="Z3330" s="26"/>
      <c r="AA3330" s="26"/>
      <c r="AB3330" s="26"/>
      <c r="AC3330" s="27"/>
    </row>
    <row r="3331" spans="1:29" x14ac:dyDescent="0.25">
      <c r="A3331" s="1"/>
      <c r="B3331" s="19"/>
      <c r="C3331" s="24"/>
      <c r="D3331" s="1"/>
      <c r="E3331" s="25"/>
      <c r="F3331" s="26"/>
      <c r="G3331" s="26"/>
      <c r="L3331" s="25"/>
      <c r="M3331" s="24"/>
      <c r="N3331" s="26"/>
      <c r="O3331" s="26"/>
      <c r="P3331" s="26"/>
      <c r="Q3331" s="26"/>
      <c r="R3331" s="26"/>
      <c r="S3331" s="26"/>
      <c r="T3331" s="26"/>
      <c r="U3331" s="26"/>
      <c r="V3331" s="26"/>
      <c r="W3331" s="26"/>
      <c r="X3331" s="26"/>
      <c r="Y3331" s="26"/>
      <c r="Z3331" s="26"/>
      <c r="AA3331" s="26"/>
      <c r="AB3331" s="26"/>
      <c r="AC3331" s="27"/>
    </row>
    <row r="3332" spans="1:29" x14ac:dyDescent="0.25">
      <c r="A3332" s="1"/>
      <c r="B3332" s="19"/>
      <c r="C3332" s="24"/>
      <c r="D3332" s="1"/>
      <c r="E3332" s="25"/>
      <c r="F3332" s="26"/>
      <c r="G3332" s="26"/>
      <c r="L3332" s="25"/>
      <c r="M3332" s="24"/>
      <c r="N3332" s="26"/>
      <c r="O3332" s="26"/>
      <c r="P3332" s="26"/>
      <c r="Q3332" s="26"/>
      <c r="R3332" s="26"/>
      <c r="S3332" s="26"/>
      <c r="T3332" s="26"/>
      <c r="U3332" s="26"/>
      <c r="V3332" s="26"/>
      <c r="W3332" s="26"/>
      <c r="X3332" s="26"/>
      <c r="Y3332" s="26"/>
      <c r="Z3332" s="26"/>
      <c r="AA3332" s="26"/>
      <c r="AB3332" s="26"/>
      <c r="AC3332" s="27"/>
    </row>
    <row r="3333" spans="1:29" x14ac:dyDescent="0.25">
      <c r="A3333" s="1"/>
      <c r="B3333" s="19"/>
      <c r="C3333" s="24"/>
      <c r="D3333" s="1"/>
      <c r="E3333" s="25"/>
      <c r="F3333" s="26"/>
      <c r="G3333" s="26"/>
      <c r="L3333" s="25"/>
      <c r="M3333" s="24"/>
      <c r="N3333" s="26"/>
      <c r="O3333" s="26"/>
      <c r="P3333" s="26"/>
      <c r="Q3333" s="26"/>
      <c r="R3333" s="26"/>
      <c r="S3333" s="26"/>
      <c r="T3333" s="26"/>
      <c r="U3333" s="26"/>
      <c r="V3333" s="26"/>
      <c r="W3333" s="26"/>
      <c r="X3333" s="26"/>
      <c r="Y3333" s="26"/>
      <c r="Z3333" s="26"/>
      <c r="AA3333" s="26"/>
      <c r="AB3333" s="26"/>
      <c r="AC3333" s="27"/>
    </row>
    <row r="3334" spans="1:29" x14ac:dyDescent="0.25">
      <c r="A3334" s="1"/>
      <c r="B3334" s="19"/>
      <c r="C3334" s="24"/>
      <c r="D3334" s="1"/>
      <c r="E3334" s="25"/>
      <c r="F3334" s="26"/>
      <c r="G3334" s="26"/>
      <c r="L3334" s="25"/>
      <c r="M3334" s="24"/>
      <c r="N3334" s="26"/>
      <c r="O3334" s="26"/>
      <c r="P3334" s="26"/>
      <c r="Q3334" s="26"/>
      <c r="R3334" s="26"/>
      <c r="S3334" s="26"/>
      <c r="T3334" s="26"/>
      <c r="U3334" s="26"/>
      <c r="V3334" s="26"/>
      <c r="W3334" s="26"/>
      <c r="X3334" s="26"/>
      <c r="Y3334" s="26"/>
      <c r="Z3334" s="26"/>
      <c r="AA3334" s="26"/>
      <c r="AB3334" s="26"/>
      <c r="AC3334" s="27"/>
    </row>
    <row r="3335" spans="1:29" x14ac:dyDescent="0.25">
      <c r="A3335" s="1"/>
      <c r="B3335" s="19"/>
      <c r="C3335" s="24"/>
      <c r="D3335" s="1"/>
      <c r="E3335" s="25"/>
      <c r="F3335" s="26"/>
      <c r="G3335" s="26"/>
      <c r="L3335" s="25"/>
      <c r="M3335" s="24"/>
      <c r="N3335" s="26"/>
      <c r="O3335" s="26"/>
      <c r="P3335" s="26"/>
      <c r="Q3335" s="26"/>
      <c r="R3335" s="26"/>
      <c r="S3335" s="26"/>
      <c r="T3335" s="26"/>
      <c r="U3335" s="26"/>
      <c r="V3335" s="26"/>
      <c r="W3335" s="26"/>
      <c r="X3335" s="26"/>
      <c r="Y3335" s="26"/>
      <c r="Z3335" s="26"/>
      <c r="AA3335" s="26"/>
      <c r="AB3335" s="26"/>
      <c r="AC3335" s="27"/>
    </row>
    <row r="3336" spans="1:29" x14ac:dyDescent="0.25">
      <c r="A3336" s="1"/>
      <c r="B3336" s="19"/>
      <c r="C3336" s="24"/>
      <c r="D3336" s="1"/>
      <c r="E3336" s="25"/>
      <c r="F3336" s="26"/>
      <c r="G3336" s="26"/>
      <c r="L3336" s="25"/>
      <c r="M3336" s="24"/>
      <c r="N3336" s="26"/>
      <c r="O3336" s="26"/>
      <c r="P3336" s="26"/>
      <c r="Q3336" s="26"/>
      <c r="R3336" s="26"/>
      <c r="S3336" s="26"/>
      <c r="T3336" s="26"/>
      <c r="U3336" s="26"/>
      <c r="V3336" s="26"/>
      <c r="W3336" s="26"/>
      <c r="X3336" s="26"/>
      <c r="Y3336" s="26"/>
      <c r="Z3336" s="26"/>
      <c r="AA3336" s="26"/>
      <c r="AB3336" s="26"/>
      <c r="AC3336" s="27"/>
    </row>
    <row r="3337" spans="1:29" x14ac:dyDescent="0.25">
      <c r="A3337" s="1"/>
      <c r="B3337" s="19"/>
      <c r="C3337" s="24"/>
      <c r="D3337" s="1"/>
      <c r="E3337" s="25"/>
      <c r="F3337" s="26"/>
      <c r="G3337" s="26"/>
      <c r="L3337" s="25"/>
      <c r="M3337" s="24"/>
      <c r="N3337" s="26"/>
      <c r="O3337" s="26"/>
      <c r="P3337" s="26"/>
      <c r="Q3337" s="26"/>
      <c r="R3337" s="26"/>
      <c r="S3337" s="26"/>
      <c r="T3337" s="26"/>
      <c r="U3337" s="26"/>
      <c r="V3337" s="26"/>
      <c r="W3337" s="26"/>
      <c r="X3337" s="26"/>
      <c r="Y3337" s="26"/>
      <c r="Z3337" s="26"/>
      <c r="AA3337" s="26"/>
      <c r="AB3337" s="26"/>
      <c r="AC3337" s="27"/>
    </row>
    <row r="3338" spans="1:29" x14ac:dyDescent="0.25">
      <c r="A3338" s="1"/>
      <c r="B3338" s="19"/>
      <c r="C3338" s="24"/>
      <c r="D3338" s="1"/>
      <c r="E3338" s="25"/>
      <c r="F3338" s="26"/>
      <c r="G3338" s="26"/>
      <c r="L3338" s="25"/>
      <c r="M3338" s="24"/>
      <c r="N3338" s="26"/>
      <c r="O3338" s="26"/>
      <c r="P3338" s="26"/>
      <c r="Q3338" s="26"/>
      <c r="R3338" s="26"/>
      <c r="S3338" s="26"/>
      <c r="T3338" s="26"/>
      <c r="U3338" s="26"/>
      <c r="V3338" s="26"/>
      <c r="W3338" s="26"/>
      <c r="X3338" s="26"/>
      <c r="Y3338" s="26"/>
      <c r="Z3338" s="26"/>
      <c r="AA3338" s="26"/>
      <c r="AB3338" s="26"/>
      <c r="AC3338" s="27"/>
    </row>
    <row r="3339" spans="1:29" x14ac:dyDescent="0.25">
      <c r="A3339" s="1"/>
      <c r="B3339" s="19"/>
      <c r="C3339" s="24"/>
      <c r="D3339" s="1"/>
      <c r="E3339" s="25"/>
      <c r="F3339" s="26"/>
      <c r="G3339" s="26"/>
      <c r="L3339" s="25"/>
      <c r="M3339" s="24"/>
      <c r="N3339" s="26"/>
      <c r="O3339" s="26"/>
      <c r="P3339" s="26"/>
      <c r="Q3339" s="26"/>
      <c r="R3339" s="26"/>
      <c r="S3339" s="26"/>
      <c r="T3339" s="26"/>
      <c r="U3339" s="26"/>
      <c r="V3339" s="26"/>
      <c r="W3339" s="26"/>
      <c r="X3339" s="26"/>
      <c r="Y3339" s="26"/>
      <c r="Z3339" s="26"/>
      <c r="AA3339" s="26"/>
      <c r="AB3339" s="26"/>
      <c r="AC3339" s="27"/>
    </row>
    <row r="3340" spans="1:29" x14ac:dyDescent="0.25">
      <c r="A3340" s="1"/>
      <c r="B3340" s="19"/>
      <c r="C3340" s="24"/>
      <c r="D3340" s="1"/>
      <c r="E3340" s="25"/>
      <c r="F3340" s="26"/>
      <c r="G3340" s="26"/>
      <c r="L3340" s="25"/>
      <c r="M3340" s="24"/>
      <c r="N3340" s="26"/>
      <c r="O3340" s="26"/>
      <c r="P3340" s="26"/>
      <c r="Q3340" s="26"/>
      <c r="R3340" s="26"/>
      <c r="S3340" s="26"/>
      <c r="T3340" s="26"/>
      <c r="U3340" s="26"/>
      <c r="V3340" s="26"/>
      <c r="W3340" s="26"/>
      <c r="X3340" s="26"/>
      <c r="Y3340" s="26"/>
      <c r="Z3340" s="26"/>
      <c r="AA3340" s="26"/>
      <c r="AB3340" s="26"/>
      <c r="AC3340" s="27"/>
    </row>
    <row r="3341" spans="1:29" x14ac:dyDescent="0.25">
      <c r="A3341" s="1"/>
      <c r="B3341" s="19"/>
      <c r="C3341" s="24"/>
      <c r="D3341" s="1"/>
      <c r="E3341" s="25"/>
      <c r="F3341" s="26"/>
      <c r="G3341" s="26"/>
      <c r="L3341" s="25"/>
      <c r="M3341" s="24"/>
      <c r="N3341" s="26"/>
      <c r="O3341" s="26"/>
      <c r="P3341" s="26"/>
      <c r="Q3341" s="26"/>
      <c r="R3341" s="26"/>
      <c r="S3341" s="26"/>
      <c r="T3341" s="26"/>
      <c r="U3341" s="26"/>
      <c r="V3341" s="26"/>
      <c r="W3341" s="26"/>
      <c r="X3341" s="26"/>
      <c r="Y3341" s="26"/>
      <c r="Z3341" s="26"/>
      <c r="AA3341" s="26"/>
      <c r="AB3341" s="26"/>
      <c r="AC3341" s="27"/>
    </row>
    <row r="3342" spans="1:29" x14ac:dyDescent="0.25">
      <c r="A3342" s="1"/>
      <c r="B3342" s="19"/>
      <c r="C3342" s="24"/>
      <c r="D3342" s="1"/>
      <c r="E3342" s="25"/>
      <c r="F3342" s="26"/>
      <c r="G3342" s="26"/>
      <c r="L3342" s="25"/>
      <c r="M3342" s="24"/>
      <c r="N3342" s="26"/>
      <c r="O3342" s="26"/>
      <c r="P3342" s="26"/>
      <c r="Q3342" s="26"/>
      <c r="R3342" s="26"/>
      <c r="S3342" s="26"/>
      <c r="T3342" s="26"/>
      <c r="U3342" s="26"/>
      <c r="V3342" s="26"/>
      <c r="W3342" s="26"/>
      <c r="X3342" s="26"/>
      <c r="Y3342" s="26"/>
      <c r="Z3342" s="26"/>
      <c r="AA3342" s="26"/>
      <c r="AB3342" s="26"/>
      <c r="AC3342" s="27"/>
    </row>
    <row r="3343" spans="1:29" x14ac:dyDescent="0.25">
      <c r="A3343" s="1"/>
      <c r="B3343" s="19"/>
      <c r="C3343" s="24"/>
      <c r="D3343" s="1"/>
      <c r="E3343" s="25"/>
      <c r="F3343" s="26"/>
      <c r="G3343" s="26"/>
      <c r="L3343" s="25"/>
      <c r="M3343" s="24"/>
      <c r="N3343" s="26"/>
      <c r="O3343" s="26"/>
      <c r="P3343" s="26"/>
      <c r="Q3343" s="26"/>
      <c r="R3343" s="26"/>
      <c r="S3343" s="26"/>
      <c r="T3343" s="26"/>
      <c r="U3343" s="26"/>
      <c r="V3343" s="26"/>
      <c r="W3343" s="26"/>
      <c r="X3343" s="26"/>
      <c r="Y3343" s="26"/>
      <c r="Z3343" s="26"/>
      <c r="AA3343" s="26"/>
      <c r="AB3343" s="26"/>
      <c r="AC3343" s="27"/>
    </row>
    <row r="3344" spans="1:29" x14ac:dyDescent="0.25">
      <c r="A3344" s="1"/>
      <c r="B3344" s="19"/>
      <c r="C3344" s="24"/>
      <c r="D3344" s="1"/>
      <c r="E3344" s="25"/>
      <c r="F3344" s="26"/>
      <c r="G3344" s="26"/>
      <c r="L3344" s="25"/>
      <c r="M3344" s="24"/>
      <c r="N3344" s="26"/>
      <c r="O3344" s="26"/>
      <c r="P3344" s="26"/>
      <c r="Q3344" s="26"/>
      <c r="R3344" s="26"/>
      <c r="S3344" s="26"/>
      <c r="T3344" s="26"/>
      <c r="U3344" s="26"/>
      <c r="V3344" s="26"/>
      <c r="W3344" s="26"/>
      <c r="X3344" s="26"/>
      <c r="Y3344" s="26"/>
      <c r="Z3344" s="26"/>
      <c r="AA3344" s="26"/>
      <c r="AB3344" s="26"/>
      <c r="AC3344" s="27"/>
    </row>
    <row r="3345" spans="1:29" x14ac:dyDescent="0.25">
      <c r="A3345" s="1"/>
      <c r="B3345" s="19"/>
      <c r="C3345" s="24"/>
      <c r="D3345" s="1"/>
      <c r="E3345" s="25"/>
      <c r="F3345" s="26"/>
      <c r="G3345" s="26"/>
      <c r="L3345" s="25"/>
      <c r="M3345" s="24"/>
      <c r="N3345" s="26"/>
      <c r="O3345" s="26"/>
      <c r="P3345" s="26"/>
      <c r="Q3345" s="26"/>
      <c r="R3345" s="26"/>
      <c r="S3345" s="26"/>
      <c r="T3345" s="26"/>
      <c r="U3345" s="26"/>
      <c r="V3345" s="26"/>
      <c r="W3345" s="26"/>
      <c r="X3345" s="26"/>
      <c r="Y3345" s="26"/>
      <c r="Z3345" s="26"/>
      <c r="AA3345" s="26"/>
      <c r="AB3345" s="26"/>
      <c r="AC3345" s="27"/>
    </row>
    <row r="3346" spans="1:29" x14ac:dyDescent="0.25">
      <c r="A3346" s="1"/>
      <c r="B3346" s="19"/>
      <c r="C3346" s="24"/>
      <c r="D3346" s="1"/>
      <c r="E3346" s="25"/>
      <c r="F3346" s="26"/>
      <c r="G3346" s="26"/>
      <c r="L3346" s="25"/>
      <c r="M3346" s="24"/>
      <c r="N3346" s="26"/>
      <c r="O3346" s="26"/>
      <c r="P3346" s="26"/>
      <c r="Q3346" s="26"/>
      <c r="R3346" s="26"/>
      <c r="S3346" s="26"/>
      <c r="T3346" s="26"/>
      <c r="U3346" s="26"/>
      <c r="V3346" s="26"/>
      <c r="W3346" s="26"/>
      <c r="X3346" s="26"/>
      <c r="Y3346" s="26"/>
      <c r="Z3346" s="26"/>
      <c r="AA3346" s="26"/>
      <c r="AB3346" s="26"/>
      <c r="AC3346" s="27"/>
    </row>
    <row r="3347" spans="1:29" x14ac:dyDescent="0.25">
      <c r="A3347" s="1"/>
      <c r="B3347" s="19"/>
      <c r="C3347" s="24"/>
      <c r="D3347" s="1"/>
      <c r="E3347" s="25"/>
      <c r="F3347" s="26"/>
      <c r="G3347" s="26"/>
      <c r="L3347" s="25"/>
      <c r="M3347" s="24"/>
      <c r="N3347" s="26"/>
      <c r="O3347" s="26"/>
      <c r="P3347" s="26"/>
      <c r="Q3347" s="26"/>
      <c r="R3347" s="26"/>
      <c r="S3347" s="26"/>
      <c r="T3347" s="26"/>
      <c r="U3347" s="26"/>
      <c r="V3347" s="26"/>
      <c r="W3347" s="26"/>
      <c r="X3347" s="26"/>
      <c r="Y3347" s="26"/>
      <c r="Z3347" s="26"/>
      <c r="AA3347" s="26"/>
      <c r="AB3347" s="26"/>
      <c r="AC3347" s="27"/>
    </row>
    <row r="3348" spans="1:29" x14ac:dyDescent="0.25">
      <c r="A3348" s="1"/>
      <c r="B3348" s="19"/>
      <c r="C3348" s="24"/>
      <c r="D3348" s="1"/>
      <c r="E3348" s="25"/>
      <c r="F3348" s="26"/>
      <c r="G3348" s="26"/>
      <c r="L3348" s="25"/>
      <c r="M3348" s="24"/>
      <c r="N3348" s="26"/>
      <c r="O3348" s="26"/>
      <c r="P3348" s="26"/>
      <c r="Q3348" s="26"/>
      <c r="R3348" s="26"/>
      <c r="S3348" s="26"/>
      <c r="T3348" s="26"/>
      <c r="U3348" s="26"/>
      <c r="V3348" s="26"/>
      <c r="W3348" s="26"/>
      <c r="X3348" s="26"/>
      <c r="Y3348" s="26"/>
      <c r="Z3348" s="26"/>
      <c r="AA3348" s="26"/>
      <c r="AB3348" s="26"/>
      <c r="AC3348" s="27"/>
    </row>
    <row r="3349" spans="1:29" x14ac:dyDescent="0.25">
      <c r="A3349" s="1"/>
      <c r="B3349" s="19"/>
      <c r="C3349" s="24"/>
      <c r="D3349" s="1"/>
      <c r="E3349" s="25"/>
      <c r="F3349" s="26"/>
      <c r="G3349" s="26"/>
      <c r="L3349" s="25"/>
      <c r="M3349" s="24"/>
      <c r="N3349" s="26"/>
      <c r="O3349" s="26"/>
      <c r="P3349" s="26"/>
      <c r="Q3349" s="26"/>
      <c r="R3349" s="26"/>
      <c r="S3349" s="26"/>
      <c r="T3349" s="26"/>
      <c r="U3349" s="26"/>
      <c r="V3349" s="26"/>
      <c r="W3349" s="26"/>
      <c r="X3349" s="26"/>
      <c r="Y3349" s="26"/>
      <c r="Z3349" s="26"/>
      <c r="AA3349" s="26"/>
      <c r="AB3349" s="26"/>
      <c r="AC3349" s="27"/>
    </row>
    <row r="3350" spans="1:29" x14ac:dyDescent="0.25">
      <c r="A3350" s="1"/>
      <c r="B3350" s="19"/>
      <c r="C3350" s="24"/>
      <c r="D3350" s="1"/>
      <c r="E3350" s="25"/>
      <c r="F3350" s="26"/>
      <c r="G3350" s="26"/>
      <c r="L3350" s="25"/>
      <c r="M3350" s="24"/>
      <c r="N3350" s="26"/>
      <c r="O3350" s="26"/>
      <c r="P3350" s="26"/>
      <c r="Q3350" s="26"/>
      <c r="R3350" s="26"/>
      <c r="S3350" s="26"/>
      <c r="T3350" s="26"/>
      <c r="U3350" s="26"/>
      <c r="V3350" s="26"/>
      <c r="W3350" s="26"/>
      <c r="X3350" s="26"/>
      <c r="Y3350" s="26"/>
      <c r="Z3350" s="26"/>
      <c r="AA3350" s="26"/>
      <c r="AB3350" s="26"/>
      <c r="AC3350" s="27"/>
    </row>
    <row r="3351" spans="1:29" x14ac:dyDescent="0.25">
      <c r="A3351" s="1"/>
      <c r="B3351" s="19"/>
      <c r="C3351" s="24"/>
      <c r="D3351" s="1"/>
      <c r="E3351" s="25"/>
      <c r="F3351" s="26"/>
      <c r="G3351" s="26"/>
      <c r="L3351" s="25"/>
      <c r="M3351" s="24"/>
      <c r="N3351" s="26"/>
      <c r="O3351" s="26"/>
      <c r="P3351" s="26"/>
      <c r="Q3351" s="26"/>
      <c r="R3351" s="26"/>
      <c r="S3351" s="26"/>
      <c r="T3351" s="26"/>
      <c r="U3351" s="26"/>
      <c r="V3351" s="26"/>
      <c r="W3351" s="26"/>
      <c r="X3351" s="26"/>
      <c r="Y3351" s="26"/>
      <c r="Z3351" s="26"/>
      <c r="AA3351" s="26"/>
      <c r="AB3351" s="26"/>
      <c r="AC3351" s="27"/>
    </row>
    <row r="3352" spans="1:29" x14ac:dyDescent="0.25">
      <c r="A3352" s="1"/>
      <c r="B3352" s="19"/>
      <c r="C3352" s="24"/>
      <c r="D3352" s="1"/>
      <c r="E3352" s="25"/>
      <c r="F3352" s="26"/>
      <c r="G3352" s="26"/>
      <c r="L3352" s="25"/>
      <c r="M3352" s="24"/>
      <c r="N3352" s="26"/>
      <c r="O3352" s="26"/>
      <c r="P3352" s="26"/>
      <c r="Q3352" s="26"/>
      <c r="R3352" s="26"/>
      <c r="S3352" s="26"/>
      <c r="T3352" s="26"/>
      <c r="U3352" s="26"/>
      <c r="V3352" s="26"/>
      <c r="W3352" s="26"/>
      <c r="X3352" s="26"/>
      <c r="Y3352" s="26"/>
      <c r="Z3352" s="26"/>
      <c r="AA3352" s="26"/>
      <c r="AB3352" s="26"/>
      <c r="AC3352" s="27"/>
    </row>
    <row r="3353" spans="1:29" x14ac:dyDescent="0.25">
      <c r="A3353" s="1"/>
      <c r="B3353" s="19"/>
      <c r="C3353" s="24"/>
      <c r="D3353" s="1"/>
      <c r="E3353" s="25"/>
      <c r="F3353" s="26"/>
      <c r="G3353" s="26"/>
      <c r="L3353" s="25"/>
      <c r="M3353" s="24"/>
      <c r="N3353" s="26"/>
      <c r="O3353" s="26"/>
      <c r="P3353" s="26"/>
      <c r="Q3353" s="26"/>
      <c r="R3353" s="26"/>
      <c r="S3353" s="26"/>
      <c r="T3353" s="26"/>
      <c r="U3353" s="26"/>
      <c r="V3353" s="26"/>
      <c r="W3353" s="26"/>
      <c r="X3353" s="26"/>
      <c r="Y3353" s="26"/>
      <c r="Z3353" s="26"/>
      <c r="AA3353" s="26"/>
      <c r="AB3353" s="26"/>
      <c r="AC3353" s="27"/>
    </row>
    <row r="3354" spans="1:29" x14ac:dyDescent="0.25">
      <c r="A3354" s="1"/>
      <c r="B3354" s="19"/>
      <c r="C3354" s="24"/>
      <c r="D3354" s="1"/>
      <c r="E3354" s="25"/>
      <c r="F3354" s="26"/>
      <c r="G3354" s="26"/>
      <c r="L3354" s="25"/>
      <c r="M3354" s="24"/>
      <c r="N3354" s="26"/>
      <c r="O3354" s="26"/>
      <c r="P3354" s="26"/>
      <c r="Q3354" s="26"/>
      <c r="R3354" s="26"/>
      <c r="S3354" s="26"/>
      <c r="T3354" s="26"/>
      <c r="U3354" s="26"/>
      <c r="V3354" s="26"/>
      <c r="W3354" s="26"/>
      <c r="X3354" s="26"/>
      <c r="Y3354" s="26"/>
      <c r="Z3354" s="26"/>
      <c r="AA3354" s="26"/>
      <c r="AB3354" s="26"/>
      <c r="AC3354" s="27"/>
    </row>
    <row r="3355" spans="1:29" x14ac:dyDescent="0.25">
      <c r="A3355" s="1"/>
      <c r="B3355" s="19"/>
      <c r="C3355" s="24"/>
      <c r="D3355" s="1"/>
      <c r="E3355" s="25"/>
      <c r="F3355" s="26"/>
      <c r="G3355" s="26"/>
      <c r="L3355" s="25"/>
      <c r="M3355" s="24"/>
      <c r="N3355" s="26"/>
      <c r="O3355" s="26"/>
      <c r="P3355" s="26"/>
      <c r="Q3355" s="26"/>
      <c r="R3355" s="26"/>
      <c r="S3355" s="26"/>
      <c r="T3355" s="26"/>
      <c r="U3355" s="26"/>
      <c r="V3355" s="26"/>
      <c r="W3355" s="26"/>
      <c r="X3355" s="26"/>
      <c r="Y3355" s="26"/>
      <c r="Z3355" s="26"/>
      <c r="AA3355" s="26"/>
      <c r="AB3355" s="26"/>
      <c r="AC3355" s="27"/>
    </row>
    <row r="3356" spans="1:29" x14ac:dyDescent="0.25">
      <c r="A3356" s="1"/>
      <c r="B3356" s="19"/>
      <c r="C3356" s="24"/>
      <c r="D3356" s="1"/>
      <c r="E3356" s="25"/>
      <c r="F3356" s="26"/>
      <c r="G3356" s="26"/>
      <c r="L3356" s="25"/>
      <c r="M3356" s="24"/>
      <c r="N3356" s="26"/>
      <c r="O3356" s="26"/>
      <c r="P3356" s="26"/>
      <c r="Q3356" s="26"/>
      <c r="R3356" s="26"/>
      <c r="S3356" s="26"/>
      <c r="T3356" s="26"/>
      <c r="U3356" s="26"/>
      <c r="V3356" s="26"/>
      <c r="W3356" s="26"/>
      <c r="X3356" s="26"/>
      <c r="Y3356" s="26"/>
      <c r="Z3356" s="26"/>
      <c r="AA3356" s="26"/>
      <c r="AB3356" s="26"/>
      <c r="AC3356" s="27"/>
    </row>
    <row r="3357" spans="1:29" x14ac:dyDescent="0.25">
      <c r="A3357" s="1"/>
      <c r="B3357" s="19"/>
      <c r="C3357" s="24"/>
      <c r="D3357" s="1"/>
      <c r="E3357" s="25"/>
      <c r="F3357" s="26"/>
      <c r="G3357" s="26"/>
      <c r="L3357" s="25"/>
      <c r="M3357" s="24"/>
      <c r="N3357" s="26"/>
      <c r="O3357" s="26"/>
      <c r="P3357" s="26"/>
      <c r="Q3357" s="26"/>
      <c r="R3357" s="26"/>
      <c r="S3357" s="26"/>
      <c r="T3357" s="26"/>
      <c r="U3357" s="26"/>
      <c r="V3357" s="26"/>
      <c r="W3357" s="26"/>
      <c r="X3357" s="26"/>
      <c r="Y3357" s="26"/>
      <c r="Z3357" s="26"/>
      <c r="AA3357" s="26"/>
      <c r="AB3357" s="26"/>
      <c r="AC3357" s="27"/>
    </row>
    <row r="3358" spans="1:29" x14ac:dyDescent="0.25">
      <c r="A3358" s="1"/>
      <c r="B3358" s="19"/>
      <c r="C3358" s="24"/>
      <c r="D3358" s="1"/>
      <c r="E3358" s="25"/>
      <c r="F3358" s="26"/>
      <c r="G3358" s="26"/>
      <c r="L3358" s="25"/>
      <c r="M3358" s="24"/>
      <c r="N3358" s="26"/>
      <c r="O3358" s="26"/>
      <c r="P3358" s="26"/>
      <c r="Q3358" s="26"/>
      <c r="R3358" s="26"/>
      <c r="S3358" s="26"/>
      <c r="T3358" s="26"/>
      <c r="U3358" s="26"/>
      <c r="V3358" s="26"/>
      <c r="W3358" s="26"/>
      <c r="X3358" s="26"/>
      <c r="Y3358" s="26"/>
      <c r="Z3358" s="26"/>
      <c r="AA3358" s="26"/>
      <c r="AB3358" s="26"/>
      <c r="AC3358" s="27"/>
    </row>
    <row r="3359" spans="1:29" x14ac:dyDescent="0.25">
      <c r="A3359" s="1"/>
      <c r="B3359" s="19"/>
      <c r="C3359" s="24"/>
      <c r="D3359" s="1"/>
      <c r="E3359" s="25"/>
      <c r="F3359" s="26"/>
      <c r="G3359" s="26"/>
      <c r="L3359" s="25"/>
      <c r="M3359" s="24"/>
      <c r="N3359" s="26"/>
      <c r="O3359" s="26"/>
      <c r="P3359" s="26"/>
      <c r="Q3359" s="26"/>
      <c r="R3359" s="26"/>
      <c r="S3359" s="26"/>
      <c r="T3359" s="26"/>
      <c r="U3359" s="26"/>
      <c r="V3359" s="26"/>
      <c r="W3359" s="26"/>
      <c r="X3359" s="26"/>
      <c r="Y3359" s="26"/>
      <c r="Z3359" s="26"/>
      <c r="AA3359" s="26"/>
      <c r="AB3359" s="26"/>
      <c r="AC3359" s="27"/>
    </row>
    <row r="3360" spans="1:29" x14ac:dyDescent="0.25">
      <c r="A3360" s="1"/>
      <c r="B3360" s="19"/>
      <c r="C3360" s="24"/>
      <c r="D3360" s="1"/>
      <c r="E3360" s="25"/>
      <c r="F3360" s="26"/>
      <c r="G3360" s="26"/>
      <c r="L3360" s="25"/>
      <c r="M3360" s="24"/>
      <c r="N3360" s="26"/>
      <c r="O3360" s="26"/>
      <c r="P3360" s="26"/>
      <c r="Q3360" s="26"/>
      <c r="R3360" s="26"/>
      <c r="S3360" s="26"/>
      <c r="T3360" s="26"/>
      <c r="U3360" s="26"/>
      <c r="V3360" s="26"/>
      <c r="W3360" s="26"/>
      <c r="X3360" s="26"/>
      <c r="Y3360" s="26"/>
      <c r="Z3360" s="26"/>
      <c r="AA3360" s="26"/>
      <c r="AB3360" s="26"/>
      <c r="AC3360" s="27"/>
    </row>
    <row r="3361" spans="1:29" x14ac:dyDescent="0.25">
      <c r="A3361" s="1"/>
      <c r="B3361" s="19"/>
      <c r="C3361" s="24"/>
      <c r="D3361" s="1"/>
      <c r="E3361" s="25"/>
      <c r="F3361" s="26"/>
      <c r="G3361" s="26"/>
      <c r="L3361" s="25"/>
      <c r="M3361" s="24"/>
      <c r="N3361" s="26"/>
      <c r="O3361" s="26"/>
      <c r="P3361" s="26"/>
      <c r="Q3361" s="26"/>
      <c r="R3361" s="26"/>
      <c r="S3361" s="26"/>
      <c r="T3361" s="26"/>
      <c r="U3361" s="26"/>
      <c r="V3361" s="26"/>
      <c r="W3361" s="26"/>
      <c r="X3361" s="26"/>
      <c r="Y3361" s="26"/>
      <c r="Z3361" s="26"/>
      <c r="AA3361" s="26"/>
      <c r="AB3361" s="26"/>
      <c r="AC3361" s="27"/>
    </row>
    <row r="3362" spans="1:29" x14ac:dyDescent="0.25">
      <c r="A3362" s="1"/>
      <c r="B3362" s="19"/>
      <c r="C3362" s="24"/>
      <c r="D3362" s="1"/>
      <c r="E3362" s="25"/>
      <c r="F3362" s="26"/>
      <c r="G3362" s="26"/>
      <c r="L3362" s="25"/>
      <c r="M3362" s="24"/>
      <c r="N3362" s="26"/>
      <c r="O3362" s="26"/>
      <c r="P3362" s="26"/>
      <c r="Q3362" s="26"/>
      <c r="R3362" s="26"/>
      <c r="S3362" s="26"/>
      <c r="T3362" s="26"/>
      <c r="U3362" s="26"/>
      <c r="V3362" s="26"/>
      <c r="W3362" s="26"/>
      <c r="X3362" s="26"/>
      <c r="Y3362" s="26"/>
      <c r="Z3362" s="26"/>
      <c r="AA3362" s="26"/>
      <c r="AB3362" s="26"/>
      <c r="AC3362" s="27"/>
    </row>
    <row r="3363" spans="1:29" x14ac:dyDescent="0.25">
      <c r="A3363" s="1"/>
      <c r="B3363" s="19"/>
      <c r="C3363" s="24"/>
      <c r="D3363" s="1"/>
      <c r="E3363" s="25"/>
      <c r="F3363" s="26"/>
      <c r="G3363" s="26"/>
      <c r="L3363" s="25"/>
      <c r="M3363" s="24"/>
      <c r="N3363" s="26"/>
      <c r="O3363" s="26"/>
      <c r="P3363" s="26"/>
      <c r="Q3363" s="26"/>
      <c r="R3363" s="26"/>
      <c r="S3363" s="26"/>
      <c r="T3363" s="26"/>
      <c r="U3363" s="26"/>
      <c r="V3363" s="26"/>
      <c r="W3363" s="26"/>
      <c r="X3363" s="26"/>
      <c r="Y3363" s="26"/>
      <c r="Z3363" s="26"/>
      <c r="AA3363" s="26"/>
      <c r="AB3363" s="26"/>
      <c r="AC3363" s="27"/>
    </row>
    <row r="3364" spans="1:29" x14ac:dyDescent="0.25">
      <c r="A3364" s="1"/>
      <c r="B3364" s="19"/>
      <c r="C3364" s="24"/>
      <c r="D3364" s="1"/>
      <c r="E3364" s="25"/>
      <c r="F3364" s="26"/>
      <c r="G3364" s="26"/>
      <c r="L3364" s="25"/>
      <c r="M3364" s="24"/>
      <c r="N3364" s="26"/>
      <c r="O3364" s="26"/>
      <c r="P3364" s="26"/>
      <c r="Q3364" s="26"/>
      <c r="R3364" s="26"/>
      <c r="S3364" s="26"/>
      <c r="T3364" s="26"/>
      <c r="U3364" s="26"/>
      <c r="V3364" s="26"/>
      <c r="W3364" s="26"/>
      <c r="X3364" s="26"/>
      <c r="Y3364" s="26"/>
      <c r="Z3364" s="26"/>
      <c r="AA3364" s="26"/>
      <c r="AB3364" s="26"/>
      <c r="AC3364" s="27"/>
    </row>
    <row r="3365" spans="1:29" x14ac:dyDescent="0.25">
      <c r="A3365" s="1"/>
      <c r="B3365" s="19"/>
      <c r="C3365" s="24"/>
      <c r="D3365" s="1"/>
      <c r="E3365" s="25"/>
      <c r="F3365" s="26"/>
      <c r="G3365" s="26"/>
      <c r="L3365" s="25"/>
      <c r="M3365" s="24"/>
      <c r="N3365" s="26"/>
      <c r="O3365" s="26"/>
      <c r="P3365" s="26"/>
      <c r="Q3365" s="26"/>
      <c r="R3365" s="26"/>
      <c r="S3365" s="26"/>
      <c r="T3365" s="26"/>
      <c r="U3365" s="26"/>
      <c r="V3365" s="26"/>
      <c r="W3365" s="26"/>
      <c r="X3365" s="26"/>
      <c r="Y3365" s="26"/>
      <c r="Z3365" s="26"/>
      <c r="AA3365" s="26"/>
      <c r="AB3365" s="26"/>
      <c r="AC3365" s="27"/>
    </row>
    <row r="3366" spans="1:29" x14ac:dyDescent="0.25">
      <c r="A3366" s="1"/>
      <c r="B3366" s="19"/>
      <c r="C3366" s="24"/>
      <c r="D3366" s="1"/>
      <c r="E3366" s="25"/>
      <c r="F3366" s="26"/>
      <c r="G3366" s="26"/>
      <c r="L3366" s="25"/>
      <c r="M3366" s="24"/>
      <c r="N3366" s="26"/>
      <c r="O3366" s="26"/>
      <c r="P3366" s="26"/>
      <c r="Q3366" s="26"/>
      <c r="R3366" s="26"/>
      <c r="S3366" s="26"/>
      <c r="T3366" s="26"/>
      <c r="U3366" s="26"/>
      <c r="V3366" s="26"/>
      <c r="W3366" s="26"/>
      <c r="X3366" s="26"/>
      <c r="Y3366" s="26"/>
      <c r="Z3366" s="26"/>
      <c r="AA3366" s="26"/>
      <c r="AB3366" s="26"/>
      <c r="AC3366" s="27"/>
    </row>
    <row r="3367" spans="1:29" x14ac:dyDescent="0.25">
      <c r="A3367" s="1"/>
      <c r="B3367" s="19"/>
      <c r="C3367" s="24"/>
      <c r="D3367" s="1"/>
      <c r="E3367" s="25"/>
      <c r="F3367" s="26"/>
      <c r="G3367" s="26"/>
      <c r="L3367" s="25"/>
      <c r="M3367" s="24"/>
      <c r="N3367" s="26"/>
      <c r="O3367" s="26"/>
      <c r="P3367" s="26"/>
      <c r="Q3367" s="26"/>
      <c r="R3367" s="26"/>
      <c r="S3367" s="26"/>
      <c r="T3367" s="26"/>
      <c r="U3367" s="26"/>
      <c r="V3367" s="26"/>
      <c r="W3367" s="26"/>
      <c r="X3367" s="26"/>
      <c r="Y3367" s="26"/>
      <c r="Z3367" s="26"/>
      <c r="AA3367" s="26"/>
      <c r="AB3367" s="26"/>
      <c r="AC3367" s="27"/>
    </row>
    <row r="3368" spans="1:29" x14ac:dyDescent="0.25">
      <c r="A3368" s="1"/>
      <c r="B3368" s="19"/>
      <c r="C3368" s="24"/>
      <c r="D3368" s="1"/>
      <c r="E3368" s="25"/>
      <c r="F3368" s="26"/>
      <c r="G3368" s="26"/>
      <c r="L3368" s="25"/>
      <c r="M3368" s="24"/>
      <c r="N3368" s="26"/>
      <c r="O3368" s="26"/>
      <c r="P3368" s="26"/>
      <c r="Q3368" s="26"/>
      <c r="R3368" s="26"/>
      <c r="S3368" s="26"/>
      <c r="T3368" s="26"/>
      <c r="U3368" s="26"/>
      <c r="V3368" s="26"/>
      <c r="W3368" s="26"/>
      <c r="X3368" s="26"/>
      <c r="Y3368" s="26"/>
      <c r="Z3368" s="26"/>
      <c r="AA3368" s="26"/>
      <c r="AB3368" s="26"/>
      <c r="AC3368" s="27"/>
    </row>
    <row r="3369" spans="1:29" x14ac:dyDescent="0.25">
      <c r="A3369" s="1"/>
      <c r="B3369" s="19"/>
      <c r="C3369" s="24"/>
      <c r="D3369" s="1"/>
      <c r="E3369" s="25"/>
      <c r="F3369" s="26"/>
      <c r="G3369" s="26"/>
      <c r="L3369" s="25"/>
      <c r="M3369" s="24"/>
      <c r="N3369" s="26"/>
      <c r="O3369" s="26"/>
      <c r="P3369" s="26"/>
      <c r="Q3369" s="26"/>
      <c r="R3369" s="26"/>
      <c r="S3369" s="26"/>
      <c r="T3369" s="26"/>
      <c r="U3369" s="26"/>
      <c r="V3369" s="26"/>
      <c r="W3369" s="26"/>
      <c r="X3369" s="26"/>
      <c r="Y3369" s="26"/>
      <c r="Z3369" s="26"/>
      <c r="AA3369" s="26"/>
      <c r="AB3369" s="26"/>
      <c r="AC3369" s="27"/>
    </row>
    <row r="3370" spans="1:29" x14ac:dyDescent="0.25">
      <c r="A3370" s="1"/>
      <c r="B3370" s="19"/>
      <c r="C3370" s="24"/>
      <c r="D3370" s="1"/>
      <c r="E3370" s="25"/>
      <c r="F3370" s="26"/>
      <c r="G3370" s="26"/>
      <c r="L3370" s="25"/>
      <c r="M3370" s="24"/>
      <c r="N3370" s="26"/>
      <c r="O3370" s="26"/>
      <c r="P3370" s="26"/>
      <c r="Q3370" s="26"/>
      <c r="R3370" s="26"/>
      <c r="S3370" s="26"/>
      <c r="T3370" s="26"/>
      <c r="U3370" s="26"/>
      <c r="V3370" s="26"/>
      <c r="W3370" s="26"/>
      <c r="X3370" s="26"/>
      <c r="Y3370" s="26"/>
      <c r="Z3370" s="26"/>
      <c r="AA3370" s="26"/>
      <c r="AB3370" s="26"/>
      <c r="AC3370" s="27"/>
    </row>
    <row r="3371" spans="1:29" x14ac:dyDescent="0.25">
      <c r="A3371" s="1"/>
      <c r="B3371" s="19"/>
      <c r="C3371" s="24"/>
      <c r="D3371" s="1"/>
      <c r="E3371" s="25"/>
      <c r="F3371" s="26"/>
      <c r="G3371" s="26"/>
      <c r="L3371" s="25"/>
      <c r="M3371" s="24"/>
      <c r="N3371" s="26"/>
      <c r="O3371" s="26"/>
      <c r="P3371" s="26"/>
      <c r="Q3371" s="26"/>
      <c r="R3371" s="26"/>
      <c r="S3371" s="26"/>
      <c r="T3371" s="26"/>
      <c r="U3371" s="26"/>
      <c r="V3371" s="26"/>
      <c r="W3371" s="26"/>
      <c r="X3371" s="26"/>
      <c r="Y3371" s="26"/>
      <c r="Z3371" s="26"/>
      <c r="AA3371" s="26"/>
      <c r="AB3371" s="26"/>
      <c r="AC3371" s="27"/>
    </row>
    <row r="3372" spans="1:29" x14ac:dyDescent="0.25">
      <c r="A3372" s="1"/>
      <c r="B3372" s="19"/>
      <c r="C3372" s="24"/>
      <c r="D3372" s="1"/>
      <c r="E3372" s="25"/>
      <c r="F3372" s="26"/>
      <c r="G3372" s="26"/>
      <c r="L3372" s="25"/>
      <c r="M3372" s="24"/>
      <c r="N3372" s="26"/>
      <c r="O3372" s="26"/>
      <c r="P3372" s="26"/>
      <c r="Q3372" s="26"/>
      <c r="R3372" s="26"/>
      <c r="S3372" s="26"/>
      <c r="T3372" s="26"/>
      <c r="U3372" s="26"/>
      <c r="V3372" s="26"/>
      <c r="W3372" s="26"/>
      <c r="X3372" s="26"/>
      <c r="Y3372" s="26"/>
      <c r="Z3372" s="26"/>
      <c r="AA3372" s="26"/>
      <c r="AB3372" s="26"/>
      <c r="AC3372" s="27"/>
    </row>
    <row r="3373" spans="1:29" x14ac:dyDescent="0.25">
      <c r="A3373" s="1"/>
      <c r="B3373" s="19"/>
      <c r="C3373" s="24"/>
      <c r="D3373" s="1"/>
      <c r="E3373" s="25"/>
      <c r="F3373" s="26"/>
      <c r="G3373" s="26"/>
      <c r="L3373" s="25"/>
      <c r="M3373" s="24"/>
      <c r="N3373" s="26"/>
      <c r="O3373" s="26"/>
      <c r="P3373" s="26"/>
      <c r="Q3373" s="26"/>
      <c r="R3373" s="26"/>
      <c r="S3373" s="26"/>
      <c r="T3373" s="26"/>
      <c r="U3373" s="26"/>
      <c r="V3373" s="26"/>
      <c r="W3373" s="26"/>
      <c r="X3373" s="26"/>
      <c r="Y3373" s="26"/>
      <c r="Z3373" s="26"/>
      <c r="AA3373" s="26"/>
      <c r="AB3373" s="26"/>
      <c r="AC3373" s="27"/>
    </row>
    <row r="3374" spans="1:29" x14ac:dyDescent="0.25">
      <c r="A3374" s="1"/>
      <c r="B3374" s="19"/>
      <c r="C3374" s="24"/>
      <c r="D3374" s="1"/>
      <c r="E3374" s="25"/>
      <c r="F3374" s="26"/>
      <c r="G3374" s="26"/>
      <c r="L3374" s="25"/>
      <c r="M3374" s="24"/>
      <c r="N3374" s="26"/>
      <c r="O3374" s="26"/>
      <c r="P3374" s="26"/>
      <c r="Q3374" s="26"/>
      <c r="R3374" s="26"/>
      <c r="S3374" s="26"/>
      <c r="T3374" s="26"/>
      <c r="U3374" s="26"/>
      <c r="V3374" s="26"/>
      <c r="W3374" s="26"/>
      <c r="X3374" s="26"/>
      <c r="Y3374" s="26"/>
      <c r="Z3374" s="26"/>
      <c r="AA3374" s="26"/>
      <c r="AB3374" s="26"/>
      <c r="AC3374" s="27"/>
    </row>
    <row r="3375" spans="1:29" x14ac:dyDescent="0.25">
      <c r="A3375" s="1"/>
      <c r="B3375" s="19"/>
      <c r="C3375" s="24"/>
      <c r="D3375" s="1"/>
      <c r="E3375" s="25"/>
      <c r="F3375" s="26"/>
      <c r="G3375" s="26"/>
      <c r="L3375" s="25"/>
      <c r="M3375" s="24"/>
      <c r="N3375" s="26"/>
      <c r="O3375" s="26"/>
      <c r="P3375" s="26"/>
      <c r="Q3375" s="26"/>
      <c r="R3375" s="26"/>
      <c r="S3375" s="26"/>
      <c r="T3375" s="26"/>
      <c r="U3375" s="26"/>
      <c r="V3375" s="26"/>
      <c r="W3375" s="26"/>
      <c r="X3375" s="26"/>
      <c r="Y3375" s="26"/>
      <c r="Z3375" s="26"/>
      <c r="AA3375" s="26"/>
      <c r="AB3375" s="26"/>
      <c r="AC3375" s="27"/>
    </row>
    <row r="3376" spans="1:29" x14ac:dyDescent="0.25">
      <c r="A3376" s="1"/>
      <c r="B3376" s="19"/>
      <c r="C3376" s="24"/>
      <c r="D3376" s="1"/>
      <c r="E3376" s="25"/>
      <c r="F3376" s="26"/>
      <c r="G3376" s="26"/>
      <c r="L3376" s="25"/>
      <c r="M3376" s="24"/>
      <c r="N3376" s="26"/>
      <c r="O3376" s="26"/>
      <c r="P3376" s="26"/>
      <c r="Q3376" s="26"/>
      <c r="R3376" s="26"/>
      <c r="S3376" s="26"/>
      <c r="T3376" s="26"/>
      <c r="U3376" s="26"/>
      <c r="V3376" s="26"/>
      <c r="W3376" s="26"/>
      <c r="X3376" s="26"/>
      <c r="Y3376" s="26"/>
      <c r="Z3376" s="26"/>
      <c r="AA3376" s="26"/>
      <c r="AB3376" s="26"/>
      <c r="AC3376" s="27"/>
    </row>
    <row r="3377" spans="1:29" x14ac:dyDescent="0.25">
      <c r="A3377" s="1"/>
      <c r="B3377" s="19"/>
      <c r="C3377" s="24"/>
      <c r="D3377" s="1"/>
      <c r="E3377" s="25"/>
      <c r="F3377" s="26"/>
      <c r="G3377" s="26"/>
      <c r="L3377" s="25"/>
      <c r="M3377" s="24"/>
      <c r="N3377" s="26"/>
      <c r="O3377" s="26"/>
      <c r="P3377" s="26"/>
      <c r="Q3377" s="26"/>
      <c r="R3377" s="26"/>
      <c r="S3377" s="26"/>
      <c r="T3377" s="26"/>
      <c r="U3377" s="26"/>
      <c r="V3377" s="26"/>
      <c r="W3377" s="26"/>
      <c r="X3377" s="26"/>
      <c r="Y3377" s="26"/>
      <c r="Z3377" s="26"/>
      <c r="AA3377" s="26"/>
      <c r="AB3377" s="26"/>
      <c r="AC3377" s="27"/>
    </row>
    <row r="3378" spans="1:29" x14ac:dyDescent="0.25">
      <c r="A3378" s="1"/>
      <c r="B3378" s="19"/>
      <c r="C3378" s="24"/>
      <c r="D3378" s="1"/>
      <c r="E3378" s="25"/>
      <c r="F3378" s="26"/>
      <c r="G3378" s="26"/>
      <c r="L3378" s="25"/>
      <c r="M3378" s="24"/>
      <c r="N3378" s="26"/>
      <c r="O3378" s="26"/>
      <c r="P3378" s="26"/>
      <c r="Q3378" s="26"/>
      <c r="R3378" s="26"/>
      <c r="S3378" s="26"/>
      <c r="T3378" s="26"/>
      <c r="U3378" s="26"/>
      <c r="V3378" s="26"/>
      <c r="W3378" s="26"/>
      <c r="X3378" s="26"/>
      <c r="Y3378" s="26"/>
      <c r="Z3378" s="26"/>
      <c r="AA3378" s="26"/>
      <c r="AB3378" s="26"/>
      <c r="AC3378" s="27"/>
    </row>
    <row r="3379" spans="1:29" x14ac:dyDescent="0.25">
      <c r="A3379" s="1"/>
      <c r="B3379" s="19"/>
      <c r="C3379" s="24"/>
      <c r="D3379" s="1"/>
      <c r="E3379" s="25"/>
      <c r="F3379" s="26"/>
      <c r="G3379" s="26"/>
      <c r="L3379" s="25"/>
      <c r="M3379" s="24"/>
      <c r="N3379" s="26"/>
      <c r="O3379" s="26"/>
      <c r="P3379" s="26"/>
      <c r="Q3379" s="26"/>
      <c r="R3379" s="26"/>
      <c r="S3379" s="26"/>
      <c r="T3379" s="26"/>
      <c r="U3379" s="26"/>
      <c r="V3379" s="26"/>
      <c r="W3379" s="26"/>
      <c r="X3379" s="26"/>
      <c r="Y3379" s="26"/>
      <c r="Z3379" s="26"/>
      <c r="AA3379" s="26"/>
      <c r="AB3379" s="26"/>
      <c r="AC3379" s="27"/>
    </row>
    <row r="3380" spans="1:29" x14ac:dyDescent="0.25">
      <c r="A3380" s="1"/>
      <c r="B3380" s="19"/>
      <c r="C3380" s="24"/>
      <c r="D3380" s="1"/>
      <c r="E3380" s="25"/>
      <c r="F3380" s="26"/>
      <c r="G3380" s="26"/>
      <c r="L3380" s="25"/>
      <c r="M3380" s="24"/>
      <c r="N3380" s="26"/>
      <c r="O3380" s="26"/>
      <c r="P3380" s="26"/>
      <c r="Q3380" s="26"/>
      <c r="R3380" s="26"/>
      <c r="S3380" s="26"/>
      <c r="T3380" s="26"/>
      <c r="U3380" s="26"/>
      <c r="V3380" s="26"/>
      <c r="W3380" s="26"/>
      <c r="X3380" s="26"/>
      <c r="Y3380" s="26"/>
      <c r="Z3380" s="26"/>
      <c r="AA3380" s="26"/>
      <c r="AB3380" s="26"/>
      <c r="AC3380" s="27"/>
    </row>
    <row r="3381" spans="1:29" x14ac:dyDescent="0.25">
      <c r="A3381" s="1"/>
      <c r="B3381" s="19"/>
      <c r="C3381" s="24"/>
      <c r="D3381" s="1"/>
      <c r="E3381" s="25"/>
      <c r="F3381" s="26"/>
      <c r="G3381" s="26"/>
      <c r="L3381" s="25"/>
      <c r="M3381" s="24"/>
      <c r="N3381" s="26"/>
      <c r="O3381" s="26"/>
      <c r="P3381" s="26"/>
      <c r="Q3381" s="26"/>
      <c r="R3381" s="26"/>
      <c r="S3381" s="26"/>
      <c r="T3381" s="26"/>
      <c r="U3381" s="26"/>
      <c r="V3381" s="26"/>
      <c r="W3381" s="26"/>
      <c r="X3381" s="26"/>
      <c r="Y3381" s="26"/>
      <c r="Z3381" s="26"/>
      <c r="AA3381" s="26"/>
      <c r="AB3381" s="26"/>
      <c r="AC3381" s="27"/>
    </row>
    <row r="3382" spans="1:29" x14ac:dyDescent="0.25">
      <c r="A3382" s="1"/>
      <c r="B3382" s="19"/>
      <c r="C3382" s="24"/>
      <c r="D3382" s="1"/>
      <c r="E3382" s="25"/>
      <c r="F3382" s="26"/>
      <c r="G3382" s="26"/>
      <c r="L3382" s="25"/>
      <c r="M3382" s="24"/>
      <c r="N3382" s="26"/>
      <c r="O3382" s="26"/>
      <c r="P3382" s="26"/>
      <c r="Q3382" s="26"/>
      <c r="R3382" s="26"/>
      <c r="S3382" s="26"/>
      <c r="T3382" s="26"/>
      <c r="U3382" s="26"/>
      <c r="V3382" s="26"/>
      <c r="W3382" s="26"/>
      <c r="X3382" s="26"/>
      <c r="Y3382" s="26"/>
      <c r="Z3382" s="26"/>
      <c r="AA3382" s="26"/>
      <c r="AB3382" s="26"/>
      <c r="AC3382" s="27"/>
    </row>
    <row r="3383" spans="1:29" x14ac:dyDescent="0.25">
      <c r="A3383" s="1"/>
      <c r="B3383" s="19"/>
      <c r="C3383" s="24"/>
      <c r="D3383" s="1"/>
      <c r="E3383" s="25"/>
      <c r="F3383" s="26"/>
      <c r="G3383" s="26"/>
      <c r="L3383" s="25"/>
      <c r="M3383" s="24"/>
      <c r="N3383" s="26"/>
      <c r="O3383" s="26"/>
      <c r="P3383" s="26"/>
      <c r="Q3383" s="26"/>
      <c r="R3383" s="26"/>
      <c r="S3383" s="26"/>
      <c r="T3383" s="26"/>
      <c r="U3383" s="26"/>
      <c r="V3383" s="26"/>
      <c r="W3383" s="26"/>
      <c r="X3383" s="26"/>
      <c r="Y3383" s="26"/>
      <c r="Z3383" s="26"/>
      <c r="AA3383" s="26"/>
      <c r="AB3383" s="26"/>
      <c r="AC3383" s="27"/>
    </row>
    <row r="3384" spans="1:29" x14ac:dyDescent="0.25">
      <c r="A3384" s="1"/>
      <c r="B3384" s="19"/>
      <c r="C3384" s="24"/>
      <c r="D3384" s="1"/>
      <c r="E3384" s="25"/>
      <c r="F3384" s="26"/>
      <c r="G3384" s="26"/>
      <c r="L3384" s="25"/>
      <c r="M3384" s="24"/>
      <c r="N3384" s="26"/>
      <c r="O3384" s="26"/>
      <c r="P3384" s="26"/>
      <c r="Q3384" s="26"/>
      <c r="R3384" s="26"/>
      <c r="S3384" s="26"/>
      <c r="T3384" s="26"/>
      <c r="U3384" s="26"/>
      <c r="V3384" s="26"/>
      <c r="W3384" s="26"/>
      <c r="X3384" s="26"/>
      <c r="Y3384" s="26"/>
      <c r="Z3384" s="26"/>
      <c r="AA3384" s="26"/>
      <c r="AB3384" s="26"/>
      <c r="AC3384" s="27"/>
    </row>
    <row r="3385" spans="1:29" x14ac:dyDescent="0.25">
      <c r="A3385" s="1"/>
      <c r="B3385" s="19"/>
      <c r="C3385" s="24"/>
      <c r="D3385" s="1"/>
      <c r="E3385" s="25"/>
      <c r="F3385" s="26"/>
      <c r="G3385" s="26"/>
      <c r="L3385" s="25"/>
      <c r="M3385" s="24"/>
      <c r="N3385" s="26"/>
      <c r="O3385" s="26"/>
      <c r="P3385" s="26"/>
      <c r="Q3385" s="26"/>
      <c r="R3385" s="26"/>
      <c r="S3385" s="26"/>
      <c r="T3385" s="26"/>
      <c r="U3385" s="26"/>
      <c r="V3385" s="26"/>
      <c r="W3385" s="26"/>
      <c r="X3385" s="26"/>
      <c r="Y3385" s="26"/>
      <c r="Z3385" s="26"/>
      <c r="AA3385" s="26"/>
      <c r="AB3385" s="26"/>
      <c r="AC3385" s="27"/>
    </row>
    <row r="3386" spans="1:29" x14ac:dyDescent="0.25">
      <c r="A3386" s="1"/>
      <c r="B3386" s="19"/>
      <c r="C3386" s="24"/>
      <c r="D3386" s="1"/>
      <c r="E3386" s="25"/>
      <c r="F3386" s="26"/>
      <c r="G3386" s="26"/>
      <c r="L3386" s="25"/>
      <c r="M3386" s="24"/>
      <c r="N3386" s="26"/>
      <c r="O3386" s="26"/>
      <c r="P3386" s="26"/>
      <c r="Q3386" s="26"/>
      <c r="R3386" s="26"/>
      <c r="S3386" s="26"/>
      <c r="T3386" s="26"/>
      <c r="U3386" s="26"/>
      <c r="V3386" s="26"/>
      <c r="W3386" s="26"/>
      <c r="X3386" s="26"/>
      <c r="Y3386" s="26"/>
      <c r="Z3386" s="26"/>
      <c r="AA3386" s="26"/>
      <c r="AB3386" s="26"/>
      <c r="AC3386" s="27"/>
    </row>
    <row r="3387" spans="1:29" x14ac:dyDescent="0.25">
      <c r="A3387" s="1"/>
      <c r="B3387" s="19"/>
      <c r="C3387" s="24"/>
      <c r="D3387" s="1"/>
      <c r="E3387" s="25"/>
      <c r="F3387" s="26"/>
      <c r="G3387" s="26"/>
      <c r="L3387" s="25"/>
      <c r="M3387" s="24"/>
      <c r="N3387" s="26"/>
      <c r="O3387" s="26"/>
      <c r="P3387" s="26"/>
      <c r="Q3387" s="26"/>
      <c r="R3387" s="26"/>
      <c r="S3387" s="26"/>
      <c r="T3387" s="26"/>
      <c r="U3387" s="26"/>
      <c r="V3387" s="26"/>
      <c r="W3387" s="26"/>
      <c r="X3387" s="26"/>
      <c r="Y3387" s="26"/>
      <c r="Z3387" s="26"/>
      <c r="AA3387" s="26"/>
      <c r="AB3387" s="26"/>
      <c r="AC3387" s="27"/>
    </row>
    <row r="3388" spans="1:29" x14ac:dyDescent="0.25">
      <c r="A3388" s="1"/>
      <c r="B3388" s="19"/>
      <c r="C3388" s="24"/>
      <c r="D3388" s="1"/>
      <c r="E3388" s="25"/>
      <c r="F3388" s="26"/>
      <c r="G3388" s="26"/>
      <c r="L3388" s="25"/>
      <c r="M3388" s="24"/>
      <c r="N3388" s="26"/>
      <c r="O3388" s="26"/>
      <c r="P3388" s="26"/>
      <c r="Q3388" s="26"/>
      <c r="R3388" s="26"/>
      <c r="S3388" s="26"/>
      <c r="T3388" s="26"/>
      <c r="U3388" s="26"/>
      <c r="V3388" s="26"/>
      <c r="W3388" s="26"/>
      <c r="X3388" s="26"/>
      <c r="Y3388" s="26"/>
      <c r="Z3388" s="26"/>
      <c r="AA3388" s="26"/>
      <c r="AB3388" s="26"/>
      <c r="AC3388" s="27"/>
    </row>
    <row r="3389" spans="1:29" x14ac:dyDescent="0.25">
      <c r="A3389" s="1"/>
      <c r="B3389" s="19"/>
      <c r="C3389" s="24"/>
      <c r="D3389" s="1"/>
      <c r="E3389" s="25"/>
      <c r="F3389" s="26"/>
      <c r="G3389" s="26"/>
      <c r="L3389" s="25"/>
      <c r="M3389" s="24"/>
      <c r="N3389" s="26"/>
      <c r="O3389" s="26"/>
      <c r="P3389" s="26"/>
      <c r="Q3389" s="26"/>
      <c r="R3389" s="26"/>
      <c r="S3389" s="26"/>
      <c r="T3389" s="26"/>
      <c r="U3389" s="26"/>
      <c r="V3389" s="26"/>
      <c r="W3389" s="26"/>
      <c r="X3389" s="26"/>
      <c r="Y3389" s="26"/>
      <c r="Z3389" s="26"/>
      <c r="AA3389" s="26"/>
      <c r="AB3389" s="26"/>
      <c r="AC3389" s="27"/>
    </row>
    <row r="3390" spans="1:29" x14ac:dyDescent="0.25">
      <c r="A3390" s="1"/>
      <c r="B3390" s="19"/>
      <c r="C3390" s="24"/>
      <c r="D3390" s="1"/>
      <c r="E3390" s="25"/>
      <c r="F3390" s="26"/>
      <c r="G3390" s="26"/>
      <c r="L3390" s="25"/>
      <c r="M3390" s="24"/>
      <c r="N3390" s="26"/>
      <c r="O3390" s="26"/>
      <c r="P3390" s="26"/>
      <c r="Q3390" s="26"/>
      <c r="R3390" s="26"/>
      <c r="S3390" s="26"/>
      <c r="T3390" s="26"/>
      <c r="U3390" s="26"/>
      <c r="V3390" s="26"/>
      <c r="W3390" s="26"/>
      <c r="X3390" s="26"/>
      <c r="Y3390" s="26"/>
      <c r="Z3390" s="26"/>
      <c r="AA3390" s="26"/>
      <c r="AB3390" s="26"/>
      <c r="AC3390" s="27"/>
    </row>
    <row r="3391" spans="1:29" x14ac:dyDescent="0.25">
      <c r="A3391" s="1"/>
      <c r="B3391" s="19"/>
      <c r="C3391" s="24"/>
      <c r="D3391" s="1"/>
      <c r="E3391" s="25"/>
      <c r="F3391" s="26"/>
      <c r="G3391" s="26"/>
      <c r="L3391" s="25"/>
      <c r="M3391" s="24"/>
      <c r="N3391" s="26"/>
      <c r="O3391" s="26"/>
      <c r="P3391" s="26"/>
      <c r="Q3391" s="26"/>
      <c r="R3391" s="26"/>
      <c r="S3391" s="26"/>
      <c r="T3391" s="26"/>
      <c r="U3391" s="26"/>
      <c r="V3391" s="26"/>
      <c r="W3391" s="26"/>
      <c r="X3391" s="26"/>
      <c r="Y3391" s="26"/>
      <c r="Z3391" s="26"/>
      <c r="AA3391" s="26"/>
      <c r="AB3391" s="26"/>
      <c r="AC3391" s="27"/>
    </row>
    <row r="3392" spans="1:29" x14ac:dyDescent="0.25">
      <c r="A3392" s="1"/>
      <c r="B3392" s="19"/>
      <c r="C3392" s="24"/>
      <c r="D3392" s="1"/>
      <c r="E3392" s="25"/>
      <c r="F3392" s="26"/>
      <c r="G3392" s="26"/>
      <c r="L3392" s="25"/>
      <c r="M3392" s="24"/>
      <c r="N3392" s="26"/>
      <c r="O3392" s="26"/>
      <c r="P3392" s="26"/>
      <c r="Q3392" s="26"/>
      <c r="R3392" s="26"/>
      <c r="S3392" s="26"/>
      <c r="T3392" s="26"/>
      <c r="U3392" s="26"/>
      <c r="V3392" s="26"/>
      <c r="W3392" s="26"/>
      <c r="X3392" s="26"/>
      <c r="Y3392" s="26"/>
      <c r="Z3392" s="26"/>
      <c r="AA3392" s="26"/>
      <c r="AB3392" s="26"/>
      <c r="AC3392" s="27"/>
    </row>
    <row r="3393" spans="1:29" x14ac:dyDescent="0.25">
      <c r="A3393" s="1"/>
      <c r="B3393" s="19"/>
      <c r="C3393" s="24"/>
      <c r="D3393" s="1"/>
      <c r="E3393" s="25"/>
      <c r="F3393" s="26"/>
      <c r="G3393" s="26"/>
      <c r="L3393" s="25"/>
      <c r="M3393" s="24"/>
      <c r="N3393" s="26"/>
      <c r="O3393" s="26"/>
      <c r="P3393" s="26"/>
      <c r="Q3393" s="26"/>
      <c r="R3393" s="26"/>
      <c r="S3393" s="26"/>
      <c r="T3393" s="26"/>
      <c r="U3393" s="26"/>
      <c r="V3393" s="26"/>
      <c r="W3393" s="26"/>
      <c r="X3393" s="26"/>
      <c r="Y3393" s="26"/>
      <c r="Z3393" s="26"/>
      <c r="AA3393" s="26"/>
      <c r="AB3393" s="26"/>
      <c r="AC3393" s="27"/>
    </row>
    <row r="3394" spans="1:29" x14ac:dyDescent="0.25">
      <c r="A3394" s="1"/>
      <c r="B3394" s="19"/>
      <c r="C3394" s="24"/>
      <c r="D3394" s="1"/>
      <c r="E3394" s="25"/>
      <c r="F3394" s="26"/>
      <c r="G3394" s="26"/>
      <c r="L3394" s="25"/>
      <c r="M3394" s="24"/>
      <c r="N3394" s="26"/>
      <c r="O3394" s="26"/>
      <c r="P3394" s="26"/>
      <c r="Q3394" s="26"/>
      <c r="R3394" s="26"/>
      <c r="S3394" s="26"/>
      <c r="T3394" s="26"/>
      <c r="U3394" s="26"/>
      <c r="V3394" s="26"/>
      <c r="W3394" s="26"/>
      <c r="X3394" s="26"/>
      <c r="Y3394" s="26"/>
      <c r="Z3394" s="26"/>
      <c r="AA3394" s="26"/>
      <c r="AB3394" s="26"/>
      <c r="AC3394" s="27"/>
    </row>
    <row r="3395" spans="1:29" x14ac:dyDescent="0.25">
      <c r="A3395" s="1"/>
      <c r="B3395" s="19"/>
      <c r="C3395" s="24"/>
      <c r="D3395" s="1"/>
      <c r="E3395" s="25"/>
      <c r="F3395" s="26"/>
      <c r="G3395" s="26"/>
      <c r="L3395" s="25"/>
      <c r="M3395" s="24"/>
      <c r="N3395" s="26"/>
      <c r="O3395" s="26"/>
      <c r="P3395" s="26"/>
      <c r="Q3395" s="26"/>
      <c r="R3395" s="26"/>
      <c r="S3395" s="26"/>
      <c r="T3395" s="26"/>
      <c r="U3395" s="26"/>
      <c r="V3395" s="26"/>
      <c r="W3395" s="26"/>
      <c r="X3395" s="26"/>
      <c r="Y3395" s="26"/>
      <c r="Z3395" s="26"/>
      <c r="AA3395" s="26"/>
      <c r="AB3395" s="26"/>
      <c r="AC3395" s="27"/>
    </row>
    <row r="3396" spans="1:29" x14ac:dyDescent="0.25">
      <c r="A3396" s="1"/>
      <c r="B3396" s="19"/>
      <c r="C3396" s="24"/>
      <c r="D3396" s="1"/>
      <c r="E3396" s="25"/>
      <c r="F3396" s="26"/>
      <c r="G3396" s="26"/>
      <c r="L3396" s="25"/>
      <c r="M3396" s="24"/>
      <c r="N3396" s="26"/>
      <c r="O3396" s="26"/>
      <c r="P3396" s="26"/>
      <c r="Q3396" s="26"/>
      <c r="R3396" s="26"/>
      <c r="S3396" s="26"/>
      <c r="T3396" s="26"/>
      <c r="U3396" s="26"/>
      <c r="V3396" s="26"/>
      <c r="W3396" s="26"/>
      <c r="X3396" s="26"/>
      <c r="Y3396" s="26"/>
      <c r="Z3396" s="26"/>
      <c r="AA3396" s="26"/>
      <c r="AB3396" s="26"/>
      <c r="AC3396" s="27"/>
    </row>
    <row r="3397" spans="1:29" x14ac:dyDescent="0.25">
      <c r="A3397" s="1"/>
      <c r="B3397" s="19"/>
      <c r="C3397" s="24"/>
      <c r="D3397" s="1"/>
      <c r="E3397" s="25"/>
      <c r="F3397" s="26"/>
      <c r="G3397" s="26"/>
      <c r="L3397" s="25"/>
      <c r="M3397" s="24"/>
      <c r="N3397" s="26"/>
      <c r="O3397" s="26"/>
      <c r="P3397" s="26"/>
      <c r="Q3397" s="26"/>
      <c r="R3397" s="26"/>
      <c r="S3397" s="26"/>
      <c r="T3397" s="26"/>
      <c r="U3397" s="26"/>
      <c r="V3397" s="26"/>
      <c r="W3397" s="26"/>
      <c r="X3397" s="26"/>
      <c r="Y3397" s="26"/>
      <c r="Z3397" s="26"/>
      <c r="AA3397" s="26"/>
      <c r="AB3397" s="26"/>
      <c r="AC3397" s="27"/>
    </row>
    <row r="3398" spans="1:29" x14ac:dyDescent="0.25">
      <c r="A3398" s="1"/>
      <c r="B3398" s="19"/>
      <c r="C3398" s="24"/>
      <c r="D3398" s="1"/>
      <c r="E3398" s="25"/>
      <c r="F3398" s="26"/>
      <c r="G3398" s="26"/>
      <c r="L3398" s="25"/>
      <c r="M3398" s="24"/>
      <c r="N3398" s="26"/>
      <c r="O3398" s="26"/>
      <c r="P3398" s="26"/>
      <c r="Q3398" s="26"/>
      <c r="R3398" s="26"/>
      <c r="S3398" s="26"/>
      <c r="T3398" s="26"/>
      <c r="U3398" s="26"/>
      <c r="V3398" s="26"/>
      <c r="W3398" s="26"/>
      <c r="X3398" s="26"/>
      <c r="Y3398" s="26"/>
      <c r="Z3398" s="26"/>
      <c r="AA3398" s="26"/>
      <c r="AB3398" s="26"/>
      <c r="AC3398" s="27"/>
    </row>
    <row r="3399" spans="1:29" x14ac:dyDescent="0.25">
      <c r="A3399" s="1"/>
      <c r="B3399" s="19"/>
      <c r="C3399" s="24"/>
      <c r="D3399" s="1"/>
      <c r="E3399" s="25"/>
      <c r="F3399" s="26"/>
      <c r="G3399" s="26"/>
      <c r="L3399" s="25"/>
      <c r="M3399" s="24"/>
      <c r="N3399" s="26"/>
      <c r="O3399" s="26"/>
      <c r="P3399" s="26"/>
      <c r="Q3399" s="26"/>
      <c r="R3399" s="26"/>
      <c r="S3399" s="26"/>
      <c r="T3399" s="26"/>
      <c r="U3399" s="26"/>
      <c r="V3399" s="26"/>
      <c r="W3399" s="26"/>
      <c r="X3399" s="26"/>
      <c r="Y3399" s="26"/>
      <c r="Z3399" s="26"/>
      <c r="AA3399" s="26"/>
      <c r="AB3399" s="26"/>
      <c r="AC3399" s="27"/>
    </row>
    <row r="3400" spans="1:29" x14ac:dyDescent="0.25">
      <c r="A3400" s="1"/>
      <c r="B3400" s="19"/>
      <c r="C3400" s="24"/>
      <c r="D3400" s="1"/>
      <c r="E3400" s="25"/>
      <c r="F3400" s="26"/>
      <c r="G3400" s="26"/>
      <c r="L3400" s="25"/>
      <c r="M3400" s="24"/>
      <c r="N3400" s="26"/>
      <c r="O3400" s="26"/>
      <c r="P3400" s="26"/>
      <c r="Q3400" s="26"/>
      <c r="R3400" s="26"/>
      <c r="S3400" s="26"/>
      <c r="T3400" s="26"/>
      <c r="U3400" s="26"/>
      <c r="V3400" s="26"/>
      <c r="W3400" s="26"/>
      <c r="X3400" s="26"/>
      <c r="Y3400" s="26"/>
      <c r="Z3400" s="26"/>
      <c r="AA3400" s="26"/>
      <c r="AB3400" s="26"/>
      <c r="AC3400" s="27"/>
    </row>
    <row r="3401" spans="1:29" x14ac:dyDescent="0.25">
      <c r="A3401" s="1"/>
      <c r="B3401" s="19"/>
      <c r="C3401" s="24"/>
      <c r="D3401" s="1"/>
      <c r="E3401" s="25"/>
      <c r="F3401" s="26"/>
      <c r="G3401" s="26"/>
      <c r="L3401" s="25"/>
      <c r="M3401" s="24"/>
      <c r="N3401" s="26"/>
      <c r="O3401" s="26"/>
      <c r="P3401" s="26"/>
      <c r="Q3401" s="26"/>
      <c r="R3401" s="26"/>
      <c r="S3401" s="26"/>
      <c r="T3401" s="26"/>
      <c r="U3401" s="26"/>
      <c r="V3401" s="26"/>
      <c r="W3401" s="26"/>
      <c r="X3401" s="26"/>
      <c r="Y3401" s="26"/>
      <c r="Z3401" s="26"/>
      <c r="AA3401" s="26"/>
      <c r="AB3401" s="26"/>
      <c r="AC3401" s="27"/>
    </row>
    <row r="3402" spans="1:29" x14ac:dyDescent="0.25">
      <c r="A3402" s="1"/>
      <c r="B3402" s="19"/>
      <c r="C3402" s="24"/>
      <c r="D3402" s="1"/>
      <c r="E3402" s="25"/>
      <c r="F3402" s="26"/>
      <c r="G3402" s="26"/>
      <c r="L3402" s="25"/>
      <c r="M3402" s="24"/>
      <c r="N3402" s="26"/>
      <c r="O3402" s="26"/>
      <c r="P3402" s="26"/>
      <c r="Q3402" s="26"/>
      <c r="R3402" s="26"/>
      <c r="S3402" s="26"/>
      <c r="T3402" s="26"/>
      <c r="U3402" s="26"/>
      <c r="V3402" s="26"/>
      <c r="W3402" s="26"/>
      <c r="X3402" s="26"/>
      <c r="Y3402" s="26"/>
      <c r="Z3402" s="26"/>
      <c r="AA3402" s="26"/>
      <c r="AB3402" s="26"/>
      <c r="AC3402" s="27"/>
    </row>
    <row r="3403" spans="1:29" x14ac:dyDescent="0.25">
      <c r="A3403" s="1"/>
      <c r="B3403" s="19"/>
      <c r="C3403" s="24"/>
      <c r="D3403" s="1"/>
      <c r="E3403" s="25"/>
      <c r="F3403" s="26"/>
      <c r="G3403" s="26"/>
      <c r="L3403" s="25"/>
      <c r="M3403" s="24"/>
      <c r="N3403" s="26"/>
      <c r="O3403" s="26"/>
      <c r="P3403" s="26"/>
      <c r="Q3403" s="26"/>
      <c r="R3403" s="26"/>
      <c r="S3403" s="26"/>
      <c r="T3403" s="26"/>
      <c r="U3403" s="26"/>
      <c r="V3403" s="26"/>
      <c r="W3403" s="26"/>
      <c r="X3403" s="26"/>
      <c r="Y3403" s="26"/>
      <c r="Z3403" s="26"/>
      <c r="AA3403" s="26"/>
      <c r="AB3403" s="26"/>
      <c r="AC3403" s="27"/>
    </row>
    <row r="3404" spans="1:29" x14ac:dyDescent="0.25">
      <c r="A3404" s="1"/>
      <c r="B3404" s="19"/>
      <c r="C3404" s="24"/>
      <c r="D3404" s="1"/>
      <c r="E3404" s="25"/>
      <c r="F3404" s="26"/>
      <c r="G3404" s="26"/>
      <c r="L3404" s="25"/>
      <c r="M3404" s="24"/>
      <c r="N3404" s="26"/>
      <c r="O3404" s="26"/>
      <c r="P3404" s="26"/>
      <c r="Q3404" s="26"/>
      <c r="R3404" s="26"/>
      <c r="S3404" s="26"/>
      <c r="T3404" s="26"/>
      <c r="U3404" s="26"/>
      <c r="V3404" s="26"/>
      <c r="W3404" s="26"/>
      <c r="X3404" s="26"/>
      <c r="Y3404" s="26"/>
      <c r="Z3404" s="26"/>
      <c r="AA3404" s="26"/>
      <c r="AB3404" s="26"/>
      <c r="AC3404" s="27"/>
    </row>
    <row r="3405" spans="1:29" x14ac:dyDescent="0.25">
      <c r="A3405" s="1"/>
      <c r="B3405" s="19"/>
      <c r="C3405" s="24"/>
      <c r="D3405" s="1"/>
      <c r="E3405" s="25"/>
      <c r="F3405" s="26"/>
      <c r="G3405" s="26"/>
      <c r="L3405" s="25"/>
      <c r="M3405" s="24"/>
      <c r="N3405" s="26"/>
      <c r="O3405" s="26"/>
      <c r="P3405" s="26"/>
      <c r="Q3405" s="26"/>
      <c r="R3405" s="26"/>
      <c r="S3405" s="26"/>
      <c r="T3405" s="26"/>
      <c r="U3405" s="26"/>
      <c r="V3405" s="26"/>
      <c r="W3405" s="26"/>
      <c r="X3405" s="26"/>
      <c r="Y3405" s="26"/>
      <c r="Z3405" s="26"/>
      <c r="AA3405" s="26"/>
      <c r="AB3405" s="26"/>
      <c r="AC3405" s="27"/>
    </row>
    <row r="3406" spans="1:29" x14ac:dyDescent="0.25">
      <c r="A3406" s="1"/>
      <c r="B3406" s="19"/>
      <c r="C3406" s="24"/>
      <c r="D3406" s="1"/>
      <c r="E3406" s="25"/>
      <c r="F3406" s="26"/>
      <c r="G3406" s="26"/>
      <c r="L3406" s="25"/>
      <c r="M3406" s="24"/>
      <c r="N3406" s="26"/>
      <c r="O3406" s="26"/>
      <c r="P3406" s="26"/>
      <c r="Q3406" s="26"/>
      <c r="R3406" s="26"/>
      <c r="S3406" s="26"/>
      <c r="T3406" s="26"/>
      <c r="U3406" s="26"/>
      <c r="V3406" s="26"/>
      <c r="W3406" s="26"/>
      <c r="X3406" s="26"/>
      <c r="Y3406" s="26"/>
      <c r="Z3406" s="26"/>
      <c r="AA3406" s="26"/>
      <c r="AB3406" s="26"/>
      <c r="AC3406" s="27"/>
    </row>
    <row r="3407" spans="1:29" x14ac:dyDescent="0.25">
      <c r="A3407" s="1"/>
      <c r="B3407" s="19"/>
      <c r="C3407" s="24"/>
      <c r="D3407" s="1"/>
      <c r="E3407" s="25"/>
      <c r="F3407" s="26"/>
      <c r="G3407" s="26"/>
      <c r="L3407" s="25"/>
      <c r="M3407" s="24"/>
      <c r="N3407" s="26"/>
      <c r="O3407" s="26"/>
      <c r="P3407" s="26"/>
      <c r="Q3407" s="26"/>
      <c r="R3407" s="26"/>
      <c r="S3407" s="26"/>
      <c r="T3407" s="26"/>
      <c r="U3407" s="26"/>
      <c r="V3407" s="26"/>
      <c r="W3407" s="26"/>
      <c r="X3407" s="26"/>
      <c r="Y3407" s="26"/>
      <c r="Z3407" s="26"/>
      <c r="AA3407" s="26"/>
      <c r="AB3407" s="26"/>
      <c r="AC3407" s="27"/>
    </row>
    <row r="3408" spans="1:29" x14ac:dyDescent="0.25">
      <c r="A3408" s="1"/>
      <c r="B3408" s="19"/>
      <c r="C3408" s="24"/>
      <c r="D3408" s="1"/>
      <c r="E3408" s="25"/>
      <c r="F3408" s="26"/>
      <c r="G3408" s="26"/>
      <c r="L3408" s="25"/>
      <c r="M3408" s="24"/>
      <c r="N3408" s="26"/>
      <c r="O3408" s="26"/>
      <c r="P3408" s="26"/>
      <c r="Q3408" s="26"/>
      <c r="R3408" s="26"/>
      <c r="S3408" s="26"/>
      <c r="T3408" s="26"/>
      <c r="U3408" s="26"/>
      <c r="V3408" s="26"/>
      <c r="W3408" s="26"/>
      <c r="X3408" s="26"/>
      <c r="Y3408" s="26"/>
      <c r="Z3408" s="26"/>
      <c r="AA3408" s="26"/>
      <c r="AB3408" s="26"/>
      <c r="AC3408" s="27"/>
    </row>
    <row r="3409" spans="1:29" x14ac:dyDescent="0.25">
      <c r="A3409" s="1"/>
      <c r="B3409" s="19"/>
      <c r="C3409" s="24"/>
      <c r="D3409" s="1"/>
      <c r="E3409" s="25"/>
      <c r="F3409" s="26"/>
      <c r="G3409" s="26"/>
      <c r="L3409" s="25"/>
      <c r="M3409" s="24"/>
      <c r="N3409" s="26"/>
      <c r="O3409" s="26"/>
      <c r="P3409" s="26"/>
      <c r="Q3409" s="26"/>
      <c r="R3409" s="26"/>
      <c r="S3409" s="26"/>
      <c r="T3409" s="26"/>
      <c r="U3409" s="26"/>
      <c r="V3409" s="26"/>
      <c r="W3409" s="26"/>
      <c r="X3409" s="26"/>
      <c r="Y3409" s="26"/>
      <c r="Z3409" s="26"/>
      <c r="AA3409" s="26"/>
      <c r="AB3409" s="26"/>
      <c r="AC3409" s="27"/>
    </row>
    <row r="3410" spans="1:29" x14ac:dyDescent="0.25">
      <c r="A3410" s="1"/>
      <c r="B3410" s="19"/>
      <c r="C3410" s="24"/>
      <c r="D3410" s="1"/>
      <c r="E3410" s="25"/>
      <c r="F3410" s="26"/>
      <c r="G3410" s="26"/>
      <c r="L3410" s="25"/>
      <c r="M3410" s="24"/>
      <c r="N3410" s="26"/>
      <c r="O3410" s="26"/>
      <c r="P3410" s="26"/>
      <c r="Q3410" s="26"/>
      <c r="R3410" s="26"/>
      <c r="S3410" s="26"/>
      <c r="T3410" s="26"/>
      <c r="U3410" s="26"/>
      <c r="V3410" s="26"/>
      <c r="W3410" s="26"/>
      <c r="X3410" s="26"/>
      <c r="Y3410" s="26"/>
      <c r="Z3410" s="26"/>
      <c r="AA3410" s="26"/>
      <c r="AB3410" s="26"/>
      <c r="AC3410" s="27"/>
    </row>
    <row r="3411" spans="1:29" x14ac:dyDescent="0.25">
      <c r="A3411" s="1"/>
      <c r="B3411" s="19"/>
      <c r="C3411" s="24"/>
      <c r="D3411" s="1"/>
      <c r="E3411" s="25"/>
      <c r="F3411" s="26"/>
      <c r="G3411" s="26"/>
      <c r="L3411" s="25"/>
      <c r="M3411" s="24"/>
      <c r="N3411" s="26"/>
      <c r="O3411" s="26"/>
      <c r="P3411" s="26"/>
      <c r="Q3411" s="26"/>
      <c r="R3411" s="26"/>
      <c r="S3411" s="26"/>
      <c r="T3411" s="26"/>
      <c r="U3411" s="26"/>
      <c r="V3411" s="26"/>
      <c r="W3411" s="26"/>
      <c r="X3411" s="26"/>
      <c r="Y3411" s="26"/>
      <c r="Z3411" s="26"/>
      <c r="AA3411" s="26"/>
      <c r="AB3411" s="26"/>
      <c r="AC3411" s="27"/>
    </row>
    <row r="3412" spans="1:29" x14ac:dyDescent="0.25">
      <c r="A3412" s="1"/>
      <c r="B3412" s="19"/>
      <c r="C3412" s="24"/>
      <c r="D3412" s="1"/>
      <c r="E3412" s="25"/>
      <c r="F3412" s="26"/>
      <c r="G3412" s="26"/>
      <c r="L3412" s="25"/>
      <c r="M3412" s="24"/>
      <c r="N3412" s="26"/>
      <c r="O3412" s="26"/>
      <c r="P3412" s="26"/>
      <c r="Q3412" s="26"/>
      <c r="R3412" s="26"/>
      <c r="S3412" s="26"/>
      <c r="T3412" s="26"/>
      <c r="U3412" s="26"/>
      <c r="V3412" s="26"/>
      <c r="W3412" s="26"/>
      <c r="X3412" s="26"/>
      <c r="Y3412" s="26"/>
      <c r="Z3412" s="26"/>
      <c r="AA3412" s="26"/>
      <c r="AB3412" s="26"/>
      <c r="AC3412" s="27"/>
    </row>
    <row r="3413" spans="1:29" x14ac:dyDescent="0.25">
      <c r="A3413" s="1"/>
      <c r="B3413" s="19"/>
      <c r="C3413" s="24"/>
      <c r="D3413" s="1"/>
      <c r="E3413" s="25"/>
      <c r="F3413" s="26"/>
      <c r="G3413" s="26"/>
      <c r="L3413" s="25"/>
      <c r="M3413" s="24"/>
      <c r="N3413" s="26"/>
      <c r="O3413" s="26"/>
      <c r="P3413" s="26"/>
      <c r="Q3413" s="26"/>
      <c r="R3413" s="26"/>
      <c r="S3413" s="26"/>
      <c r="T3413" s="26"/>
      <c r="U3413" s="26"/>
      <c r="V3413" s="26"/>
      <c r="W3413" s="26"/>
      <c r="X3413" s="26"/>
      <c r="Y3413" s="26"/>
      <c r="Z3413" s="26"/>
      <c r="AA3413" s="26"/>
      <c r="AB3413" s="26"/>
      <c r="AC3413" s="27"/>
    </row>
    <row r="3414" spans="1:29" x14ac:dyDescent="0.25">
      <c r="A3414" s="1"/>
      <c r="B3414" s="19"/>
      <c r="C3414" s="24"/>
      <c r="D3414" s="1"/>
      <c r="E3414" s="25"/>
      <c r="F3414" s="26"/>
      <c r="G3414" s="26"/>
      <c r="L3414" s="25"/>
      <c r="M3414" s="24"/>
      <c r="N3414" s="26"/>
      <c r="O3414" s="26"/>
      <c r="P3414" s="26"/>
      <c r="Q3414" s="26"/>
      <c r="R3414" s="26"/>
      <c r="S3414" s="26"/>
      <c r="T3414" s="26"/>
      <c r="U3414" s="26"/>
      <c r="V3414" s="26"/>
      <c r="W3414" s="26"/>
      <c r="X3414" s="26"/>
      <c r="Y3414" s="26"/>
      <c r="Z3414" s="26"/>
      <c r="AA3414" s="26"/>
      <c r="AB3414" s="26"/>
      <c r="AC3414" s="27"/>
    </row>
    <row r="3415" spans="1:29" x14ac:dyDescent="0.25">
      <c r="A3415" s="1"/>
      <c r="B3415" s="19"/>
      <c r="C3415" s="24"/>
      <c r="D3415" s="1"/>
      <c r="E3415" s="25"/>
      <c r="F3415" s="26"/>
      <c r="G3415" s="26"/>
      <c r="L3415" s="25"/>
      <c r="M3415" s="24"/>
      <c r="N3415" s="26"/>
      <c r="O3415" s="26"/>
      <c r="P3415" s="26"/>
      <c r="Q3415" s="26"/>
      <c r="R3415" s="26"/>
      <c r="S3415" s="26"/>
      <c r="T3415" s="26"/>
      <c r="U3415" s="26"/>
      <c r="V3415" s="26"/>
      <c r="W3415" s="26"/>
      <c r="X3415" s="26"/>
      <c r="Y3415" s="26"/>
      <c r="Z3415" s="26"/>
      <c r="AA3415" s="26"/>
      <c r="AB3415" s="26"/>
      <c r="AC3415" s="27"/>
    </row>
    <row r="3416" spans="1:29" x14ac:dyDescent="0.25">
      <c r="A3416" s="1"/>
      <c r="B3416" s="19"/>
      <c r="C3416" s="24"/>
      <c r="D3416" s="1"/>
      <c r="E3416" s="25"/>
      <c r="F3416" s="26"/>
      <c r="G3416" s="26"/>
      <c r="L3416" s="25"/>
      <c r="M3416" s="24"/>
      <c r="N3416" s="26"/>
      <c r="O3416" s="26"/>
      <c r="P3416" s="26"/>
      <c r="Q3416" s="26"/>
      <c r="R3416" s="26"/>
      <c r="S3416" s="26"/>
      <c r="T3416" s="26"/>
      <c r="U3416" s="26"/>
      <c r="V3416" s="26"/>
      <c r="W3416" s="26"/>
      <c r="X3416" s="26"/>
      <c r="Y3416" s="26"/>
      <c r="Z3416" s="26"/>
      <c r="AA3416" s="26"/>
      <c r="AB3416" s="26"/>
      <c r="AC3416" s="27"/>
    </row>
    <row r="3417" spans="1:29" x14ac:dyDescent="0.25">
      <c r="A3417" s="1"/>
      <c r="B3417" s="19"/>
      <c r="C3417" s="24"/>
      <c r="D3417" s="1"/>
      <c r="E3417" s="25"/>
      <c r="F3417" s="26"/>
      <c r="G3417" s="26"/>
      <c r="L3417" s="25"/>
      <c r="M3417" s="24"/>
      <c r="N3417" s="26"/>
      <c r="O3417" s="26"/>
      <c r="P3417" s="26"/>
      <c r="Q3417" s="26"/>
      <c r="R3417" s="26"/>
      <c r="S3417" s="26"/>
      <c r="T3417" s="26"/>
      <c r="U3417" s="26"/>
      <c r="V3417" s="26"/>
      <c r="W3417" s="26"/>
      <c r="X3417" s="26"/>
      <c r="Y3417" s="26"/>
      <c r="Z3417" s="26"/>
      <c r="AA3417" s="26"/>
      <c r="AB3417" s="26"/>
      <c r="AC3417" s="27"/>
    </row>
    <row r="3418" spans="1:29" x14ac:dyDescent="0.25">
      <c r="A3418" s="1"/>
      <c r="B3418" s="19"/>
      <c r="C3418" s="24"/>
      <c r="D3418" s="1"/>
      <c r="E3418" s="25"/>
      <c r="F3418" s="26"/>
      <c r="G3418" s="26"/>
      <c r="L3418" s="25"/>
      <c r="M3418" s="24"/>
      <c r="N3418" s="26"/>
      <c r="O3418" s="26"/>
      <c r="P3418" s="26"/>
      <c r="Q3418" s="26"/>
      <c r="R3418" s="26"/>
      <c r="S3418" s="26"/>
      <c r="T3418" s="26"/>
      <c r="U3418" s="26"/>
      <c r="V3418" s="26"/>
      <c r="W3418" s="26"/>
      <c r="X3418" s="26"/>
      <c r="Y3418" s="26"/>
      <c r="Z3418" s="26"/>
      <c r="AA3418" s="26"/>
      <c r="AB3418" s="26"/>
      <c r="AC3418" s="27"/>
    </row>
    <row r="3419" spans="1:29" x14ac:dyDescent="0.25">
      <c r="A3419" s="1"/>
      <c r="B3419" s="19"/>
      <c r="C3419" s="24"/>
      <c r="D3419" s="1"/>
      <c r="E3419" s="25"/>
      <c r="F3419" s="26"/>
      <c r="G3419" s="26"/>
      <c r="L3419" s="25"/>
      <c r="M3419" s="24"/>
      <c r="N3419" s="26"/>
      <c r="O3419" s="26"/>
      <c r="P3419" s="26"/>
      <c r="Q3419" s="26"/>
      <c r="R3419" s="26"/>
      <c r="S3419" s="26"/>
      <c r="T3419" s="26"/>
      <c r="U3419" s="26"/>
      <c r="V3419" s="26"/>
      <c r="W3419" s="26"/>
      <c r="X3419" s="26"/>
      <c r="Y3419" s="26"/>
      <c r="Z3419" s="26"/>
      <c r="AA3419" s="26"/>
      <c r="AB3419" s="26"/>
      <c r="AC3419" s="27"/>
    </row>
    <row r="3420" spans="1:29" x14ac:dyDescent="0.25">
      <c r="A3420" s="1"/>
      <c r="B3420" s="19"/>
      <c r="C3420" s="24"/>
      <c r="D3420" s="1"/>
      <c r="E3420" s="25"/>
      <c r="F3420" s="26"/>
      <c r="G3420" s="26"/>
      <c r="L3420" s="25"/>
      <c r="M3420" s="24"/>
      <c r="N3420" s="26"/>
      <c r="O3420" s="26"/>
      <c r="P3420" s="26"/>
      <c r="Q3420" s="26"/>
      <c r="R3420" s="26"/>
      <c r="S3420" s="26"/>
      <c r="T3420" s="26"/>
      <c r="U3420" s="26"/>
      <c r="V3420" s="26"/>
      <c r="W3420" s="26"/>
      <c r="X3420" s="26"/>
      <c r="Y3420" s="26"/>
      <c r="Z3420" s="26"/>
      <c r="AA3420" s="26"/>
      <c r="AB3420" s="26"/>
      <c r="AC3420" s="27"/>
    </row>
    <row r="3421" spans="1:29" x14ac:dyDescent="0.25">
      <c r="A3421" s="1"/>
      <c r="B3421" s="19"/>
      <c r="C3421" s="24"/>
      <c r="D3421" s="1"/>
      <c r="E3421" s="25"/>
      <c r="F3421" s="26"/>
      <c r="G3421" s="26"/>
      <c r="L3421" s="25"/>
      <c r="M3421" s="24"/>
      <c r="N3421" s="26"/>
      <c r="O3421" s="26"/>
      <c r="P3421" s="26"/>
      <c r="Q3421" s="26"/>
      <c r="R3421" s="26"/>
      <c r="S3421" s="26"/>
      <c r="T3421" s="26"/>
      <c r="U3421" s="26"/>
      <c r="V3421" s="26"/>
      <c r="W3421" s="26"/>
      <c r="X3421" s="26"/>
      <c r="Y3421" s="26"/>
      <c r="Z3421" s="26"/>
      <c r="AA3421" s="26"/>
      <c r="AB3421" s="26"/>
      <c r="AC3421" s="27"/>
    </row>
    <row r="3422" spans="1:29" x14ac:dyDescent="0.25">
      <c r="A3422" s="1"/>
      <c r="B3422" s="19"/>
      <c r="C3422" s="24"/>
      <c r="D3422" s="1"/>
      <c r="E3422" s="25"/>
      <c r="F3422" s="26"/>
      <c r="G3422" s="26"/>
      <c r="L3422" s="25"/>
      <c r="M3422" s="24"/>
      <c r="N3422" s="26"/>
      <c r="O3422" s="26"/>
      <c r="P3422" s="26"/>
      <c r="Q3422" s="26"/>
      <c r="R3422" s="26"/>
      <c r="S3422" s="26"/>
      <c r="T3422" s="26"/>
      <c r="U3422" s="26"/>
      <c r="V3422" s="26"/>
      <c r="W3422" s="26"/>
      <c r="X3422" s="26"/>
      <c r="Y3422" s="26"/>
      <c r="Z3422" s="26"/>
      <c r="AA3422" s="26"/>
      <c r="AB3422" s="26"/>
      <c r="AC3422" s="27"/>
    </row>
    <row r="3423" spans="1:29" x14ac:dyDescent="0.25">
      <c r="A3423" s="1"/>
      <c r="B3423" s="19"/>
      <c r="C3423" s="24"/>
      <c r="D3423" s="1"/>
      <c r="E3423" s="25"/>
      <c r="F3423" s="26"/>
      <c r="G3423" s="26"/>
      <c r="L3423" s="25"/>
      <c r="M3423" s="24"/>
      <c r="N3423" s="26"/>
      <c r="O3423" s="26"/>
      <c r="P3423" s="26"/>
      <c r="Q3423" s="26"/>
      <c r="R3423" s="26"/>
      <c r="S3423" s="26"/>
      <c r="T3423" s="26"/>
      <c r="U3423" s="26"/>
      <c r="V3423" s="26"/>
      <c r="W3423" s="26"/>
      <c r="X3423" s="26"/>
      <c r="Y3423" s="26"/>
      <c r="Z3423" s="26"/>
      <c r="AA3423" s="26"/>
      <c r="AB3423" s="26"/>
      <c r="AC3423" s="27"/>
    </row>
    <row r="3424" spans="1:29" x14ac:dyDescent="0.25">
      <c r="A3424" s="1"/>
      <c r="B3424" s="19"/>
      <c r="C3424" s="24"/>
      <c r="D3424" s="1"/>
      <c r="E3424" s="25"/>
      <c r="F3424" s="26"/>
      <c r="G3424" s="26"/>
      <c r="L3424" s="25"/>
      <c r="M3424" s="24"/>
      <c r="N3424" s="26"/>
      <c r="O3424" s="26"/>
      <c r="P3424" s="26"/>
      <c r="Q3424" s="26"/>
      <c r="R3424" s="26"/>
      <c r="S3424" s="26"/>
      <c r="T3424" s="26"/>
      <c r="U3424" s="26"/>
      <c r="V3424" s="26"/>
      <c r="W3424" s="26"/>
      <c r="X3424" s="26"/>
      <c r="Y3424" s="26"/>
      <c r="Z3424" s="26"/>
      <c r="AA3424" s="26"/>
      <c r="AB3424" s="26"/>
      <c r="AC3424" s="27"/>
    </row>
    <row r="3425" spans="1:29" x14ac:dyDescent="0.25">
      <c r="A3425" s="1"/>
      <c r="B3425" s="19"/>
      <c r="C3425" s="24"/>
      <c r="D3425" s="1"/>
      <c r="E3425" s="25"/>
      <c r="F3425" s="26"/>
      <c r="G3425" s="26"/>
      <c r="L3425" s="25"/>
      <c r="M3425" s="24"/>
      <c r="N3425" s="26"/>
      <c r="O3425" s="26"/>
      <c r="P3425" s="26"/>
      <c r="Q3425" s="26"/>
      <c r="R3425" s="26"/>
      <c r="S3425" s="26"/>
      <c r="T3425" s="26"/>
      <c r="U3425" s="26"/>
      <c r="V3425" s="26"/>
      <c r="W3425" s="26"/>
      <c r="X3425" s="26"/>
      <c r="Y3425" s="26"/>
      <c r="Z3425" s="26"/>
      <c r="AA3425" s="26"/>
      <c r="AB3425" s="26"/>
      <c r="AC3425" s="27"/>
    </row>
    <row r="3426" spans="1:29" x14ac:dyDescent="0.25">
      <c r="A3426" s="1"/>
      <c r="B3426" s="19"/>
      <c r="C3426" s="24"/>
      <c r="D3426" s="1"/>
      <c r="E3426" s="25"/>
      <c r="F3426" s="26"/>
      <c r="G3426" s="26"/>
      <c r="L3426" s="25"/>
      <c r="M3426" s="24"/>
      <c r="N3426" s="26"/>
      <c r="O3426" s="26"/>
      <c r="P3426" s="26"/>
      <c r="Q3426" s="26"/>
      <c r="R3426" s="26"/>
      <c r="S3426" s="26"/>
      <c r="T3426" s="26"/>
      <c r="U3426" s="26"/>
      <c r="V3426" s="26"/>
      <c r="W3426" s="26"/>
      <c r="X3426" s="26"/>
      <c r="Y3426" s="26"/>
      <c r="Z3426" s="26"/>
      <c r="AA3426" s="26"/>
      <c r="AB3426" s="26"/>
      <c r="AC3426" s="27"/>
    </row>
    <row r="3427" spans="1:29" x14ac:dyDescent="0.25">
      <c r="A3427" s="1"/>
      <c r="B3427" s="19"/>
      <c r="C3427" s="24"/>
      <c r="D3427" s="1"/>
      <c r="E3427" s="25"/>
      <c r="F3427" s="26"/>
      <c r="G3427" s="26"/>
      <c r="L3427" s="25"/>
      <c r="M3427" s="24"/>
      <c r="N3427" s="26"/>
      <c r="O3427" s="26"/>
      <c r="P3427" s="26"/>
      <c r="Q3427" s="26"/>
      <c r="R3427" s="26"/>
      <c r="S3427" s="26"/>
      <c r="T3427" s="26"/>
      <c r="U3427" s="26"/>
      <c r="V3427" s="26"/>
      <c r="W3427" s="26"/>
      <c r="X3427" s="26"/>
      <c r="Y3427" s="26"/>
      <c r="Z3427" s="26"/>
      <c r="AA3427" s="26"/>
      <c r="AB3427" s="26"/>
      <c r="AC3427" s="27"/>
    </row>
    <row r="3428" spans="1:29" x14ac:dyDescent="0.25">
      <c r="A3428" s="1"/>
      <c r="B3428" s="19"/>
      <c r="C3428" s="24"/>
      <c r="D3428" s="1"/>
      <c r="E3428" s="25"/>
      <c r="F3428" s="26"/>
      <c r="G3428" s="26"/>
      <c r="L3428" s="25"/>
      <c r="M3428" s="24"/>
      <c r="N3428" s="26"/>
      <c r="O3428" s="26"/>
      <c r="P3428" s="26"/>
      <c r="Q3428" s="26"/>
      <c r="R3428" s="26"/>
      <c r="S3428" s="26"/>
      <c r="T3428" s="26"/>
      <c r="U3428" s="26"/>
      <c r="V3428" s="26"/>
      <c r="W3428" s="26"/>
      <c r="X3428" s="26"/>
      <c r="Y3428" s="26"/>
      <c r="Z3428" s="26"/>
      <c r="AA3428" s="26"/>
      <c r="AB3428" s="26"/>
      <c r="AC3428" s="27"/>
    </row>
    <row r="3429" spans="1:29" x14ac:dyDescent="0.25">
      <c r="A3429" s="1"/>
      <c r="B3429" s="19"/>
      <c r="C3429" s="24"/>
      <c r="D3429" s="1"/>
      <c r="E3429" s="25"/>
      <c r="F3429" s="26"/>
      <c r="G3429" s="26"/>
      <c r="L3429" s="25"/>
      <c r="M3429" s="24"/>
      <c r="N3429" s="26"/>
      <c r="O3429" s="26"/>
      <c r="P3429" s="26"/>
      <c r="Q3429" s="26"/>
      <c r="R3429" s="26"/>
      <c r="S3429" s="26"/>
      <c r="T3429" s="26"/>
      <c r="U3429" s="26"/>
      <c r="V3429" s="26"/>
      <c r="W3429" s="26"/>
      <c r="X3429" s="26"/>
      <c r="Y3429" s="26"/>
      <c r="Z3429" s="26"/>
      <c r="AA3429" s="26"/>
      <c r="AB3429" s="26"/>
      <c r="AC3429" s="27"/>
    </row>
    <row r="3430" spans="1:29" x14ac:dyDescent="0.25">
      <c r="A3430" s="1"/>
      <c r="B3430" s="19"/>
      <c r="C3430" s="24"/>
      <c r="D3430" s="1"/>
      <c r="E3430" s="25"/>
      <c r="F3430" s="26"/>
      <c r="G3430" s="26"/>
      <c r="L3430" s="25"/>
      <c r="M3430" s="24"/>
      <c r="N3430" s="26"/>
      <c r="O3430" s="26"/>
      <c r="P3430" s="26"/>
      <c r="Q3430" s="26"/>
      <c r="R3430" s="26"/>
      <c r="S3430" s="26"/>
      <c r="T3430" s="26"/>
      <c r="U3430" s="26"/>
      <c r="V3430" s="26"/>
      <c r="W3430" s="26"/>
      <c r="X3430" s="26"/>
      <c r="Y3430" s="26"/>
      <c r="Z3430" s="26"/>
      <c r="AA3430" s="26"/>
      <c r="AB3430" s="26"/>
      <c r="AC3430" s="27"/>
    </row>
    <row r="3431" spans="1:29" x14ac:dyDescent="0.25">
      <c r="A3431" s="1"/>
      <c r="B3431" s="19"/>
      <c r="C3431" s="24"/>
      <c r="D3431" s="1"/>
      <c r="E3431" s="25"/>
      <c r="F3431" s="26"/>
      <c r="G3431" s="26"/>
      <c r="L3431" s="25"/>
      <c r="M3431" s="24"/>
      <c r="N3431" s="26"/>
      <c r="O3431" s="26"/>
      <c r="P3431" s="26"/>
      <c r="Q3431" s="26"/>
      <c r="R3431" s="26"/>
      <c r="S3431" s="26"/>
      <c r="T3431" s="26"/>
      <c r="U3431" s="26"/>
      <c r="V3431" s="26"/>
      <c r="W3431" s="26"/>
      <c r="X3431" s="26"/>
      <c r="Y3431" s="26"/>
      <c r="Z3431" s="26"/>
      <c r="AA3431" s="26"/>
      <c r="AB3431" s="26"/>
      <c r="AC3431" s="27"/>
    </row>
    <row r="3432" spans="1:29" x14ac:dyDescent="0.25">
      <c r="A3432" s="1"/>
      <c r="B3432" s="19"/>
      <c r="C3432" s="24"/>
      <c r="D3432" s="1"/>
      <c r="E3432" s="25"/>
      <c r="F3432" s="26"/>
      <c r="G3432" s="26"/>
      <c r="L3432" s="25"/>
      <c r="M3432" s="24"/>
      <c r="N3432" s="26"/>
      <c r="O3432" s="26"/>
      <c r="P3432" s="26"/>
      <c r="Q3432" s="26"/>
      <c r="R3432" s="26"/>
      <c r="S3432" s="26"/>
      <c r="T3432" s="26"/>
      <c r="U3432" s="26"/>
      <c r="V3432" s="26"/>
      <c r="W3432" s="26"/>
      <c r="X3432" s="26"/>
      <c r="Y3432" s="26"/>
      <c r="Z3432" s="26"/>
      <c r="AA3432" s="26"/>
      <c r="AB3432" s="26"/>
      <c r="AC3432" s="27"/>
    </row>
    <row r="3433" spans="1:29" x14ac:dyDescent="0.25">
      <c r="A3433" s="1"/>
      <c r="B3433" s="19"/>
      <c r="C3433" s="24"/>
      <c r="D3433" s="1"/>
      <c r="E3433" s="25"/>
      <c r="F3433" s="26"/>
      <c r="G3433" s="26"/>
      <c r="L3433" s="25"/>
      <c r="M3433" s="24"/>
      <c r="N3433" s="26"/>
      <c r="O3433" s="26"/>
      <c r="P3433" s="26"/>
      <c r="Q3433" s="26"/>
      <c r="R3433" s="26"/>
      <c r="S3433" s="26"/>
      <c r="T3433" s="26"/>
      <c r="U3433" s="26"/>
      <c r="V3433" s="26"/>
      <c r="W3433" s="26"/>
      <c r="X3433" s="26"/>
      <c r="Y3433" s="26"/>
      <c r="Z3433" s="26"/>
      <c r="AA3433" s="26"/>
      <c r="AB3433" s="26"/>
      <c r="AC3433" s="27"/>
    </row>
    <row r="3434" spans="1:29" x14ac:dyDescent="0.25">
      <c r="A3434" s="1"/>
      <c r="B3434" s="19"/>
      <c r="C3434" s="24"/>
      <c r="D3434" s="1"/>
      <c r="E3434" s="25"/>
      <c r="F3434" s="26"/>
      <c r="G3434" s="26"/>
      <c r="L3434" s="25"/>
      <c r="M3434" s="24"/>
      <c r="N3434" s="26"/>
      <c r="O3434" s="26"/>
      <c r="P3434" s="26"/>
      <c r="Q3434" s="26"/>
      <c r="R3434" s="26"/>
      <c r="S3434" s="26"/>
      <c r="T3434" s="26"/>
      <c r="U3434" s="26"/>
      <c r="V3434" s="26"/>
      <c r="W3434" s="26"/>
      <c r="X3434" s="26"/>
      <c r="Y3434" s="26"/>
      <c r="Z3434" s="26"/>
      <c r="AA3434" s="26"/>
      <c r="AB3434" s="26"/>
      <c r="AC3434" s="27"/>
    </row>
    <row r="3435" spans="1:29" x14ac:dyDescent="0.25">
      <c r="A3435" s="1"/>
      <c r="B3435" s="19"/>
      <c r="C3435" s="24"/>
      <c r="D3435" s="1"/>
      <c r="E3435" s="25"/>
      <c r="F3435" s="26"/>
      <c r="G3435" s="26"/>
      <c r="L3435" s="25"/>
      <c r="M3435" s="24"/>
      <c r="N3435" s="26"/>
      <c r="O3435" s="26"/>
      <c r="P3435" s="26"/>
      <c r="Q3435" s="26"/>
      <c r="R3435" s="26"/>
      <c r="S3435" s="26"/>
      <c r="T3435" s="26"/>
      <c r="U3435" s="26"/>
      <c r="V3435" s="26"/>
      <c r="W3435" s="26"/>
      <c r="X3435" s="26"/>
      <c r="Y3435" s="26"/>
      <c r="Z3435" s="26"/>
      <c r="AA3435" s="26"/>
      <c r="AB3435" s="26"/>
      <c r="AC3435" s="27"/>
    </row>
    <row r="3436" spans="1:29" x14ac:dyDescent="0.25">
      <c r="A3436" s="1"/>
      <c r="B3436" s="19"/>
      <c r="C3436" s="24"/>
      <c r="D3436" s="1"/>
      <c r="E3436" s="25"/>
      <c r="F3436" s="26"/>
      <c r="G3436" s="26"/>
      <c r="L3436" s="25"/>
      <c r="M3436" s="24"/>
      <c r="N3436" s="26"/>
      <c r="O3436" s="26"/>
      <c r="P3436" s="26"/>
      <c r="Q3436" s="26"/>
      <c r="R3436" s="26"/>
      <c r="S3436" s="26"/>
      <c r="T3436" s="26"/>
      <c r="U3436" s="26"/>
      <c r="V3436" s="26"/>
      <c r="W3436" s="26"/>
      <c r="X3436" s="26"/>
      <c r="Y3436" s="26"/>
      <c r="Z3436" s="26"/>
      <c r="AA3436" s="26"/>
      <c r="AB3436" s="26"/>
      <c r="AC3436" s="27"/>
    </row>
    <row r="3437" spans="1:29" x14ac:dyDescent="0.25">
      <c r="A3437" s="1"/>
      <c r="B3437" s="19"/>
      <c r="C3437" s="24"/>
      <c r="D3437" s="1"/>
      <c r="E3437" s="25"/>
      <c r="F3437" s="26"/>
      <c r="G3437" s="26"/>
      <c r="L3437" s="25"/>
      <c r="M3437" s="24"/>
      <c r="N3437" s="26"/>
      <c r="O3437" s="26"/>
      <c r="P3437" s="26"/>
      <c r="Q3437" s="26"/>
      <c r="R3437" s="26"/>
      <c r="S3437" s="26"/>
      <c r="T3437" s="26"/>
      <c r="U3437" s="26"/>
      <c r="V3437" s="26"/>
      <c r="W3437" s="26"/>
      <c r="X3437" s="26"/>
      <c r="Y3437" s="26"/>
      <c r="Z3437" s="26"/>
      <c r="AA3437" s="26"/>
      <c r="AB3437" s="26"/>
      <c r="AC3437" s="27"/>
    </row>
    <row r="3438" spans="1:29" x14ac:dyDescent="0.25">
      <c r="A3438" s="1"/>
      <c r="B3438" s="19"/>
      <c r="C3438" s="24"/>
      <c r="D3438" s="1"/>
      <c r="E3438" s="25"/>
      <c r="F3438" s="26"/>
      <c r="G3438" s="26"/>
      <c r="L3438" s="25"/>
      <c r="M3438" s="24"/>
      <c r="N3438" s="26"/>
      <c r="O3438" s="26"/>
      <c r="P3438" s="26"/>
      <c r="Q3438" s="26"/>
      <c r="R3438" s="26"/>
      <c r="S3438" s="26"/>
      <c r="T3438" s="26"/>
      <c r="U3438" s="26"/>
      <c r="V3438" s="26"/>
      <c r="W3438" s="26"/>
      <c r="X3438" s="26"/>
      <c r="Y3438" s="26"/>
      <c r="Z3438" s="26"/>
      <c r="AA3438" s="26"/>
      <c r="AB3438" s="26"/>
      <c r="AC3438" s="27"/>
    </row>
    <row r="3439" spans="1:29" x14ac:dyDescent="0.25">
      <c r="A3439" s="1"/>
      <c r="B3439" s="19"/>
      <c r="C3439" s="24"/>
      <c r="D3439" s="1"/>
      <c r="E3439" s="25"/>
      <c r="F3439" s="26"/>
      <c r="G3439" s="26"/>
      <c r="L3439" s="25"/>
      <c r="M3439" s="24"/>
      <c r="N3439" s="26"/>
      <c r="O3439" s="26"/>
      <c r="P3439" s="26"/>
      <c r="Q3439" s="26"/>
      <c r="R3439" s="26"/>
      <c r="S3439" s="26"/>
      <c r="T3439" s="26"/>
      <c r="U3439" s="26"/>
      <c r="V3439" s="26"/>
      <c r="W3439" s="26"/>
      <c r="X3439" s="26"/>
      <c r="Y3439" s="26"/>
      <c r="Z3439" s="26"/>
      <c r="AA3439" s="26"/>
      <c r="AB3439" s="26"/>
      <c r="AC3439" s="27"/>
    </row>
    <row r="3440" spans="1:29" x14ac:dyDescent="0.25">
      <c r="A3440" s="1"/>
      <c r="B3440" s="19"/>
      <c r="C3440" s="24"/>
      <c r="D3440" s="1"/>
      <c r="E3440" s="25"/>
      <c r="F3440" s="26"/>
      <c r="G3440" s="26"/>
      <c r="L3440" s="25"/>
      <c r="M3440" s="24"/>
      <c r="N3440" s="26"/>
      <c r="O3440" s="26"/>
      <c r="P3440" s="26"/>
      <c r="Q3440" s="26"/>
      <c r="R3440" s="26"/>
      <c r="S3440" s="26"/>
      <c r="T3440" s="26"/>
      <c r="U3440" s="26"/>
      <c r="V3440" s="26"/>
      <c r="W3440" s="26"/>
      <c r="X3440" s="26"/>
      <c r="Y3440" s="26"/>
      <c r="Z3440" s="26"/>
      <c r="AA3440" s="26"/>
      <c r="AB3440" s="26"/>
      <c r="AC3440" s="27"/>
    </row>
    <row r="3441" spans="1:29" x14ac:dyDescent="0.25">
      <c r="A3441" s="1"/>
      <c r="B3441" s="19"/>
      <c r="C3441" s="24"/>
      <c r="D3441" s="1"/>
      <c r="E3441" s="25"/>
      <c r="F3441" s="26"/>
      <c r="G3441" s="26"/>
      <c r="L3441" s="25"/>
      <c r="M3441" s="24"/>
      <c r="N3441" s="26"/>
      <c r="O3441" s="26"/>
      <c r="P3441" s="26"/>
      <c r="Q3441" s="26"/>
      <c r="R3441" s="26"/>
      <c r="S3441" s="26"/>
      <c r="T3441" s="26"/>
      <c r="U3441" s="26"/>
      <c r="V3441" s="26"/>
      <c r="W3441" s="26"/>
      <c r="X3441" s="26"/>
      <c r="Y3441" s="26"/>
      <c r="Z3441" s="26"/>
      <c r="AA3441" s="26"/>
      <c r="AB3441" s="26"/>
      <c r="AC3441" s="27"/>
    </row>
    <row r="3442" spans="1:29" x14ac:dyDescent="0.25">
      <c r="A3442" s="1"/>
      <c r="B3442" s="19"/>
      <c r="C3442" s="24"/>
      <c r="D3442" s="1"/>
      <c r="E3442" s="25"/>
      <c r="F3442" s="26"/>
      <c r="G3442" s="26"/>
      <c r="L3442" s="25"/>
      <c r="M3442" s="24"/>
      <c r="N3442" s="26"/>
      <c r="O3442" s="26"/>
      <c r="P3442" s="26"/>
      <c r="Q3442" s="26"/>
      <c r="R3442" s="26"/>
      <c r="S3442" s="26"/>
      <c r="T3442" s="26"/>
      <c r="U3442" s="26"/>
      <c r="V3442" s="26"/>
      <c r="W3442" s="26"/>
      <c r="X3442" s="26"/>
      <c r="Y3442" s="26"/>
      <c r="Z3442" s="26"/>
      <c r="AA3442" s="26"/>
      <c r="AB3442" s="26"/>
      <c r="AC3442" s="27"/>
    </row>
    <row r="3443" spans="1:29" x14ac:dyDescent="0.25">
      <c r="A3443" s="1"/>
      <c r="B3443" s="19"/>
      <c r="C3443" s="24"/>
      <c r="D3443" s="1"/>
      <c r="E3443" s="25"/>
      <c r="F3443" s="26"/>
      <c r="G3443" s="26"/>
      <c r="L3443" s="25"/>
      <c r="M3443" s="24"/>
      <c r="N3443" s="26"/>
      <c r="O3443" s="26"/>
      <c r="P3443" s="26"/>
      <c r="Q3443" s="26"/>
      <c r="R3443" s="26"/>
      <c r="S3443" s="26"/>
      <c r="T3443" s="26"/>
      <c r="U3443" s="26"/>
      <c r="V3443" s="26"/>
      <c r="W3443" s="26"/>
      <c r="X3443" s="26"/>
      <c r="Y3443" s="26"/>
      <c r="Z3443" s="26"/>
      <c r="AA3443" s="26"/>
      <c r="AB3443" s="26"/>
      <c r="AC3443" s="27"/>
    </row>
    <row r="3444" spans="1:29" x14ac:dyDescent="0.25">
      <c r="A3444" s="1"/>
      <c r="B3444" s="19"/>
      <c r="C3444" s="24"/>
      <c r="D3444" s="1"/>
      <c r="E3444" s="25"/>
      <c r="F3444" s="26"/>
      <c r="G3444" s="26"/>
      <c r="L3444" s="25"/>
      <c r="M3444" s="24"/>
      <c r="N3444" s="26"/>
      <c r="O3444" s="26"/>
      <c r="P3444" s="26"/>
      <c r="Q3444" s="26"/>
      <c r="R3444" s="26"/>
      <c r="S3444" s="26"/>
      <c r="T3444" s="26"/>
      <c r="U3444" s="26"/>
      <c r="V3444" s="26"/>
      <c r="W3444" s="26"/>
      <c r="X3444" s="26"/>
      <c r="Y3444" s="26"/>
      <c r="Z3444" s="26"/>
      <c r="AA3444" s="26"/>
      <c r="AB3444" s="26"/>
      <c r="AC3444" s="27"/>
    </row>
    <row r="3445" spans="1:29" x14ac:dyDescent="0.25">
      <c r="A3445" s="1"/>
      <c r="B3445" s="19"/>
      <c r="C3445" s="24"/>
      <c r="D3445" s="1"/>
      <c r="E3445" s="25"/>
      <c r="F3445" s="26"/>
      <c r="G3445" s="26"/>
      <c r="L3445" s="25"/>
      <c r="M3445" s="24"/>
      <c r="N3445" s="26"/>
      <c r="O3445" s="26"/>
      <c r="P3445" s="26"/>
      <c r="Q3445" s="26"/>
      <c r="R3445" s="26"/>
      <c r="S3445" s="26"/>
      <c r="T3445" s="26"/>
      <c r="U3445" s="26"/>
      <c r="V3445" s="26"/>
      <c r="W3445" s="26"/>
      <c r="X3445" s="26"/>
      <c r="Y3445" s="26"/>
      <c r="Z3445" s="26"/>
      <c r="AA3445" s="26"/>
      <c r="AB3445" s="26"/>
      <c r="AC3445" s="27"/>
    </row>
    <row r="3446" spans="1:29" x14ac:dyDescent="0.25">
      <c r="A3446" s="1"/>
      <c r="B3446" s="19"/>
      <c r="C3446" s="24"/>
      <c r="D3446" s="1"/>
      <c r="E3446" s="25"/>
      <c r="F3446" s="26"/>
      <c r="G3446" s="26"/>
      <c r="L3446" s="25"/>
      <c r="M3446" s="24"/>
      <c r="N3446" s="26"/>
      <c r="O3446" s="26"/>
      <c r="P3446" s="26"/>
      <c r="Q3446" s="26"/>
      <c r="R3446" s="26"/>
      <c r="S3446" s="26"/>
      <c r="T3446" s="26"/>
      <c r="U3446" s="26"/>
      <c r="V3446" s="26"/>
      <c r="W3446" s="26"/>
      <c r="X3446" s="26"/>
      <c r="Y3446" s="26"/>
      <c r="Z3446" s="26"/>
      <c r="AA3446" s="26"/>
      <c r="AB3446" s="26"/>
      <c r="AC3446" s="27"/>
    </row>
    <row r="3447" spans="1:29" x14ac:dyDescent="0.25">
      <c r="A3447" s="1"/>
      <c r="B3447" s="19"/>
      <c r="C3447" s="24"/>
      <c r="D3447" s="1"/>
      <c r="E3447" s="25"/>
      <c r="F3447" s="26"/>
      <c r="G3447" s="26"/>
      <c r="L3447" s="25"/>
      <c r="M3447" s="24"/>
      <c r="N3447" s="26"/>
      <c r="O3447" s="26"/>
      <c r="P3447" s="26"/>
      <c r="Q3447" s="26"/>
      <c r="R3447" s="26"/>
      <c r="S3447" s="26"/>
      <c r="T3447" s="26"/>
      <c r="U3447" s="26"/>
      <c r="V3447" s="26"/>
      <c r="W3447" s="26"/>
      <c r="X3447" s="26"/>
      <c r="Y3447" s="26"/>
      <c r="Z3447" s="26"/>
      <c r="AA3447" s="26"/>
      <c r="AB3447" s="26"/>
      <c r="AC3447" s="27"/>
    </row>
    <row r="3448" spans="1:29" x14ac:dyDescent="0.25">
      <c r="A3448" s="1"/>
      <c r="B3448" s="19"/>
      <c r="C3448" s="24"/>
      <c r="D3448" s="1"/>
      <c r="E3448" s="25"/>
      <c r="F3448" s="26"/>
      <c r="G3448" s="26"/>
      <c r="L3448" s="25"/>
      <c r="M3448" s="24"/>
      <c r="N3448" s="26"/>
      <c r="O3448" s="26"/>
      <c r="P3448" s="26"/>
      <c r="Q3448" s="26"/>
      <c r="R3448" s="26"/>
      <c r="S3448" s="26"/>
      <c r="T3448" s="26"/>
      <c r="U3448" s="26"/>
      <c r="V3448" s="26"/>
      <c r="W3448" s="26"/>
      <c r="X3448" s="26"/>
      <c r="Y3448" s="26"/>
      <c r="Z3448" s="26"/>
      <c r="AA3448" s="26"/>
      <c r="AB3448" s="26"/>
      <c r="AC3448" s="27"/>
    </row>
    <row r="3449" spans="1:29" x14ac:dyDescent="0.25">
      <c r="A3449" s="1"/>
      <c r="B3449" s="19"/>
      <c r="C3449" s="24"/>
      <c r="D3449" s="1"/>
      <c r="E3449" s="25"/>
      <c r="F3449" s="26"/>
      <c r="G3449" s="26"/>
      <c r="L3449" s="25"/>
      <c r="M3449" s="24"/>
      <c r="N3449" s="26"/>
      <c r="O3449" s="26"/>
      <c r="P3449" s="26"/>
      <c r="Q3449" s="26"/>
      <c r="R3449" s="26"/>
      <c r="S3449" s="26"/>
      <c r="T3449" s="26"/>
      <c r="U3449" s="26"/>
      <c r="V3449" s="26"/>
      <c r="W3449" s="26"/>
      <c r="X3449" s="26"/>
      <c r="Y3449" s="26"/>
      <c r="Z3449" s="26"/>
      <c r="AA3449" s="26"/>
      <c r="AB3449" s="26"/>
      <c r="AC3449" s="27"/>
    </row>
    <row r="3450" spans="1:29" x14ac:dyDescent="0.25">
      <c r="A3450" s="1"/>
      <c r="B3450" s="19"/>
      <c r="C3450" s="24"/>
      <c r="D3450" s="1"/>
      <c r="E3450" s="25"/>
      <c r="F3450" s="26"/>
      <c r="G3450" s="26"/>
      <c r="L3450" s="25"/>
      <c r="M3450" s="24"/>
      <c r="N3450" s="26"/>
      <c r="O3450" s="26"/>
      <c r="P3450" s="26"/>
      <c r="Q3450" s="26"/>
      <c r="R3450" s="26"/>
      <c r="S3450" s="26"/>
      <c r="T3450" s="26"/>
      <c r="U3450" s="26"/>
      <c r="V3450" s="26"/>
      <c r="W3450" s="26"/>
      <c r="X3450" s="26"/>
      <c r="Y3450" s="26"/>
      <c r="Z3450" s="26"/>
      <c r="AA3450" s="26"/>
      <c r="AB3450" s="26"/>
      <c r="AC3450" s="27"/>
    </row>
    <row r="3451" spans="1:29" x14ac:dyDescent="0.25">
      <c r="A3451" s="1"/>
      <c r="B3451" s="19"/>
      <c r="C3451" s="24"/>
      <c r="D3451" s="1"/>
      <c r="E3451" s="25"/>
      <c r="F3451" s="26"/>
      <c r="G3451" s="26"/>
      <c r="L3451" s="25"/>
      <c r="M3451" s="24"/>
      <c r="N3451" s="26"/>
      <c r="O3451" s="26"/>
      <c r="P3451" s="26"/>
      <c r="Q3451" s="26"/>
      <c r="R3451" s="26"/>
      <c r="S3451" s="26"/>
      <c r="T3451" s="26"/>
      <c r="U3451" s="26"/>
      <c r="V3451" s="26"/>
      <c r="W3451" s="26"/>
      <c r="X3451" s="26"/>
      <c r="Y3451" s="26"/>
      <c r="Z3451" s="26"/>
      <c r="AA3451" s="26"/>
      <c r="AB3451" s="26"/>
      <c r="AC3451" s="27"/>
    </row>
    <row r="3452" spans="1:29" x14ac:dyDescent="0.25">
      <c r="A3452" s="1"/>
      <c r="B3452" s="19"/>
      <c r="C3452" s="24"/>
      <c r="D3452" s="1"/>
      <c r="E3452" s="25"/>
      <c r="F3452" s="26"/>
      <c r="G3452" s="26"/>
      <c r="L3452" s="25"/>
      <c r="M3452" s="24"/>
      <c r="N3452" s="26"/>
      <c r="O3452" s="26"/>
      <c r="P3452" s="26"/>
      <c r="Q3452" s="26"/>
      <c r="R3452" s="26"/>
      <c r="S3452" s="26"/>
      <c r="T3452" s="26"/>
      <c r="U3452" s="26"/>
      <c r="V3452" s="26"/>
      <c r="W3452" s="26"/>
      <c r="X3452" s="26"/>
      <c r="Y3452" s="26"/>
      <c r="Z3452" s="26"/>
      <c r="AA3452" s="26"/>
      <c r="AB3452" s="26"/>
      <c r="AC3452" s="27"/>
    </row>
    <row r="3453" spans="1:29" x14ac:dyDescent="0.25">
      <c r="A3453" s="1"/>
      <c r="B3453" s="19"/>
      <c r="C3453" s="24"/>
      <c r="D3453" s="1"/>
      <c r="E3453" s="25"/>
      <c r="F3453" s="26"/>
      <c r="G3453" s="26"/>
      <c r="L3453" s="25"/>
      <c r="M3453" s="24"/>
      <c r="N3453" s="26"/>
      <c r="O3453" s="26"/>
      <c r="P3453" s="26"/>
      <c r="Q3453" s="26"/>
      <c r="R3453" s="26"/>
      <c r="S3453" s="26"/>
      <c r="T3453" s="26"/>
      <c r="U3453" s="26"/>
      <c r="V3453" s="26"/>
      <c r="W3453" s="26"/>
      <c r="X3453" s="26"/>
      <c r="Y3453" s="26"/>
      <c r="Z3453" s="26"/>
      <c r="AA3453" s="26"/>
      <c r="AB3453" s="26"/>
      <c r="AC3453" s="27"/>
    </row>
    <row r="3454" spans="1:29" x14ac:dyDescent="0.25">
      <c r="A3454" s="1"/>
      <c r="B3454" s="19"/>
      <c r="C3454" s="24"/>
      <c r="D3454" s="1"/>
      <c r="E3454" s="25"/>
      <c r="F3454" s="26"/>
      <c r="G3454" s="26"/>
      <c r="L3454" s="25"/>
      <c r="M3454" s="24"/>
      <c r="N3454" s="26"/>
      <c r="O3454" s="26"/>
      <c r="P3454" s="26"/>
      <c r="Q3454" s="26"/>
      <c r="R3454" s="26"/>
      <c r="S3454" s="26"/>
      <c r="T3454" s="26"/>
      <c r="U3454" s="26"/>
      <c r="V3454" s="26"/>
      <c r="W3454" s="26"/>
      <c r="X3454" s="26"/>
      <c r="Y3454" s="26"/>
      <c r="Z3454" s="26"/>
      <c r="AA3454" s="26"/>
      <c r="AB3454" s="26"/>
      <c r="AC3454" s="27"/>
    </row>
    <row r="3455" spans="1:29" x14ac:dyDescent="0.25">
      <c r="A3455" s="1"/>
      <c r="B3455" s="19"/>
      <c r="C3455" s="24"/>
      <c r="D3455" s="1"/>
      <c r="E3455" s="25"/>
      <c r="F3455" s="26"/>
      <c r="G3455" s="26"/>
      <c r="L3455" s="25"/>
      <c r="M3455" s="24"/>
      <c r="N3455" s="26"/>
      <c r="O3455" s="26"/>
      <c r="P3455" s="26"/>
      <c r="Q3455" s="26"/>
      <c r="R3455" s="26"/>
      <c r="S3455" s="26"/>
      <c r="T3455" s="26"/>
      <c r="U3455" s="26"/>
      <c r="V3455" s="26"/>
      <c r="W3455" s="26"/>
      <c r="X3455" s="26"/>
      <c r="Y3455" s="26"/>
      <c r="Z3455" s="26"/>
      <c r="AA3455" s="26"/>
      <c r="AB3455" s="26"/>
      <c r="AC3455" s="27"/>
    </row>
    <row r="3456" spans="1:29" x14ac:dyDescent="0.25">
      <c r="A3456" s="1"/>
      <c r="B3456" s="19"/>
      <c r="C3456" s="24"/>
      <c r="D3456" s="1"/>
      <c r="E3456" s="25"/>
      <c r="F3456" s="26"/>
      <c r="G3456" s="26"/>
      <c r="L3456" s="25"/>
      <c r="M3456" s="24"/>
      <c r="N3456" s="26"/>
      <c r="O3456" s="26"/>
      <c r="P3456" s="26"/>
      <c r="Q3456" s="26"/>
      <c r="R3456" s="26"/>
      <c r="S3456" s="26"/>
      <c r="T3456" s="26"/>
      <c r="U3456" s="26"/>
      <c r="V3456" s="26"/>
      <c r="W3456" s="26"/>
      <c r="X3456" s="26"/>
      <c r="Y3456" s="26"/>
      <c r="Z3456" s="26"/>
      <c r="AA3456" s="26"/>
      <c r="AB3456" s="26"/>
      <c r="AC3456" s="27"/>
    </row>
    <row r="3457" spans="1:29" x14ac:dyDescent="0.25">
      <c r="A3457" s="1"/>
      <c r="B3457" s="19"/>
      <c r="C3457" s="24"/>
      <c r="D3457" s="1"/>
      <c r="E3457" s="25"/>
      <c r="F3457" s="26"/>
      <c r="G3457" s="26"/>
      <c r="L3457" s="25"/>
      <c r="M3457" s="24"/>
      <c r="N3457" s="26"/>
      <c r="O3457" s="26"/>
      <c r="P3457" s="26"/>
      <c r="Q3457" s="26"/>
      <c r="R3457" s="26"/>
      <c r="S3457" s="26"/>
      <c r="T3457" s="26"/>
      <c r="U3457" s="26"/>
      <c r="V3457" s="26"/>
      <c r="W3457" s="26"/>
      <c r="X3457" s="26"/>
      <c r="Y3457" s="26"/>
      <c r="Z3457" s="26"/>
      <c r="AA3457" s="26"/>
      <c r="AB3457" s="26"/>
      <c r="AC3457" s="27"/>
    </row>
    <row r="3458" spans="1:29" x14ac:dyDescent="0.25">
      <c r="A3458" s="1"/>
      <c r="B3458" s="19"/>
      <c r="C3458" s="24"/>
      <c r="D3458" s="1"/>
      <c r="E3458" s="25"/>
      <c r="F3458" s="26"/>
      <c r="G3458" s="26"/>
      <c r="L3458" s="25"/>
      <c r="M3458" s="24"/>
      <c r="N3458" s="26"/>
      <c r="O3458" s="26"/>
      <c r="P3458" s="26"/>
      <c r="Q3458" s="26"/>
      <c r="R3458" s="26"/>
      <c r="S3458" s="26"/>
      <c r="T3458" s="26"/>
      <c r="U3458" s="26"/>
      <c r="V3458" s="26"/>
      <c r="W3458" s="26"/>
      <c r="X3458" s="26"/>
      <c r="Y3458" s="26"/>
      <c r="Z3458" s="26"/>
      <c r="AA3458" s="26"/>
      <c r="AB3458" s="26"/>
      <c r="AC3458" s="27"/>
    </row>
    <row r="3459" spans="1:29" x14ac:dyDescent="0.25">
      <c r="A3459" s="1"/>
      <c r="B3459" s="19"/>
      <c r="C3459" s="24"/>
      <c r="D3459" s="1"/>
      <c r="E3459" s="25"/>
      <c r="F3459" s="26"/>
      <c r="G3459" s="26"/>
      <c r="L3459" s="25"/>
      <c r="M3459" s="24"/>
      <c r="N3459" s="26"/>
      <c r="O3459" s="26"/>
      <c r="P3459" s="26"/>
      <c r="Q3459" s="26"/>
      <c r="R3459" s="26"/>
      <c r="S3459" s="26"/>
      <c r="T3459" s="26"/>
      <c r="U3459" s="26"/>
      <c r="V3459" s="26"/>
      <c r="W3459" s="26"/>
      <c r="X3459" s="26"/>
      <c r="Y3459" s="26"/>
      <c r="Z3459" s="26"/>
      <c r="AA3459" s="26"/>
      <c r="AB3459" s="26"/>
      <c r="AC3459" s="27"/>
    </row>
    <row r="3460" spans="1:29" x14ac:dyDescent="0.25">
      <c r="A3460" s="1"/>
      <c r="B3460" s="19"/>
      <c r="C3460" s="24"/>
      <c r="D3460" s="1"/>
      <c r="E3460" s="25"/>
      <c r="F3460" s="26"/>
      <c r="G3460" s="26"/>
      <c r="L3460" s="25"/>
      <c r="M3460" s="24"/>
      <c r="N3460" s="26"/>
      <c r="O3460" s="26"/>
      <c r="P3460" s="26"/>
      <c r="Q3460" s="26"/>
      <c r="R3460" s="26"/>
      <c r="S3460" s="26"/>
      <c r="T3460" s="26"/>
      <c r="U3460" s="26"/>
      <c r="V3460" s="26"/>
      <c r="W3460" s="26"/>
      <c r="X3460" s="26"/>
      <c r="Y3460" s="26"/>
      <c r="Z3460" s="26"/>
      <c r="AA3460" s="26"/>
      <c r="AB3460" s="26"/>
      <c r="AC3460" s="27"/>
    </row>
    <row r="3461" spans="1:29" x14ac:dyDescent="0.25">
      <c r="A3461" s="1"/>
      <c r="B3461" s="19"/>
      <c r="C3461" s="24"/>
      <c r="D3461" s="1"/>
      <c r="E3461" s="25"/>
      <c r="F3461" s="26"/>
      <c r="G3461" s="26"/>
      <c r="L3461" s="25"/>
      <c r="M3461" s="24"/>
      <c r="N3461" s="26"/>
      <c r="O3461" s="26"/>
      <c r="P3461" s="26"/>
      <c r="Q3461" s="26"/>
      <c r="R3461" s="26"/>
      <c r="S3461" s="26"/>
      <c r="T3461" s="26"/>
      <c r="U3461" s="26"/>
      <c r="V3461" s="26"/>
      <c r="W3461" s="26"/>
      <c r="X3461" s="26"/>
      <c r="Y3461" s="26"/>
      <c r="Z3461" s="26"/>
      <c r="AA3461" s="26"/>
      <c r="AB3461" s="26"/>
      <c r="AC3461" s="27"/>
    </row>
    <row r="3462" spans="1:29" x14ac:dyDescent="0.25">
      <c r="A3462" s="1"/>
      <c r="B3462" s="19"/>
      <c r="C3462" s="24"/>
      <c r="D3462" s="1"/>
      <c r="E3462" s="25"/>
      <c r="F3462" s="26"/>
      <c r="G3462" s="26"/>
      <c r="L3462" s="25"/>
      <c r="M3462" s="24"/>
      <c r="N3462" s="26"/>
      <c r="O3462" s="26"/>
      <c r="P3462" s="26"/>
      <c r="Q3462" s="26"/>
      <c r="R3462" s="26"/>
      <c r="S3462" s="26"/>
      <c r="T3462" s="26"/>
      <c r="U3462" s="26"/>
      <c r="V3462" s="26"/>
      <c r="W3462" s="26"/>
      <c r="X3462" s="26"/>
      <c r="Y3462" s="26"/>
      <c r="Z3462" s="26"/>
      <c r="AA3462" s="26"/>
      <c r="AB3462" s="26"/>
      <c r="AC3462" s="27"/>
    </row>
    <row r="3463" spans="1:29" x14ac:dyDescent="0.25">
      <c r="A3463" s="1"/>
      <c r="B3463" s="19"/>
      <c r="C3463" s="24"/>
      <c r="D3463" s="1"/>
      <c r="E3463" s="25"/>
      <c r="F3463" s="26"/>
      <c r="G3463" s="26"/>
      <c r="L3463" s="25"/>
      <c r="M3463" s="24"/>
      <c r="N3463" s="26"/>
      <c r="O3463" s="26"/>
      <c r="P3463" s="26"/>
      <c r="Q3463" s="26"/>
      <c r="R3463" s="26"/>
      <c r="S3463" s="26"/>
      <c r="T3463" s="26"/>
      <c r="U3463" s="26"/>
      <c r="V3463" s="26"/>
      <c r="W3463" s="26"/>
      <c r="X3463" s="26"/>
      <c r="Y3463" s="26"/>
      <c r="Z3463" s="26"/>
      <c r="AA3463" s="26"/>
      <c r="AB3463" s="26"/>
      <c r="AC3463" s="27"/>
    </row>
    <row r="3464" spans="1:29" x14ac:dyDescent="0.25">
      <c r="A3464" s="1"/>
      <c r="B3464" s="19"/>
      <c r="C3464" s="24"/>
      <c r="D3464" s="1"/>
      <c r="E3464" s="25"/>
      <c r="F3464" s="26"/>
      <c r="G3464" s="26"/>
      <c r="L3464" s="25"/>
      <c r="M3464" s="24"/>
      <c r="N3464" s="26"/>
      <c r="O3464" s="26"/>
      <c r="P3464" s="26"/>
      <c r="Q3464" s="26"/>
      <c r="R3464" s="26"/>
      <c r="S3464" s="26"/>
      <c r="T3464" s="26"/>
      <c r="U3464" s="26"/>
      <c r="V3464" s="26"/>
      <c r="W3464" s="26"/>
      <c r="X3464" s="26"/>
      <c r="Y3464" s="26"/>
      <c r="Z3464" s="26"/>
      <c r="AA3464" s="26"/>
      <c r="AB3464" s="26"/>
      <c r="AC3464" s="27"/>
    </row>
    <row r="3465" spans="1:29" x14ac:dyDescent="0.25">
      <c r="A3465" s="1"/>
      <c r="B3465" s="19"/>
      <c r="C3465" s="24"/>
      <c r="D3465" s="1"/>
      <c r="E3465" s="25"/>
      <c r="F3465" s="26"/>
      <c r="G3465" s="26"/>
      <c r="L3465" s="25"/>
      <c r="M3465" s="24"/>
      <c r="N3465" s="26"/>
      <c r="O3465" s="26"/>
      <c r="P3465" s="26"/>
      <c r="Q3465" s="26"/>
      <c r="R3465" s="26"/>
      <c r="S3465" s="26"/>
      <c r="T3465" s="26"/>
      <c r="U3465" s="26"/>
      <c r="V3465" s="26"/>
      <c r="W3465" s="26"/>
      <c r="X3465" s="26"/>
      <c r="Y3465" s="26"/>
      <c r="Z3465" s="26"/>
      <c r="AA3465" s="26"/>
      <c r="AB3465" s="26"/>
      <c r="AC3465" s="27"/>
    </row>
    <row r="3466" spans="1:29" x14ac:dyDescent="0.25">
      <c r="A3466" s="1"/>
      <c r="B3466" s="19"/>
      <c r="C3466" s="24"/>
      <c r="D3466" s="1"/>
      <c r="E3466" s="25"/>
      <c r="F3466" s="26"/>
      <c r="G3466" s="26"/>
      <c r="L3466" s="25"/>
      <c r="M3466" s="24"/>
      <c r="N3466" s="26"/>
      <c r="O3466" s="26"/>
      <c r="P3466" s="26"/>
      <c r="Q3466" s="26"/>
      <c r="R3466" s="26"/>
      <c r="S3466" s="26"/>
      <c r="T3466" s="26"/>
      <c r="U3466" s="26"/>
      <c r="V3466" s="26"/>
      <c r="W3466" s="26"/>
      <c r="X3466" s="26"/>
      <c r="Y3466" s="26"/>
      <c r="Z3466" s="26"/>
      <c r="AA3466" s="26"/>
      <c r="AB3466" s="26"/>
      <c r="AC3466" s="27"/>
    </row>
    <row r="3467" spans="1:29" x14ac:dyDescent="0.25">
      <c r="A3467" s="1"/>
      <c r="B3467" s="19"/>
      <c r="C3467" s="24"/>
      <c r="D3467" s="1"/>
      <c r="E3467" s="25"/>
      <c r="F3467" s="26"/>
      <c r="G3467" s="26"/>
      <c r="L3467" s="25"/>
      <c r="M3467" s="24"/>
      <c r="N3467" s="26"/>
      <c r="O3467" s="26"/>
      <c r="P3467" s="26"/>
      <c r="Q3467" s="26"/>
      <c r="R3467" s="26"/>
      <c r="S3467" s="26"/>
      <c r="T3467" s="26"/>
      <c r="U3467" s="26"/>
      <c r="V3467" s="26"/>
      <c r="W3467" s="26"/>
      <c r="X3467" s="26"/>
      <c r="Y3467" s="26"/>
      <c r="Z3467" s="26"/>
      <c r="AA3467" s="26"/>
      <c r="AB3467" s="26"/>
      <c r="AC3467" s="27"/>
    </row>
    <row r="3468" spans="1:29" x14ac:dyDescent="0.25">
      <c r="A3468" s="1"/>
      <c r="B3468" s="19"/>
      <c r="C3468" s="24"/>
      <c r="D3468" s="1"/>
      <c r="E3468" s="25"/>
      <c r="F3468" s="26"/>
      <c r="G3468" s="26"/>
      <c r="L3468" s="25"/>
      <c r="M3468" s="24"/>
      <c r="N3468" s="26"/>
      <c r="O3468" s="26"/>
      <c r="P3468" s="26"/>
      <c r="Q3468" s="26"/>
      <c r="R3468" s="26"/>
      <c r="S3468" s="26"/>
      <c r="T3468" s="26"/>
      <c r="U3468" s="26"/>
      <c r="V3468" s="26"/>
      <c r="W3468" s="26"/>
      <c r="X3468" s="26"/>
      <c r="Y3468" s="26"/>
      <c r="Z3468" s="26"/>
      <c r="AA3468" s="26"/>
      <c r="AB3468" s="26"/>
      <c r="AC3468" s="27"/>
    </row>
    <row r="3469" spans="1:29" x14ac:dyDescent="0.25">
      <c r="A3469" s="1"/>
      <c r="B3469" s="19"/>
      <c r="C3469" s="24"/>
      <c r="D3469" s="1"/>
      <c r="E3469" s="25"/>
      <c r="F3469" s="26"/>
      <c r="G3469" s="26"/>
      <c r="L3469" s="25"/>
      <c r="M3469" s="24"/>
      <c r="N3469" s="26"/>
      <c r="O3469" s="26"/>
      <c r="P3469" s="26"/>
      <c r="Q3469" s="26"/>
      <c r="R3469" s="26"/>
      <c r="S3469" s="26"/>
      <c r="T3469" s="26"/>
      <c r="U3469" s="26"/>
      <c r="V3469" s="26"/>
      <c r="W3469" s="26"/>
      <c r="X3469" s="26"/>
      <c r="Y3469" s="26"/>
      <c r="Z3469" s="26"/>
      <c r="AA3469" s="26"/>
      <c r="AB3469" s="26"/>
      <c r="AC3469" s="27"/>
    </row>
    <row r="3470" spans="1:29" x14ac:dyDescent="0.25">
      <c r="A3470" s="1"/>
      <c r="B3470" s="19"/>
      <c r="C3470" s="24"/>
      <c r="D3470" s="1"/>
      <c r="E3470" s="25"/>
      <c r="F3470" s="26"/>
      <c r="G3470" s="26"/>
      <c r="L3470" s="25"/>
      <c r="M3470" s="24"/>
      <c r="N3470" s="26"/>
      <c r="O3470" s="26"/>
      <c r="P3470" s="26"/>
      <c r="Q3470" s="26"/>
      <c r="R3470" s="26"/>
      <c r="S3470" s="26"/>
      <c r="T3470" s="26"/>
      <c r="U3470" s="26"/>
      <c r="V3470" s="26"/>
      <c r="W3470" s="26"/>
      <c r="X3470" s="26"/>
      <c r="Y3470" s="26"/>
      <c r="Z3470" s="26"/>
      <c r="AA3470" s="26"/>
      <c r="AB3470" s="26"/>
      <c r="AC3470" s="27"/>
    </row>
    <row r="3471" spans="1:29" x14ac:dyDescent="0.25">
      <c r="A3471" s="1"/>
      <c r="B3471" s="19"/>
      <c r="C3471" s="24"/>
      <c r="D3471" s="1"/>
      <c r="E3471" s="25"/>
      <c r="F3471" s="26"/>
      <c r="G3471" s="26"/>
      <c r="L3471" s="25"/>
      <c r="M3471" s="24"/>
      <c r="N3471" s="26"/>
      <c r="O3471" s="26"/>
      <c r="P3471" s="26"/>
      <c r="Q3471" s="26"/>
      <c r="R3471" s="26"/>
      <c r="S3471" s="26"/>
      <c r="T3471" s="26"/>
      <c r="U3471" s="26"/>
      <c r="V3471" s="26"/>
      <c r="W3471" s="26"/>
      <c r="X3471" s="26"/>
      <c r="Y3471" s="26"/>
      <c r="Z3471" s="26"/>
      <c r="AA3471" s="26"/>
      <c r="AB3471" s="26"/>
      <c r="AC3471" s="27"/>
    </row>
    <row r="3472" spans="1:29" x14ac:dyDescent="0.25">
      <c r="A3472" s="1"/>
      <c r="B3472" s="19"/>
      <c r="C3472" s="24"/>
      <c r="D3472" s="1"/>
      <c r="E3472" s="25"/>
      <c r="F3472" s="26"/>
      <c r="G3472" s="26"/>
      <c r="L3472" s="25"/>
      <c r="M3472" s="24"/>
      <c r="N3472" s="26"/>
      <c r="O3472" s="26"/>
      <c r="P3472" s="26"/>
      <c r="Q3472" s="26"/>
      <c r="R3472" s="26"/>
      <c r="S3472" s="26"/>
      <c r="T3472" s="26"/>
      <c r="U3472" s="26"/>
      <c r="V3472" s="26"/>
      <c r="W3472" s="26"/>
      <c r="X3472" s="26"/>
      <c r="Y3472" s="26"/>
      <c r="Z3472" s="26"/>
      <c r="AA3472" s="26"/>
      <c r="AB3472" s="26"/>
      <c r="AC3472" s="27"/>
    </row>
    <row r="3473" spans="1:29" x14ac:dyDescent="0.25">
      <c r="A3473" s="1"/>
      <c r="B3473" s="19"/>
      <c r="C3473" s="24"/>
      <c r="D3473" s="1"/>
      <c r="E3473" s="25"/>
      <c r="F3473" s="26"/>
      <c r="G3473" s="26"/>
      <c r="L3473" s="25"/>
      <c r="M3473" s="24"/>
      <c r="N3473" s="26"/>
      <c r="O3473" s="26"/>
      <c r="P3473" s="26"/>
      <c r="Q3473" s="26"/>
      <c r="R3473" s="26"/>
      <c r="S3473" s="26"/>
      <c r="T3473" s="26"/>
      <c r="U3473" s="26"/>
      <c r="V3473" s="26"/>
      <c r="W3473" s="26"/>
      <c r="X3473" s="26"/>
      <c r="Y3473" s="26"/>
      <c r="Z3473" s="26"/>
      <c r="AA3473" s="26"/>
      <c r="AB3473" s="26"/>
      <c r="AC3473" s="27"/>
    </row>
    <row r="3474" spans="1:29" x14ac:dyDescent="0.25">
      <c r="A3474" s="1"/>
      <c r="B3474" s="19"/>
      <c r="C3474" s="24"/>
      <c r="D3474" s="1"/>
      <c r="E3474" s="25"/>
      <c r="F3474" s="26"/>
      <c r="G3474" s="26"/>
      <c r="L3474" s="25"/>
      <c r="M3474" s="24"/>
      <c r="N3474" s="26"/>
      <c r="O3474" s="26"/>
      <c r="P3474" s="26"/>
      <c r="Q3474" s="26"/>
      <c r="R3474" s="26"/>
      <c r="S3474" s="26"/>
      <c r="T3474" s="26"/>
      <c r="U3474" s="26"/>
      <c r="V3474" s="26"/>
      <c r="W3474" s="26"/>
      <c r="X3474" s="26"/>
      <c r="Y3474" s="26"/>
      <c r="Z3474" s="26"/>
      <c r="AA3474" s="26"/>
      <c r="AB3474" s="26"/>
      <c r="AC3474" s="27"/>
    </row>
    <row r="3475" spans="1:29" x14ac:dyDescent="0.25">
      <c r="A3475" s="1"/>
      <c r="B3475" s="19"/>
      <c r="C3475" s="24"/>
      <c r="D3475" s="1"/>
      <c r="E3475" s="25"/>
      <c r="F3475" s="26"/>
      <c r="G3475" s="26"/>
      <c r="L3475" s="25"/>
      <c r="M3475" s="24"/>
      <c r="N3475" s="26"/>
      <c r="O3475" s="26"/>
      <c r="P3475" s="26"/>
      <c r="Q3475" s="26"/>
      <c r="R3475" s="26"/>
      <c r="S3475" s="26"/>
      <c r="T3475" s="26"/>
      <c r="U3475" s="26"/>
      <c r="V3475" s="26"/>
      <c r="W3475" s="26"/>
      <c r="X3475" s="26"/>
      <c r="Y3475" s="26"/>
      <c r="Z3475" s="26"/>
      <c r="AA3475" s="26"/>
      <c r="AB3475" s="26"/>
      <c r="AC3475" s="27"/>
    </row>
    <row r="3476" spans="1:29" x14ac:dyDescent="0.25">
      <c r="A3476" s="1"/>
      <c r="B3476" s="19"/>
      <c r="C3476" s="24"/>
      <c r="D3476" s="1"/>
      <c r="E3476" s="25"/>
      <c r="F3476" s="26"/>
      <c r="G3476" s="26"/>
      <c r="L3476" s="25"/>
      <c r="M3476" s="24"/>
      <c r="N3476" s="26"/>
      <c r="O3476" s="26"/>
      <c r="P3476" s="26"/>
      <c r="Q3476" s="26"/>
      <c r="R3476" s="26"/>
      <c r="S3476" s="26"/>
      <c r="T3476" s="26"/>
      <c r="U3476" s="26"/>
      <c r="V3476" s="26"/>
      <c r="W3476" s="26"/>
      <c r="X3476" s="26"/>
      <c r="Y3476" s="26"/>
      <c r="Z3476" s="26"/>
      <c r="AA3476" s="26"/>
      <c r="AB3476" s="26"/>
      <c r="AC3476" s="27"/>
    </row>
    <row r="3477" spans="1:29" x14ac:dyDescent="0.25">
      <c r="A3477" s="1"/>
      <c r="B3477" s="19"/>
      <c r="C3477" s="24"/>
      <c r="D3477" s="1"/>
      <c r="E3477" s="25"/>
      <c r="F3477" s="26"/>
      <c r="G3477" s="26"/>
      <c r="L3477" s="25"/>
      <c r="M3477" s="24"/>
      <c r="N3477" s="26"/>
      <c r="O3477" s="26"/>
      <c r="P3477" s="26"/>
      <c r="Q3477" s="26"/>
      <c r="R3477" s="26"/>
      <c r="S3477" s="26"/>
      <c r="T3477" s="26"/>
      <c r="U3477" s="26"/>
      <c r="V3477" s="26"/>
      <c r="W3477" s="26"/>
      <c r="X3477" s="26"/>
      <c r="Y3477" s="26"/>
      <c r="Z3477" s="26"/>
      <c r="AA3477" s="26"/>
      <c r="AB3477" s="26"/>
      <c r="AC3477" s="27"/>
    </row>
    <row r="3478" spans="1:29" x14ac:dyDescent="0.25">
      <c r="A3478" s="1"/>
      <c r="B3478" s="19"/>
      <c r="C3478" s="24"/>
      <c r="D3478" s="1"/>
      <c r="E3478" s="25"/>
      <c r="F3478" s="26"/>
      <c r="G3478" s="26"/>
      <c r="L3478" s="25"/>
      <c r="M3478" s="24"/>
      <c r="N3478" s="26"/>
      <c r="O3478" s="26"/>
      <c r="P3478" s="26"/>
      <c r="Q3478" s="26"/>
      <c r="R3478" s="26"/>
      <c r="S3478" s="26"/>
      <c r="T3478" s="26"/>
      <c r="U3478" s="26"/>
      <c r="V3478" s="26"/>
      <c r="W3478" s="26"/>
      <c r="X3478" s="26"/>
      <c r="Y3478" s="26"/>
      <c r="Z3478" s="26"/>
      <c r="AA3478" s="26"/>
      <c r="AB3478" s="26"/>
      <c r="AC3478" s="27"/>
    </row>
    <row r="3479" spans="1:29" x14ac:dyDescent="0.25">
      <c r="A3479" s="1"/>
      <c r="B3479" s="19"/>
      <c r="C3479" s="24"/>
      <c r="D3479" s="1"/>
      <c r="E3479" s="25"/>
      <c r="F3479" s="26"/>
      <c r="G3479" s="26"/>
      <c r="L3479" s="25"/>
      <c r="M3479" s="24"/>
      <c r="N3479" s="26"/>
      <c r="O3479" s="26"/>
      <c r="P3479" s="26"/>
      <c r="Q3479" s="26"/>
      <c r="R3479" s="26"/>
      <c r="S3479" s="26"/>
      <c r="T3479" s="26"/>
      <c r="U3479" s="26"/>
      <c r="V3479" s="26"/>
      <c r="W3479" s="26"/>
      <c r="X3479" s="26"/>
      <c r="Y3479" s="26"/>
      <c r="Z3479" s="26"/>
      <c r="AA3479" s="26"/>
      <c r="AB3479" s="26"/>
      <c r="AC3479" s="27"/>
    </row>
    <row r="3480" spans="1:29" x14ac:dyDescent="0.25">
      <c r="A3480" s="1"/>
      <c r="B3480" s="19"/>
      <c r="C3480" s="24"/>
      <c r="D3480" s="1"/>
      <c r="E3480" s="25"/>
      <c r="F3480" s="26"/>
      <c r="G3480" s="26"/>
      <c r="L3480" s="25"/>
      <c r="M3480" s="24"/>
      <c r="N3480" s="26"/>
      <c r="O3480" s="26"/>
      <c r="P3480" s="26"/>
      <c r="Q3480" s="26"/>
      <c r="R3480" s="26"/>
      <c r="S3480" s="26"/>
      <c r="T3480" s="26"/>
      <c r="U3480" s="26"/>
      <c r="V3480" s="26"/>
      <c r="W3480" s="26"/>
      <c r="X3480" s="26"/>
      <c r="Y3480" s="26"/>
      <c r="Z3480" s="26"/>
      <c r="AA3480" s="26"/>
      <c r="AB3480" s="26"/>
      <c r="AC3480" s="27"/>
    </row>
    <row r="3481" spans="1:29" x14ac:dyDescent="0.25">
      <c r="A3481" s="1"/>
      <c r="B3481" s="19"/>
      <c r="C3481" s="24"/>
      <c r="D3481" s="1"/>
      <c r="E3481" s="25"/>
      <c r="F3481" s="26"/>
      <c r="G3481" s="26"/>
      <c r="L3481" s="25"/>
      <c r="M3481" s="24"/>
      <c r="N3481" s="26"/>
      <c r="O3481" s="26"/>
      <c r="P3481" s="26"/>
      <c r="Q3481" s="26"/>
      <c r="R3481" s="26"/>
      <c r="S3481" s="26"/>
      <c r="T3481" s="26"/>
      <c r="U3481" s="26"/>
      <c r="V3481" s="26"/>
      <c r="W3481" s="26"/>
      <c r="X3481" s="26"/>
      <c r="Y3481" s="26"/>
      <c r="Z3481" s="26"/>
      <c r="AA3481" s="26"/>
      <c r="AB3481" s="26"/>
      <c r="AC3481" s="27"/>
    </row>
    <row r="3482" spans="1:29" x14ac:dyDescent="0.25">
      <c r="A3482" s="1"/>
      <c r="B3482" s="19"/>
      <c r="C3482" s="24"/>
      <c r="D3482" s="1"/>
      <c r="E3482" s="25"/>
      <c r="F3482" s="26"/>
      <c r="G3482" s="26"/>
      <c r="L3482" s="25"/>
      <c r="M3482" s="24"/>
      <c r="N3482" s="26"/>
      <c r="O3482" s="26"/>
      <c r="P3482" s="26"/>
      <c r="Q3482" s="26"/>
      <c r="R3482" s="26"/>
      <c r="S3482" s="26"/>
      <c r="T3482" s="26"/>
      <c r="U3482" s="26"/>
      <c r="V3482" s="26"/>
      <c r="W3482" s="26"/>
      <c r="X3482" s="26"/>
      <c r="Y3482" s="26"/>
      <c r="Z3482" s="26"/>
      <c r="AA3482" s="26"/>
      <c r="AB3482" s="26"/>
      <c r="AC3482" s="27"/>
    </row>
    <row r="3483" spans="1:29" x14ac:dyDescent="0.25">
      <c r="A3483" s="1"/>
      <c r="B3483" s="19"/>
      <c r="C3483" s="24"/>
      <c r="D3483" s="1"/>
      <c r="E3483" s="25"/>
      <c r="F3483" s="26"/>
      <c r="G3483" s="26"/>
      <c r="L3483" s="25"/>
      <c r="M3483" s="24"/>
      <c r="N3483" s="26"/>
      <c r="O3483" s="26"/>
      <c r="P3483" s="26"/>
      <c r="Q3483" s="26"/>
      <c r="R3483" s="26"/>
      <c r="S3483" s="26"/>
      <c r="T3483" s="26"/>
      <c r="U3483" s="26"/>
      <c r="V3483" s="26"/>
      <c r="W3483" s="26"/>
      <c r="X3483" s="26"/>
      <c r="Y3483" s="26"/>
      <c r="Z3483" s="26"/>
      <c r="AA3483" s="26"/>
      <c r="AB3483" s="26"/>
      <c r="AC3483" s="27"/>
    </row>
    <row r="3484" spans="1:29" x14ac:dyDescent="0.25">
      <c r="A3484" s="1"/>
      <c r="B3484" s="19"/>
      <c r="C3484" s="24"/>
      <c r="D3484" s="1"/>
      <c r="E3484" s="25"/>
      <c r="F3484" s="26"/>
      <c r="G3484" s="26"/>
      <c r="L3484" s="25"/>
      <c r="M3484" s="24"/>
      <c r="N3484" s="26"/>
      <c r="O3484" s="26"/>
      <c r="P3484" s="26"/>
      <c r="Q3484" s="26"/>
      <c r="R3484" s="26"/>
      <c r="S3484" s="26"/>
      <c r="T3484" s="26"/>
      <c r="U3484" s="26"/>
      <c r="V3484" s="26"/>
      <c r="W3484" s="26"/>
      <c r="X3484" s="26"/>
      <c r="Y3484" s="26"/>
      <c r="Z3484" s="26"/>
      <c r="AA3484" s="26"/>
      <c r="AB3484" s="26"/>
      <c r="AC3484" s="27"/>
    </row>
    <row r="3485" spans="1:29" x14ac:dyDescent="0.25">
      <c r="A3485" s="1"/>
      <c r="B3485" s="19"/>
      <c r="C3485" s="24"/>
      <c r="D3485" s="1"/>
      <c r="E3485" s="25"/>
      <c r="F3485" s="26"/>
      <c r="G3485" s="26"/>
      <c r="L3485" s="25"/>
      <c r="M3485" s="24"/>
      <c r="N3485" s="26"/>
      <c r="O3485" s="26"/>
      <c r="P3485" s="26"/>
      <c r="Q3485" s="26"/>
      <c r="R3485" s="26"/>
      <c r="S3485" s="26"/>
      <c r="T3485" s="26"/>
      <c r="U3485" s="26"/>
      <c r="V3485" s="26"/>
      <c r="W3485" s="26"/>
      <c r="X3485" s="26"/>
      <c r="Y3485" s="26"/>
      <c r="Z3485" s="26"/>
      <c r="AA3485" s="26"/>
      <c r="AB3485" s="26"/>
      <c r="AC3485" s="27"/>
    </row>
    <row r="3486" spans="1:29" x14ac:dyDescent="0.25">
      <c r="A3486" s="1"/>
      <c r="B3486" s="19"/>
      <c r="C3486" s="24"/>
      <c r="D3486" s="1"/>
      <c r="E3486" s="25"/>
      <c r="F3486" s="26"/>
      <c r="G3486" s="26"/>
      <c r="L3486" s="25"/>
      <c r="M3486" s="24"/>
      <c r="N3486" s="26"/>
      <c r="O3486" s="26"/>
      <c r="P3486" s="26"/>
      <c r="Q3486" s="26"/>
      <c r="R3486" s="26"/>
      <c r="S3486" s="26"/>
      <c r="T3486" s="26"/>
      <c r="U3486" s="26"/>
      <c r="V3486" s="26"/>
      <c r="W3486" s="26"/>
      <c r="X3486" s="26"/>
      <c r="Y3486" s="26"/>
      <c r="Z3486" s="26"/>
      <c r="AA3486" s="26"/>
      <c r="AB3486" s="26"/>
      <c r="AC3486" s="27"/>
    </row>
    <row r="3487" spans="1:29" x14ac:dyDescent="0.25">
      <c r="A3487" s="1"/>
      <c r="B3487" s="19"/>
      <c r="C3487" s="24"/>
      <c r="D3487" s="1"/>
      <c r="E3487" s="25"/>
      <c r="F3487" s="26"/>
      <c r="G3487" s="26"/>
      <c r="L3487" s="25"/>
      <c r="M3487" s="24"/>
      <c r="N3487" s="26"/>
      <c r="O3487" s="26"/>
      <c r="P3487" s="26"/>
      <c r="Q3487" s="26"/>
      <c r="R3487" s="26"/>
      <c r="S3487" s="26"/>
      <c r="T3487" s="26"/>
      <c r="U3487" s="26"/>
      <c r="V3487" s="26"/>
      <c r="W3487" s="26"/>
      <c r="X3487" s="26"/>
      <c r="Y3487" s="26"/>
      <c r="Z3487" s="26"/>
      <c r="AA3487" s="26"/>
      <c r="AB3487" s="26"/>
      <c r="AC3487" s="27"/>
    </row>
    <row r="3488" spans="1:29" x14ac:dyDescent="0.25">
      <c r="A3488" s="1"/>
      <c r="B3488" s="19"/>
      <c r="C3488" s="24"/>
      <c r="D3488" s="1"/>
      <c r="E3488" s="25"/>
      <c r="F3488" s="26"/>
      <c r="G3488" s="26"/>
      <c r="L3488" s="25"/>
      <c r="M3488" s="24"/>
      <c r="N3488" s="26"/>
      <c r="O3488" s="26"/>
      <c r="P3488" s="26"/>
      <c r="Q3488" s="26"/>
      <c r="R3488" s="26"/>
      <c r="S3488" s="26"/>
      <c r="T3488" s="26"/>
      <c r="U3488" s="26"/>
      <c r="V3488" s="26"/>
      <c r="W3488" s="26"/>
      <c r="X3488" s="26"/>
      <c r="Y3488" s="26"/>
      <c r="Z3488" s="26"/>
      <c r="AA3488" s="26"/>
      <c r="AB3488" s="26"/>
      <c r="AC3488" s="27"/>
    </row>
    <row r="3489" spans="1:29" x14ac:dyDescent="0.25">
      <c r="A3489" s="1"/>
      <c r="B3489" s="19"/>
      <c r="C3489" s="24"/>
      <c r="D3489" s="1"/>
      <c r="E3489" s="25"/>
      <c r="F3489" s="26"/>
      <c r="G3489" s="26"/>
      <c r="L3489" s="25"/>
      <c r="M3489" s="24"/>
      <c r="N3489" s="26"/>
      <c r="O3489" s="26"/>
      <c r="P3489" s="26"/>
      <c r="Q3489" s="26"/>
      <c r="R3489" s="26"/>
      <c r="S3489" s="26"/>
      <c r="T3489" s="26"/>
      <c r="U3489" s="26"/>
      <c r="V3489" s="26"/>
      <c r="W3489" s="26"/>
      <c r="X3489" s="26"/>
      <c r="Y3489" s="26"/>
      <c r="Z3489" s="26"/>
      <c r="AA3489" s="26"/>
      <c r="AB3489" s="26"/>
      <c r="AC3489" s="27"/>
    </row>
    <row r="3490" spans="1:29" x14ac:dyDescent="0.25">
      <c r="A3490" s="1"/>
      <c r="B3490" s="19"/>
      <c r="C3490" s="24"/>
      <c r="D3490" s="1"/>
      <c r="E3490" s="25"/>
      <c r="F3490" s="26"/>
      <c r="G3490" s="26"/>
      <c r="L3490" s="25"/>
      <c r="M3490" s="24"/>
      <c r="N3490" s="26"/>
      <c r="O3490" s="26"/>
      <c r="P3490" s="26"/>
      <c r="Q3490" s="26"/>
      <c r="R3490" s="26"/>
      <c r="S3490" s="26"/>
      <c r="T3490" s="26"/>
      <c r="U3490" s="26"/>
      <c r="V3490" s="26"/>
      <c r="W3490" s="26"/>
      <c r="X3490" s="26"/>
      <c r="Y3490" s="26"/>
      <c r="Z3490" s="26"/>
      <c r="AA3490" s="26"/>
      <c r="AB3490" s="26"/>
      <c r="AC3490" s="27"/>
    </row>
    <row r="3491" spans="1:29" x14ac:dyDescent="0.25">
      <c r="A3491" s="1"/>
      <c r="B3491" s="19"/>
      <c r="C3491" s="24"/>
      <c r="D3491" s="1"/>
      <c r="E3491" s="25"/>
      <c r="F3491" s="26"/>
      <c r="G3491" s="26"/>
      <c r="L3491" s="25"/>
      <c r="M3491" s="24"/>
      <c r="N3491" s="26"/>
      <c r="O3491" s="26"/>
      <c r="P3491" s="26"/>
      <c r="Q3491" s="26"/>
      <c r="R3491" s="26"/>
      <c r="S3491" s="26"/>
      <c r="T3491" s="26"/>
      <c r="U3491" s="26"/>
      <c r="V3491" s="26"/>
      <c r="W3491" s="26"/>
      <c r="X3491" s="26"/>
      <c r="Y3491" s="26"/>
      <c r="Z3491" s="26"/>
      <c r="AA3491" s="26"/>
      <c r="AB3491" s="26"/>
      <c r="AC3491" s="27"/>
    </row>
    <row r="3492" spans="1:29" x14ac:dyDescent="0.25">
      <c r="A3492" s="1"/>
      <c r="B3492" s="19"/>
      <c r="C3492" s="24"/>
      <c r="D3492" s="1"/>
      <c r="E3492" s="25"/>
      <c r="F3492" s="26"/>
      <c r="G3492" s="26"/>
      <c r="L3492" s="25"/>
      <c r="M3492" s="24"/>
      <c r="N3492" s="26"/>
      <c r="O3492" s="26"/>
      <c r="P3492" s="26"/>
      <c r="Q3492" s="26"/>
      <c r="R3492" s="26"/>
      <c r="S3492" s="26"/>
      <c r="T3492" s="26"/>
      <c r="U3492" s="26"/>
      <c r="V3492" s="26"/>
      <c r="W3492" s="26"/>
      <c r="X3492" s="26"/>
      <c r="Y3492" s="26"/>
      <c r="Z3492" s="26"/>
      <c r="AA3492" s="26"/>
      <c r="AB3492" s="26"/>
      <c r="AC3492" s="27"/>
    </row>
    <row r="3493" spans="1:29" x14ac:dyDescent="0.25">
      <c r="A3493" s="1"/>
      <c r="B3493" s="19"/>
      <c r="C3493" s="24"/>
      <c r="D3493" s="1"/>
      <c r="E3493" s="25"/>
      <c r="F3493" s="26"/>
      <c r="G3493" s="26"/>
      <c r="L3493" s="25"/>
      <c r="M3493" s="24"/>
      <c r="N3493" s="26"/>
      <c r="O3493" s="26"/>
      <c r="P3493" s="26"/>
      <c r="Q3493" s="26"/>
      <c r="R3493" s="26"/>
      <c r="S3493" s="26"/>
      <c r="T3493" s="26"/>
      <c r="U3493" s="26"/>
      <c r="V3493" s="26"/>
      <c r="W3493" s="26"/>
      <c r="X3493" s="26"/>
      <c r="Y3493" s="26"/>
      <c r="Z3493" s="26"/>
      <c r="AA3493" s="26"/>
      <c r="AB3493" s="26"/>
      <c r="AC3493" s="27"/>
    </row>
    <row r="3494" spans="1:29" x14ac:dyDescent="0.25">
      <c r="A3494" s="1"/>
      <c r="B3494" s="19"/>
      <c r="C3494" s="24"/>
      <c r="D3494" s="1"/>
      <c r="E3494" s="25"/>
      <c r="F3494" s="26"/>
      <c r="G3494" s="26"/>
      <c r="L3494" s="25"/>
      <c r="M3494" s="24"/>
      <c r="N3494" s="26"/>
      <c r="O3494" s="26"/>
      <c r="P3494" s="26"/>
      <c r="Q3494" s="26"/>
      <c r="R3494" s="26"/>
      <c r="S3494" s="26"/>
      <c r="T3494" s="26"/>
      <c r="U3494" s="26"/>
      <c r="V3494" s="26"/>
      <c r="W3494" s="26"/>
      <c r="X3494" s="26"/>
      <c r="Y3494" s="26"/>
      <c r="Z3494" s="26"/>
      <c r="AA3494" s="26"/>
      <c r="AB3494" s="26"/>
      <c r="AC3494" s="27"/>
    </row>
    <row r="3495" spans="1:29" x14ac:dyDescent="0.25">
      <c r="A3495" s="1"/>
      <c r="B3495" s="19"/>
      <c r="C3495" s="24"/>
      <c r="D3495" s="1"/>
      <c r="E3495" s="25"/>
      <c r="F3495" s="26"/>
      <c r="G3495" s="26"/>
      <c r="L3495" s="25"/>
      <c r="M3495" s="24"/>
      <c r="N3495" s="26"/>
      <c r="O3495" s="26"/>
      <c r="P3495" s="26"/>
      <c r="Q3495" s="26"/>
      <c r="R3495" s="26"/>
      <c r="S3495" s="26"/>
      <c r="T3495" s="26"/>
      <c r="U3495" s="26"/>
      <c r="V3495" s="26"/>
      <c r="W3495" s="26"/>
      <c r="X3495" s="26"/>
      <c r="Y3495" s="26"/>
      <c r="Z3495" s="26"/>
      <c r="AA3495" s="26"/>
      <c r="AB3495" s="26"/>
      <c r="AC3495" s="27"/>
    </row>
    <row r="3496" spans="1:29" x14ac:dyDescent="0.25">
      <c r="A3496" s="1"/>
      <c r="B3496" s="19"/>
      <c r="C3496" s="24"/>
      <c r="D3496" s="1"/>
      <c r="E3496" s="25"/>
      <c r="F3496" s="26"/>
      <c r="G3496" s="26"/>
      <c r="L3496" s="25"/>
      <c r="M3496" s="24"/>
      <c r="N3496" s="26"/>
      <c r="O3496" s="26"/>
      <c r="P3496" s="26"/>
      <c r="Q3496" s="26"/>
      <c r="R3496" s="26"/>
      <c r="S3496" s="26"/>
      <c r="T3496" s="26"/>
      <c r="U3496" s="26"/>
      <c r="V3496" s="26"/>
      <c r="W3496" s="26"/>
      <c r="X3496" s="26"/>
      <c r="Y3496" s="26"/>
      <c r="Z3496" s="26"/>
      <c r="AA3496" s="26"/>
      <c r="AB3496" s="26"/>
      <c r="AC3496" s="27"/>
    </row>
    <row r="3497" spans="1:29" x14ac:dyDescent="0.25">
      <c r="A3497" s="1"/>
      <c r="B3497" s="19"/>
      <c r="C3497" s="24"/>
      <c r="D3497" s="1"/>
      <c r="E3497" s="25"/>
      <c r="F3497" s="26"/>
      <c r="G3497" s="26"/>
      <c r="L3497" s="25"/>
      <c r="M3497" s="24"/>
      <c r="N3497" s="26"/>
      <c r="O3497" s="26"/>
      <c r="P3497" s="26"/>
      <c r="Q3497" s="26"/>
      <c r="R3497" s="26"/>
      <c r="S3497" s="26"/>
      <c r="T3497" s="26"/>
      <c r="U3497" s="26"/>
      <c r="V3497" s="26"/>
      <c r="W3497" s="26"/>
      <c r="X3497" s="26"/>
      <c r="Y3497" s="26"/>
      <c r="Z3497" s="26"/>
      <c r="AA3497" s="26"/>
      <c r="AB3497" s="26"/>
      <c r="AC3497" s="27"/>
    </row>
    <row r="3498" spans="1:29" x14ac:dyDescent="0.25">
      <c r="A3498" s="1"/>
      <c r="B3498" s="19"/>
      <c r="C3498" s="24"/>
      <c r="D3498" s="1"/>
      <c r="E3498" s="25"/>
      <c r="F3498" s="26"/>
      <c r="G3498" s="26"/>
      <c r="L3498" s="25"/>
      <c r="M3498" s="24"/>
      <c r="N3498" s="26"/>
      <c r="O3498" s="26"/>
      <c r="P3498" s="26"/>
      <c r="Q3498" s="26"/>
      <c r="R3498" s="26"/>
      <c r="S3498" s="26"/>
      <c r="T3498" s="26"/>
      <c r="U3498" s="26"/>
      <c r="V3498" s="26"/>
      <c r="W3498" s="26"/>
      <c r="X3498" s="26"/>
      <c r="Y3498" s="26"/>
      <c r="Z3498" s="26"/>
      <c r="AA3498" s="26"/>
      <c r="AB3498" s="26"/>
      <c r="AC3498" s="27"/>
    </row>
    <row r="3499" spans="1:29" x14ac:dyDescent="0.25">
      <c r="A3499" s="1"/>
      <c r="B3499" s="19"/>
      <c r="C3499" s="24"/>
      <c r="D3499" s="1"/>
      <c r="E3499" s="25"/>
      <c r="F3499" s="26"/>
      <c r="G3499" s="26"/>
      <c r="L3499" s="25"/>
      <c r="M3499" s="24"/>
      <c r="N3499" s="26"/>
      <c r="O3499" s="26"/>
      <c r="P3499" s="26"/>
      <c r="Q3499" s="26"/>
      <c r="R3499" s="26"/>
      <c r="S3499" s="26"/>
      <c r="T3499" s="26"/>
      <c r="U3499" s="26"/>
      <c r="V3499" s="26"/>
      <c r="W3499" s="26"/>
      <c r="X3499" s="26"/>
      <c r="Y3499" s="26"/>
      <c r="Z3499" s="26"/>
      <c r="AA3499" s="26"/>
      <c r="AB3499" s="26"/>
      <c r="AC3499" s="27"/>
    </row>
    <row r="3500" spans="1:29" x14ac:dyDescent="0.25">
      <c r="A3500" s="1"/>
      <c r="B3500" s="19"/>
      <c r="C3500" s="24"/>
      <c r="D3500" s="1"/>
      <c r="E3500" s="25"/>
      <c r="F3500" s="26"/>
      <c r="G3500" s="26"/>
      <c r="L3500" s="25"/>
      <c r="M3500" s="24"/>
      <c r="N3500" s="26"/>
      <c r="O3500" s="26"/>
      <c r="P3500" s="26"/>
      <c r="Q3500" s="26"/>
      <c r="R3500" s="26"/>
      <c r="S3500" s="26"/>
      <c r="T3500" s="26"/>
      <c r="U3500" s="26"/>
      <c r="V3500" s="26"/>
      <c r="W3500" s="26"/>
      <c r="X3500" s="26"/>
      <c r="Y3500" s="26"/>
      <c r="Z3500" s="26"/>
      <c r="AA3500" s="26"/>
      <c r="AB3500" s="26"/>
      <c r="AC3500" s="27"/>
    </row>
    <row r="3501" spans="1:29" x14ac:dyDescent="0.25">
      <c r="A3501" s="1"/>
      <c r="B3501" s="19"/>
      <c r="C3501" s="24"/>
      <c r="D3501" s="1"/>
      <c r="E3501" s="25"/>
      <c r="F3501" s="26"/>
      <c r="G3501" s="26"/>
      <c r="L3501" s="25"/>
      <c r="M3501" s="24"/>
      <c r="N3501" s="26"/>
      <c r="O3501" s="26"/>
      <c r="P3501" s="26"/>
      <c r="Q3501" s="26"/>
      <c r="R3501" s="26"/>
      <c r="S3501" s="26"/>
      <c r="T3501" s="26"/>
      <c r="U3501" s="26"/>
      <c r="V3501" s="26"/>
      <c r="W3501" s="26"/>
      <c r="X3501" s="26"/>
      <c r="Y3501" s="26"/>
      <c r="Z3501" s="26"/>
      <c r="AA3501" s="26"/>
      <c r="AB3501" s="26"/>
      <c r="AC3501" s="27"/>
    </row>
    <row r="3502" spans="1:29" x14ac:dyDescent="0.25">
      <c r="A3502" s="1"/>
      <c r="B3502" s="19"/>
      <c r="C3502" s="24"/>
      <c r="D3502" s="1"/>
      <c r="E3502" s="25"/>
      <c r="F3502" s="26"/>
      <c r="G3502" s="26"/>
      <c r="L3502" s="25"/>
      <c r="M3502" s="24"/>
      <c r="N3502" s="26"/>
      <c r="O3502" s="26"/>
      <c r="P3502" s="26"/>
      <c r="Q3502" s="26"/>
      <c r="R3502" s="26"/>
      <c r="S3502" s="26"/>
      <c r="T3502" s="26"/>
      <c r="U3502" s="26"/>
      <c r="V3502" s="26"/>
      <c r="W3502" s="26"/>
      <c r="X3502" s="26"/>
      <c r="Y3502" s="26"/>
      <c r="Z3502" s="26"/>
      <c r="AA3502" s="26"/>
      <c r="AB3502" s="26"/>
      <c r="AC3502" s="27"/>
    </row>
    <row r="3503" spans="1:29" x14ac:dyDescent="0.25">
      <c r="A3503" s="1"/>
      <c r="B3503" s="19"/>
      <c r="C3503" s="24"/>
      <c r="D3503" s="1"/>
      <c r="E3503" s="25"/>
      <c r="F3503" s="26"/>
      <c r="G3503" s="26"/>
      <c r="L3503" s="25"/>
      <c r="M3503" s="24"/>
      <c r="N3503" s="26"/>
      <c r="O3503" s="26"/>
      <c r="P3503" s="26"/>
      <c r="Q3503" s="26"/>
      <c r="R3503" s="26"/>
      <c r="S3503" s="26"/>
      <c r="T3503" s="26"/>
      <c r="U3503" s="26"/>
      <c r="V3503" s="26"/>
      <c r="W3503" s="26"/>
      <c r="X3503" s="26"/>
      <c r="Y3503" s="26"/>
      <c r="Z3503" s="26"/>
      <c r="AA3503" s="26"/>
      <c r="AB3503" s="26"/>
      <c r="AC3503" s="27"/>
    </row>
    <row r="3504" spans="1:29" x14ac:dyDescent="0.25">
      <c r="A3504" s="1"/>
      <c r="B3504" s="19"/>
      <c r="C3504" s="24"/>
      <c r="D3504" s="1"/>
      <c r="E3504" s="25"/>
      <c r="F3504" s="26"/>
      <c r="G3504" s="26"/>
      <c r="L3504" s="25"/>
      <c r="M3504" s="24"/>
      <c r="N3504" s="26"/>
      <c r="O3504" s="26"/>
      <c r="P3504" s="26"/>
      <c r="Q3504" s="26"/>
      <c r="R3504" s="26"/>
      <c r="S3504" s="26"/>
      <c r="T3504" s="26"/>
      <c r="U3504" s="26"/>
      <c r="V3504" s="26"/>
      <c r="W3504" s="26"/>
      <c r="X3504" s="26"/>
      <c r="Y3504" s="26"/>
      <c r="Z3504" s="26"/>
      <c r="AA3504" s="26"/>
      <c r="AB3504" s="26"/>
      <c r="AC3504" s="27"/>
    </row>
    <row r="3505" spans="1:29" x14ac:dyDescent="0.25">
      <c r="A3505" s="1"/>
      <c r="B3505" s="19"/>
      <c r="C3505" s="24"/>
      <c r="D3505" s="1"/>
      <c r="E3505" s="25"/>
      <c r="F3505" s="26"/>
      <c r="G3505" s="26"/>
      <c r="L3505" s="25"/>
      <c r="M3505" s="24"/>
      <c r="N3505" s="26"/>
      <c r="O3505" s="26"/>
      <c r="P3505" s="26"/>
      <c r="Q3505" s="26"/>
      <c r="R3505" s="26"/>
      <c r="S3505" s="26"/>
      <c r="T3505" s="26"/>
      <c r="U3505" s="26"/>
      <c r="V3505" s="26"/>
      <c r="W3505" s="26"/>
      <c r="X3505" s="26"/>
      <c r="Y3505" s="26"/>
      <c r="Z3505" s="26"/>
      <c r="AA3505" s="26"/>
      <c r="AB3505" s="26"/>
      <c r="AC3505" s="27"/>
    </row>
    <row r="3506" spans="1:29" x14ac:dyDescent="0.25">
      <c r="A3506" s="1"/>
      <c r="B3506" s="19"/>
      <c r="C3506" s="24"/>
      <c r="D3506" s="1"/>
      <c r="E3506" s="25"/>
      <c r="F3506" s="26"/>
      <c r="G3506" s="26"/>
      <c r="L3506" s="25"/>
      <c r="M3506" s="24"/>
      <c r="N3506" s="26"/>
      <c r="O3506" s="26"/>
      <c r="P3506" s="26"/>
      <c r="Q3506" s="26"/>
      <c r="R3506" s="26"/>
      <c r="S3506" s="26"/>
      <c r="T3506" s="26"/>
      <c r="U3506" s="26"/>
      <c r="V3506" s="26"/>
      <c r="W3506" s="26"/>
      <c r="X3506" s="26"/>
      <c r="Y3506" s="26"/>
      <c r="Z3506" s="26"/>
      <c r="AA3506" s="26"/>
      <c r="AB3506" s="26"/>
      <c r="AC3506" s="27"/>
    </row>
    <row r="3507" spans="1:29" x14ac:dyDescent="0.25">
      <c r="A3507" s="1"/>
      <c r="B3507" s="19"/>
      <c r="C3507" s="24"/>
      <c r="D3507" s="1"/>
      <c r="E3507" s="25"/>
      <c r="F3507" s="26"/>
      <c r="G3507" s="26"/>
      <c r="L3507" s="25"/>
      <c r="M3507" s="24"/>
      <c r="N3507" s="26"/>
      <c r="O3507" s="26"/>
      <c r="P3507" s="26"/>
      <c r="Q3507" s="26"/>
      <c r="R3507" s="26"/>
      <c r="S3507" s="26"/>
      <c r="T3507" s="26"/>
      <c r="U3507" s="26"/>
      <c r="V3507" s="26"/>
      <c r="W3507" s="26"/>
      <c r="X3507" s="26"/>
      <c r="Y3507" s="26"/>
      <c r="Z3507" s="26"/>
      <c r="AA3507" s="26"/>
      <c r="AB3507" s="26"/>
      <c r="AC3507" s="27"/>
    </row>
    <row r="3508" spans="1:29" x14ac:dyDescent="0.25">
      <c r="A3508" s="1"/>
      <c r="B3508" s="19"/>
      <c r="C3508" s="24"/>
      <c r="D3508" s="1"/>
      <c r="E3508" s="25"/>
      <c r="F3508" s="26"/>
      <c r="G3508" s="26"/>
      <c r="L3508" s="25"/>
      <c r="M3508" s="24"/>
      <c r="N3508" s="26"/>
      <c r="O3508" s="26"/>
      <c r="P3508" s="26"/>
      <c r="Q3508" s="26"/>
      <c r="R3508" s="26"/>
      <c r="S3508" s="26"/>
      <c r="T3508" s="26"/>
      <c r="U3508" s="26"/>
      <c r="V3508" s="26"/>
      <c r="W3508" s="26"/>
      <c r="X3508" s="26"/>
      <c r="Y3508" s="26"/>
      <c r="Z3508" s="26"/>
      <c r="AA3508" s="26"/>
      <c r="AB3508" s="26"/>
      <c r="AC3508" s="27"/>
    </row>
    <row r="3509" spans="1:29" x14ac:dyDescent="0.25">
      <c r="A3509" s="1"/>
      <c r="B3509" s="19"/>
      <c r="C3509" s="24"/>
      <c r="D3509" s="1"/>
      <c r="E3509" s="25"/>
      <c r="F3509" s="26"/>
      <c r="G3509" s="26"/>
      <c r="L3509" s="25"/>
      <c r="M3509" s="24"/>
      <c r="N3509" s="26"/>
      <c r="O3509" s="26"/>
      <c r="P3509" s="26"/>
      <c r="Q3509" s="26"/>
      <c r="R3509" s="26"/>
      <c r="S3509" s="26"/>
      <c r="T3509" s="26"/>
      <c r="U3509" s="26"/>
      <c r="V3509" s="26"/>
      <c r="W3509" s="26"/>
      <c r="X3509" s="26"/>
      <c r="Y3509" s="26"/>
      <c r="Z3509" s="26"/>
      <c r="AA3509" s="26"/>
      <c r="AB3509" s="26"/>
      <c r="AC3509" s="27"/>
    </row>
    <row r="3510" spans="1:29" x14ac:dyDescent="0.25">
      <c r="A3510" s="1"/>
      <c r="B3510" s="19"/>
      <c r="C3510" s="24"/>
      <c r="D3510" s="1"/>
      <c r="E3510" s="25"/>
      <c r="F3510" s="26"/>
      <c r="G3510" s="26"/>
      <c r="L3510" s="25"/>
      <c r="M3510" s="24"/>
      <c r="N3510" s="26"/>
      <c r="O3510" s="26"/>
      <c r="P3510" s="26"/>
      <c r="Q3510" s="26"/>
      <c r="R3510" s="26"/>
      <c r="S3510" s="26"/>
      <c r="T3510" s="26"/>
      <c r="U3510" s="26"/>
      <c r="V3510" s="26"/>
      <c r="W3510" s="26"/>
      <c r="X3510" s="26"/>
      <c r="Y3510" s="26"/>
      <c r="Z3510" s="26"/>
      <c r="AA3510" s="26"/>
      <c r="AB3510" s="26"/>
      <c r="AC3510" s="27"/>
    </row>
    <row r="3511" spans="1:29" x14ac:dyDescent="0.25">
      <c r="A3511" s="1"/>
      <c r="B3511" s="19"/>
      <c r="C3511" s="24"/>
      <c r="D3511" s="1"/>
      <c r="E3511" s="25"/>
      <c r="F3511" s="26"/>
      <c r="G3511" s="26"/>
      <c r="L3511" s="25"/>
      <c r="M3511" s="24"/>
      <c r="N3511" s="26"/>
      <c r="O3511" s="26"/>
      <c r="P3511" s="26"/>
      <c r="Q3511" s="26"/>
      <c r="R3511" s="26"/>
      <c r="S3511" s="26"/>
      <c r="T3511" s="26"/>
      <c r="U3511" s="26"/>
      <c r="V3511" s="26"/>
      <c r="W3511" s="26"/>
      <c r="X3511" s="26"/>
      <c r="Y3511" s="26"/>
      <c r="Z3511" s="26"/>
      <c r="AA3511" s="26"/>
      <c r="AB3511" s="26"/>
      <c r="AC3511" s="27"/>
    </row>
    <row r="3512" spans="1:29" x14ac:dyDescent="0.25">
      <c r="A3512" s="1"/>
      <c r="B3512" s="19"/>
      <c r="C3512" s="24"/>
      <c r="D3512" s="1"/>
      <c r="E3512" s="25"/>
      <c r="F3512" s="26"/>
      <c r="G3512" s="26"/>
      <c r="L3512" s="25"/>
      <c r="M3512" s="24"/>
      <c r="N3512" s="26"/>
      <c r="O3512" s="26"/>
      <c r="P3512" s="26"/>
      <c r="Q3512" s="26"/>
      <c r="R3512" s="26"/>
      <c r="S3512" s="26"/>
      <c r="T3512" s="26"/>
      <c r="U3512" s="26"/>
      <c r="V3512" s="26"/>
      <c r="W3512" s="26"/>
      <c r="X3512" s="26"/>
      <c r="Y3512" s="26"/>
      <c r="Z3512" s="26"/>
      <c r="AA3512" s="26"/>
      <c r="AB3512" s="26"/>
      <c r="AC3512" s="27"/>
    </row>
    <row r="3513" spans="1:29" x14ac:dyDescent="0.25">
      <c r="A3513" s="1"/>
      <c r="B3513" s="19"/>
      <c r="C3513" s="24"/>
      <c r="D3513" s="1"/>
      <c r="E3513" s="25"/>
      <c r="F3513" s="26"/>
      <c r="G3513" s="26"/>
      <c r="L3513" s="25"/>
      <c r="M3513" s="24"/>
      <c r="N3513" s="26"/>
      <c r="O3513" s="26"/>
      <c r="P3513" s="26"/>
      <c r="Q3513" s="26"/>
      <c r="R3513" s="26"/>
      <c r="S3513" s="26"/>
      <c r="T3513" s="26"/>
      <c r="U3513" s="26"/>
      <c r="V3513" s="26"/>
      <c r="W3513" s="26"/>
      <c r="X3513" s="26"/>
      <c r="Y3513" s="26"/>
      <c r="Z3513" s="26"/>
      <c r="AA3513" s="26"/>
      <c r="AB3513" s="26"/>
      <c r="AC3513" s="27"/>
    </row>
    <row r="3514" spans="1:29" x14ac:dyDescent="0.25">
      <c r="A3514" s="1"/>
      <c r="B3514" s="19"/>
      <c r="C3514" s="24"/>
      <c r="D3514" s="1"/>
      <c r="E3514" s="25"/>
      <c r="F3514" s="26"/>
      <c r="G3514" s="26"/>
      <c r="L3514" s="25"/>
      <c r="M3514" s="24"/>
      <c r="N3514" s="26"/>
      <c r="O3514" s="26"/>
      <c r="P3514" s="26"/>
      <c r="Q3514" s="26"/>
      <c r="R3514" s="26"/>
      <c r="S3514" s="26"/>
      <c r="T3514" s="26"/>
      <c r="U3514" s="26"/>
      <c r="V3514" s="26"/>
      <c r="W3514" s="26"/>
      <c r="X3514" s="26"/>
      <c r="Y3514" s="26"/>
      <c r="Z3514" s="26"/>
      <c r="AA3514" s="26"/>
      <c r="AB3514" s="26"/>
      <c r="AC3514" s="27"/>
    </row>
    <row r="3515" spans="1:29" x14ac:dyDescent="0.25">
      <c r="A3515" s="1"/>
      <c r="B3515" s="19"/>
      <c r="C3515" s="24"/>
      <c r="D3515" s="1"/>
      <c r="E3515" s="25"/>
      <c r="F3515" s="26"/>
      <c r="G3515" s="26"/>
      <c r="L3515" s="25"/>
      <c r="M3515" s="24"/>
      <c r="N3515" s="26"/>
      <c r="O3515" s="26"/>
      <c r="P3515" s="26"/>
      <c r="Q3515" s="26"/>
      <c r="R3515" s="26"/>
      <c r="S3515" s="26"/>
      <c r="T3515" s="26"/>
      <c r="U3515" s="26"/>
      <c r="V3515" s="26"/>
      <c r="W3515" s="26"/>
      <c r="X3515" s="26"/>
      <c r="Y3515" s="26"/>
      <c r="Z3515" s="26"/>
      <c r="AA3515" s="26"/>
      <c r="AB3515" s="26"/>
      <c r="AC3515" s="27"/>
    </row>
    <row r="3516" spans="1:29" x14ac:dyDescent="0.25">
      <c r="A3516" s="1"/>
      <c r="B3516" s="19"/>
      <c r="C3516" s="24"/>
      <c r="D3516" s="1"/>
      <c r="E3516" s="25"/>
      <c r="F3516" s="26"/>
      <c r="G3516" s="26"/>
      <c r="L3516" s="25"/>
      <c r="M3516" s="24"/>
      <c r="N3516" s="26"/>
      <c r="O3516" s="26"/>
      <c r="P3516" s="26"/>
      <c r="Q3516" s="26"/>
      <c r="R3516" s="26"/>
      <c r="S3516" s="26"/>
      <c r="T3516" s="26"/>
      <c r="U3516" s="26"/>
      <c r="V3516" s="26"/>
      <c r="W3516" s="26"/>
      <c r="X3516" s="26"/>
      <c r="Y3516" s="26"/>
      <c r="Z3516" s="26"/>
      <c r="AA3516" s="26"/>
      <c r="AB3516" s="26"/>
      <c r="AC3516" s="27"/>
    </row>
    <row r="3517" spans="1:29" x14ac:dyDescent="0.25">
      <c r="A3517" s="1"/>
      <c r="B3517" s="19"/>
      <c r="C3517" s="24"/>
      <c r="D3517" s="1"/>
      <c r="E3517" s="25"/>
      <c r="F3517" s="26"/>
      <c r="G3517" s="26"/>
      <c r="L3517" s="25"/>
      <c r="M3517" s="24"/>
      <c r="N3517" s="26"/>
      <c r="O3517" s="26"/>
      <c r="P3517" s="26"/>
      <c r="Q3517" s="26"/>
      <c r="R3517" s="26"/>
      <c r="S3517" s="26"/>
      <c r="T3517" s="26"/>
      <c r="U3517" s="26"/>
      <c r="V3517" s="26"/>
      <c r="W3517" s="26"/>
      <c r="X3517" s="26"/>
      <c r="Y3517" s="26"/>
      <c r="Z3517" s="26"/>
      <c r="AA3517" s="26"/>
      <c r="AB3517" s="26"/>
      <c r="AC3517" s="27"/>
    </row>
    <row r="3518" spans="1:29" x14ac:dyDescent="0.25">
      <c r="A3518" s="1"/>
      <c r="B3518" s="19"/>
      <c r="C3518" s="24"/>
      <c r="D3518" s="1"/>
      <c r="E3518" s="25"/>
      <c r="F3518" s="26"/>
      <c r="G3518" s="26"/>
      <c r="L3518" s="25"/>
      <c r="M3518" s="24"/>
      <c r="N3518" s="26"/>
      <c r="O3518" s="26"/>
      <c r="P3518" s="26"/>
      <c r="Q3518" s="26"/>
      <c r="R3518" s="26"/>
      <c r="S3518" s="26"/>
      <c r="T3518" s="26"/>
      <c r="U3518" s="26"/>
      <c r="V3518" s="26"/>
      <c r="W3518" s="26"/>
      <c r="X3518" s="26"/>
      <c r="Y3518" s="26"/>
      <c r="Z3518" s="26"/>
      <c r="AA3518" s="26"/>
      <c r="AB3518" s="26"/>
      <c r="AC3518" s="27"/>
    </row>
    <row r="3519" spans="1:29" x14ac:dyDescent="0.25">
      <c r="A3519" s="1"/>
      <c r="B3519" s="19"/>
      <c r="C3519" s="24"/>
      <c r="D3519" s="1"/>
      <c r="E3519" s="25"/>
      <c r="F3519" s="26"/>
      <c r="G3519" s="26"/>
      <c r="L3519" s="25"/>
      <c r="M3519" s="24"/>
      <c r="N3519" s="26"/>
      <c r="O3519" s="26"/>
      <c r="P3519" s="26"/>
      <c r="Q3519" s="26"/>
      <c r="R3519" s="26"/>
      <c r="S3519" s="26"/>
      <c r="T3519" s="26"/>
      <c r="U3519" s="26"/>
      <c r="V3519" s="26"/>
      <c r="W3519" s="26"/>
      <c r="X3519" s="26"/>
      <c r="Y3519" s="26"/>
      <c r="Z3519" s="26"/>
      <c r="AA3519" s="26"/>
      <c r="AB3519" s="26"/>
      <c r="AC3519" s="27"/>
    </row>
    <row r="3520" spans="1:29" x14ac:dyDescent="0.25">
      <c r="A3520" s="1"/>
      <c r="B3520" s="19"/>
      <c r="C3520" s="24"/>
      <c r="D3520" s="1"/>
      <c r="E3520" s="25"/>
      <c r="F3520" s="26"/>
      <c r="G3520" s="26"/>
      <c r="L3520" s="25"/>
      <c r="M3520" s="24"/>
      <c r="N3520" s="26"/>
      <c r="O3520" s="26"/>
      <c r="P3520" s="26"/>
      <c r="Q3520" s="26"/>
      <c r="R3520" s="26"/>
      <c r="S3520" s="26"/>
      <c r="T3520" s="26"/>
      <c r="U3520" s="26"/>
      <c r="V3520" s="26"/>
      <c r="W3520" s="26"/>
      <c r="X3520" s="26"/>
      <c r="Y3520" s="26"/>
      <c r="Z3520" s="26"/>
      <c r="AA3520" s="26"/>
      <c r="AB3520" s="26"/>
      <c r="AC3520" s="27"/>
    </row>
    <row r="3521" spans="1:29" x14ac:dyDescent="0.25">
      <c r="A3521" s="1"/>
      <c r="B3521" s="19"/>
      <c r="C3521" s="24"/>
      <c r="D3521" s="1"/>
      <c r="E3521" s="25"/>
      <c r="F3521" s="26"/>
      <c r="G3521" s="26"/>
      <c r="L3521" s="25"/>
      <c r="M3521" s="24"/>
      <c r="N3521" s="26"/>
      <c r="O3521" s="26"/>
      <c r="P3521" s="26"/>
      <c r="Q3521" s="26"/>
      <c r="R3521" s="26"/>
      <c r="S3521" s="26"/>
      <c r="T3521" s="26"/>
      <c r="U3521" s="26"/>
      <c r="V3521" s="26"/>
      <c r="W3521" s="26"/>
      <c r="X3521" s="26"/>
      <c r="Y3521" s="26"/>
      <c r="Z3521" s="26"/>
      <c r="AA3521" s="26"/>
      <c r="AB3521" s="26"/>
      <c r="AC3521" s="27"/>
    </row>
    <row r="3522" spans="1:29" x14ac:dyDescent="0.25">
      <c r="A3522" s="1"/>
      <c r="B3522" s="19"/>
      <c r="C3522" s="24"/>
      <c r="D3522" s="1"/>
      <c r="E3522" s="25"/>
      <c r="F3522" s="26"/>
      <c r="G3522" s="26"/>
      <c r="L3522" s="25"/>
      <c r="M3522" s="24"/>
      <c r="N3522" s="26"/>
      <c r="O3522" s="26"/>
      <c r="P3522" s="26"/>
      <c r="Q3522" s="26"/>
      <c r="R3522" s="26"/>
      <c r="S3522" s="26"/>
      <c r="T3522" s="26"/>
      <c r="U3522" s="26"/>
      <c r="V3522" s="26"/>
      <c r="W3522" s="26"/>
      <c r="X3522" s="26"/>
      <c r="Y3522" s="26"/>
      <c r="Z3522" s="26"/>
      <c r="AA3522" s="26"/>
      <c r="AB3522" s="26"/>
      <c r="AC3522" s="27"/>
    </row>
    <row r="3523" spans="1:29" x14ac:dyDescent="0.25">
      <c r="A3523" s="1"/>
      <c r="B3523" s="19"/>
      <c r="C3523" s="24"/>
      <c r="D3523" s="1"/>
      <c r="E3523" s="25"/>
      <c r="F3523" s="26"/>
      <c r="G3523" s="26"/>
      <c r="L3523" s="25"/>
      <c r="M3523" s="24"/>
      <c r="N3523" s="26"/>
      <c r="O3523" s="26"/>
      <c r="P3523" s="26"/>
      <c r="Q3523" s="26"/>
      <c r="R3523" s="26"/>
      <c r="S3523" s="26"/>
      <c r="T3523" s="26"/>
      <c r="U3523" s="26"/>
      <c r="V3523" s="26"/>
      <c r="W3523" s="26"/>
      <c r="X3523" s="26"/>
      <c r="Y3523" s="26"/>
      <c r="Z3523" s="26"/>
      <c r="AA3523" s="26"/>
      <c r="AB3523" s="26"/>
      <c r="AC3523" s="27"/>
    </row>
    <row r="3524" spans="1:29" x14ac:dyDescent="0.25">
      <c r="A3524" s="1"/>
      <c r="B3524" s="19"/>
      <c r="C3524" s="24"/>
      <c r="D3524" s="1"/>
      <c r="E3524" s="25"/>
      <c r="F3524" s="26"/>
      <c r="G3524" s="26"/>
      <c r="L3524" s="25"/>
      <c r="M3524" s="24"/>
      <c r="N3524" s="26"/>
      <c r="O3524" s="26"/>
      <c r="P3524" s="26"/>
      <c r="Q3524" s="26"/>
      <c r="R3524" s="26"/>
      <c r="S3524" s="26"/>
      <c r="T3524" s="26"/>
      <c r="U3524" s="26"/>
      <c r="V3524" s="26"/>
      <c r="W3524" s="26"/>
      <c r="X3524" s="26"/>
      <c r="Y3524" s="26"/>
      <c r="Z3524" s="26"/>
      <c r="AA3524" s="26"/>
      <c r="AB3524" s="26"/>
      <c r="AC3524" s="27"/>
    </row>
    <row r="3525" spans="1:29" x14ac:dyDescent="0.25">
      <c r="A3525" s="1"/>
      <c r="B3525" s="19"/>
      <c r="C3525" s="24"/>
      <c r="D3525" s="1"/>
      <c r="E3525" s="25"/>
      <c r="F3525" s="26"/>
      <c r="G3525" s="26"/>
      <c r="L3525" s="25"/>
      <c r="M3525" s="24"/>
      <c r="N3525" s="26"/>
      <c r="O3525" s="26"/>
      <c r="P3525" s="26"/>
      <c r="Q3525" s="26"/>
      <c r="R3525" s="26"/>
      <c r="S3525" s="26"/>
      <c r="T3525" s="26"/>
      <c r="U3525" s="26"/>
      <c r="V3525" s="26"/>
      <c r="W3525" s="26"/>
      <c r="X3525" s="26"/>
      <c r="Y3525" s="26"/>
      <c r="Z3525" s="26"/>
      <c r="AA3525" s="26"/>
      <c r="AB3525" s="26"/>
      <c r="AC3525" s="27"/>
    </row>
    <row r="3526" spans="1:29" x14ac:dyDescent="0.25">
      <c r="A3526" s="1"/>
      <c r="B3526" s="19"/>
      <c r="C3526" s="24"/>
      <c r="D3526" s="1"/>
      <c r="E3526" s="25"/>
      <c r="F3526" s="26"/>
      <c r="G3526" s="26"/>
      <c r="L3526" s="25"/>
      <c r="M3526" s="24"/>
      <c r="N3526" s="26"/>
      <c r="O3526" s="26"/>
      <c r="P3526" s="26"/>
      <c r="Q3526" s="26"/>
      <c r="R3526" s="26"/>
      <c r="S3526" s="26"/>
      <c r="T3526" s="26"/>
      <c r="U3526" s="26"/>
      <c r="V3526" s="26"/>
      <c r="W3526" s="26"/>
      <c r="X3526" s="26"/>
      <c r="Y3526" s="26"/>
      <c r="Z3526" s="26"/>
      <c r="AA3526" s="26"/>
      <c r="AB3526" s="26"/>
      <c r="AC3526" s="27"/>
    </row>
    <row r="3527" spans="1:29" x14ac:dyDescent="0.25">
      <c r="A3527" s="1"/>
      <c r="B3527" s="19"/>
      <c r="C3527" s="24"/>
      <c r="D3527" s="1"/>
      <c r="E3527" s="25"/>
      <c r="F3527" s="26"/>
      <c r="G3527" s="26"/>
      <c r="L3527" s="25"/>
      <c r="M3527" s="24"/>
      <c r="N3527" s="26"/>
      <c r="O3527" s="26"/>
      <c r="P3527" s="26"/>
      <c r="Q3527" s="26"/>
      <c r="R3527" s="26"/>
      <c r="S3527" s="26"/>
      <c r="T3527" s="26"/>
      <c r="U3527" s="26"/>
      <c r="V3527" s="26"/>
      <c r="W3527" s="26"/>
      <c r="X3527" s="26"/>
      <c r="Y3527" s="26"/>
      <c r="Z3527" s="26"/>
      <c r="AA3527" s="26"/>
      <c r="AB3527" s="26"/>
      <c r="AC3527" s="27"/>
    </row>
    <row r="3528" spans="1:29" x14ac:dyDescent="0.25">
      <c r="A3528" s="1"/>
      <c r="B3528" s="19"/>
      <c r="C3528" s="24"/>
      <c r="D3528" s="1"/>
      <c r="E3528" s="25"/>
      <c r="F3528" s="26"/>
      <c r="G3528" s="26"/>
      <c r="L3528" s="25"/>
      <c r="M3528" s="24"/>
      <c r="N3528" s="26"/>
      <c r="O3528" s="26"/>
      <c r="P3528" s="26"/>
      <c r="Q3528" s="26"/>
      <c r="R3528" s="26"/>
      <c r="S3528" s="26"/>
      <c r="T3528" s="26"/>
      <c r="U3528" s="26"/>
      <c r="V3528" s="26"/>
      <c r="W3528" s="26"/>
      <c r="X3528" s="26"/>
      <c r="Y3528" s="26"/>
      <c r="Z3528" s="26"/>
      <c r="AA3528" s="26"/>
      <c r="AB3528" s="26"/>
      <c r="AC3528" s="27"/>
    </row>
    <row r="3529" spans="1:29" x14ac:dyDescent="0.25">
      <c r="A3529" s="1"/>
      <c r="B3529" s="19"/>
      <c r="C3529" s="24"/>
      <c r="D3529" s="1"/>
      <c r="E3529" s="25"/>
      <c r="F3529" s="26"/>
      <c r="G3529" s="26"/>
      <c r="L3529" s="25"/>
      <c r="M3529" s="24"/>
      <c r="N3529" s="26"/>
      <c r="O3529" s="26"/>
      <c r="P3529" s="26"/>
      <c r="Q3529" s="26"/>
      <c r="R3529" s="26"/>
      <c r="S3529" s="26"/>
      <c r="T3529" s="26"/>
      <c r="U3529" s="26"/>
      <c r="V3529" s="26"/>
      <c r="W3529" s="26"/>
      <c r="X3529" s="26"/>
      <c r="Y3529" s="26"/>
      <c r="Z3529" s="26"/>
      <c r="AA3529" s="26"/>
      <c r="AB3529" s="26"/>
      <c r="AC3529" s="27"/>
    </row>
    <row r="3530" spans="1:29" x14ac:dyDescent="0.25">
      <c r="A3530" s="1"/>
      <c r="B3530" s="19"/>
      <c r="C3530" s="24"/>
      <c r="D3530" s="1"/>
      <c r="E3530" s="25"/>
      <c r="F3530" s="26"/>
      <c r="G3530" s="26"/>
      <c r="L3530" s="25"/>
      <c r="M3530" s="24"/>
      <c r="N3530" s="26"/>
      <c r="O3530" s="26"/>
      <c r="P3530" s="26"/>
      <c r="Q3530" s="26"/>
      <c r="R3530" s="26"/>
      <c r="S3530" s="26"/>
      <c r="T3530" s="26"/>
      <c r="U3530" s="26"/>
      <c r="V3530" s="26"/>
      <c r="W3530" s="26"/>
      <c r="X3530" s="26"/>
      <c r="Y3530" s="26"/>
      <c r="Z3530" s="26"/>
      <c r="AA3530" s="26"/>
      <c r="AB3530" s="26"/>
      <c r="AC3530" s="27"/>
    </row>
    <row r="3531" spans="1:29" x14ac:dyDescent="0.25">
      <c r="A3531" s="1"/>
      <c r="B3531" s="19"/>
      <c r="C3531" s="24"/>
      <c r="D3531" s="1"/>
      <c r="E3531" s="25"/>
      <c r="F3531" s="26"/>
      <c r="G3531" s="26"/>
      <c r="L3531" s="25"/>
      <c r="M3531" s="24"/>
      <c r="N3531" s="26"/>
      <c r="O3531" s="26"/>
      <c r="P3531" s="26"/>
      <c r="Q3531" s="26"/>
      <c r="R3531" s="26"/>
      <c r="S3531" s="26"/>
      <c r="T3531" s="26"/>
      <c r="U3531" s="26"/>
      <c r="V3531" s="26"/>
      <c r="W3531" s="26"/>
      <c r="X3531" s="26"/>
      <c r="Y3531" s="26"/>
      <c r="Z3531" s="26"/>
      <c r="AA3531" s="26"/>
      <c r="AB3531" s="26"/>
      <c r="AC3531" s="27"/>
    </row>
    <row r="3532" spans="1:29" x14ac:dyDescent="0.25">
      <c r="A3532" s="1"/>
      <c r="B3532" s="19"/>
      <c r="C3532" s="24"/>
      <c r="D3532" s="1"/>
      <c r="E3532" s="25"/>
      <c r="F3532" s="26"/>
      <c r="G3532" s="26"/>
      <c r="L3532" s="25"/>
      <c r="M3532" s="24"/>
      <c r="N3532" s="26"/>
      <c r="O3532" s="26"/>
      <c r="P3532" s="26"/>
      <c r="Q3532" s="26"/>
      <c r="R3532" s="26"/>
      <c r="S3532" s="26"/>
      <c r="T3532" s="26"/>
      <c r="U3532" s="26"/>
      <c r="V3532" s="26"/>
      <c r="W3532" s="26"/>
      <c r="X3532" s="26"/>
      <c r="Y3532" s="26"/>
      <c r="Z3532" s="26"/>
      <c r="AA3532" s="26"/>
      <c r="AB3532" s="26"/>
      <c r="AC3532" s="27"/>
    </row>
    <row r="3533" spans="1:29" x14ac:dyDescent="0.25">
      <c r="A3533" s="1"/>
      <c r="B3533" s="19"/>
      <c r="C3533" s="24"/>
      <c r="D3533" s="1"/>
      <c r="E3533" s="25"/>
      <c r="F3533" s="26"/>
      <c r="G3533" s="26"/>
      <c r="L3533" s="25"/>
      <c r="M3533" s="24"/>
      <c r="N3533" s="26"/>
      <c r="O3533" s="26"/>
      <c r="P3533" s="26"/>
      <c r="Q3533" s="26"/>
      <c r="R3533" s="26"/>
      <c r="S3533" s="26"/>
      <c r="T3533" s="26"/>
      <c r="U3533" s="26"/>
      <c r="V3533" s="26"/>
      <c r="W3533" s="26"/>
      <c r="X3533" s="26"/>
      <c r="Y3533" s="26"/>
      <c r="Z3533" s="26"/>
      <c r="AA3533" s="26"/>
      <c r="AB3533" s="26"/>
      <c r="AC3533" s="27"/>
    </row>
    <row r="3534" spans="1:29" x14ac:dyDescent="0.25">
      <c r="A3534" s="1"/>
      <c r="B3534" s="19"/>
      <c r="C3534" s="24"/>
      <c r="D3534" s="1"/>
      <c r="E3534" s="25"/>
      <c r="F3534" s="26"/>
      <c r="G3534" s="26"/>
      <c r="L3534" s="25"/>
      <c r="M3534" s="24"/>
      <c r="N3534" s="26"/>
      <c r="O3534" s="26"/>
      <c r="P3534" s="26"/>
      <c r="Q3534" s="26"/>
      <c r="R3534" s="26"/>
      <c r="S3534" s="26"/>
      <c r="T3534" s="26"/>
      <c r="U3534" s="26"/>
      <c r="V3534" s="26"/>
      <c r="W3534" s="26"/>
      <c r="X3534" s="26"/>
      <c r="Y3534" s="26"/>
      <c r="Z3534" s="26"/>
      <c r="AA3534" s="26"/>
      <c r="AB3534" s="26"/>
      <c r="AC3534" s="27"/>
    </row>
    <row r="3535" spans="1:29" x14ac:dyDescent="0.25">
      <c r="A3535" s="1"/>
      <c r="B3535" s="19"/>
      <c r="C3535" s="24"/>
      <c r="D3535" s="1"/>
      <c r="E3535" s="25"/>
      <c r="F3535" s="26"/>
      <c r="G3535" s="26"/>
      <c r="L3535" s="25"/>
      <c r="M3535" s="24"/>
      <c r="N3535" s="26"/>
      <c r="O3535" s="26"/>
      <c r="P3535" s="26"/>
      <c r="Q3535" s="26"/>
      <c r="R3535" s="26"/>
      <c r="S3535" s="26"/>
      <c r="T3535" s="26"/>
      <c r="U3535" s="26"/>
      <c r="V3535" s="26"/>
      <c r="W3535" s="26"/>
      <c r="X3535" s="26"/>
      <c r="Y3535" s="26"/>
      <c r="Z3535" s="26"/>
      <c r="AA3535" s="26"/>
      <c r="AB3535" s="26"/>
      <c r="AC3535" s="27"/>
    </row>
    <row r="3536" spans="1:29" x14ac:dyDescent="0.25">
      <c r="A3536" s="1"/>
      <c r="B3536" s="19"/>
      <c r="C3536" s="24"/>
      <c r="D3536" s="1"/>
      <c r="E3536" s="25"/>
      <c r="F3536" s="26"/>
      <c r="G3536" s="26"/>
      <c r="L3536" s="25"/>
      <c r="M3536" s="24"/>
      <c r="N3536" s="26"/>
      <c r="O3536" s="26"/>
      <c r="P3536" s="26"/>
      <c r="Q3536" s="26"/>
      <c r="R3536" s="26"/>
      <c r="S3536" s="26"/>
      <c r="T3536" s="26"/>
      <c r="U3536" s="26"/>
      <c r="V3536" s="26"/>
      <c r="W3536" s="26"/>
      <c r="X3536" s="26"/>
      <c r="Y3536" s="26"/>
      <c r="Z3536" s="26"/>
      <c r="AA3536" s="26"/>
      <c r="AB3536" s="26"/>
      <c r="AC3536" s="27"/>
    </row>
    <row r="3537" spans="1:29" x14ac:dyDescent="0.25">
      <c r="A3537" s="1"/>
      <c r="B3537" s="19"/>
      <c r="C3537" s="24"/>
      <c r="D3537" s="1"/>
      <c r="E3537" s="25"/>
      <c r="F3537" s="26"/>
      <c r="G3537" s="26"/>
      <c r="L3537" s="25"/>
      <c r="M3537" s="24"/>
      <c r="N3537" s="26"/>
      <c r="O3537" s="26"/>
      <c r="P3537" s="26"/>
      <c r="Q3537" s="26"/>
      <c r="R3537" s="26"/>
      <c r="S3537" s="26"/>
      <c r="T3537" s="26"/>
      <c r="U3537" s="26"/>
      <c r="V3537" s="26"/>
      <c r="W3537" s="26"/>
      <c r="X3537" s="26"/>
      <c r="Y3537" s="26"/>
      <c r="Z3537" s="26"/>
      <c r="AA3537" s="26"/>
      <c r="AB3537" s="26"/>
      <c r="AC3537" s="27"/>
    </row>
    <row r="3538" spans="1:29" x14ac:dyDescent="0.25">
      <c r="A3538" s="1"/>
      <c r="B3538" s="19"/>
      <c r="C3538" s="24"/>
      <c r="D3538" s="1"/>
      <c r="E3538" s="25"/>
      <c r="F3538" s="26"/>
      <c r="G3538" s="26"/>
      <c r="L3538" s="25"/>
      <c r="M3538" s="24"/>
      <c r="N3538" s="26"/>
      <c r="O3538" s="26"/>
      <c r="P3538" s="26"/>
      <c r="Q3538" s="26"/>
      <c r="R3538" s="26"/>
      <c r="S3538" s="26"/>
      <c r="T3538" s="26"/>
      <c r="U3538" s="26"/>
      <c r="V3538" s="26"/>
      <c r="W3538" s="26"/>
      <c r="X3538" s="26"/>
      <c r="Y3538" s="26"/>
      <c r="Z3538" s="26"/>
      <c r="AA3538" s="26"/>
      <c r="AB3538" s="26"/>
      <c r="AC3538" s="27"/>
    </row>
    <row r="3539" spans="1:29" x14ac:dyDescent="0.25">
      <c r="A3539" s="1"/>
      <c r="B3539" s="19"/>
      <c r="C3539" s="24"/>
      <c r="D3539" s="1"/>
      <c r="E3539" s="25"/>
      <c r="F3539" s="26"/>
      <c r="G3539" s="26"/>
      <c r="L3539" s="25"/>
      <c r="M3539" s="24"/>
      <c r="N3539" s="26"/>
      <c r="O3539" s="26"/>
      <c r="P3539" s="26"/>
      <c r="Q3539" s="26"/>
      <c r="R3539" s="26"/>
      <c r="S3539" s="26"/>
      <c r="T3539" s="26"/>
      <c r="U3539" s="26"/>
      <c r="V3539" s="26"/>
      <c r="W3539" s="26"/>
      <c r="X3539" s="26"/>
      <c r="Y3539" s="26"/>
      <c r="Z3539" s="26"/>
      <c r="AA3539" s="26"/>
      <c r="AB3539" s="26"/>
      <c r="AC3539" s="27"/>
    </row>
    <row r="3540" spans="1:29" x14ac:dyDescent="0.25">
      <c r="A3540" s="1"/>
      <c r="B3540" s="19"/>
      <c r="C3540" s="24"/>
      <c r="D3540" s="1"/>
      <c r="E3540" s="25"/>
      <c r="F3540" s="26"/>
      <c r="G3540" s="26"/>
      <c r="L3540" s="25"/>
      <c r="M3540" s="24"/>
      <c r="N3540" s="26"/>
      <c r="O3540" s="26"/>
      <c r="P3540" s="26"/>
      <c r="Q3540" s="26"/>
      <c r="R3540" s="26"/>
      <c r="S3540" s="26"/>
      <c r="T3540" s="26"/>
      <c r="U3540" s="26"/>
      <c r="V3540" s="26"/>
      <c r="W3540" s="26"/>
      <c r="X3540" s="26"/>
      <c r="Y3540" s="26"/>
      <c r="Z3540" s="26"/>
      <c r="AA3540" s="26"/>
      <c r="AB3540" s="26"/>
      <c r="AC3540" s="27"/>
    </row>
    <row r="3541" spans="1:29" x14ac:dyDescent="0.25">
      <c r="A3541" s="1"/>
      <c r="B3541" s="19"/>
      <c r="C3541" s="24"/>
      <c r="D3541" s="1"/>
      <c r="E3541" s="25"/>
      <c r="F3541" s="26"/>
      <c r="G3541" s="26"/>
      <c r="L3541" s="25"/>
      <c r="M3541" s="24"/>
      <c r="N3541" s="26"/>
      <c r="O3541" s="26"/>
      <c r="P3541" s="26"/>
      <c r="Q3541" s="26"/>
      <c r="R3541" s="26"/>
      <c r="S3541" s="26"/>
      <c r="T3541" s="26"/>
      <c r="U3541" s="26"/>
      <c r="V3541" s="26"/>
      <c r="W3541" s="26"/>
      <c r="X3541" s="26"/>
      <c r="Y3541" s="26"/>
      <c r="Z3541" s="26"/>
      <c r="AA3541" s="26"/>
      <c r="AB3541" s="26"/>
      <c r="AC3541" s="27"/>
    </row>
    <row r="3542" spans="1:29" x14ac:dyDescent="0.25">
      <c r="A3542" s="1"/>
      <c r="B3542" s="19"/>
      <c r="C3542" s="24"/>
      <c r="D3542" s="1"/>
      <c r="E3542" s="25"/>
      <c r="F3542" s="26"/>
      <c r="G3542" s="26"/>
      <c r="L3542" s="25"/>
      <c r="M3542" s="24"/>
      <c r="N3542" s="26"/>
      <c r="O3542" s="26"/>
      <c r="P3542" s="26"/>
      <c r="Q3542" s="26"/>
      <c r="R3542" s="26"/>
      <c r="S3542" s="26"/>
      <c r="T3542" s="26"/>
      <c r="U3542" s="26"/>
      <c r="V3542" s="26"/>
      <c r="W3542" s="26"/>
      <c r="X3542" s="26"/>
      <c r="Y3542" s="26"/>
      <c r="Z3542" s="26"/>
      <c r="AA3542" s="26"/>
      <c r="AB3542" s="26"/>
      <c r="AC3542" s="27"/>
    </row>
    <row r="3543" spans="1:29" x14ac:dyDescent="0.25">
      <c r="A3543" s="1"/>
      <c r="B3543" s="19"/>
      <c r="C3543" s="24"/>
      <c r="D3543" s="1"/>
      <c r="E3543" s="25"/>
      <c r="F3543" s="26"/>
      <c r="G3543" s="26"/>
      <c r="L3543" s="25"/>
      <c r="M3543" s="24"/>
      <c r="N3543" s="26"/>
      <c r="O3543" s="26"/>
      <c r="P3543" s="26"/>
      <c r="Q3543" s="26"/>
      <c r="R3543" s="26"/>
      <c r="S3543" s="26"/>
      <c r="T3543" s="26"/>
      <c r="U3543" s="26"/>
      <c r="V3543" s="26"/>
      <c r="W3543" s="26"/>
      <c r="X3543" s="26"/>
      <c r="Y3543" s="26"/>
      <c r="Z3543" s="26"/>
      <c r="AA3543" s="26"/>
      <c r="AB3543" s="26"/>
      <c r="AC3543" s="27"/>
    </row>
    <row r="3544" spans="1:29" x14ac:dyDescent="0.25">
      <c r="A3544" s="1"/>
      <c r="B3544" s="19"/>
      <c r="C3544" s="24"/>
      <c r="D3544" s="1"/>
      <c r="E3544" s="25"/>
      <c r="F3544" s="26"/>
      <c r="G3544" s="26"/>
      <c r="L3544" s="25"/>
      <c r="M3544" s="24"/>
      <c r="N3544" s="26"/>
      <c r="O3544" s="26"/>
      <c r="P3544" s="26"/>
      <c r="Q3544" s="26"/>
      <c r="R3544" s="26"/>
      <c r="S3544" s="26"/>
      <c r="T3544" s="26"/>
      <c r="U3544" s="26"/>
      <c r="V3544" s="26"/>
      <c r="W3544" s="26"/>
      <c r="X3544" s="26"/>
      <c r="Y3544" s="26"/>
      <c r="Z3544" s="26"/>
      <c r="AA3544" s="26"/>
      <c r="AB3544" s="26"/>
      <c r="AC3544" s="27"/>
    </row>
    <row r="3545" spans="1:29" x14ac:dyDescent="0.25">
      <c r="A3545" s="1"/>
      <c r="B3545" s="19"/>
      <c r="C3545" s="24"/>
      <c r="D3545" s="1"/>
      <c r="E3545" s="25"/>
      <c r="F3545" s="26"/>
      <c r="G3545" s="26"/>
      <c r="L3545" s="25"/>
      <c r="M3545" s="24"/>
      <c r="N3545" s="26"/>
      <c r="O3545" s="26"/>
      <c r="P3545" s="26"/>
      <c r="Q3545" s="26"/>
      <c r="R3545" s="26"/>
      <c r="S3545" s="26"/>
      <c r="T3545" s="26"/>
      <c r="U3545" s="26"/>
      <c r="V3545" s="26"/>
      <c r="W3545" s="26"/>
      <c r="X3545" s="26"/>
      <c r="Y3545" s="26"/>
      <c r="Z3545" s="26"/>
      <c r="AA3545" s="26"/>
      <c r="AB3545" s="26"/>
      <c r="AC3545" s="27"/>
    </row>
    <row r="3546" spans="1:29" x14ac:dyDescent="0.25">
      <c r="A3546" s="1"/>
      <c r="B3546" s="19"/>
      <c r="C3546" s="24"/>
      <c r="D3546" s="1"/>
      <c r="E3546" s="25"/>
      <c r="F3546" s="26"/>
      <c r="G3546" s="26"/>
      <c r="L3546" s="25"/>
      <c r="M3546" s="24"/>
      <c r="N3546" s="26"/>
      <c r="O3546" s="26"/>
      <c r="P3546" s="26"/>
      <c r="Q3546" s="26"/>
      <c r="R3546" s="26"/>
      <c r="S3546" s="26"/>
      <c r="T3546" s="26"/>
      <c r="U3546" s="26"/>
      <c r="V3546" s="26"/>
      <c r="W3546" s="26"/>
      <c r="X3546" s="26"/>
      <c r="Y3546" s="26"/>
      <c r="Z3546" s="26"/>
      <c r="AA3546" s="26"/>
      <c r="AB3546" s="26"/>
      <c r="AC3546" s="27"/>
    </row>
    <row r="3547" spans="1:29" x14ac:dyDescent="0.25">
      <c r="A3547" s="1"/>
      <c r="B3547" s="19"/>
      <c r="C3547" s="24"/>
      <c r="D3547" s="1"/>
      <c r="E3547" s="25"/>
      <c r="F3547" s="26"/>
      <c r="G3547" s="26"/>
      <c r="L3547" s="25"/>
      <c r="M3547" s="24"/>
      <c r="N3547" s="26"/>
      <c r="O3547" s="26"/>
      <c r="P3547" s="26"/>
      <c r="Q3547" s="26"/>
      <c r="R3547" s="26"/>
      <c r="S3547" s="26"/>
      <c r="T3547" s="26"/>
      <c r="U3547" s="26"/>
      <c r="V3547" s="26"/>
      <c r="W3547" s="26"/>
      <c r="X3547" s="26"/>
      <c r="Y3547" s="26"/>
      <c r="Z3547" s="26"/>
      <c r="AA3547" s="26"/>
      <c r="AB3547" s="26"/>
      <c r="AC3547" s="27"/>
    </row>
    <row r="3548" spans="1:29" x14ac:dyDescent="0.25">
      <c r="A3548" s="1"/>
      <c r="B3548" s="19"/>
      <c r="C3548" s="24"/>
      <c r="D3548" s="1"/>
      <c r="E3548" s="25"/>
      <c r="F3548" s="26"/>
      <c r="G3548" s="26"/>
      <c r="L3548" s="25"/>
      <c r="M3548" s="24"/>
      <c r="N3548" s="26"/>
      <c r="O3548" s="26"/>
      <c r="P3548" s="26"/>
      <c r="Q3548" s="26"/>
      <c r="R3548" s="26"/>
      <c r="S3548" s="26"/>
      <c r="T3548" s="26"/>
      <c r="U3548" s="26"/>
      <c r="V3548" s="26"/>
      <c r="W3548" s="26"/>
      <c r="X3548" s="26"/>
      <c r="Y3548" s="26"/>
      <c r="Z3548" s="26"/>
      <c r="AA3548" s="26"/>
      <c r="AB3548" s="26"/>
      <c r="AC3548" s="27"/>
    </row>
    <row r="3549" spans="1:29" x14ac:dyDescent="0.25">
      <c r="A3549" s="1"/>
      <c r="B3549" s="19"/>
      <c r="C3549" s="24"/>
      <c r="D3549" s="1"/>
      <c r="E3549" s="25"/>
      <c r="F3549" s="26"/>
      <c r="G3549" s="26"/>
      <c r="L3549" s="25"/>
      <c r="M3549" s="24"/>
      <c r="N3549" s="26"/>
      <c r="O3549" s="26"/>
      <c r="P3549" s="26"/>
      <c r="Q3549" s="26"/>
      <c r="R3549" s="26"/>
      <c r="S3549" s="26"/>
      <c r="T3549" s="26"/>
      <c r="U3549" s="26"/>
      <c r="V3549" s="26"/>
      <c r="W3549" s="26"/>
      <c r="X3549" s="26"/>
      <c r="Y3549" s="26"/>
      <c r="Z3549" s="26"/>
      <c r="AA3549" s="26"/>
      <c r="AB3549" s="26"/>
      <c r="AC3549" s="27"/>
    </row>
    <row r="3550" spans="1:29" x14ac:dyDescent="0.25">
      <c r="A3550" s="1"/>
      <c r="B3550" s="19"/>
      <c r="C3550" s="24"/>
      <c r="D3550" s="1"/>
      <c r="E3550" s="25"/>
      <c r="F3550" s="26"/>
      <c r="G3550" s="26"/>
      <c r="L3550" s="25"/>
      <c r="M3550" s="24"/>
      <c r="N3550" s="26"/>
      <c r="O3550" s="26"/>
      <c r="P3550" s="26"/>
      <c r="Q3550" s="26"/>
      <c r="R3550" s="26"/>
      <c r="S3550" s="26"/>
      <c r="T3550" s="26"/>
      <c r="U3550" s="26"/>
      <c r="V3550" s="26"/>
      <c r="W3550" s="26"/>
      <c r="X3550" s="26"/>
      <c r="Y3550" s="26"/>
      <c r="Z3550" s="26"/>
      <c r="AA3550" s="26"/>
      <c r="AB3550" s="26"/>
      <c r="AC3550" s="27"/>
    </row>
    <row r="3551" spans="1:29" x14ac:dyDescent="0.25">
      <c r="A3551" s="1"/>
      <c r="B3551" s="19"/>
      <c r="C3551" s="24"/>
      <c r="D3551" s="1"/>
      <c r="E3551" s="25"/>
      <c r="F3551" s="26"/>
      <c r="G3551" s="26"/>
      <c r="L3551" s="25"/>
      <c r="M3551" s="24"/>
      <c r="N3551" s="26"/>
      <c r="O3551" s="26"/>
      <c r="P3551" s="26"/>
      <c r="Q3551" s="26"/>
      <c r="R3551" s="26"/>
      <c r="S3551" s="26"/>
      <c r="T3551" s="26"/>
      <c r="U3551" s="26"/>
      <c r="V3551" s="26"/>
      <c r="W3551" s="26"/>
      <c r="X3551" s="26"/>
      <c r="Y3551" s="26"/>
      <c r="Z3551" s="26"/>
      <c r="AA3551" s="26"/>
      <c r="AB3551" s="26"/>
      <c r="AC3551" s="27"/>
    </row>
    <row r="3552" spans="1:29" x14ac:dyDescent="0.25">
      <c r="A3552" s="1"/>
      <c r="B3552" s="19"/>
      <c r="C3552" s="24"/>
      <c r="D3552" s="1"/>
      <c r="E3552" s="25"/>
      <c r="F3552" s="26"/>
      <c r="G3552" s="26"/>
      <c r="L3552" s="25"/>
      <c r="M3552" s="24"/>
      <c r="N3552" s="26"/>
      <c r="O3552" s="26"/>
      <c r="P3552" s="26"/>
      <c r="Q3552" s="26"/>
      <c r="R3552" s="26"/>
      <c r="S3552" s="26"/>
      <c r="T3552" s="26"/>
      <c r="U3552" s="26"/>
      <c r="V3552" s="26"/>
      <c r="W3552" s="26"/>
      <c r="X3552" s="26"/>
      <c r="Y3552" s="26"/>
      <c r="Z3552" s="26"/>
      <c r="AA3552" s="26"/>
      <c r="AB3552" s="26"/>
      <c r="AC3552" s="27"/>
    </row>
    <row r="3553" spans="1:29" x14ac:dyDescent="0.25">
      <c r="A3553" s="1"/>
      <c r="B3553" s="19"/>
      <c r="C3553" s="24"/>
      <c r="D3553" s="1"/>
      <c r="E3553" s="25"/>
      <c r="F3553" s="26"/>
      <c r="G3553" s="26"/>
      <c r="L3553" s="25"/>
      <c r="M3553" s="24"/>
      <c r="N3553" s="26"/>
      <c r="O3553" s="26"/>
      <c r="P3553" s="26"/>
      <c r="Q3553" s="26"/>
      <c r="R3553" s="26"/>
      <c r="S3553" s="26"/>
      <c r="T3553" s="26"/>
      <c r="U3553" s="26"/>
      <c r="V3553" s="26"/>
      <c r="W3553" s="26"/>
      <c r="X3553" s="26"/>
      <c r="Y3553" s="26"/>
      <c r="Z3553" s="26"/>
      <c r="AA3553" s="26"/>
      <c r="AB3553" s="26"/>
      <c r="AC3553" s="27"/>
    </row>
    <row r="3554" spans="1:29" x14ac:dyDescent="0.25">
      <c r="A3554" s="1"/>
      <c r="B3554" s="19"/>
      <c r="C3554" s="24"/>
      <c r="D3554" s="1"/>
      <c r="E3554" s="25"/>
      <c r="F3554" s="26"/>
      <c r="G3554" s="26"/>
      <c r="L3554" s="25"/>
      <c r="M3554" s="24"/>
      <c r="N3554" s="26"/>
      <c r="O3554" s="26"/>
      <c r="P3554" s="26"/>
      <c r="Q3554" s="26"/>
      <c r="R3554" s="26"/>
      <c r="S3554" s="26"/>
      <c r="T3554" s="26"/>
      <c r="U3554" s="26"/>
      <c r="V3554" s="26"/>
      <c r="W3554" s="26"/>
      <c r="X3554" s="26"/>
      <c r="Y3554" s="26"/>
      <c r="Z3554" s="26"/>
      <c r="AA3554" s="26"/>
      <c r="AB3554" s="26"/>
      <c r="AC3554" s="27"/>
    </row>
    <row r="3555" spans="1:29" x14ac:dyDescent="0.25">
      <c r="A3555" s="1"/>
      <c r="B3555" s="19"/>
      <c r="C3555" s="24"/>
      <c r="D3555" s="1"/>
      <c r="E3555" s="25"/>
      <c r="F3555" s="26"/>
      <c r="G3555" s="26"/>
      <c r="L3555" s="25"/>
      <c r="M3555" s="24"/>
      <c r="N3555" s="26"/>
      <c r="O3555" s="26"/>
      <c r="P3555" s="26"/>
      <c r="Q3555" s="26"/>
      <c r="R3555" s="26"/>
      <c r="S3555" s="26"/>
      <c r="T3555" s="26"/>
      <c r="U3555" s="26"/>
      <c r="V3555" s="26"/>
      <c r="W3555" s="26"/>
      <c r="X3555" s="26"/>
      <c r="Y3555" s="26"/>
      <c r="Z3555" s="26"/>
      <c r="AA3555" s="26"/>
      <c r="AB3555" s="26"/>
      <c r="AC3555" s="27"/>
    </row>
    <row r="3556" spans="1:29" x14ac:dyDescent="0.25">
      <c r="A3556" s="1"/>
      <c r="B3556" s="19"/>
      <c r="C3556" s="24"/>
      <c r="D3556" s="1"/>
      <c r="E3556" s="25"/>
      <c r="F3556" s="26"/>
      <c r="G3556" s="26"/>
      <c r="L3556" s="25"/>
      <c r="M3556" s="24"/>
      <c r="N3556" s="26"/>
      <c r="O3556" s="26"/>
      <c r="P3556" s="26"/>
      <c r="Q3556" s="26"/>
      <c r="R3556" s="26"/>
      <c r="S3556" s="26"/>
      <c r="T3556" s="26"/>
      <c r="U3556" s="26"/>
      <c r="V3556" s="26"/>
      <c r="W3556" s="26"/>
      <c r="X3556" s="26"/>
      <c r="Y3556" s="26"/>
      <c r="Z3556" s="26"/>
      <c r="AA3556" s="26"/>
      <c r="AB3556" s="26"/>
      <c r="AC3556" s="27"/>
    </row>
    <row r="3557" spans="1:29" x14ac:dyDescent="0.25">
      <c r="A3557" s="1"/>
      <c r="B3557" s="19"/>
      <c r="C3557" s="24"/>
      <c r="D3557" s="1"/>
      <c r="E3557" s="25"/>
      <c r="F3557" s="26"/>
      <c r="G3557" s="26"/>
      <c r="L3557" s="25"/>
      <c r="M3557" s="24"/>
      <c r="N3557" s="26"/>
      <c r="O3557" s="26"/>
      <c r="P3557" s="26"/>
      <c r="Q3557" s="26"/>
      <c r="R3557" s="26"/>
      <c r="S3557" s="26"/>
      <c r="T3557" s="26"/>
      <c r="U3557" s="26"/>
      <c r="V3557" s="26"/>
      <c r="W3557" s="26"/>
      <c r="X3557" s="26"/>
      <c r="Y3557" s="26"/>
      <c r="Z3557" s="26"/>
      <c r="AA3557" s="26"/>
      <c r="AB3557" s="26"/>
      <c r="AC3557" s="27"/>
    </row>
    <row r="3558" spans="1:29" x14ac:dyDescent="0.25">
      <c r="A3558" s="1"/>
      <c r="B3558" s="19"/>
      <c r="C3558" s="24"/>
      <c r="D3558" s="1"/>
      <c r="E3558" s="25"/>
      <c r="F3558" s="26"/>
      <c r="G3558" s="26"/>
      <c r="L3558" s="25"/>
      <c r="M3558" s="24"/>
      <c r="N3558" s="26"/>
      <c r="O3558" s="26"/>
      <c r="P3558" s="26"/>
      <c r="Q3558" s="26"/>
      <c r="R3558" s="26"/>
      <c r="S3558" s="26"/>
      <c r="T3558" s="26"/>
      <c r="U3558" s="26"/>
      <c r="V3558" s="26"/>
      <c r="W3558" s="26"/>
      <c r="X3558" s="26"/>
      <c r="Y3558" s="26"/>
      <c r="Z3558" s="26"/>
      <c r="AA3558" s="26"/>
      <c r="AB3558" s="26"/>
      <c r="AC3558" s="27"/>
    </row>
    <row r="3559" spans="1:29" x14ac:dyDescent="0.25">
      <c r="A3559" s="1"/>
      <c r="B3559" s="19"/>
      <c r="C3559" s="24"/>
      <c r="D3559" s="1"/>
      <c r="E3559" s="25"/>
      <c r="F3559" s="26"/>
      <c r="G3559" s="26"/>
      <c r="L3559" s="25"/>
      <c r="M3559" s="24"/>
      <c r="N3559" s="26"/>
      <c r="O3559" s="26"/>
      <c r="P3559" s="26"/>
      <c r="Q3559" s="26"/>
      <c r="R3559" s="26"/>
      <c r="S3559" s="26"/>
      <c r="T3559" s="26"/>
      <c r="U3559" s="26"/>
      <c r="V3559" s="26"/>
      <c r="W3559" s="26"/>
      <c r="X3559" s="26"/>
      <c r="Y3559" s="26"/>
      <c r="Z3559" s="26"/>
      <c r="AA3559" s="26"/>
      <c r="AB3559" s="26"/>
      <c r="AC3559" s="27"/>
    </row>
    <row r="3560" spans="1:29" x14ac:dyDescent="0.25">
      <c r="A3560" s="1"/>
      <c r="B3560" s="19"/>
      <c r="C3560" s="24"/>
      <c r="D3560" s="1"/>
      <c r="E3560" s="25"/>
      <c r="F3560" s="26"/>
      <c r="G3560" s="26"/>
      <c r="L3560" s="25"/>
      <c r="M3560" s="24"/>
      <c r="N3560" s="26"/>
      <c r="O3560" s="26"/>
      <c r="P3560" s="26"/>
      <c r="Q3560" s="26"/>
      <c r="R3560" s="26"/>
      <c r="S3560" s="26"/>
      <c r="T3560" s="26"/>
      <c r="U3560" s="26"/>
      <c r="V3560" s="26"/>
      <c r="W3560" s="26"/>
      <c r="X3560" s="26"/>
      <c r="Y3560" s="26"/>
      <c r="Z3560" s="26"/>
      <c r="AA3560" s="26"/>
      <c r="AB3560" s="26"/>
      <c r="AC3560" s="27"/>
    </row>
    <row r="3561" spans="1:29" x14ac:dyDescent="0.25">
      <c r="A3561" s="1"/>
      <c r="B3561" s="19"/>
      <c r="C3561" s="24"/>
      <c r="D3561" s="1"/>
      <c r="E3561" s="25"/>
      <c r="F3561" s="26"/>
      <c r="G3561" s="26"/>
      <c r="L3561" s="25"/>
      <c r="M3561" s="24"/>
      <c r="N3561" s="26"/>
      <c r="O3561" s="26"/>
      <c r="P3561" s="26"/>
      <c r="Q3561" s="26"/>
      <c r="R3561" s="26"/>
      <c r="S3561" s="26"/>
      <c r="T3561" s="26"/>
      <c r="U3561" s="26"/>
      <c r="V3561" s="26"/>
      <c r="W3561" s="26"/>
      <c r="X3561" s="26"/>
      <c r="Y3561" s="26"/>
      <c r="Z3561" s="26"/>
      <c r="AA3561" s="26"/>
      <c r="AB3561" s="26"/>
      <c r="AC3561" s="27"/>
    </row>
    <row r="3562" spans="1:29" x14ac:dyDescent="0.25">
      <c r="A3562" s="1"/>
      <c r="B3562" s="19"/>
      <c r="C3562" s="24"/>
      <c r="D3562" s="1"/>
      <c r="E3562" s="25"/>
      <c r="F3562" s="26"/>
      <c r="G3562" s="26"/>
      <c r="L3562" s="25"/>
      <c r="M3562" s="24"/>
      <c r="N3562" s="26"/>
      <c r="O3562" s="26"/>
      <c r="P3562" s="26"/>
      <c r="Q3562" s="26"/>
      <c r="R3562" s="26"/>
      <c r="S3562" s="26"/>
      <c r="T3562" s="26"/>
      <c r="U3562" s="26"/>
      <c r="V3562" s="26"/>
      <c r="W3562" s="26"/>
      <c r="X3562" s="26"/>
      <c r="Y3562" s="26"/>
      <c r="Z3562" s="26"/>
      <c r="AA3562" s="26"/>
      <c r="AB3562" s="26"/>
      <c r="AC3562" s="27"/>
    </row>
    <row r="3563" spans="1:29" x14ac:dyDescent="0.25">
      <c r="A3563" s="1"/>
      <c r="B3563" s="19"/>
      <c r="C3563" s="24"/>
      <c r="D3563" s="1"/>
      <c r="E3563" s="25"/>
      <c r="F3563" s="26"/>
      <c r="G3563" s="26"/>
      <c r="L3563" s="25"/>
      <c r="M3563" s="24"/>
      <c r="N3563" s="26"/>
      <c r="O3563" s="26"/>
      <c r="P3563" s="26"/>
      <c r="Q3563" s="26"/>
      <c r="R3563" s="26"/>
      <c r="S3563" s="26"/>
      <c r="T3563" s="26"/>
      <c r="U3563" s="26"/>
      <c r="V3563" s="26"/>
      <c r="W3563" s="26"/>
      <c r="X3563" s="26"/>
      <c r="Y3563" s="26"/>
      <c r="Z3563" s="26"/>
      <c r="AA3563" s="26"/>
      <c r="AB3563" s="26"/>
      <c r="AC3563" s="27"/>
    </row>
    <row r="3564" spans="1:29" x14ac:dyDescent="0.25">
      <c r="A3564" s="1"/>
      <c r="B3564" s="19"/>
      <c r="C3564" s="24"/>
      <c r="D3564" s="1"/>
      <c r="E3564" s="25"/>
      <c r="F3564" s="26"/>
      <c r="G3564" s="26"/>
      <c r="L3564" s="25"/>
      <c r="M3564" s="24"/>
      <c r="N3564" s="26"/>
      <c r="O3564" s="26"/>
      <c r="P3564" s="26"/>
      <c r="Q3564" s="26"/>
      <c r="R3564" s="26"/>
      <c r="S3564" s="26"/>
      <c r="T3564" s="26"/>
      <c r="U3564" s="26"/>
      <c r="V3564" s="26"/>
      <c r="W3564" s="26"/>
      <c r="X3564" s="26"/>
      <c r="Y3564" s="26"/>
      <c r="Z3564" s="26"/>
      <c r="AA3564" s="26"/>
      <c r="AB3564" s="26"/>
      <c r="AC3564" s="27"/>
    </row>
    <row r="3565" spans="1:29" x14ac:dyDescent="0.25">
      <c r="A3565" s="1"/>
      <c r="B3565" s="19"/>
      <c r="C3565" s="24"/>
      <c r="D3565" s="1"/>
      <c r="E3565" s="25"/>
      <c r="F3565" s="26"/>
      <c r="G3565" s="26"/>
      <c r="L3565" s="25"/>
      <c r="M3565" s="24"/>
      <c r="N3565" s="26"/>
      <c r="O3565" s="26"/>
      <c r="P3565" s="26"/>
      <c r="Q3565" s="26"/>
      <c r="R3565" s="26"/>
      <c r="S3565" s="26"/>
      <c r="T3565" s="26"/>
      <c r="U3565" s="26"/>
      <c r="V3565" s="26"/>
      <c r="W3565" s="26"/>
      <c r="X3565" s="26"/>
      <c r="Y3565" s="26"/>
      <c r="Z3565" s="26"/>
      <c r="AA3565" s="26"/>
      <c r="AB3565" s="26"/>
      <c r="AC3565" s="27"/>
    </row>
    <row r="3566" spans="1:29" x14ac:dyDescent="0.25">
      <c r="A3566" s="1"/>
      <c r="B3566" s="19"/>
      <c r="C3566" s="24"/>
      <c r="D3566" s="1"/>
      <c r="E3566" s="25"/>
      <c r="F3566" s="26"/>
      <c r="G3566" s="26"/>
      <c r="L3566" s="25"/>
      <c r="M3566" s="24"/>
      <c r="N3566" s="26"/>
      <c r="O3566" s="26"/>
      <c r="P3566" s="26"/>
      <c r="Q3566" s="26"/>
      <c r="R3566" s="26"/>
      <c r="S3566" s="26"/>
      <c r="T3566" s="26"/>
      <c r="U3566" s="26"/>
      <c r="V3566" s="26"/>
      <c r="W3566" s="26"/>
      <c r="X3566" s="26"/>
      <c r="Y3566" s="26"/>
      <c r="Z3566" s="26"/>
      <c r="AA3566" s="26"/>
      <c r="AB3566" s="26"/>
      <c r="AC3566" s="27"/>
    </row>
    <row r="3567" spans="1:29" x14ac:dyDescent="0.25">
      <c r="A3567" s="1"/>
      <c r="B3567" s="19"/>
      <c r="C3567" s="24"/>
      <c r="D3567" s="1"/>
      <c r="E3567" s="25"/>
      <c r="F3567" s="26"/>
      <c r="G3567" s="26"/>
      <c r="L3567" s="25"/>
      <c r="M3567" s="24"/>
      <c r="N3567" s="26"/>
      <c r="O3567" s="26"/>
      <c r="P3567" s="26"/>
      <c r="Q3567" s="26"/>
      <c r="R3567" s="26"/>
      <c r="S3567" s="26"/>
      <c r="T3567" s="26"/>
      <c r="U3567" s="26"/>
      <c r="V3567" s="26"/>
      <c r="W3567" s="26"/>
      <c r="X3567" s="26"/>
      <c r="Y3567" s="26"/>
      <c r="Z3567" s="26"/>
      <c r="AA3567" s="26"/>
      <c r="AB3567" s="26"/>
      <c r="AC3567" s="27"/>
    </row>
    <row r="3568" spans="1:29" x14ac:dyDescent="0.25">
      <c r="A3568" s="1"/>
      <c r="B3568" s="19"/>
      <c r="C3568" s="24"/>
      <c r="D3568" s="1"/>
      <c r="E3568" s="25"/>
      <c r="F3568" s="26"/>
      <c r="G3568" s="26"/>
      <c r="L3568" s="25"/>
      <c r="M3568" s="24"/>
      <c r="N3568" s="26"/>
      <c r="O3568" s="26"/>
      <c r="P3568" s="26"/>
      <c r="Q3568" s="26"/>
      <c r="R3568" s="26"/>
      <c r="S3568" s="26"/>
      <c r="T3568" s="26"/>
      <c r="U3568" s="26"/>
      <c r="V3568" s="26"/>
      <c r="W3568" s="26"/>
      <c r="X3568" s="26"/>
      <c r="Y3568" s="26"/>
      <c r="Z3568" s="26"/>
      <c r="AA3568" s="26"/>
      <c r="AB3568" s="26"/>
      <c r="AC3568" s="27"/>
    </row>
    <row r="3569" spans="1:29" x14ac:dyDescent="0.25">
      <c r="A3569" s="1"/>
      <c r="B3569" s="19"/>
      <c r="C3569" s="24"/>
      <c r="D3569" s="1"/>
      <c r="E3569" s="25"/>
      <c r="F3569" s="26"/>
      <c r="G3569" s="26"/>
      <c r="L3569" s="25"/>
      <c r="M3569" s="24"/>
      <c r="N3569" s="26"/>
      <c r="O3569" s="26"/>
      <c r="P3569" s="26"/>
      <c r="Q3569" s="26"/>
      <c r="R3569" s="26"/>
      <c r="S3569" s="26"/>
      <c r="T3569" s="26"/>
      <c r="U3569" s="26"/>
      <c r="V3569" s="26"/>
      <c r="W3569" s="26"/>
      <c r="X3569" s="26"/>
      <c r="Y3569" s="26"/>
      <c r="Z3569" s="26"/>
      <c r="AA3569" s="26"/>
      <c r="AB3569" s="26"/>
      <c r="AC3569" s="27"/>
    </row>
    <row r="3570" spans="1:29" x14ac:dyDescent="0.25">
      <c r="A3570" s="1"/>
      <c r="B3570" s="19"/>
      <c r="C3570" s="24"/>
      <c r="D3570" s="1"/>
      <c r="E3570" s="25"/>
      <c r="F3570" s="26"/>
      <c r="G3570" s="26"/>
      <c r="L3570" s="25"/>
      <c r="M3570" s="24"/>
      <c r="N3570" s="26"/>
      <c r="O3570" s="26"/>
      <c r="P3570" s="26"/>
      <c r="Q3570" s="26"/>
      <c r="R3570" s="26"/>
      <c r="S3570" s="26"/>
      <c r="T3570" s="26"/>
      <c r="U3570" s="26"/>
      <c r="V3570" s="26"/>
      <c r="W3570" s="26"/>
      <c r="X3570" s="26"/>
      <c r="Y3570" s="26"/>
      <c r="Z3570" s="26"/>
      <c r="AA3570" s="26"/>
      <c r="AB3570" s="26"/>
      <c r="AC3570" s="27"/>
    </row>
    <row r="3571" spans="1:29" x14ac:dyDescent="0.25">
      <c r="A3571" s="1"/>
      <c r="B3571" s="19"/>
      <c r="C3571" s="24"/>
      <c r="D3571" s="1"/>
      <c r="E3571" s="25"/>
      <c r="F3571" s="26"/>
      <c r="G3571" s="26"/>
      <c r="L3571" s="25"/>
      <c r="M3571" s="24"/>
      <c r="N3571" s="26"/>
      <c r="O3571" s="26"/>
      <c r="P3571" s="26"/>
      <c r="Q3571" s="26"/>
      <c r="R3571" s="26"/>
      <c r="S3571" s="26"/>
      <c r="T3571" s="26"/>
      <c r="U3571" s="26"/>
      <c r="V3571" s="26"/>
      <c r="W3571" s="26"/>
      <c r="X3571" s="26"/>
      <c r="Y3571" s="26"/>
      <c r="Z3571" s="26"/>
      <c r="AA3571" s="26"/>
      <c r="AB3571" s="26"/>
      <c r="AC3571" s="27"/>
    </row>
    <row r="3572" spans="1:29" x14ac:dyDescent="0.25">
      <c r="A3572" s="1"/>
      <c r="B3572" s="19"/>
      <c r="C3572" s="24"/>
      <c r="D3572" s="1"/>
      <c r="E3572" s="25"/>
      <c r="F3572" s="26"/>
      <c r="G3572" s="26"/>
      <c r="L3572" s="25"/>
      <c r="M3572" s="24"/>
      <c r="N3572" s="26"/>
      <c r="O3572" s="26"/>
      <c r="P3572" s="26"/>
      <c r="Q3572" s="26"/>
      <c r="R3572" s="26"/>
      <c r="S3572" s="26"/>
      <c r="T3572" s="26"/>
      <c r="U3572" s="26"/>
      <c r="V3572" s="26"/>
      <c r="W3572" s="26"/>
      <c r="X3572" s="26"/>
      <c r="Y3572" s="26"/>
      <c r="Z3572" s="26"/>
      <c r="AA3572" s="26"/>
      <c r="AB3572" s="26"/>
      <c r="AC3572" s="27"/>
    </row>
    <row r="3573" spans="1:29" x14ac:dyDescent="0.25">
      <c r="A3573" s="1"/>
      <c r="B3573" s="19"/>
      <c r="C3573" s="24"/>
      <c r="D3573" s="1"/>
      <c r="E3573" s="25"/>
      <c r="F3573" s="26"/>
      <c r="G3573" s="26"/>
      <c r="L3573" s="25"/>
      <c r="M3573" s="24"/>
      <c r="N3573" s="26"/>
      <c r="O3573" s="26"/>
      <c r="P3573" s="26"/>
      <c r="Q3573" s="26"/>
      <c r="R3573" s="26"/>
      <c r="S3573" s="26"/>
      <c r="T3573" s="26"/>
      <c r="U3573" s="26"/>
      <c r="V3573" s="26"/>
      <c r="W3573" s="26"/>
      <c r="X3573" s="26"/>
      <c r="Y3573" s="26"/>
      <c r="Z3573" s="26"/>
      <c r="AA3573" s="26"/>
      <c r="AB3573" s="26"/>
      <c r="AC3573" s="27"/>
    </row>
    <row r="3574" spans="1:29" x14ac:dyDescent="0.25">
      <c r="A3574" s="1"/>
      <c r="B3574" s="19"/>
      <c r="C3574" s="24"/>
      <c r="D3574" s="1"/>
      <c r="E3574" s="25"/>
      <c r="F3574" s="26"/>
      <c r="G3574" s="26"/>
      <c r="L3574" s="25"/>
      <c r="M3574" s="24"/>
      <c r="N3574" s="26"/>
      <c r="O3574" s="26"/>
      <c r="P3574" s="26"/>
      <c r="Q3574" s="26"/>
      <c r="R3574" s="26"/>
      <c r="S3574" s="26"/>
      <c r="T3574" s="26"/>
      <c r="U3574" s="26"/>
      <c r="V3574" s="26"/>
      <c r="W3574" s="26"/>
      <c r="X3574" s="26"/>
      <c r="Y3574" s="26"/>
      <c r="Z3574" s="26"/>
      <c r="AA3574" s="26"/>
      <c r="AB3574" s="26"/>
      <c r="AC3574" s="27"/>
    </row>
    <row r="3575" spans="1:29" x14ac:dyDescent="0.25">
      <c r="A3575" s="1"/>
      <c r="B3575" s="19"/>
      <c r="C3575" s="24"/>
      <c r="D3575" s="1"/>
      <c r="E3575" s="25"/>
      <c r="F3575" s="26"/>
      <c r="G3575" s="26"/>
      <c r="L3575" s="25"/>
      <c r="M3575" s="24"/>
      <c r="N3575" s="26"/>
      <c r="O3575" s="26"/>
      <c r="P3575" s="26"/>
      <c r="Q3575" s="26"/>
      <c r="R3575" s="26"/>
      <c r="S3575" s="26"/>
      <c r="T3575" s="26"/>
      <c r="U3575" s="26"/>
      <c r="V3575" s="26"/>
      <c r="W3575" s="26"/>
      <c r="X3575" s="26"/>
      <c r="Y3575" s="26"/>
      <c r="Z3575" s="26"/>
      <c r="AA3575" s="26"/>
      <c r="AB3575" s="26"/>
      <c r="AC3575" s="27"/>
    </row>
    <row r="3576" spans="1:29" x14ac:dyDescent="0.25">
      <c r="A3576" s="1"/>
      <c r="B3576" s="19"/>
      <c r="C3576" s="24"/>
      <c r="D3576" s="1"/>
      <c r="E3576" s="25"/>
      <c r="F3576" s="26"/>
      <c r="G3576" s="26"/>
      <c r="L3576" s="25"/>
      <c r="M3576" s="24"/>
      <c r="N3576" s="26"/>
      <c r="O3576" s="26"/>
      <c r="P3576" s="26"/>
      <c r="Q3576" s="26"/>
      <c r="R3576" s="26"/>
      <c r="S3576" s="26"/>
      <c r="T3576" s="26"/>
      <c r="U3576" s="26"/>
      <c r="V3576" s="26"/>
      <c r="W3576" s="26"/>
      <c r="X3576" s="26"/>
      <c r="Y3576" s="26"/>
      <c r="Z3576" s="26"/>
      <c r="AA3576" s="26"/>
      <c r="AB3576" s="26"/>
      <c r="AC3576" s="27"/>
    </row>
    <row r="3577" spans="1:29" x14ac:dyDescent="0.25">
      <c r="A3577" s="1"/>
      <c r="B3577" s="19"/>
      <c r="C3577" s="24"/>
      <c r="D3577" s="1"/>
      <c r="E3577" s="25"/>
      <c r="F3577" s="26"/>
      <c r="G3577" s="26"/>
      <c r="L3577" s="25"/>
      <c r="M3577" s="24"/>
      <c r="N3577" s="26"/>
      <c r="O3577" s="26"/>
      <c r="P3577" s="26"/>
      <c r="Q3577" s="26"/>
      <c r="R3577" s="26"/>
      <c r="S3577" s="26"/>
      <c r="T3577" s="26"/>
      <c r="U3577" s="26"/>
      <c r="V3577" s="26"/>
      <c r="W3577" s="26"/>
      <c r="X3577" s="26"/>
      <c r="Y3577" s="26"/>
      <c r="Z3577" s="26"/>
      <c r="AA3577" s="26"/>
      <c r="AB3577" s="26"/>
      <c r="AC3577" s="27"/>
    </row>
    <row r="3578" spans="1:29" x14ac:dyDescent="0.25">
      <c r="A3578" s="1"/>
      <c r="B3578" s="19"/>
      <c r="C3578" s="24"/>
      <c r="D3578" s="1"/>
      <c r="E3578" s="25"/>
      <c r="F3578" s="26"/>
      <c r="G3578" s="26"/>
      <c r="L3578" s="25"/>
      <c r="M3578" s="24"/>
      <c r="N3578" s="26"/>
      <c r="O3578" s="26"/>
      <c r="P3578" s="26"/>
      <c r="Q3578" s="26"/>
      <c r="R3578" s="26"/>
      <c r="S3578" s="26"/>
      <c r="T3578" s="26"/>
      <c r="U3578" s="26"/>
      <c r="V3578" s="26"/>
      <c r="W3578" s="26"/>
      <c r="X3578" s="26"/>
      <c r="Y3578" s="26"/>
      <c r="Z3578" s="26"/>
      <c r="AA3578" s="26"/>
      <c r="AB3578" s="26"/>
      <c r="AC3578" s="27"/>
    </row>
    <row r="3579" spans="1:29" x14ac:dyDescent="0.25">
      <c r="A3579" s="1"/>
      <c r="B3579" s="19"/>
      <c r="C3579" s="24"/>
      <c r="D3579" s="1"/>
      <c r="E3579" s="25"/>
      <c r="F3579" s="26"/>
      <c r="G3579" s="26"/>
      <c r="L3579" s="25"/>
      <c r="M3579" s="24"/>
      <c r="N3579" s="26"/>
      <c r="O3579" s="26"/>
      <c r="P3579" s="26"/>
      <c r="Q3579" s="26"/>
      <c r="R3579" s="26"/>
      <c r="S3579" s="26"/>
      <c r="T3579" s="26"/>
      <c r="U3579" s="26"/>
      <c r="V3579" s="26"/>
      <c r="W3579" s="26"/>
      <c r="X3579" s="26"/>
      <c r="Y3579" s="26"/>
      <c r="Z3579" s="26"/>
      <c r="AA3579" s="26"/>
      <c r="AB3579" s="26"/>
      <c r="AC3579" s="27"/>
    </row>
    <row r="3580" spans="1:29" x14ac:dyDescent="0.25">
      <c r="A3580" s="1"/>
      <c r="B3580" s="19"/>
      <c r="C3580" s="24"/>
      <c r="D3580" s="1"/>
      <c r="E3580" s="25"/>
      <c r="F3580" s="26"/>
      <c r="G3580" s="26"/>
      <c r="L3580" s="25"/>
      <c r="M3580" s="24"/>
      <c r="N3580" s="26"/>
      <c r="O3580" s="26"/>
      <c r="P3580" s="26"/>
      <c r="Q3580" s="26"/>
      <c r="R3580" s="26"/>
      <c r="S3580" s="26"/>
      <c r="T3580" s="26"/>
      <c r="U3580" s="26"/>
      <c r="V3580" s="26"/>
      <c r="W3580" s="26"/>
      <c r="X3580" s="26"/>
      <c r="Y3580" s="26"/>
      <c r="Z3580" s="26"/>
      <c r="AA3580" s="26"/>
      <c r="AB3580" s="26"/>
      <c r="AC3580" s="27"/>
    </row>
    <row r="3581" spans="1:29" x14ac:dyDescent="0.25">
      <c r="A3581" s="1"/>
      <c r="B3581" s="19"/>
      <c r="C3581" s="24"/>
      <c r="D3581" s="1"/>
      <c r="E3581" s="25"/>
      <c r="F3581" s="26"/>
      <c r="G3581" s="26"/>
      <c r="L3581" s="25"/>
      <c r="M3581" s="24"/>
      <c r="N3581" s="26"/>
      <c r="O3581" s="26"/>
      <c r="P3581" s="26"/>
      <c r="Q3581" s="26"/>
      <c r="R3581" s="26"/>
      <c r="S3581" s="26"/>
      <c r="T3581" s="26"/>
      <c r="U3581" s="26"/>
      <c r="V3581" s="26"/>
      <c r="W3581" s="26"/>
      <c r="X3581" s="26"/>
      <c r="Y3581" s="26"/>
      <c r="Z3581" s="26"/>
      <c r="AA3581" s="26"/>
      <c r="AB3581" s="26"/>
      <c r="AC3581" s="27"/>
    </row>
    <row r="3582" spans="1:29" x14ac:dyDescent="0.25">
      <c r="A3582" s="1"/>
      <c r="B3582" s="19"/>
      <c r="C3582" s="24"/>
      <c r="D3582" s="1"/>
      <c r="E3582" s="25"/>
      <c r="F3582" s="26"/>
      <c r="G3582" s="26"/>
      <c r="L3582" s="25"/>
      <c r="M3582" s="24"/>
      <c r="N3582" s="26"/>
      <c r="O3582" s="26"/>
      <c r="P3582" s="26"/>
      <c r="Q3582" s="26"/>
      <c r="R3582" s="26"/>
      <c r="S3582" s="26"/>
      <c r="T3582" s="26"/>
      <c r="U3582" s="26"/>
      <c r="V3582" s="26"/>
      <c r="W3582" s="26"/>
      <c r="X3582" s="26"/>
      <c r="Y3582" s="26"/>
      <c r="Z3582" s="26"/>
      <c r="AA3582" s="26"/>
      <c r="AB3582" s="26"/>
      <c r="AC3582" s="27"/>
    </row>
    <row r="3583" spans="1:29" x14ac:dyDescent="0.25">
      <c r="A3583" s="1"/>
      <c r="B3583" s="19"/>
      <c r="C3583" s="24"/>
      <c r="D3583" s="1"/>
      <c r="E3583" s="25"/>
      <c r="F3583" s="26"/>
      <c r="G3583" s="26"/>
      <c r="L3583" s="25"/>
      <c r="M3583" s="24"/>
      <c r="N3583" s="26"/>
      <c r="O3583" s="26"/>
      <c r="P3583" s="26"/>
      <c r="Q3583" s="26"/>
      <c r="R3583" s="26"/>
      <c r="S3583" s="26"/>
      <c r="T3583" s="26"/>
      <c r="U3583" s="26"/>
      <c r="V3583" s="26"/>
      <c r="W3583" s="26"/>
      <c r="X3583" s="26"/>
      <c r="Y3583" s="26"/>
      <c r="Z3583" s="26"/>
      <c r="AA3583" s="26"/>
      <c r="AB3583" s="26"/>
      <c r="AC3583" s="27"/>
    </row>
    <row r="3584" spans="1:29" x14ac:dyDescent="0.25">
      <c r="A3584" s="1"/>
      <c r="B3584" s="19"/>
      <c r="C3584" s="24"/>
      <c r="D3584" s="1"/>
      <c r="E3584" s="25"/>
      <c r="F3584" s="26"/>
      <c r="G3584" s="26"/>
      <c r="L3584" s="25"/>
      <c r="M3584" s="24"/>
      <c r="N3584" s="26"/>
      <c r="O3584" s="26"/>
      <c r="P3584" s="26"/>
      <c r="Q3584" s="26"/>
      <c r="R3584" s="26"/>
      <c r="S3584" s="26"/>
      <c r="T3584" s="26"/>
      <c r="U3584" s="26"/>
      <c r="V3584" s="26"/>
      <c r="W3584" s="26"/>
      <c r="X3584" s="26"/>
      <c r="Y3584" s="26"/>
      <c r="Z3584" s="26"/>
      <c r="AA3584" s="26"/>
      <c r="AB3584" s="26"/>
      <c r="AC3584" s="27"/>
    </row>
    <row r="3585" spans="1:29" x14ac:dyDescent="0.25">
      <c r="A3585" s="1"/>
      <c r="B3585" s="19"/>
      <c r="C3585" s="24"/>
      <c r="D3585" s="1"/>
      <c r="E3585" s="25"/>
      <c r="F3585" s="26"/>
      <c r="G3585" s="26"/>
      <c r="L3585" s="25"/>
      <c r="M3585" s="24"/>
      <c r="N3585" s="26"/>
      <c r="O3585" s="26"/>
      <c r="P3585" s="26"/>
      <c r="Q3585" s="26"/>
      <c r="R3585" s="26"/>
      <c r="S3585" s="26"/>
      <c r="T3585" s="26"/>
      <c r="U3585" s="26"/>
      <c r="V3585" s="26"/>
      <c r="W3585" s="26"/>
      <c r="X3585" s="26"/>
      <c r="Y3585" s="26"/>
      <c r="Z3585" s="26"/>
      <c r="AA3585" s="26"/>
      <c r="AB3585" s="26"/>
      <c r="AC3585" s="27"/>
    </row>
    <row r="3586" spans="1:29" x14ac:dyDescent="0.25">
      <c r="A3586" s="1"/>
      <c r="B3586" s="19"/>
      <c r="C3586" s="24"/>
      <c r="D3586" s="1"/>
      <c r="E3586" s="25"/>
      <c r="F3586" s="26"/>
      <c r="G3586" s="26"/>
      <c r="L3586" s="25"/>
      <c r="M3586" s="24"/>
      <c r="N3586" s="26"/>
      <c r="O3586" s="26"/>
      <c r="P3586" s="26"/>
      <c r="Q3586" s="26"/>
      <c r="R3586" s="26"/>
      <c r="S3586" s="26"/>
      <c r="T3586" s="26"/>
      <c r="U3586" s="26"/>
      <c r="V3586" s="26"/>
      <c r="W3586" s="26"/>
      <c r="X3586" s="26"/>
      <c r="Y3586" s="26"/>
      <c r="Z3586" s="26"/>
      <c r="AA3586" s="26"/>
      <c r="AB3586" s="26"/>
      <c r="AC3586" s="27"/>
    </row>
    <row r="3587" spans="1:29" x14ac:dyDescent="0.25">
      <c r="A3587" s="1"/>
      <c r="B3587" s="19"/>
      <c r="C3587" s="24"/>
      <c r="D3587" s="1"/>
      <c r="E3587" s="25"/>
      <c r="F3587" s="26"/>
      <c r="G3587" s="26"/>
      <c r="L3587" s="25"/>
      <c r="M3587" s="24"/>
      <c r="N3587" s="26"/>
      <c r="O3587" s="26"/>
      <c r="P3587" s="26"/>
      <c r="Q3587" s="26"/>
      <c r="R3587" s="26"/>
      <c r="S3587" s="26"/>
      <c r="T3587" s="26"/>
      <c r="U3587" s="26"/>
      <c r="V3587" s="26"/>
      <c r="W3587" s="26"/>
      <c r="X3587" s="26"/>
      <c r="Y3587" s="26"/>
      <c r="Z3587" s="26"/>
      <c r="AA3587" s="26"/>
      <c r="AB3587" s="26"/>
      <c r="AC3587" s="27"/>
    </row>
    <row r="3588" spans="1:29" x14ac:dyDescent="0.25">
      <c r="A3588" s="1"/>
      <c r="B3588" s="19"/>
      <c r="C3588" s="24"/>
      <c r="D3588" s="1"/>
      <c r="E3588" s="25"/>
      <c r="F3588" s="26"/>
      <c r="G3588" s="26"/>
      <c r="L3588" s="25"/>
      <c r="M3588" s="24"/>
      <c r="N3588" s="26"/>
      <c r="O3588" s="26"/>
      <c r="P3588" s="26"/>
      <c r="Q3588" s="26"/>
      <c r="R3588" s="26"/>
      <c r="S3588" s="26"/>
      <c r="T3588" s="26"/>
      <c r="U3588" s="26"/>
      <c r="V3588" s="26"/>
      <c r="W3588" s="26"/>
      <c r="X3588" s="26"/>
      <c r="Y3588" s="26"/>
      <c r="Z3588" s="26"/>
      <c r="AA3588" s="26"/>
      <c r="AB3588" s="26"/>
      <c r="AC3588" s="27"/>
    </row>
    <row r="3589" spans="1:29" x14ac:dyDescent="0.25">
      <c r="A3589" s="1"/>
      <c r="B3589" s="19"/>
      <c r="C3589" s="24"/>
      <c r="D3589" s="1"/>
      <c r="E3589" s="25"/>
      <c r="F3589" s="26"/>
      <c r="G3589" s="26"/>
      <c r="L3589" s="25"/>
      <c r="M3589" s="24"/>
      <c r="N3589" s="26"/>
      <c r="O3589" s="26"/>
      <c r="P3589" s="26"/>
      <c r="Q3589" s="26"/>
      <c r="R3589" s="26"/>
      <c r="S3589" s="26"/>
      <c r="T3589" s="26"/>
      <c r="U3589" s="26"/>
      <c r="V3589" s="26"/>
      <c r="W3589" s="26"/>
      <c r="X3589" s="26"/>
      <c r="Y3589" s="26"/>
      <c r="Z3589" s="26"/>
      <c r="AA3589" s="26"/>
      <c r="AB3589" s="26"/>
      <c r="AC3589" s="27"/>
    </row>
    <row r="3590" spans="1:29" x14ac:dyDescent="0.25">
      <c r="A3590" s="1"/>
      <c r="B3590" s="19"/>
      <c r="C3590" s="24"/>
      <c r="D3590" s="1"/>
      <c r="E3590" s="25"/>
      <c r="F3590" s="26"/>
      <c r="G3590" s="26"/>
      <c r="L3590" s="25"/>
      <c r="M3590" s="24"/>
      <c r="N3590" s="26"/>
      <c r="O3590" s="26"/>
      <c r="P3590" s="26"/>
      <c r="Q3590" s="26"/>
      <c r="R3590" s="26"/>
      <c r="S3590" s="26"/>
      <c r="T3590" s="26"/>
      <c r="U3590" s="26"/>
      <c r="V3590" s="26"/>
      <c r="W3590" s="26"/>
      <c r="X3590" s="26"/>
      <c r="Y3590" s="26"/>
      <c r="Z3590" s="26"/>
      <c r="AA3590" s="26"/>
      <c r="AB3590" s="26"/>
      <c r="AC3590" s="27"/>
    </row>
    <row r="3591" spans="1:29" x14ac:dyDescent="0.25">
      <c r="A3591" s="1"/>
      <c r="B3591" s="19"/>
      <c r="C3591" s="24"/>
      <c r="D3591" s="1"/>
      <c r="E3591" s="25"/>
      <c r="F3591" s="26"/>
      <c r="G3591" s="26"/>
      <c r="L3591" s="25"/>
      <c r="M3591" s="24"/>
      <c r="N3591" s="26"/>
      <c r="O3591" s="26"/>
      <c r="P3591" s="26"/>
      <c r="Q3591" s="26"/>
      <c r="R3591" s="26"/>
      <c r="S3591" s="26"/>
      <c r="T3591" s="26"/>
      <c r="U3591" s="26"/>
      <c r="V3591" s="26"/>
      <c r="W3591" s="26"/>
      <c r="X3591" s="26"/>
      <c r="Y3591" s="26"/>
      <c r="Z3591" s="26"/>
      <c r="AA3591" s="26"/>
      <c r="AB3591" s="26"/>
      <c r="AC3591" s="27"/>
    </row>
    <row r="3592" spans="1:29" x14ac:dyDescent="0.25">
      <c r="A3592" s="1"/>
      <c r="B3592" s="19"/>
      <c r="C3592" s="24"/>
      <c r="D3592" s="1"/>
      <c r="E3592" s="25"/>
      <c r="F3592" s="26"/>
      <c r="G3592" s="26"/>
      <c r="L3592" s="25"/>
      <c r="M3592" s="24"/>
      <c r="N3592" s="26"/>
      <c r="O3592" s="26"/>
      <c r="P3592" s="26"/>
      <c r="Q3592" s="26"/>
      <c r="R3592" s="26"/>
      <c r="S3592" s="26"/>
      <c r="T3592" s="26"/>
      <c r="U3592" s="26"/>
      <c r="V3592" s="26"/>
      <c r="W3592" s="26"/>
      <c r="X3592" s="26"/>
      <c r="Y3592" s="26"/>
      <c r="Z3592" s="26"/>
      <c r="AA3592" s="26"/>
      <c r="AB3592" s="26"/>
      <c r="AC3592" s="27"/>
    </row>
    <row r="3593" spans="1:29" x14ac:dyDescent="0.25">
      <c r="A3593" s="1"/>
      <c r="B3593" s="19"/>
      <c r="C3593" s="24"/>
      <c r="D3593" s="1"/>
      <c r="E3593" s="25"/>
      <c r="F3593" s="26"/>
      <c r="G3593" s="26"/>
      <c r="L3593" s="25"/>
      <c r="M3593" s="24"/>
      <c r="N3593" s="26"/>
      <c r="O3593" s="26"/>
      <c r="P3593" s="26"/>
      <c r="Q3593" s="26"/>
      <c r="R3593" s="26"/>
      <c r="S3593" s="26"/>
      <c r="T3593" s="26"/>
      <c r="U3593" s="26"/>
      <c r="V3593" s="26"/>
      <c r="W3593" s="26"/>
      <c r="X3593" s="26"/>
      <c r="Y3593" s="26"/>
      <c r="Z3593" s="26"/>
      <c r="AA3593" s="26"/>
      <c r="AB3593" s="26"/>
      <c r="AC3593" s="27"/>
    </row>
    <row r="3594" spans="1:29" x14ac:dyDescent="0.25">
      <c r="A3594" s="1"/>
      <c r="B3594" s="19"/>
      <c r="C3594" s="24"/>
      <c r="D3594" s="1"/>
      <c r="E3594" s="25"/>
      <c r="F3594" s="26"/>
      <c r="G3594" s="26"/>
      <c r="L3594" s="25"/>
      <c r="M3594" s="24"/>
      <c r="N3594" s="26"/>
      <c r="O3594" s="26"/>
      <c r="P3594" s="26"/>
      <c r="Q3594" s="26"/>
      <c r="R3594" s="26"/>
      <c r="S3594" s="26"/>
      <c r="T3594" s="26"/>
      <c r="U3594" s="26"/>
      <c r="V3594" s="26"/>
      <c r="W3594" s="26"/>
      <c r="X3594" s="26"/>
      <c r="Y3594" s="26"/>
      <c r="Z3594" s="26"/>
      <c r="AA3594" s="26"/>
      <c r="AB3594" s="26"/>
      <c r="AC3594" s="27"/>
    </row>
    <row r="3595" spans="1:29" x14ac:dyDescent="0.25">
      <c r="A3595" s="1"/>
      <c r="B3595" s="19"/>
      <c r="C3595" s="24"/>
      <c r="D3595" s="1"/>
      <c r="E3595" s="25"/>
      <c r="F3595" s="26"/>
      <c r="G3595" s="26"/>
      <c r="L3595" s="25"/>
      <c r="M3595" s="24"/>
      <c r="N3595" s="26"/>
      <c r="O3595" s="26"/>
      <c r="P3595" s="26"/>
      <c r="Q3595" s="26"/>
      <c r="R3595" s="26"/>
      <c r="S3595" s="26"/>
      <c r="T3595" s="26"/>
      <c r="U3595" s="26"/>
      <c r="V3595" s="26"/>
      <c r="W3595" s="26"/>
      <c r="X3595" s="26"/>
      <c r="Y3595" s="26"/>
      <c r="Z3595" s="26"/>
      <c r="AA3595" s="26"/>
      <c r="AB3595" s="26"/>
      <c r="AC3595" s="27"/>
    </row>
    <row r="3596" spans="1:29" x14ac:dyDescent="0.25">
      <c r="A3596" s="1"/>
      <c r="B3596" s="19"/>
      <c r="C3596" s="24"/>
      <c r="D3596" s="1"/>
      <c r="E3596" s="25"/>
      <c r="F3596" s="26"/>
      <c r="G3596" s="26"/>
      <c r="L3596" s="25"/>
      <c r="M3596" s="24"/>
      <c r="N3596" s="26"/>
      <c r="O3596" s="26"/>
      <c r="P3596" s="26"/>
      <c r="Q3596" s="26"/>
      <c r="R3596" s="26"/>
      <c r="S3596" s="26"/>
      <c r="T3596" s="26"/>
      <c r="U3596" s="26"/>
      <c r="V3596" s="26"/>
      <c r="W3596" s="26"/>
      <c r="X3596" s="26"/>
      <c r="Y3596" s="26"/>
      <c r="Z3596" s="26"/>
      <c r="AA3596" s="26"/>
      <c r="AB3596" s="26"/>
      <c r="AC3596" s="27"/>
    </row>
    <row r="3597" spans="1:29" x14ac:dyDescent="0.25">
      <c r="A3597" s="1"/>
      <c r="B3597" s="19"/>
      <c r="C3597" s="24"/>
      <c r="D3597" s="1"/>
      <c r="E3597" s="25"/>
      <c r="F3597" s="26"/>
      <c r="G3597" s="26"/>
      <c r="L3597" s="25"/>
      <c r="M3597" s="24"/>
      <c r="N3597" s="26"/>
      <c r="O3597" s="26"/>
      <c r="P3597" s="26"/>
      <c r="Q3597" s="26"/>
      <c r="R3597" s="26"/>
      <c r="S3597" s="26"/>
      <c r="T3597" s="26"/>
      <c r="U3597" s="26"/>
      <c r="V3597" s="26"/>
      <c r="W3597" s="26"/>
      <c r="X3597" s="26"/>
      <c r="Y3597" s="26"/>
      <c r="Z3597" s="26"/>
      <c r="AA3597" s="26"/>
      <c r="AB3597" s="26"/>
      <c r="AC3597" s="27"/>
    </row>
    <row r="3598" spans="1:29" x14ac:dyDescent="0.25">
      <c r="A3598" s="1"/>
      <c r="B3598" s="19"/>
      <c r="C3598" s="24"/>
      <c r="D3598" s="1"/>
      <c r="E3598" s="25"/>
      <c r="F3598" s="26"/>
      <c r="G3598" s="26"/>
      <c r="L3598" s="25"/>
      <c r="M3598" s="24"/>
      <c r="N3598" s="26"/>
      <c r="O3598" s="26"/>
      <c r="P3598" s="26"/>
      <c r="Q3598" s="26"/>
      <c r="R3598" s="26"/>
      <c r="S3598" s="26"/>
      <c r="T3598" s="26"/>
      <c r="U3598" s="26"/>
      <c r="V3598" s="26"/>
      <c r="W3598" s="26"/>
      <c r="X3598" s="26"/>
      <c r="Y3598" s="26"/>
      <c r="Z3598" s="26"/>
      <c r="AA3598" s="26"/>
      <c r="AB3598" s="26"/>
      <c r="AC3598" s="27"/>
    </row>
    <row r="3599" spans="1:29" x14ac:dyDescent="0.25">
      <c r="A3599" s="1"/>
      <c r="B3599" s="19"/>
      <c r="C3599" s="24"/>
      <c r="D3599" s="1"/>
      <c r="E3599" s="25"/>
      <c r="F3599" s="26"/>
      <c r="G3599" s="26"/>
      <c r="L3599" s="25"/>
      <c r="M3599" s="24"/>
      <c r="N3599" s="26"/>
      <c r="O3599" s="26"/>
      <c r="P3599" s="26"/>
      <c r="Q3599" s="26"/>
      <c r="R3599" s="26"/>
      <c r="S3599" s="26"/>
      <c r="T3599" s="26"/>
      <c r="U3599" s="26"/>
      <c r="V3599" s="26"/>
      <c r="W3599" s="26"/>
      <c r="X3599" s="26"/>
      <c r="Y3599" s="26"/>
      <c r="Z3599" s="26"/>
      <c r="AA3599" s="26"/>
      <c r="AB3599" s="26"/>
      <c r="AC3599" s="27"/>
    </row>
    <row r="3600" spans="1:29" x14ac:dyDescent="0.25">
      <c r="A3600" s="1"/>
      <c r="B3600" s="19"/>
      <c r="C3600" s="24"/>
      <c r="D3600" s="1"/>
      <c r="E3600" s="25"/>
      <c r="F3600" s="26"/>
      <c r="G3600" s="26"/>
      <c r="L3600" s="25"/>
      <c r="M3600" s="24"/>
      <c r="N3600" s="26"/>
      <c r="O3600" s="26"/>
      <c r="P3600" s="26"/>
      <c r="Q3600" s="26"/>
      <c r="R3600" s="26"/>
      <c r="S3600" s="26"/>
      <c r="T3600" s="26"/>
      <c r="U3600" s="26"/>
      <c r="V3600" s="26"/>
      <c r="W3600" s="26"/>
      <c r="X3600" s="26"/>
      <c r="Y3600" s="26"/>
      <c r="Z3600" s="26"/>
      <c r="AA3600" s="26"/>
      <c r="AB3600" s="26"/>
      <c r="AC3600" s="27"/>
    </row>
    <row r="3601" spans="1:29" x14ac:dyDescent="0.25">
      <c r="A3601" s="1"/>
      <c r="B3601" s="19"/>
      <c r="C3601" s="24"/>
      <c r="D3601" s="1"/>
      <c r="E3601" s="25"/>
      <c r="F3601" s="26"/>
      <c r="G3601" s="26"/>
      <c r="L3601" s="25"/>
      <c r="M3601" s="24"/>
      <c r="N3601" s="26"/>
      <c r="O3601" s="26"/>
      <c r="P3601" s="26"/>
      <c r="Q3601" s="26"/>
      <c r="R3601" s="26"/>
      <c r="S3601" s="26"/>
      <c r="T3601" s="26"/>
      <c r="U3601" s="26"/>
      <c r="V3601" s="26"/>
      <c r="W3601" s="26"/>
      <c r="X3601" s="26"/>
      <c r="Y3601" s="26"/>
      <c r="Z3601" s="26"/>
      <c r="AA3601" s="26"/>
      <c r="AB3601" s="26"/>
      <c r="AC3601" s="27"/>
    </row>
    <row r="3602" spans="1:29" x14ac:dyDescent="0.25">
      <c r="A3602" s="1"/>
      <c r="B3602" s="19"/>
      <c r="C3602" s="24"/>
      <c r="D3602" s="1"/>
      <c r="E3602" s="25"/>
      <c r="F3602" s="26"/>
      <c r="G3602" s="26"/>
      <c r="L3602" s="25"/>
      <c r="M3602" s="24"/>
      <c r="N3602" s="26"/>
      <c r="O3602" s="26"/>
      <c r="P3602" s="26"/>
      <c r="Q3602" s="26"/>
      <c r="R3602" s="26"/>
      <c r="S3602" s="26"/>
      <c r="T3602" s="26"/>
      <c r="U3602" s="26"/>
      <c r="V3602" s="26"/>
      <c r="W3602" s="26"/>
      <c r="X3602" s="26"/>
      <c r="Y3602" s="26"/>
      <c r="Z3602" s="26"/>
      <c r="AA3602" s="26"/>
      <c r="AB3602" s="26"/>
      <c r="AC3602" s="27"/>
    </row>
    <row r="3603" spans="1:29" x14ac:dyDescent="0.25">
      <c r="A3603" s="1"/>
      <c r="B3603" s="19"/>
      <c r="C3603" s="24"/>
      <c r="D3603" s="1"/>
      <c r="E3603" s="25"/>
      <c r="F3603" s="26"/>
      <c r="G3603" s="26"/>
      <c r="L3603" s="25"/>
      <c r="M3603" s="24"/>
      <c r="N3603" s="26"/>
      <c r="O3603" s="26"/>
      <c r="P3603" s="26"/>
      <c r="Q3603" s="26"/>
      <c r="R3603" s="26"/>
      <c r="S3603" s="26"/>
      <c r="T3603" s="26"/>
      <c r="U3603" s="26"/>
      <c r="V3603" s="26"/>
      <c r="W3603" s="26"/>
      <c r="X3603" s="26"/>
      <c r="Y3603" s="26"/>
      <c r="Z3603" s="26"/>
      <c r="AA3603" s="26"/>
      <c r="AB3603" s="26"/>
      <c r="AC3603" s="27"/>
    </row>
    <row r="3604" spans="1:29" x14ac:dyDescent="0.25">
      <c r="A3604" s="1"/>
      <c r="B3604" s="19"/>
      <c r="C3604" s="24"/>
      <c r="D3604" s="1"/>
      <c r="E3604" s="25"/>
      <c r="F3604" s="26"/>
      <c r="G3604" s="26"/>
      <c r="L3604" s="25"/>
      <c r="M3604" s="24"/>
      <c r="N3604" s="26"/>
      <c r="O3604" s="26"/>
      <c r="P3604" s="26"/>
      <c r="Q3604" s="26"/>
      <c r="R3604" s="26"/>
      <c r="S3604" s="26"/>
      <c r="T3604" s="26"/>
      <c r="U3604" s="26"/>
      <c r="V3604" s="26"/>
      <c r="W3604" s="26"/>
      <c r="X3604" s="26"/>
      <c r="Y3604" s="26"/>
      <c r="Z3604" s="26"/>
      <c r="AA3604" s="26"/>
      <c r="AB3604" s="26"/>
      <c r="AC3604" s="27"/>
    </row>
    <row r="3605" spans="1:29" x14ac:dyDescent="0.25">
      <c r="A3605" s="1"/>
      <c r="B3605" s="19"/>
      <c r="C3605" s="24"/>
      <c r="D3605" s="1"/>
      <c r="E3605" s="25"/>
      <c r="F3605" s="26"/>
      <c r="G3605" s="26"/>
      <c r="L3605" s="25"/>
      <c r="M3605" s="24"/>
      <c r="N3605" s="26"/>
      <c r="O3605" s="26"/>
      <c r="P3605" s="26"/>
      <c r="Q3605" s="26"/>
      <c r="R3605" s="26"/>
      <c r="S3605" s="26"/>
      <c r="T3605" s="26"/>
      <c r="U3605" s="26"/>
      <c r="V3605" s="26"/>
      <c r="W3605" s="26"/>
      <c r="X3605" s="26"/>
      <c r="Y3605" s="26"/>
      <c r="Z3605" s="26"/>
      <c r="AA3605" s="26"/>
      <c r="AB3605" s="26"/>
      <c r="AC3605" s="27"/>
    </row>
    <row r="3606" spans="1:29" x14ac:dyDescent="0.25">
      <c r="A3606" s="1"/>
      <c r="B3606" s="19"/>
      <c r="C3606" s="24"/>
      <c r="D3606" s="1"/>
      <c r="E3606" s="25"/>
      <c r="F3606" s="26"/>
      <c r="G3606" s="26"/>
      <c r="L3606" s="25"/>
      <c r="M3606" s="24"/>
      <c r="N3606" s="26"/>
      <c r="O3606" s="26"/>
      <c r="P3606" s="26"/>
      <c r="Q3606" s="26"/>
      <c r="R3606" s="26"/>
      <c r="S3606" s="26"/>
      <c r="T3606" s="26"/>
      <c r="U3606" s="26"/>
      <c r="V3606" s="26"/>
      <c r="W3606" s="26"/>
      <c r="X3606" s="26"/>
      <c r="Y3606" s="26"/>
      <c r="Z3606" s="26"/>
      <c r="AA3606" s="26"/>
      <c r="AB3606" s="26"/>
      <c r="AC3606" s="27"/>
    </row>
    <row r="3607" spans="1:29" x14ac:dyDescent="0.25">
      <c r="A3607" s="1"/>
      <c r="B3607" s="19"/>
      <c r="C3607" s="24"/>
      <c r="D3607" s="1"/>
      <c r="E3607" s="25"/>
      <c r="F3607" s="26"/>
      <c r="G3607" s="26"/>
      <c r="L3607" s="25"/>
      <c r="M3607" s="24"/>
      <c r="N3607" s="26"/>
      <c r="O3607" s="26"/>
      <c r="P3607" s="26"/>
      <c r="Q3607" s="26"/>
      <c r="R3607" s="26"/>
      <c r="S3607" s="26"/>
      <c r="T3607" s="26"/>
      <c r="U3607" s="26"/>
      <c r="V3607" s="26"/>
      <c r="W3607" s="26"/>
      <c r="X3607" s="26"/>
      <c r="Y3607" s="26"/>
      <c r="Z3607" s="26"/>
      <c r="AA3607" s="26"/>
      <c r="AB3607" s="26"/>
      <c r="AC3607" s="27"/>
    </row>
    <row r="3608" spans="1:29" x14ac:dyDescent="0.25">
      <c r="A3608" s="1"/>
      <c r="B3608" s="19"/>
      <c r="C3608" s="24"/>
      <c r="D3608" s="1"/>
      <c r="E3608" s="25"/>
      <c r="F3608" s="26"/>
      <c r="G3608" s="26"/>
      <c r="L3608" s="25"/>
      <c r="M3608" s="24"/>
      <c r="N3608" s="26"/>
      <c r="O3608" s="26"/>
      <c r="P3608" s="26"/>
      <c r="Q3608" s="26"/>
      <c r="R3608" s="26"/>
      <c r="S3608" s="26"/>
      <c r="T3608" s="26"/>
      <c r="U3608" s="26"/>
      <c r="V3608" s="26"/>
      <c r="W3608" s="26"/>
      <c r="X3608" s="26"/>
      <c r="Y3608" s="26"/>
      <c r="Z3608" s="26"/>
      <c r="AA3608" s="26"/>
      <c r="AB3608" s="26"/>
      <c r="AC3608" s="27"/>
    </row>
    <row r="3609" spans="1:29" x14ac:dyDescent="0.25">
      <c r="A3609" s="1"/>
      <c r="B3609" s="19"/>
      <c r="C3609" s="24"/>
      <c r="D3609" s="1"/>
      <c r="E3609" s="25"/>
      <c r="F3609" s="26"/>
      <c r="G3609" s="26"/>
      <c r="L3609" s="25"/>
      <c r="M3609" s="24"/>
      <c r="N3609" s="26"/>
      <c r="O3609" s="26"/>
      <c r="P3609" s="26"/>
      <c r="Q3609" s="26"/>
      <c r="R3609" s="26"/>
      <c r="S3609" s="26"/>
      <c r="T3609" s="26"/>
      <c r="U3609" s="26"/>
      <c r="V3609" s="26"/>
      <c r="W3609" s="26"/>
      <c r="X3609" s="26"/>
      <c r="Y3609" s="26"/>
      <c r="Z3609" s="26"/>
      <c r="AA3609" s="26"/>
      <c r="AB3609" s="26"/>
      <c r="AC3609" s="27"/>
    </row>
    <row r="3610" spans="1:29" x14ac:dyDescent="0.25">
      <c r="A3610" s="1"/>
      <c r="B3610" s="19"/>
      <c r="C3610" s="24"/>
      <c r="D3610" s="1"/>
      <c r="E3610" s="25"/>
      <c r="F3610" s="26"/>
      <c r="G3610" s="26"/>
      <c r="L3610" s="25"/>
      <c r="M3610" s="24"/>
      <c r="N3610" s="26"/>
      <c r="O3610" s="26"/>
      <c r="P3610" s="26"/>
      <c r="Q3610" s="26"/>
      <c r="R3610" s="26"/>
      <c r="S3610" s="26"/>
      <c r="T3610" s="26"/>
      <c r="U3610" s="26"/>
      <c r="V3610" s="26"/>
      <c r="W3610" s="26"/>
      <c r="X3610" s="26"/>
      <c r="Y3610" s="26"/>
      <c r="Z3610" s="26"/>
      <c r="AA3610" s="26"/>
      <c r="AB3610" s="26"/>
      <c r="AC3610" s="27"/>
    </row>
    <row r="3611" spans="1:29" x14ac:dyDescent="0.25">
      <c r="A3611" s="1"/>
      <c r="B3611" s="19"/>
      <c r="C3611" s="24"/>
      <c r="D3611" s="1"/>
      <c r="E3611" s="25"/>
      <c r="F3611" s="26"/>
      <c r="G3611" s="26"/>
      <c r="L3611" s="25"/>
      <c r="M3611" s="24"/>
      <c r="N3611" s="26"/>
      <c r="O3611" s="26"/>
      <c r="P3611" s="26"/>
      <c r="Q3611" s="26"/>
      <c r="R3611" s="26"/>
      <c r="S3611" s="26"/>
      <c r="T3611" s="26"/>
      <c r="U3611" s="26"/>
      <c r="V3611" s="26"/>
      <c r="W3611" s="26"/>
      <c r="X3611" s="26"/>
      <c r="Y3611" s="26"/>
      <c r="Z3611" s="26"/>
      <c r="AA3611" s="26"/>
      <c r="AB3611" s="26"/>
      <c r="AC3611" s="27"/>
    </row>
    <row r="3612" spans="1:29" x14ac:dyDescent="0.25">
      <c r="A3612" s="1"/>
      <c r="B3612" s="19"/>
      <c r="C3612" s="24"/>
      <c r="D3612" s="1"/>
      <c r="E3612" s="25"/>
      <c r="F3612" s="26"/>
      <c r="G3612" s="26"/>
      <c r="L3612" s="25"/>
      <c r="M3612" s="24"/>
      <c r="N3612" s="26"/>
      <c r="O3612" s="26"/>
      <c r="P3612" s="26"/>
      <c r="Q3612" s="26"/>
      <c r="R3612" s="26"/>
      <c r="S3612" s="26"/>
      <c r="T3612" s="26"/>
      <c r="U3612" s="26"/>
      <c r="V3612" s="26"/>
      <c r="W3612" s="26"/>
      <c r="X3612" s="26"/>
      <c r="Y3612" s="26"/>
      <c r="Z3612" s="26"/>
      <c r="AA3612" s="26"/>
      <c r="AB3612" s="26"/>
      <c r="AC3612" s="27"/>
    </row>
    <row r="3613" spans="1:29" x14ac:dyDescent="0.25">
      <c r="A3613" s="1"/>
      <c r="B3613" s="19"/>
      <c r="C3613" s="24"/>
      <c r="D3613" s="1"/>
      <c r="E3613" s="25"/>
      <c r="F3613" s="26"/>
      <c r="G3613" s="26"/>
      <c r="L3613" s="25"/>
      <c r="M3613" s="24"/>
      <c r="N3613" s="26"/>
      <c r="O3613" s="26"/>
      <c r="P3613" s="26"/>
      <c r="Q3613" s="26"/>
      <c r="R3613" s="26"/>
      <c r="S3613" s="26"/>
      <c r="T3613" s="26"/>
      <c r="U3613" s="26"/>
      <c r="V3613" s="26"/>
      <c r="W3613" s="26"/>
      <c r="X3613" s="26"/>
      <c r="Y3613" s="26"/>
      <c r="Z3613" s="26"/>
      <c r="AA3613" s="26"/>
      <c r="AB3613" s="26"/>
      <c r="AC3613" s="27"/>
    </row>
    <row r="3614" spans="1:29" x14ac:dyDescent="0.25">
      <c r="A3614" s="1"/>
      <c r="B3614" s="19"/>
      <c r="C3614" s="24"/>
      <c r="D3614" s="1"/>
      <c r="E3614" s="25"/>
      <c r="F3614" s="26"/>
      <c r="G3614" s="26"/>
      <c r="L3614" s="25"/>
      <c r="M3614" s="24"/>
      <c r="N3614" s="26"/>
      <c r="O3614" s="26"/>
      <c r="P3614" s="26"/>
      <c r="Q3614" s="26"/>
      <c r="R3614" s="26"/>
      <c r="S3614" s="26"/>
      <c r="T3614" s="26"/>
      <c r="U3614" s="26"/>
      <c r="V3614" s="26"/>
      <c r="W3614" s="26"/>
      <c r="X3614" s="26"/>
      <c r="Y3614" s="26"/>
      <c r="Z3614" s="26"/>
      <c r="AA3614" s="26"/>
      <c r="AB3614" s="26"/>
      <c r="AC3614" s="27"/>
    </row>
    <row r="3615" spans="1:29" x14ac:dyDescent="0.25">
      <c r="A3615" s="1"/>
      <c r="B3615" s="19"/>
      <c r="C3615" s="24"/>
      <c r="D3615" s="1"/>
      <c r="E3615" s="25"/>
      <c r="F3615" s="26"/>
      <c r="G3615" s="26"/>
      <c r="L3615" s="25"/>
      <c r="M3615" s="24"/>
      <c r="N3615" s="26"/>
      <c r="O3615" s="26"/>
      <c r="P3615" s="26"/>
      <c r="Q3615" s="26"/>
      <c r="R3615" s="26"/>
      <c r="S3615" s="26"/>
      <c r="T3615" s="26"/>
      <c r="U3615" s="26"/>
      <c r="V3615" s="26"/>
      <c r="W3615" s="26"/>
      <c r="X3615" s="26"/>
      <c r="Y3615" s="26"/>
      <c r="Z3615" s="26"/>
      <c r="AA3615" s="26"/>
      <c r="AB3615" s="26"/>
      <c r="AC3615" s="27"/>
    </row>
    <row r="3616" spans="1:29" x14ac:dyDescent="0.25">
      <c r="A3616" s="1"/>
      <c r="B3616" s="19"/>
      <c r="C3616" s="24"/>
      <c r="D3616" s="1"/>
      <c r="E3616" s="25"/>
      <c r="F3616" s="26"/>
      <c r="G3616" s="26"/>
      <c r="L3616" s="25"/>
      <c r="M3616" s="24"/>
      <c r="N3616" s="26"/>
      <c r="O3616" s="26"/>
      <c r="P3616" s="26"/>
      <c r="Q3616" s="26"/>
      <c r="R3616" s="26"/>
      <c r="S3616" s="26"/>
      <c r="T3616" s="26"/>
      <c r="U3616" s="26"/>
      <c r="V3616" s="26"/>
      <c r="W3616" s="26"/>
      <c r="X3616" s="26"/>
      <c r="Y3616" s="26"/>
      <c r="Z3616" s="26"/>
      <c r="AA3616" s="26"/>
      <c r="AB3616" s="26"/>
      <c r="AC3616" s="27"/>
    </row>
    <row r="3617" spans="1:29" x14ac:dyDescent="0.25">
      <c r="A3617" s="1"/>
      <c r="B3617" s="19"/>
      <c r="C3617" s="24"/>
      <c r="D3617" s="1"/>
      <c r="E3617" s="25"/>
      <c r="F3617" s="26"/>
      <c r="G3617" s="26"/>
      <c r="L3617" s="25"/>
      <c r="M3617" s="24"/>
      <c r="N3617" s="26"/>
      <c r="O3617" s="26"/>
      <c r="P3617" s="26"/>
      <c r="Q3617" s="26"/>
      <c r="R3617" s="26"/>
      <c r="S3617" s="26"/>
      <c r="T3617" s="26"/>
      <c r="U3617" s="26"/>
      <c r="V3617" s="26"/>
      <c r="W3617" s="26"/>
      <c r="X3617" s="26"/>
      <c r="Y3617" s="26"/>
      <c r="Z3617" s="26"/>
      <c r="AA3617" s="26"/>
      <c r="AB3617" s="26"/>
      <c r="AC3617" s="27"/>
    </row>
    <row r="3618" spans="1:29" x14ac:dyDescent="0.25">
      <c r="A3618" s="1"/>
      <c r="B3618" s="19"/>
      <c r="C3618" s="24"/>
      <c r="D3618" s="1"/>
      <c r="E3618" s="25"/>
      <c r="F3618" s="26"/>
      <c r="G3618" s="26"/>
      <c r="L3618" s="25"/>
      <c r="M3618" s="24"/>
      <c r="N3618" s="26"/>
      <c r="O3618" s="26"/>
      <c r="P3618" s="26"/>
      <c r="Q3618" s="26"/>
      <c r="R3618" s="26"/>
      <c r="S3618" s="26"/>
      <c r="T3618" s="26"/>
      <c r="U3618" s="26"/>
      <c r="V3618" s="26"/>
      <c r="W3618" s="26"/>
      <c r="X3618" s="26"/>
      <c r="Y3618" s="26"/>
      <c r="Z3618" s="26"/>
      <c r="AA3618" s="26"/>
      <c r="AB3618" s="26"/>
      <c r="AC3618" s="27"/>
    </row>
    <row r="3619" spans="1:29" x14ac:dyDescent="0.25">
      <c r="A3619" s="1"/>
      <c r="B3619" s="19"/>
      <c r="C3619" s="24"/>
      <c r="D3619" s="1"/>
      <c r="E3619" s="25"/>
      <c r="F3619" s="26"/>
      <c r="G3619" s="26"/>
      <c r="L3619" s="25"/>
      <c r="M3619" s="24"/>
      <c r="N3619" s="26"/>
      <c r="O3619" s="26"/>
      <c r="P3619" s="26"/>
      <c r="Q3619" s="26"/>
      <c r="R3619" s="26"/>
      <c r="S3619" s="26"/>
      <c r="T3619" s="26"/>
      <c r="U3619" s="26"/>
      <c r="V3619" s="26"/>
      <c r="W3619" s="26"/>
      <c r="X3619" s="26"/>
      <c r="Y3619" s="26"/>
      <c r="Z3619" s="26"/>
      <c r="AA3619" s="26"/>
      <c r="AB3619" s="26"/>
      <c r="AC3619" s="27"/>
    </row>
    <row r="3620" spans="1:29" x14ac:dyDescent="0.25">
      <c r="A3620" s="1"/>
      <c r="B3620" s="19"/>
      <c r="C3620" s="24"/>
      <c r="D3620" s="1"/>
      <c r="E3620" s="25"/>
      <c r="F3620" s="26"/>
      <c r="G3620" s="26"/>
      <c r="L3620" s="25"/>
      <c r="M3620" s="24"/>
      <c r="N3620" s="26"/>
      <c r="O3620" s="26"/>
      <c r="P3620" s="26"/>
      <c r="Q3620" s="26"/>
      <c r="R3620" s="26"/>
      <c r="S3620" s="26"/>
      <c r="T3620" s="26"/>
      <c r="U3620" s="26"/>
      <c r="V3620" s="26"/>
      <c r="W3620" s="26"/>
      <c r="X3620" s="26"/>
      <c r="Y3620" s="26"/>
      <c r="Z3620" s="26"/>
      <c r="AA3620" s="26"/>
      <c r="AB3620" s="26"/>
      <c r="AC3620" s="27"/>
    </row>
    <row r="3621" spans="1:29" x14ac:dyDescent="0.25">
      <c r="A3621" s="1"/>
      <c r="B3621" s="19"/>
      <c r="C3621" s="24"/>
      <c r="D3621" s="1"/>
      <c r="E3621" s="25"/>
      <c r="F3621" s="26"/>
      <c r="G3621" s="26"/>
      <c r="L3621" s="25"/>
      <c r="M3621" s="24"/>
      <c r="N3621" s="26"/>
      <c r="O3621" s="26"/>
      <c r="P3621" s="26"/>
      <c r="Q3621" s="26"/>
      <c r="R3621" s="26"/>
      <c r="S3621" s="26"/>
      <c r="T3621" s="26"/>
      <c r="U3621" s="26"/>
      <c r="V3621" s="26"/>
      <c r="W3621" s="26"/>
      <c r="X3621" s="26"/>
      <c r="Y3621" s="26"/>
      <c r="Z3621" s="26"/>
      <c r="AA3621" s="26"/>
      <c r="AB3621" s="26"/>
      <c r="AC3621" s="27"/>
    </row>
    <row r="3622" spans="1:29" x14ac:dyDescent="0.25">
      <c r="A3622" s="1"/>
      <c r="B3622" s="19"/>
      <c r="C3622" s="24"/>
      <c r="D3622" s="1"/>
      <c r="E3622" s="25"/>
      <c r="F3622" s="26"/>
      <c r="G3622" s="26"/>
      <c r="L3622" s="25"/>
      <c r="M3622" s="24"/>
      <c r="N3622" s="26"/>
      <c r="O3622" s="26"/>
      <c r="P3622" s="26"/>
      <c r="Q3622" s="26"/>
      <c r="R3622" s="26"/>
      <c r="S3622" s="26"/>
      <c r="T3622" s="26"/>
      <c r="U3622" s="26"/>
      <c r="V3622" s="26"/>
      <c r="W3622" s="26"/>
      <c r="X3622" s="26"/>
      <c r="Y3622" s="26"/>
      <c r="Z3622" s="26"/>
      <c r="AA3622" s="26"/>
      <c r="AB3622" s="26"/>
      <c r="AC3622" s="27"/>
    </row>
    <row r="3623" spans="1:29" x14ac:dyDescent="0.25">
      <c r="A3623" s="1"/>
      <c r="B3623" s="19"/>
      <c r="C3623" s="24"/>
      <c r="D3623" s="1"/>
      <c r="E3623" s="25"/>
      <c r="F3623" s="26"/>
      <c r="G3623" s="26"/>
      <c r="L3623" s="25"/>
      <c r="M3623" s="24"/>
      <c r="N3623" s="26"/>
      <c r="O3623" s="26"/>
      <c r="P3623" s="26"/>
      <c r="Q3623" s="26"/>
      <c r="R3623" s="26"/>
      <c r="S3623" s="26"/>
      <c r="T3623" s="26"/>
      <c r="U3623" s="26"/>
      <c r="V3623" s="26"/>
      <c r="W3623" s="26"/>
      <c r="X3623" s="26"/>
      <c r="Y3623" s="26"/>
      <c r="Z3623" s="26"/>
      <c r="AA3623" s="26"/>
      <c r="AB3623" s="26"/>
      <c r="AC3623" s="27"/>
    </row>
    <row r="3624" spans="1:29" x14ac:dyDescent="0.25">
      <c r="A3624" s="1"/>
      <c r="B3624" s="19"/>
      <c r="C3624" s="24"/>
      <c r="D3624" s="1"/>
      <c r="E3624" s="25"/>
      <c r="F3624" s="26"/>
      <c r="G3624" s="26"/>
      <c r="L3624" s="25"/>
      <c r="M3624" s="24"/>
      <c r="N3624" s="26"/>
      <c r="O3624" s="26"/>
      <c r="P3624" s="26"/>
      <c r="Q3624" s="26"/>
      <c r="R3624" s="26"/>
      <c r="S3624" s="26"/>
      <c r="T3624" s="26"/>
      <c r="U3624" s="26"/>
      <c r="V3624" s="26"/>
      <c r="W3624" s="26"/>
      <c r="X3624" s="26"/>
      <c r="Y3624" s="26"/>
      <c r="Z3624" s="26"/>
      <c r="AA3624" s="26"/>
      <c r="AB3624" s="26"/>
      <c r="AC3624" s="27"/>
    </row>
    <row r="3625" spans="1:29" x14ac:dyDescent="0.25">
      <c r="A3625" s="1"/>
      <c r="B3625" s="19"/>
      <c r="C3625" s="24"/>
      <c r="D3625" s="1"/>
      <c r="E3625" s="25"/>
      <c r="F3625" s="26"/>
      <c r="G3625" s="26"/>
      <c r="L3625" s="25"/>
      <c r="M3625" s="24"/>
      <c r="N3625" s="26"/>
      <c r="O3625" s="26"/>
      <c r="P3625" s="26"/>
      <c r="Q3625" s="26"/>
      <c r="R3625" s="26"/>
      <c r="S3625" s="26"/>
      <c r="T3625" s="26"/>
      <c r="U3625" s="26"/>
      <c r="V3625" s="26"/>
      <c r="W3625" s="26"/>
      <c r="X3625" s="26"/>
      <c r="Y3625" s="26"/>
      <c r="Z3625" s="26"/>
      <c r="AA3625" s="26"/>
      <c r="AB3625" s="26"/>
      <c r="AC3625" s="27"/>
    </row>
    <row r="3626" spans="1:29" x14ac:dyDescent="0.25">
      <c r="A3626" s="1"/>
      <c r="B3626" s="19"/>
      <c r="C3626" s="24"/>
      <c r="D3626" s="1"/>
      <c r="E3626" s="25"/>
      <c r="F3626" s="26"/>
      <c r="G3626" s="26"/>
      <c r="L3626" s="25"/>
      <c r="M3626" s="24"/>
      <c r="N3626" s="26"/>
      <c r="O3626" s="26"/>
      <c r="P3626" s="26"/>
      <c r="Q3626" s="26"/>
      <c r="R3626" s="26"/>
      <c r="S3626" s="26"/>
      <c r="T3626" s="26"/>
      <c r="U3626" s="26"/>
      <c r="V3626" s="26"/>
      <c r="W3626" s="26"/>
      <c r="X3626" s="26"/>
      <c r="Y3626" s="26"/>
      <c r="Z3626" s="26"/>
      <c r="AA3626" s="26"/>
      <c r="AB3626" s="26"/>
      <c r="AC3626" s="27"/>
    </row>
    <row r="3627" spans="1:29" x14ac:dyDescent="0.25">
      <c r="A3627" s="1"/>
      <c r="B3627" s="19"/>
      <c r="C3627" s="24"/>
      <c r="D3627" s="1"/>
      <c r="E3627" s="25"/>
      <c r="F3627" s="26"/>
      <c r="G3627" s="26"/>
      <c r="L3627" s="25"/>
      <c r="M3627" s="24"/>
      <c r="N3627" s="26"/>
      <c r="O3627" s="26"/>
      <c r="P3627" s="26"/>
      <c r="Q3627" s="26"/>
      <c r="R3627" s="26"/>
      <c r="S3627" s="26"/>
      <c r="T3627" s="26"/>
      <c r="U3627" s="26"/>
      <c r="V3627" s="26"/>
      <c r="W3627" s="26"/>
      <c r="X3627" s="26"/>
      <c r="Y3627" s="26"/>
      <c r="Z3627" s="26"/>
      <c r="AA3627" s="26"/>
      <c r="AB3627" s="26"/>
      <c r="AC3627" s="27"/>
    </row>
    <row r="3628" spans="1:29" x14ac:dyDescent="0.25">
      <c r="A3628" s="1"/>
      <c r="B3628" s="19"/>
      <c r="C3628" s="24"/>
      <c r="D3628" s="1"/>
      <c r="E3628" s="25"/>
      <c r="F3628" s="26"/>
      <c r="G3628" s="26"/>
      <c r="L3628" s="25"/>
      <c r="M3628" s="24"/>
      <c r="N3628" s="26"/>
      <c r="O3628" s="26"/>
      <c r="P3628" s="26"/>
      <c r="Q3628" s="26"/>
      <c r="R3628" s="26"/>
      <c r="S3628" s="26"/>
      <c r="T3628" s="26"/>
      <c r="U3628" s="26"/>
      <c r="V3628" s="26"/>
      <c r="W3628" s="26"/>
      <c r="X3628" s="26"/>
      <c r="Y3628" s="26"/>
      <c r="Z3628" s="26"/>
      <c r="AA3628" s="26"/>
      <c r="AB3628" s="26"/>
      <c r="AC3628" s="27"/>
    </row>
    <row r="3629" spans="1:29" x14ac:dyDescent="0.25">
      <c r="A3629" s="1"/>
      <c r="B3629" s="19"/>
      <c r="C3629" s="24"/>
      <c r="D3629" s="1"/>
      <c r="E3629" s="25"/>
      <c r="F3629" s="26"/>
      <c r="G3629" s="26"/>
      <c r="L3629" s="25"/>
      <c r="M3629" s="24"/>
      <c r="N3629" s="26"/>
      <c r="O3629" s="26"/>
      <c r="P3629" s="26"/>
      <c r="Q3629" s="26"/>
      <c r="R3629" s="26"/>
      <c r="S3629" s="26"/>
      <c r="T3629" s="26"/>
      <c r="U3629" s="26"/>
      <c r="V3629" s="26"/>
      <c r="W3629" s="26"/>
      <c r="X3629" s="26"/>
      <c r="Y3629" s="26"/>
      <c r="Z3629" s="26"/>
      <c r="AA3629" s="26"/>
      <c r="AB3629" s="26"/>
      <c r="AC3629" s="27"/>
    </row>
    <row r="3630" spans="1:29" x14ac:dyDescent="0.25">
      <c r="A3630" s="1"/>
      <c r="B3630" s="19"/>
      <c r="C3630" s="24"/>
      <c r="D3630" s="1"/>
      <c r="E3630" s="25"/>
      <c r="F3630" s="26"/>
      <c r="G3630" s="26"/>
      <c r="L3630" s="25"/>
      <c r="M3630" s="24"/>
      <c r="N3630" s="26"/>
      <c r="O3630" s="26"/>
      <c r="P3630" s="26"/>
      <c r="Q3630" s="26"/>
      <c r="R3630" s="26"/>
      <c r="S3630" s="26"/>
      <c r="T3630" s="26"/>
      <c r="U3630" s="26"/>
      <c r="V3630" s="26"/>
      <c r="W3630" s="26"/>
      <c r="X3630" s="26"/>
      <c r="Y3630" s="26"/>
      <c r="Z3630" s="26"/>
      <c r="AA3630" s="26"/>
      <c r="AB3630" s="26"/>
      <c r="AC3630" s="27"/>
    </row>
    <row r="3631" spans="1:29" x14ac:dyDescent="0.25">
      <c r="A3631" s="1"/>
      <c r="B3631" s="19"/>
      <c r="C3631" s="24"/>
      <c r="D3631" s="1"/>
      <c r="E3631" s="25"/>
      <c r="F3631" s="26"/>
      <c r="G3631" s="26"/>
      <c r="L3631" s="25"/>
      <c r="M3631" s="24"/>
      <c r="N3631" s="26"/>
      <c r="O3631" s="26"/>
      <c r="P3631" s="26"/>
      <c r="Q3631" s="26"/>
      <c r="R3631" s="26"/>
      <c r="S3631" s="26"/>
      <c r="T3631" s="26"/>
      <c r="U3631" s="26"/>
      <c r="V3631" s="26"/>
      <c r="W3631" s="26"/>
      <c r="X3631" s="26"/>
      <c r="Y3631" s="26"/>
      <c r="Z3631" s="26"/>
      <c r="AA3631" s="26"/>
      <c r="AB3631" s="26"/>
      <c r="AC3631" s="27"/>
    </row>
    <row r="3632" spans="1:29" x14ac:dyDescent="0.25">
      <c r="A3632" s="1"/>
      <c r="B3632" s="19"/>
      <c r="C3632" s="24"/>
      <c r="D3632" s="1"/>
      <c r="E3632" s="25"/>
      <c r="F3632" s="26"/>
      <c r="G3632" s="26"/>
      <c r="L3632" s="25"/>
      <c r="M3632" s="24"/>
      <c r="N3632" s="26"/>
      <c r="O3632" s="26"/>
      <c r="P3632" s="26"/>
      <c r="Q3632" s="26"/>
      <c r="R3632" s="26"/>
      <c r="S3632" s="26"/>
      <c r="T3632" s="26"/>
      <c r="U3632" s="26"/>
      <c r="V3632" s="26"/>
      <c r="W3632" s="26"/>
      <c r="X3632" s="26"/>
      <c r="Y3632" s="26"/>
      <c r="Z3632" s="26"/>
      <c r="AA3632" s="26"/>
      <c r="AB3632" s="26"/>
      <c r="AC3632" s="27"/>
    </row>
    <row r="3633" spans="1:29" x14ac:dyDescent="0.25">
      <c r="A3633" s="1"/>
      <c r="B3633" s="19"/>
      <c r="C3633" s="24"/>
      <c r="D3633" s="1"/>
      <c r="E3633" s="25"/>
      <c r="F3633" s="26"/>
      <c r="G3633" s="26"/>
      <c r="L3633" s="25"/>
      <c r="M3633" s="24"/>
      <c r="N3633" s="26"/>
      <c r="O3633" s="26"/>
      <c r="P3633" s="26"/>
      <c r="Q3633" s="26"/>
      <c r="R3633" s="26"/>
      <c r="S3633" s="26"/>
      <c r="T3633" s="26"/>
      <c r="U3633" s="26"/>
      <c r="V3633" s="26"/>
      <c r="W3633" s="26"/>
      <c r="X3633" s="26"/>
      <c r="Y3633" s="26"/>
      <c r="Z3633" s="26"/>
      <c r="AA3633" s="26"/>
      <c r="AB3633" s="26"/>
      <c r="AC3633" s="27"/>
    </row>
    <row r="3634" spans="1:29" x14ac:dyDescent="0.25">
      <c r="A3634" s="1"/>
      <c r="B3634" s="19"/>
      <c r="C3634" s="24"/>
      <c r="D3634" s="1"/>
      <c r="E3634" s="25"/>
      <c r="F3634" s="26"/>
      <c r="G3634" s="26"/>
      <c r="L3634" s="25"/>
      <c r="M3634" s="24"/>
      <c r="N3634" s="26"/>
      <c r="O3634" s="26"/>
      <c r="P3634" s="26"/>
      <c r="Q3634" s="26"/>
      <c r="R3634" s="26"/>
      <c r="S3634" s="26"/>
      <c r="T3634" s="26"/>
      <c r="U3634" s="26"/>
      <c r="V3634" s="26"/>
      <c r="W3634" s="26"/>
      <c r="X3634" s="26"/>
      <c r="Y3634" s="26"/>
      <c r="Z3634" s="26"/>
      <c r="AA3634" s="26"/>
      <c r="AB3634" s="26"/>
      <c r="AC3634" s="27"/>
    </row>
    <row r="3635" spans="1:29" x14ac:dyDescent="0.25">
      <c r="A3635" s="1"/>
      <c r="B3635" s="19"/>
      <c r="C3635" s="24"/>
      <c r="D3635" s="1"/>
      <c r="E3635" s="25"/>
      <c r="F3635" s="26"/>
      <c r="G3635" s="26"/>
      <c r="L3635" s="25"/>
      <c r="M3635" s="24"/>
      <c r="N3635" s="26"/>
      <c r="O3635" s="26"/>
      <c r="P3635" s="26"/>
      <c r="Q3635" s="26"/>
      <c r="R3635" s="26"/>
      <c r="S3635" s="26"/>
      <c r="T3635" s="26"/>
      <c r="U3635" s="26"/>
      <c r="V3635" s="26"/>
      <c r="W3635" s="26"/>
      <c r="X3635" s="26"/>
      <c r="Y3635" s="26"/>
      <c r="Z3635" s="26"/>
      <c r="AA3635" s="26"/>
      <c r="AB3635" s="26"/>
      <c r="AC3635" s="27"/>
    </row>
    <row r="3636" spans="1:29" x14ac:dyDescent="0.25">
      <c r="A3636" s="1"/>
      <c r="B3636" s="19"/>
      <c r="C3636" s="24"/>
      <c r="D3636" s="1"/>
      <c r="E3636" s="25"/>
      <c r="F3636" s="26"/>
      <c r="G3636" s="26"/>
      <c r="L3636" s="25"/>
      <c r="M3636" s="24"/>
      <c r="N3636" s="26"/>
      <c r="O3636" s="26"/>
      <c r="P3636" s="26"/>
      <c r="Q3636" s="26"/>
      <c r="R3636" s="26"/>
      <c r="S3636" s="26"/>
      <c r="T3636" s="26"/>
      <c r="U3636" s="26"/>
      <c r="V3636" s="26"/>
      <c r="W3636" s="26"/>
      <c r="X3636" s="26"/>
      <c r="Y3636" s="26"/>
      <c r="Z3636" s="26"/>
      <c r="AA3636" s="26"/>
      <c r="AB3636" s="26"/>
      <c r="AC3636" s="27"/>
    </row>
    <row r="3637" spans="1:29" x14ac:dyDescent="0.25">
      <c r="A3637" s="1"/>
      <c r="B3637" s="19"/>
      <c r="C3637" s="24"/>
      <c r="D3637" s="1"/>
      <c r="E3637" s="25"/>
      <c r="F3637" s="26"/>
      <c r="G3637" s="26"/>
      <c r="L3637" s="25"/>
      <c r="M3637" s="24"/>
      <c r="N3637" s="26"/>
      <c r="O3637" s="26"/>
      <c r="P3637" s="26"/>
      <c r="Q3637" s="26"/>
      <c r="R3637" s="26"/>
      <c r="S3637" s="26"/>
      <c r="T3637" s="26"/>
      <c r="U3637" s="26"/>
      <c r="V3637" s="26"/>
      <c r="W3637" s="26"/>
      <c r="X3637" s="26"/>
      <c r="Y3637" s="26"/>
      <c r="Z3637" s="26"/>
      <c r="AA3637" s="26"/>
      <c r="AB3637" s="26"/>
      <c r="AC3637" s="27"/>
    </row>
    <row r="3638" spans="1:29" x14ac:dyDescent="0.25">
      <c r="A3638" s="1"/>
      <c r="B3638" s="19"/>
      <c r="C3638" s="24"/>
      <c r="D3638" s="1"/>
      <c r="E3638" s="25"/>
      <c r="F3638" s="26"/>
      <c r="G3638" s="26"/>
      <c r="L3638" s="25"/>
      <c r="M3638" s="24"/>
      <c r="N3638" s="26"/>
      <c r="O3638" s="26"/>
      <c r="P3638" s="26"/>
      <c r="Q3638" s="26"/>
      <c r="R3638" s="26"/>
      <c r="S3638" s="26"/>
      <c r="T3638" s="26"/>
      <c r="U3638" s="26"/>
      <c r="V3638" s="26"/>
      <c r="W3638" s="26"/>
      <c r="X3638" s="26"/>
      <c r="Y3638" s="26"/>
      <c r="Z3638" s="26"/>
      <c r="AA3638" s="26"/>
      <c r="AB3638" s="26"/>
      <c r="AC3638" s="27"/>
    </row>
    <row r="3639" spans="1:29" x14ac:dyDescent="0.25">
      <c r="A3639" s="1"/>
      <c r="B3639" s="19"/>
      <c r="C3639" s="24"/>
      <c r="D3639" s="1"/>
      <c r="E3639" s="25"/>
      <c r="F3639" s="26"/>
      <c r="G3639" s="26"/>
      <c r="L3639" s="25"/>
      <c r="M3639" s="24"/>
      <c r="N3639" s="26"/>
      <c r="O3639" s="26"/>
      <c r="P3639" s="26"/>
      <c r="Q3639" s="26"/>
      <c r="R3639" s="26"/>
      <c r="S3639" s="26"/>
      <c r="T3639" s="26"/>
      <c r="U3639" s="26"/>
      <c r="V3639" s="26"/>
      <c r="W3639" s="26"/>
      <c r="X3639" s="26"/>
      <c r="Y3639" s="26"/>
      <c r="Z3639" s="26"/>
      <c r="AA3639" s="26"/>
      <c r="AB3639" s="26"/>
      <c r="AC3639" s="27"/>
    </row>
    <row r="3640" spans="1:29" x14ac:dyDescent="0.25">
      <c r="A3640" s="1"/>
      <c r="B3640" s="19"/>
      <c r="C3640" s="24"/>
      <c r="D3640" s="1"/>
      <c r="E3640" s="25"/>
      <c r="F3640" s="26"/>
      <c r="G3640" s="26"/>
      <c r="L3640" s="25"/>
      <c r="M3640" s="24"/>
      <c r="N3640" s="26"/>
      <c r="O3640" s="26"/>
      <c r="P3640" s="26"/>
      <c r="Q3640" s="26"/>
      <c r="R3640" s="26"/>
      <c r="S3640" s="26"/>
      <c r="T3640" s="26"/>
      <c r="U3640" s="26"/>
      <c r="V3640" s="26"/>
      <c r="W3640" s="26"/>
      <c r="X3640" s="26"/>
      <c r="Y3640" s="26"/>
      <c r="Z3640" s="26"/>
      <c r="AA3640" s="26"/>
      <c r="AB3640" s="26"/>
      <c r="AC3640" s="27"/>
    </row>
    <row r="3641" spans="1:29" x14ac:dyDescent="0.25">
      <c r="A3641" s="1"/>
      <c r="B3641" s="19"/>
      <c r="C3641" s="24"/>
      <c r="D3641" s="1"/>
      <c r="E3641" s="25"/>
      <c r="F3641" s="26"/>
      <c r="G3641" s="26"/>
      <c r="L3641" s="25"/>
      <c r="M3641" s="24"/>
      <c r="N3641" s="26"/>
      <c r="O3641" s="26"/>
      <c r="P3641" s="26"/>
      <c r="Q3641" s="26"/>
      <c r="R3641" s="26"/>
      <c r="S3641" s="26"/>
      <c r="T3641" s="26"/>
      <c r="U3641" s="26"/>
      <c r="V3641" s="26"/>
      <c r="W3641" s="26"/>
      <c r="X3641" s="26"/>
      <c r="Y3641" s="26"/>
      <c r="Z3641" s="26"/>
      <c r="AA3641" s="26"/>
      <c r="AB3641" s="26"/>
      <c r="AC3641" s="27"/>
    </row>
    <row r="3642" spans="1:29" x14ac:dyDescent="0.25">
      <c r="A3642" s="1"/>
      <c r="B3642" s="19"/>
      <c r="C3642" s="24"/>
      <c r="D3642" s="1"/>
      <c r="E3642" s="25"/>
      <c r="F3642" s="26"/>
      <c r="G3642" s="26"/>
      <c r="L3642" s="25"/>
      <c r="M3642" s="24"/>
      <c r="N3642" s="26"/>
      <c r="O3642" s="26"/>
      <c r="P3642" s="26"/>
      <c r="Q3642" s="26"/>
      <c r="R3642" s="26"/>
      <c r="S3642" s="26"/>
      <c r="T3642" s="26"/>
      <c r="U3642" s="26"/>
      <c r="V3642" s="26"/>
      <c r="W3642" s="26"/>
      <c r="X3642" s="26"/>
      <c r="Y3642" s="26"/>
      <c r="Z3642" s="26"/>
      <c r="AA3642" s="26"/>
      <c r="AB3642" s="26"/>
      <c r="AC3642" s="27"/>
    </row>
    <row r="3643" spans="1:29" x14ac:dyDescent="0.25">
      <c r="A3643" s="1"/>
      <c r="B3643" s="19"/>
      <c r="C3643" s="24"/>
      <c r="D3643" s="1"/>
      <c r="E3643" s="25"/>
      <c r="F3643" s="26"/>
      <c r="G3643" s="26"/>
      <c r="L3643" s="25"/>
      <c r="M3643" s="24"/>
      <c r="N3643" s="26"/>
      <c r="O3643" s="26"/>
      <c r="P3643" s="26"/>
      <c r="Q3643" s="26"/>
      <c r="R3643" s="26"/>
      <c r="S3643" s="26"/>
      <c r="T3643" s="26"/>
      <c r="U3643" s="26"/>
      <c r="V3643" s="26"/>
      <c r="W3643" s="26"/>
      <c r="X3643" s="26"/>
      <c r="Y3643" s="26"/>
      <c r="Z3643" s="26"/>
      <c r="AA3643" s="26"/>
      <c r="AB3643" s="26"/>
      <c r="AC3643" s="27"/>
    </row>
    <row r="3644" spans="1:29" x14ac:dyDescent="0.25">
      <c r="A3644" s="1"/>
      <c r="B3644" s="19"/>
      <c r="C3644" s="24"/>
      <c r="D3644" s="1"/>
      <c r="E3644" s="25"/>
      <c r="F3644" s="26"/>
      <c r="G3644" s="26"/>
      <c r="L3644" s="25"/>
      <c r="M3644" s="24"/>
      <c r="N3644" s="26"/>
      <c r="O3644" s="26"/>
      <c r="P3644" s="26"/>
      <c r="Q3644" s="26"/>
      <c r="R3644" s="26"/>
      <c r="S3644" s="26"/>
      <c r="T3644" s="26"/>
      <c r="U3644" s="26"/>
      <c r="V3644" s="26"/>
      <c r="W3644" s="26"/>
      <c r="X3644" s="26"/>
      <c r="Y3644" s="26"/>
      <c r="Z3644" s="26"/>
      <c r="AA3644" s="26"/>
      <c r="AB3644" s="26"/>
      <c r="AC3644" s="27"/>
    </row>
    <row r="3645" spans="1:29" x14ac:dyDescent="0.25">
      <c r="A3645" s="1"/>
      <c r="B3645" s="19"/>
      <c r="C3645" s="24"/>
      <c r="D3645" s="1"/>
      <c r="E3645" s="25"/>
      <c r="F3645" s="26"/>
      <c r="G3645" s="26"/>
      <c r="L3645" s="25"/>
      <c r="M3645" s="24"/>
      <c r="N3645" s="26"/>
      <c r="O3645" s="26"/>
      <c r="P3645" s="26"/>
      <c r="Q3645" s="26"/>
      <c r="R3645" s="26"/>
      <c r="S3645" s="26"/>
      <c r="T3645" s="26"/>
      <c r="U3645" s="26"/>
      <c r="V3645" s="26"/>
      <c r="W3645" s="26"/>
      <c r="X3645" s="26"/>
      <c r="Y3645" s="26"/>
      <c r="Z3645" s="26"/>
      <c r="AA3645" s="26"/>
      <c r="AB3645" s="26"/>
      <c r="AC3645" s="27"/>
    </row>
    <row r="3646" spans="1:29" x14ac:dyDescent="0.25">
      <c r="A3646" s="1"/>
      <c r="B3646" s="19"/>
      <c r="C3646" s="24"/>
      <c r="D3646" s="1"/>
      <c r="E3646" s="25"/>
      <c r="F3646" s="26"/>
      <c r="G3646" s="26"/>
      <c r="L3646" s="25"/>
      <c r="M3646" s="24"/>
      <c r="N3646" s="26"/>
      <c r="O3646" s="26"/>
      <c r="P3646" s="26"/>
      <c r="Q3646" s="26"/>
      <c r="R3646" s="26"/>
      <c r="S3646" s="26"/>
      <c r="T3646" s="26"/>
      <c r="U3646" s="26"/>
      <c r="V3646" s="26"/>
      <c r="W3646" s="26"/>
      <c r="X3646" s="26"/>
      <c r="Y3646" s="26"/>
      <c r="Z3646" s="26"/>
      <c r="AA3646" s="26"/>
      <c r="AB3646" s="26"/>
      <c r="AC3646" s="27"/>
    </row>
    <row r="3647" spans="1:29" x14ac:dyDescent="0.25">
      <c r="A3647" s="1"/>
      <c r="B3647" s="19"/>
      <c r="C3647" s="24"/>
      <c r="D3647" s="1"/>
      <c r="E3647" s="25"/>
      <c r="F3647" s="26"/>
      <c r="G3647" s="26"/>
      <c r="L3647" s="25"/>
      <c r="M3647" s="24"/>
      <c r="N3647" s="26"/>
      <c r="O3647" s="26"/>
      <c r="P3647" s="26"/>
      <c r="Q3647" s="26"/>
      <c r="R3647" s="26"/>
      <c r="S3647" s="26"/>
      <c r="T3647" s="26"/>
      <c r="U3647" s="26"/>
      <c r="V3647" s="26"/>
      <c r="W3647" s="26"/>
      <c r="X3647" s="26"/>
      <c r="Y3647" s="26"/>
      <c r="Z3647" s="26"/>
      <c r="AA3647" s="26"/>
      <c r="AB3647" s="26"/>
      <c r="AC3647" s="27"/>
    </row>
    <row r="3648" spans="1:29" x14ac:dyDescent="0.25">
      <c r="A3648" s="1"/>
      <c r="B3648" s="19"/>
      <c r="C3648" s="24"/>
      <c r="D3648" s="1"/>
      <c r="E3648" s="25"/>
      <c r="F3648" s="26"/>
      <c r="G3648" s="26"/>
      <c r="L3648" s="25"/>
      <c r="M3648" s="24"/>
      <c r="N3648" s="26"/>
      <c r="O3648" s="26"/>
      <c r="P3648" s="26"/>
      <c r="Q3648" s="26"/>
      <c r="R3648" s="26"/>
      <c r="S3648" s="26"/>
      <c r="T3648" s="26"/>
      <c r="U3648" s="26"/>
      <c r="V3648" s="26"/>
      <c r="W3648" s="26"/>
      <c r="X3648" s="26"/>
      <c r="Y3648" s="26"/>
      <c r="Z3648" s="26"/>
      <c r="AA3648" s="26"/>
      <c r="AB3648" s="26"/>
      <c r="AC3648" s="27"/>
    </row>
    <row r="3649" spans="1:29" x14ac:dyDescent="0.25">
      <c r="A3649" s="1"/>
      <c r="B3649" s="19"/>
      <c r="C3649" s="24"/>
      <c r="D3649" s="1"/>
      <c r="E3649" s="25"/>
      <c r="F3649" s="26"/>
      <c r="G3649" s="26"/>
      <c r="L3649" s="25"/>
      <c r="M3649" s="24"/>
      <c r="N3649" s="26"/>
      <c r="O3649" s="26"/>
      <c r="P3649" s="26"/>
      <c r="Q3649" s="26"/>
      <c r="R3649" s="26"/>
      <c r="S3649" s="26"/>
      <c r="T3649" s="26"/>
      <c r="U3649" s="26"/>
      <c r="V3649" s="26"/>
      <c r="W3649" s="26"/>
      <c r="X3649" s="26"/>
      <c r="Y3649" s="26"/>
      <c r="Z3649" s="26"/>
      <c r="AA3649" s="26"/>
      <c r="AB3649" s="26"/>
      <c r="AC3649" s="27"/>
    </row>
    <row r="3650" spans="1:29" x14ac:dyDescent="0.25">
      <c r="A3650" s="1"/>
      <c r="B3650" s="19"/>
      <c r="C3650" s="24"/>
      <c r="D3650" s="1"/>
      <c r="E3650" s="25"/>
      <c r="F3650" s="26"/>
      <c r="G3650" s="26"/>
      <c r="L3650" s="25"/>
      <c r="M3650" s="24"/>
      <c r="N3650" s="26"/>
      <c r="O3650" s="26"/>
      <c r="P3650" s="26"/>
      <c r="Q3650" s="26"/>
      <c r="R3650" s="26"/>
      <c r="S3650" s="26"/>
      <c r="T3650" s="26"/>
      <c r="U3650" s="26"/>
      <c r="V3650" s="26"/>
      <c r="W3650" s="26"/>
      <c r="X3650" s="26"/>
      <c r="Y3650" s="26"/>
      <c r="Z3650" s="26"/>
      <c r="AA3650" s="26"/>
      <c r="AB3650" s="26"/>
      <c r="AC3650" s="27"/>
    </row>
    <row r="3651" spans="1:29" x14ac:dyDescent="0.25">
      <c r="A3651" s="1"/>
      <c r="B3651" s="19"/>
      <c r="C3651" s="24"/>
      <c r="D3651" s="1"/>
      <c r="E3651" s="25"/>
      <c r="F3651" s="26"/>
      <c r="G3651" s="26"/>
      <c r="L3651" s="25"/>
      <c r="M3651" s="24"/>
      <c r="N3651" s="26"/>
      <c r="O3651" s="26"/>
      <c r="P3651" s="26"/>
      <c r="Q3651" s="26"/>
      <c r="R3651" s="26"/>
      <c r="S3651" s="26"/>
      <c r="T3651" s="26"/>
      <c r="U3651" s="26"/>
      <c r="V3651" s="26"/>
      <c r="W3651" s="26"/>
      <c r="X3651" s="26"/>
      <c r="Y3651" s="26"/>
      <c r="Z3651" s="26"/>
      <c r="AA3651" s="26"/>
      <c r="AB3651" s="26"/>
      <c r="AC3651" s="27"/>
    </row>
    <row r="3652" spans="1:29" x14ac:dyDescent="0.25">
      <c r="A3652" s="1"/>
      <c r="B3652" s="19"/>
      <c r="C3652" s="24"/>
      <c r="D3652" s="1"/>
      <c r="E3652" s="25"/>
      <c r="F3652" s="26"/>
      <c r="G3652" s="26"/>
      <c r="L3652" s="25"/>
      <c r="M3652" s="24"/>
      <c r="N3652" s="26"/>
      <c r="O3652" s="26"/>
      <c r="P3652" s="26"/>
      <c r="Q3652" s="26"/>
      <c r="R3652" s="26"/>
      <c r="S3652" s="26"/>
      <c r="T3652" s="26"/>
      <c r="U3652" s="26"/>
      <c r="V3652" s="26"/>
      <c r="W3652" s="26"/>
      <c r="X3652" s="26"/>
      <c r="Y3652" s="26"/>
      <c r="Z3652" s="26"/>
      <c r="AA3652" s="26"/>
      <c r="AB3652" s="26"/>
      <c r="AC3652" s="27"/>
    </row>
    <row r="3653" spans="1:29" x14ac:dyDescent="0.25">
      <c r="A3653" s="1"/>
      <c r="B3653" s="19"/>
      <c r="C3653" s="24"/>
      <c r="D3653" s="1"/>
      <c r="E3653" s="25"/>
      <c r="F3653" s="26"/>
      <c r="G3653" s="26"/>
      <c r="L3653" s="25"/>
      <c r="M3653" s="24"/>
      <c r="N3653" s="26"/>
      <c r="O3653" s="26"/>
      <c r="P3653" s="26"/>
      <c r="Q3653" s="26"/>
      <c r="R3653" s="26"/>
      <c r="S3653" s="26"/>
      <c r="T3653" s="26"/>
      <c r="U3653" s="26"/>
      <c r="V3653" s="26"/>
      <c r="W3653" s="26"/>
      <c r="X3653" s="26"/>
      <c r="Y3653" s="26"/>
      <c r="Z3653" s="26"/>
      <c r="AA3653" s="26"/>
      <c r="AB3653" s="26"/>
      <c r="AC3653" s="27"/>
    </row>
    <row r="3654" spans="1:29" x14ac:dyDescent="0.25">
      <c r="A3654" s="1"/>
      <c r="B3654" s="19"/>
      <c r="C3654" s="24"/>
      <c r="D3654" s="1"/>
      <c r="E3654" s="25"/>
      <c r="F3654" s="26"/>
      <c r="G3654" s="26"/>
      <c r="L3654" s="25"/>
      <c r="M3654" s="24"/>
      <c r="N3654" s="26"/>
      <c r="O3654" s="26"/>
      <c r="P3654" s="26"/>
      <c r="Q3654" s="26"/>
      <c r="R3654" s="26"/>
      <c r="S3654" s="26"/>
      <c r="T3654" s="26"/>
      <c r="U3654" s="26"/>
      <c r="V3654" s="26"/>
      <c r="W3654" s="26"/>
      <c r="X3654" s="26"/>
      <c r="Y3654" s="26"/>
      <c r="Z3654" s="26"/>
      <c r="AA3654" s="26"/>
      <c r="AB3654" s="26"/>
      <c r="AC3654" s="27"/>
    </row>
    <row r="3655" spans="1:29" x14ac:dyDescent="0.25">
      <c r="A3655" s="1"/>
      <c r="B3655" s="19"/>
      <c r="C3655" s="24"/>
      <c r="D3655" s="1"/>
      <c r="E3655" s="25"/>
      <c r="F3655" s="26"/>
      <c r="G3655" s="26"/>
      <c r="L3655" s="25"/>
      <c r="M3655" s="24"/>
      <c r="N3655" s="26"/>
      <c r="O3655" s="26"/>
      <c r="P3655" s="26"/>
      <c r="Q3655" s="26"/>
      <c r="R3655" s="26"/>
      <c r="S3655" s="26"/>
      <c r="T3655" s="26"/>
      <c r="U3655" s="26"/>
      <c r="V3655" s="26"/>
      <c r="W3655" s="26"/>
      <c r="X3655" s="26"/>
      <c r="Y3655" s="26"/>
      <c r="Z3655" s="26"/>
      <c r="AA3655" s="26"/>
      <c r="AB3655" s="26"/>
      <c r="AC3655" s="27"/>
    </row>
    <row r="3656" spans="1:29" x14ac:dyDescent="0.25">
      <c r="A3656" s="1"/>
      <c r="B3656" s="19"/>
      <c r="C3656" s="24"/>
      <c r="D3656" s="1"/>
      <c r="E3656" s="25"/>
      <c r="F3656" s="26"/>
      <c r="G3656" s="26"/>
      <c r="L3656" s="25"/>
      <c r="M3656" s="24"/>
      <c r="N3656" s="26"/>
      <c r="O3656" s="26"/>
      <c r="P3656" s="26"/>
      <c r="Q3656" s="26"/>
      <c r="R3656" s="26"/>
      <c r="S3656" s="26"/>
      <c r="T3656" s="26"/>
      <c r="U3656" s="26"/>
      <c r="V3656" s="26"/>
      <c r="W3656" s="26"/>
      <c r="X3656" s="26"/>
      <c r="Y3656" s="26"/>
      <c r="Z3656" s="26"/>
      <c r="AA3656" s="26"/>
      <c r="AB3656" s="26"/>
      <c r="AC3656" s="27"/>
    </row>
    <row r="3657" spans="1:29" x14ac:dyDescent="0.25">
      <c r="A3657" s="1"/>
      <c r="B3657" s="19"/>
      <c r="C3657" s="24"/>
      <c r="D3657" s="1"/>
      <c r="E3657" s="25"/>
      <c r="F3657" s="26"/>
      <c r="G3657" s="26"/>
      <c r="L3657" s="25"/>
      <c r="M3657" s="24"/>
      <c r="N3657" s="26"/>
      <c r="O3657" s="26"/>
      <c r="P3657" s="26"/>
      <c r="Q3657" s="26"/>
      <c r="R3657" s="26"/>
      <c r="S3657" s="26"/>
      <c r="T3657" s="26"/>
      <c r="U3657" s="26"/>
      <c r="V3657" s="26"/>
      <c r="W3657" s="26"/>
      <c r="X3657" s="26"/>
      <c r="Y3657" s="26"/>
      <c r="Z3657" s="26"/>
      <c r="AA3657" s="26"/>
      <c r="AB3657" s="26"/>
      <c r="AC3657" s="27"/>
    </row>
    <row r="3658" spans="1:29" x14ac:dyDescent="0.25">
      <c r="A3658" s="1"/>
      <c r="B3658" s="19"/>
      <c r="C3658" s="24"/>
      <c r="D3658" s="1"/>
      <c r="E3658" s="25"/>
      <c r="F3658" s="26"/>
      <c r="G3658" s="26"/>
      <c r="L3658" s="25"/>
      <c r="M3658" s="24"/>
      <c r="N3658" s="26"/>
      <c r="O3658" s="26"/>
      <c r="P3658" s="26"/>
      <c r="Q3658" s="26"/>
      <c r="R3658" s="26"/>
      <c r="S3658" s="26"/>
      <c r="T3658" s="26"/>
      <c r="U3658" s="26"/>
      <c r="V3658" s="26"/>
      <c r="W3658" s="26"/>
      <c r="X3658" s="26"/>
      <c r="Y3658" s="26"/>
      <c r="Z3658" s="26"/>
      <c r="AA3658" s="26"/>
      <c r="AB3658" s="26"/>
      <c r="AC3658" s="27"/>
    </row>
    <row r="3659" spans="1:29" x14ac:dyDescent="0.25">
      <c r="A3659" s="1"/>
      <c r="B3659" s="19"/>
      <c r="C3659" s="24"/>
      <c r="D3659" s="1"/>
      <c r="E3659" s="25"/>
      <c r="F3659" s="26"/>
      <c r="G3659" s="26"/>
      <c r="L3659" s="25"/>
      <c r="M3659" s="24"/>
      <c r="N3659" s="26"/>
      <c r="O3659" s="26"/>
      <c r="P3659" s="26"/>
      <c r="Q3659" s="26"/>
      <c r="R3659" s="26"/>
      <c r="S3659" s="26"/>
      <c r="T3659" s="26"/>
      <c r="U3659" s="26"/>
      <c r="V3659" s="26"/>
      <c r="W3659" s="26"/>
      <c r="X3659" s="26"/>
      <c r="Y3659" s="26"/>
      <c r="Z3659" s="26"/>
      <c r="AA3659" s="26"/>
      <c r="AB3659" s="26"/>
      <c r="AC3659" s="27"/>
    </row>
    <row r="3660" spans="1:29" x14ac:dyDescent="0.25">
      <c r="A3660" s="1"/>
      <c r="B3660" s="19"/>
      <c r="C3660" s="24"/>
      <c r="D3660" s="1"/>
      <c r="E3660" s="25"/>
      <c r="F3660" s="26"/>
      <c r="G3660" s="26"/>
      <c r="L3660" s="25"/>
      <c r="M3660" s="24"/>
      <c r="N3660" s="26"/>
      <c r="O3660" s="26"/>
      <c r="P3660" s="26"/>
      <c r="Q3660" s="26"/>
      <c r="R3660" s="26"/>
      <c r="S3660" s="26"/>
      <c r="T3660" s="26"/>
      <c r="U3660" s="26"/>
      <c r="V3660" s="26"/>
      <c r="W3660" s="26"/>
      <c r="X3660" s="26"/>
      <c r="Y3660" s="26"/>
      <c r="Z3660" s="26"/>
      <c r="AA3660" s="26"/>
      <c r="AB3660" s="26"/>
      <c r="AC3660" s="27"/>
    </row>
    <row r="3661" spans="1:29" x14ac:dyDescent="0.25">
      <c r="A3661" s="1"/>
      <c r="B3661" s="19"/>
      <c r="C3661" s="24"/>
      <c r="D3661" s="1"/>
      <c r="E3661" s="25"/>
      <c r="F3661" s="26"/>
      <c r="G3661" s="26"/>
      <c r="L3661" s="25"/>
      <c r="M3661" s="24"/>
      <c r="N3661" s="26"/>
      <c r="O3661" s="26"/>
      <c r="P3661" s="26"/>
      <c r="Q3661" s="26"/>
      <c r="R3661" s="26"/>
      <c r="S3661" s="26"/>
      <c r="T3661" s="26"/>
      <c r="U3661" s="26"/>
      <c r="V3661" s="26"/>
      <c r="W3661" s="26"/>
      <c r="X3661" s="26"/>
      <c r="Y3661" s="26"/>
      <c r="Z3661" s="26"/>
      <c r="AA3661" s="26"/>
      <c r="AB3661" s="26"/>
      <c r="AC3661" s="27"/>
    </row>
    <row r="3662" spans="1:29" x14ac:dyDescent="0.25">
      <c r="A3662" s="1"/>
      <c r="B3662" s="19"/>
      <c r="C3662" s="24"/>
      <c r="D3662" s="1"/>
      <c r="E3662" s="25"/>
      <c r="F3662" s="26"/>
      <c r="G3662" s="26"/>
      <c r="L3662" s="25"/>
      <c r="M3662" s="24"/>
      <c r="N3662" s="26"/>
      <c r="O3662" s="26"/>
      <c r="P3662" s="26"/>
      <c r="Q3662" s="26"/>
      <c r="R3662" s="26"/>
      <c r="S3662" s="26"/>
      <c r="T3662" s="26"/>
      <c r="U3662" s="26"/>
      <c r="V3662" s="26"/>
      <c r="W3662" s="26"/>
      <c r="X3662" s="26"/>
      <c r="Y3662" s="26"/>
      <c r="Z3662" s="26"/>
      <c r="AA3662" s="26"/>
      <c r="AB3662" s="26"/>
      <c r="AC3662" s="27"/>
    </row>
    <row r="3663" spans="1:29" x14ac:dyDescent="0.25">
      <c r="A3663" s="1"/>
      <c r="B3663" s="19"/>
      <c r="C3663" s="24"/>
      <c r="D3663" s="1"/>
      <c r="E3663" s="25"/>
      <c r="F3663" s="26"/>
      <c r="G3663" s="26"/>
      <c r="L3663" s="25"/>
      <c r="M3663" s="24"/>
      <c r="N3663" s="26"/>
      <c r="O3663" s="26"/>
      <c r="P3663" s="26"/>
      <c r="Q3663" s="26"/>
      <c r="R3663" s="26"/>
      <c r="S3663" s="26"/>
      <c r="T3663" s="26"/>
      <c r="U3663" s="26"/>
      <c r="V3663" s="26"/>
      <c r="W3663" s="26"/>
      <c r="X3663" s="26"/>
      <c r="Y3663" s="26"/>
      <c r="Z3663" s="26"/>
      <c r="AA3663" s="26"/>
      <c r="AB3663" s="26"/>
      <c r="AC3663" s="27"/>
    </row>
    <row r="3664" spans="1:29" x14ac:dyDescent="0.25">
      <c r="A3664" s="1"/>
      <c r="B3664" s="19"/>
      <c r="C3664" s="24"/>
      <c r="D3664" s="1"/>
      <c r="E3664" s="25"/>
      <c r="F3664" s="26"/>
      <c r="G3664" s="26"/>
      <c r="L3664" s="25"/>
      <c r="M3664" s="24"/>
      <c r="N3664" s="26"/>
      <c r="O3664" s="26"/>
      <c r="P3664" s="26"/>
      <c r="Q3664" s="26"/>
      <c r="R3664" s="26"/>
      <c r="S3664" s="26"/>
      <c r="T3664" s="26"/>
      <c r="U3664" s="26"/>
      <c r="V3664" s="26"/>
      <c r="W3664" s="26"/>
      <c r="X3664" s="26"/>
      <c r="Y3664" s="26"/>
      <c r="Z3664" s="26"/>
      <c r="AA3664" s="26"/>
      <c r="AB3664" s="26"/>
      <c r="AC3664" s="27"/>
    </row>
    <row r="3665" spans="1:29" x14ac:dyDescent="0.25">
      <c r="A3665" s="1"/>
      <c r="B3665" s="19"/>
      <c r="C3665" s="24"/>
      <c r="D3665" s="1"/>
      <c r="E3665" s="25"/>
      <c r="F3665" s="26"/>
      <c r="G3665" s="26"/>
      <c r="L3665" s="25"/>
      <c r="M3665" s="24"/>
      <c r="N3665" s="26"/>
      <c r="O3665" s="26"/>
      <c r="P3665" s="26"/>
      <c r="Q3665" s="26"/>
      <c r="R3665" s="26"/>
      <c r="S3665" s="26"/>
      <c r="T3665" s="26"/>
      <c r="U3665" s="26"/>
      <c r="V3665" s="26"/>
      <c r="W3665" s="26"/>
      <c r="X3665" s="26"/>
      <c r="Y3665" s="26"/>
      <c r="Z3665" s="26"/>
      <c r="AA3665" s="26"/>
      <c r="AB3665" s="26"/>
      <c r="AC3665" s="27"/>
    </row>
    <row r="3666" spans="1:29" x14ac:dyDescent="0.25">
      <c r="A3666" s="1"/>
      <c r="B3666" s="19"/>
      <c r="C3666" s="24"/>
      <c r="D3666" s="1"/>
      <c r="E3666" s="25"/>
      <c r="F3666" s="26"/>
      <c r="G3666" s="26"/>
      <c r="L3666" s="25"/>
      <c r="M3666" s="24"/>
      <c r="N3666" s="26"/>
      <c r="O3666" s="26"/>
      <c r="P3666" s="26"/>
      <c r="Q3666" s="26"/>
      <c r="R3666" s="26"/>
      <c r="S3666" s="26"/>
      <c r="T3666" s="26"/>
      <c r="U3666" s="26"/>
      <c r="V3666" s="26"/>
      <c r="W3666" s="26"/>
      <c r="X3666" s="26"/>
      <c r="Y3666" s="26"/>
      <c r="Z3666" s="26"/>
      <c r="AA3666" s="26"/>
      <c r="AB3666" s="26"/>
      <c r="AC3666" s="27"/>
    </row>
    <row r="3667" spans="1:29" x14ac:dyDescent="0.25">
      <c r="A3667" s="1"/>
      <c r="B3667" s="19"/>
      <c r="C3667" s="24"/>
      <c r="D3667" s="1"/>
      <c r="E3667" s="25"/>
      <c r="F3667" s="26"/>
      <c r="G3667" s="26"/>
      <c r="L3667" s="25"/>
      <c r="M3667" s="24"/>
      <c r="N3667" s="26"/>
      <c r="O3667" s="26"/>
      <c r="P3667" s="26"/>
      <c r="Q3667" s="26"/>
      <c r="R3667" s="26"/>
      <c r="S3667" s="26"/>
      <c r="T3667" s="26"/>
      <c r="U3667" s="26"/>
      <c r="V3667" s="26"/>
      <c r="W3667" s="26"/>
      <c r="X3667" s="26"/>
      <c r="Y3667" s="26"/>
      <c r="Z3667" s="26"/>
      <c r="AA3667" s="26"/>
      <c r="AB3667" s="26"/>
      <c r="AC3667" s="27"/>
    </row>
    <row r="3668" spans="1:29" x14ac:dyDescent="0.25">
      <c r="A3668" s="1"/>
      <c r="B3668" s="19"/>
      <c r="C3668" s="24"/>
      <c r="D3668" s="1"/>
      <c r="E3668" s="25"/>
      <c r="F3668" s="26"/>
      <c r="G3668" s="26"/>
      <c r="L3668" s="25"/>
      <c r="M3668" s="24"/>
      <c r="N3668" s="26"/>
      <c r="O3668" s="26"/>
      <c r="P3668" s="26"/>
      <c r="Q3668" s="26"/>
      <c r="R3668" s="26"/>
      <c r="S3668" s="26"/>
      <c r="T3668" s="26"/>
      <c r="U3668" s="26"/>
      <c r="V3668" s="26"/>
      <c r="W3668" s="26"/>
      <c r="X3668" s="26"/>
      <c r="Y3668" s="26"/>
      <c r="Z3668" s="26"/>
      <c r="AA3668" s="26"/>
      <c r="AB3668" s="26"/>
      <c r="AC3668" s="27"/>
    </row>
    <row r="3669" spans="1:29" x14ac:dyDescent="0.25">
      <c r="A3669" s="1"/>
      <c r="B3669" s="19"/>
      <c r="C3669" s="24"/>
      <c r="D3669" s="1"/>
      <c r="E3669" s="25"/>
      <c r="F3669" s="26"/>
      <c r="G3669" s="26"/>
      <c r="L3669" s="25"/>
      <c r="M3669" s="24"/>
      <c r="N3669" s="26"/>
      <c r="O3669" s="26"/>
      <c r="P3669" s="26"/>
      <c r="Q3669" s="26"/>
      <c r="R3669" s="26"/>
      <c r="S3669" s="26"/>
      <c r="T3669" s="26"/>
      <c r="U3669" s="26"/>
      <c r="V3669" s="26"/>
      <c r="W3669" s="26"/>
      <c r="X3669" s="26"/>
      <c r="Y3669" s="26"/>
      <c r="Z3669" s="26"/>
      <c r="AA3669" s="26"/>
      <c r="AB3669" s="26"/>
      <c r="AC3669" s="27"/>
    </row>
    <row r="3670" spans="1:29" x14ac:dyDescent="0.25">
      <c r="A3670" s="1"/>
      <c r="B3670" s="19"/>
      <c r="C3670" s="24"/>
      <c r="D3670" s="1"/>
      <c r="E3670" s="25"/>
      <c r="F3670" s="26"/>
      <c r="G3670" s="26"/>
      <c r="L3670" s="25"/>
      <c r="M3670" s="24"/>
      <c r="N3670" s="26"/>
      <c r="O3670" s="26"/>
      <c r="P3670" s="26"/>
      <c r="Q3670" s="26"/>
      <c r="R3670" s="26"/>
      <c r="S3670" s="26"/>
      <c r="T3670" s="26"/>
      <c r="U3670" s="26"/>
      <c r="V3670" s="26"/>
      <c r="W3670" s="26"/>
      <c r="X3670" s="26"/>
      <c r="Y3670" s="26"/>
      <c r="Z3670" s="26"/>
      <c r="AA3670" s="26"/>
      <c r="AB3670" s="26"/>
      <c r="AC3670" s="27"/>
    </row>
    <row r="3671" spans="1:29" x14ac:dyDescent="0.25">
      <c r="A3671" s="1"/>
      <c r="B3671" s="19"/>
      <c r="C3671" s="24"/>
      <c r="D3671" s="1"/>
      <c r="E3671" s="25"/>
      <c r="F3671" s="26"/>
      <c r="G3671" s="26"/>
      <c r="L3671" s="25"/>
      <c r="M3671" s="24"/>
      <c r="N3671" s="26"/>
      <c r="O3671" s="26"/>
      <c r="P3671" s="26"/>
      <c r="Q3671" s="26"/>
      <c r="R3671" s="26"/>
      <c r="S3671" s="26"/>
      <c r="T3671" s="26"/>
      <c r="U3671" s="26"/>
      <c r="V3671" s="26"/>
      <c r="W3671" s="26"/>
      <c r="X3671" s="26"/>
      <c r="Y3671" s="26"/>
      <c r="Z3671" s="26"/>
      <c r="AA3671" s="26"/>
      <c r="AB3671" s="26"/>
      <c r="AC3671" s="27"/>
    </row>
    <row r="3672" spans="1:29" x14ac:dyDescent="0.25">
      <c r="A3672" s="1"/>
      <c r="B3672" s="19"/>
      <c r="C3672" s="24"/>
      <c r="D3672" s="1"/>
      <c r="E3672" s="25"/>
      <c r="F3672" s="26"/>
      <c r="G3672" s="26"/>
      <c r="L3672" s="25"/>
      <c r="M3672" s="24"/>
      <c r="N3672" s="26"/>
      <c r="O3672" s="26"/>
      <c r="P3672" s="26"/>
      <c r="Q3672" s="26"/>
      <c r="R3672" s="26"/>
      <c r="S3672" s="26"/>
      <c r="T3672" s="26"/>
      <c r="U3672" s="26"/>
      <c r="V3672" s="26"/>
      <c r="W3672" s="26"/>
      <c r="X3672" s="26"/>
      <c r="Y3672" s="26"/>
      <c r="Z3672" s="26"/>
      <c r="AA3672" s="26"/>
      <c r="AB3672" s="26"/>
      <c r="AC3672" s="27"/>
    </row>
    <row r="3673" spans="1:29" x14ac:dyDescent="0.25">
      <c r="A3673" s="1"/>
      <c r="B3673" s="19"/>
      <c r="C3673" s="24"/>
      <c r="D3673" s="1"/>
      <c r="E3673" s="25"/>
      <c r="F3673" s="26"/>
      <c r="G3673" s="26"/>
      <c r="L3673" s="25"/>
      <c r="M3673" s="24"/>
      <c r="N3673" s="26"/>
      <c r="O3673" s="26"/>
      <c r="P3673" s="26"/>
      <c r="Q3673" s="26"/>
      <c r="R3673" s="26"/>
      <c r="S3673" s="26"/>
      <c r="T3673" s="26"/>
      <c r="U3673" s="26"/>
      <c r="V3673" s="26"/>
      <c r="W3673" s="26"/>
      <c r="X3673" s="26"/>
      <c r="Y3673" s="26"/>
      <c r="Z3673" s="26"/>
      <c r="AA3673" s="26"/>
      <c r="AB3673" s="26"/>
      <c r="AC3673" s="27"/>
    </row>
    <row r="3674" spans="1:29" x14ac:dyDescent="0.25">
      <c r="A3674" s="1"/>
      <c r="B3674" s="19"/>
      <c r="C3674" s="24"/>
      <c r="D3674" s="1"/>
      <c r="E3674" s="25"/>
      <c r="F3674" s="26"/>
      <c r="G3674" s="26"/>
      <c r="L3674" s="25"/>
      <c r="M3674" s="24"/>
      <c r="N3674" s="26"/>
      <c r="O3674" s="26"/>
      <c r="P3674" s="26"/>
      <c r="Q3674" s="26"/>
      <c r="R3674" s="26"/>
      <c r="S3674" s="26"/>
      <c r="T3674" s="26"/>
      <c r="U3674" s="26"/>
      <c r="V3674" s="26"/>
      <c r="W3674" s="26"/>
      <c r="X3674" s="26"/>
      <c r="Y3674" s="26"/>
      <c r="Z3674" s="26"/>
      <c r="AA3674" s="26"/>
      <c r="AB3674" s="26"/>
      <c r="AC3674" s="27"/>
    </row>
    <row r="3675" spans="1:29" x14ac:dyDescent="0.25">
      <c r="A3675" s="1"/>
      <c r="B3675" s="19"/>
      <c r="C3675" s="24"/>
      <c r="D3675" s="1"/>
      <c r="E3675" s="25"/>
      <c r="F3675" s="26"/>
      <c r="G3675" s="26"/>
      <c r="L3675" s="25"/>
      <c r="M3675" s="24"/>
      <c r="N3675" s="26"/>
      <c r="O3675" s="26"/>
      <c r="P3675" s="26"/>
      <c r="Q3675" s="26"/>
      <c r="R3675" s="26"/>
      <c r="S3675" s="26"/>
      <c r="T3675" s="26"/>
      <c r="U3675" s="26"/>
      <c r="V3675" s="26"/>
      <c r="W3675" s="26"/>
      <c r="X3675" s="26"/>
      <c r="Y3675" s="26"/>
      <c r="Z3675" s="26"/>
      <c r="AA3675" s="26"/>
      <c r="AB3675" s="26"/>
      <c r="AC3675" s="27"/>
    </row>
    <row r="3676" spans="1:29" x14ac:dyDescent="0.25">
      <c r="A3676" s="1"/>
      <c r="B3676" s="19"/>
      <c r="C3676" s="24"/>
      <c r="D3676" s="1"/>
      <c r="E3676" s="25"/>
      <c r="F3676" s="26"/>
      <c r="G3676" s="26"/>
      <c r="L3676" s="25"/>
      <c r="M3676" s="24"/>
      <c r="N3676" s="26"/>
      <c r="O3676" s="26"/>
      <c r="P3676" s="26"/>
      <c r="Q3676" s="26"/>
      <c r="R3676" s="26"/>
      <c r="S3676" s="26"/>
      <c r="T3676" s="26"/>
      <c r="U3676" s="26"/>
      <c r="V3676" s="26"/>
      <c r="W3676" s="26"/>
      <c r="X3676" s="26"/>
      <c r="Y3676" s="26"/>
      <c r="Z3676" s="26"/>
      <c r="AA3676" s="26"/>
      <c r="AB3676" s="26"/>
      <c r="AC3676" s="27"/>
    </row>
    <row r="3677" spans="1:29" x14ac:dyDescent="0.25">
      <c r="A3677" s="1"/>
      <c r="B3677" s="19"/>
      <c r="C3677" s="24"/>
      <c r="D3677" s="1"/>
      <c r="E3677" s="25"/>
      <c r="F3677" s="26"/>
      <c r="G3677" s="26"/>
      <c r="L3677" s="25"/>
      <c r="M3677" s="24"/>
      <c r="N3677" s="26"/>
      <c r="O3677" s="26"/>
      <c r="P3677" s="26"/>
      <c r="Q3677" s="26"/>
      <c r="R3677" s="26"/>
      <c r="S3677" s="26"/>
      <c r="T3677" s="26"/>
      <c r="U3677" s="26"/>
      <c r="V3677" s="26"/>
      <c r="W3677" s="26"/>
      <c r="X3677" s="26"/>
      <c r="Y3677" s="26"/>
      <c r="Z3677" s="26"/>
      <c r="AA3677" s="26"/>
      <c r="AB3677" s="26"/>
      <c r="AC3677" s="27"/>
    </row>
    <row r="3678" spans="1:29" x14ac:dyDescent="0.25">
      <c r="A3678" s="1"/>
      <c r="B3678" s="19"/>
      <c r="C3678" s="24"/>
      <c r="D3678" s="1"/>
      <c r="E3678" s="25"/>
      <c r="F3678" s="26"/>
      <c r="G3678" s="26"/>
      <c r="L3678" s="25"/>
      <c r="M3678" s="24"/>
      <c r="N3678" s="26"/>
      <c r="O3678" s="26"/>
      <c r="P3678" s="26"/>
      <c r="Q3678" s="26"/>
      <c r="R3678" s="26"/>
      <c r="S3678" s="26"/>
      <c r="T3678" s="26"/>
      <c r="U3678" s="26"/>
      <c r="V3678" s="26"/>
      <c r="W3678" s="26"/>
      <c r="X3678" s="26"/>
      <c r="Y3678" s="26"/>
      <c r="Z3678" s="26"/>
      <c r="AA3678" s="26"/>
      <c r="AB3678" s="26"/>
      <c r="AC3678" s="27"/>
    </row>
    <row r="3679" spans="1:29" x14ac:dyDescent="0.25">
      <c r="A3679" s="1"/>
      <c r="B3679" s="19"/>
      <c r="C3679" s="24"/>
      <c r="D3679" s="1"/>
      <c r="E3679" s="25"/>
      <c r="F3679" s="26"/>
      <c r="G3679" s="26"/>
      <c r="L3679" s="25"/>
      <c r="M3679" s="24"/>
      <c r="N3679" s="26"/>
      <c r="O3679" s="26"/>
      <c r="P3679" s="26"/>
      <c r="Q3679" s="26"/>
      <c r="R3679" s="26"/>
      <c r="S3679" s="26"/>
      <c r="T3679" s="26"/>
      <c r="U3679" s="26"/>
      <c r="V3679" s="26"/>
      <c r="W3679" s="26"/>
      <c r="X3679" s="26"/>
      <c r="Y3679" s="26"/>
      <c r="Z3679" s="26"/>
      <c r="AA3679" s="26"/>
      <c r="AB3679" s="26"/>
      <c r="AC3679" s="27"/>
    </row>
    <row r="3680" spans="1:29" x14ac:dyDescent="0.25">
      <c r="A3680" s="1"/>
      <c r="B3680" s="19"/>
      <c r="C3680" s="24"/>
      <c r="D3680" s="1"/>
      <c r="E3680" s="25"/>
      <c r="F3680" s="26"/>
      <c r="G3680" s="26"/>
      <c r="L3680" s="25"/>
      <c r="M3680" s="24"/>
      <c r="N3680" s="26"/>
      <c r="O3680" s="26"/>
      <c r="P3680" s="26"/>
      <c r="Q3680" s="26"/>
      <c r="R3680" s="26"/>
      <c r="S3680" s="26"/>
      <c r="T3680" s="26"/>
      <c r="U3680" s="26"/>
      <c r="V3680" s="26"/>
      <c r="W3680" s="26"/>
      <c r="X3680" s="26"/>
      <c r="Y3680" s="26"/>
      <c r="Z3680" s="26"/>
      <c r="AA3680" s="26"/>
      <c r="AB3680" s="26"/>
      <c r="AC3680" s="27"/>
    </row>
    <row r="3681" spans="1:29" x14ac:dyDescent="0.25">
      <c r="A3681" s="1"/>
      <c r="B3681" s="19"/>
      <c r="C3681" s="24"/>
      <c r="D3681" s="1"/>
      <c r="E3681" s="25"/>
      <c r="F3681" s="26"/>
      <c r="G3681" s="26"/>
      <c r="L3681" s="25"/>
      <c r="M3681" s="24"/>
      <c r="N3681" s="26"/>
      <c r="O3681" s="26"/>
      <c r="P3681" s="26"/>
      <c r="Q3681" s="26"/>
      <c r="R3681" s="26"/>
      <c r="S3681" s="26"/>
      <c r="T3681" s="26"/>
      <c r="U3681" s="26"/>
      <c r="V3681" s="26"/>
      <c r="W3681" s="26"/>
      <c r="X3681" s="26"/>
      <c r="Y3681" s="26"/>
      <c r="Z3681" s="26"/>
      <c r="AA3681" s="26"/>
      <c r="AB3681" s="26"/>
      <c r="AC3681" s="27"/>
    </row>
    <row r="3682" spans="1:29" x14ac:dyDescent="0.25">
      <c r="A3682" s="1"/>
      <c r="B3682" s="19"/>
      <c r="C3682" s="24"/>
      <c r="D3682" s="1"/>
      <c r="E3682" s="25"/>
      <c r="F3682" s="26"/>
      <c r="G3682" s="26"/>
      <c r="L3682" s="25"/>
      <c r="M3682" s="24"/>
      <c r="N3682" s="26"/>
      <c r="O3682" s="26"/>
      <c r="P3682" s="26"/>
      <c r="Q3682" s="26"/>
      <c r="R3682" s="26"/>
      <c r="S3682" s="26"/>
      <c r="T3682" s="26"/>
      <c r="U3682" s="26"/>
      <c r="V3682" s="26"/>
      <c r="W3682" s="26"/>
      <c r="X3682" s="26"/>
      <c r="Y3682" s="26"/>
      <c r="Z3682" s="26"/>
      <c r="AA3682" s="26"/>
      <c r="AB3682" s="26"/>
      <c r="AC3682" s="27"/>
    </row>
    <row r="3683" spans="1:29" x14ac:dyDescent="0.25">
      <c r="A3683" s="1"/>
      <c r="B3683" s="19"/>
      <c r="C3683" s="24"/>
      <c r="D3683" s="1"/>
      <c r="E3683" s="25"/>
      <c r="F3683" s="26"/>
      <c r="G3683" s="26"/>
      <c r="L3683" s="25"/>
      <c r="M3683" s="24"/>
      <c r="N3683" s="26"/>
      <c r="O3683" s="26"/>
      <c r="P3683" s="26"/>
      <c r="Q3683" s="26"/>
      <c r="R3683" s="26"/>
      <c r="S3683" s="26"/>
      <c r="T3683" s="26"/>
      <c r="U3683" s="26"/>
      <c r="V3683" s="26"/>
      <c r="W3683" s="26"/>
      <c r="X3683" s="26"/>
      <c r="Y3683" s="26"/>
      <c r="Z3683" s="26"/>
      <c r="AA3683" s="26"/>
      <c r="AB3683" s="26"/>
      <c r="AC3683" s="27"/>
    </row>
    <row r="3684" spans="1:29" x14ac:dyDescent="0.25">
      <c r="A3684" s="1"/>
      <c r="B3684" s="19"/>
      <c r="C3684" s="24"/>
      <c r="D3684" s="1"/>
      <c r="E3684" s="25"/>
      <c r="F3684" s="26"/>
      <c r="G3684" s="26"/>
      <c r="L3684" s="25"/>
      <c r="M3684" s="24"/>
      <c r="N3684" s="26"/>
      <c r="O3684" s="26"/>
      <c r="P3684" s="26"/>
      <c r="Q3684" s="26"/>
      <c r="R3684" s="26"/>
      <c r="S3684" s="26"/>
      <c r="T3684" s="26"/>
      <c r="U3684" s="26"/>
      <c r="V3684" s="26"/>
      <c r="W3684" s="26"/>
      <c r="X3684" s="26"/>
      <c r="Y3684" s="26"/>
      <c r="Z3684" s="26"/>
      <c r="AA3684" s="26"/>
      <c r="AB3684" s="26"/>
      <c r="AC3684" s="27"/>
    </row>
    <row r="3685" spans="1:29" x14ac:dyDescent="0.25">
      <c r="A3685" s="1"/>
      <c r="B3685" s="19"/>
      <c r="C3685" s="24"/>
      <c r="D3685" s="1"/>
      <c r="E3685" s="25"/>
      <c r="F3685" s="26"/>
      <c r="G3685" s="26"/>
      <c r="L3685" s="25"/>
      <c r="M3685" s="24"/>
      <c r="N3685" s="26"/>
      <c r="O3685" s="26"/>
      <c r="P3685" s="26"/>
      <c r="Q3685" s="26"/>
      <c r="R3685" s="26"/>
      <c r="S3685" s="26"/>
      <c r="T3685" s="26"/>
      <c r="U3685" s="26"/>
      <c r="V3685" s="26"/>
      <c r="W3685" s="26"/>
      <c r="X3685" s="26"/>
      <c r="Y3685" s="26"/>
      <c r="Z3685" s="26"/>
      <c r="AA3685" s="26"/>
      <c r="AB3685" s="26"/>
      <c r="AC3685" s="27"/>
    </row>
    <row r="3686" spans="1:29" x14ac:dyDescent="0.25">
      <c r="A3686" s="1"/>
      <c r="B3686" s="19"/>
      <c r="C3686" s="24"/>
      <c r="D3686" s="1"/>
      <c r="E3686" s="25"/>
      <c r="F3686" s="26"/>
      <c r="G3686" s="26"/>
      <c r="L3686" s="25"/>
      <c r="M3686" s="24"/>
      <c r="N3686" s="26"/>
      <c r="O3686" s="26"/>
      <c r="P3686" s="26"/>
      <c r="Q3686" s="26"/>
      <c r="R3686" s="26"/>
      <c r="S3686" s="26"/>
      <c r="T3686" s="26"/>
      <c r="U3686" s="26"/>
      <c r="V3686" s="26"/>
      <c r="W3686" s="26"/>
      <c r="X3686" s="26"/>
      <c r="Y3686" s="26"/>
      <c r="Z3686" s="26"/>
      <c r="AA3686" s="26"/>
      <c r="AB3686" s="26"/>
      <c r="AC3686" s="27"/>
    </row>
    <row r="3687" spans="1:29" x14ac:dyDescent="0.25">
      <c r="A3687" s="1"/>
      <c r="B3687" s="19"/>
      <c r="C3687" s="24"/>
      <c r="D3687" s="1"/>
      <c r="E3687" s="25"/>
      <c r="F3687" s="26"/>
      <c r="G3687" s="26"/>
      <c r="L3687" s="25"/>
      <c r="M3687" s="24"/>
      <c r="N3687" s="26"/>
      <c r="O3687" s="26"/>
      <c r="P3687" s="26"/>
      <c r="Q3687" s="26"/>
      <c r="R3687" s="26"/>
      <c r="S3687" s="26"/>
      <c r="T3687" s="26"/>
      <c r="U3687" s="26"/>
      <c r="V3687" s="26"/>
      <c r="W3687" s="26"/>
      <c r="X3687" s="26"/>
      <c r="Y3687" s="26"/>
      <c r="Z3687" s="26"/>
      <c r="AA3687" s="26"/>
      <c r="AB3687" s="26"/>
      <c r="AC3687" s="27"/>
    </row>
    <row r="3688" spans="1:29" x14ac:dyDescent="0.25">
      <c r="A3688" s="1"/>
      <c r="B3688" s="19"/>
      <c r="C3688" s="24"/>
      <c r="D3688" s="1"/>
      <c r="E3688" s="25"/>
      <c r="F3688" s="26"/>
      <c r="G3688" s="26"/>
      <c r="L3688" s="25"/>
      <c r="M3688" s="24"/>
      <c r="N3688" s="26"/>
      <c r="O3688" s="26"/>
      <c r="P3688" s="26"/>
      <c r="Q3688" s="26"/>
      <c r="R3688" s="26"/>
      <c r="S3688" s="26"/>
      <c r="T3688" s="26"/>
      <c r="U3688" s="26"/>
      <c r="V3688" s="26"/>
      <c r="W3688" s="26"/>
      <c r="X3688" s="26"/>
      <c r="Y3688" s="26"/>
      <c r="Z3688" s="26"/>
      <c r="AA3688" s="26"/>
      <c r="AB3688" s="26"/>
      <c r="AC3688" s="27"/>
    </row>
    <row r="3689" spans="1:29" x14ac:dyDescent="0.25">
      <c r="A3689" s="1"/>
      <c r="B3689" s="19"/>
      <c r="C3689" s="24"/>
      <c r="D3689" s="1"/>
      <c r="E3689" s="25"/>
      <c r="F3689" s="26"/>
      <c r="G3689" s="26"/>
      <c r="L3689" s="25"/>
      <c r="M3689" s="24"/>
      <c r="N3689" s="26"/>
      <c r="O3689" s="26"/>
      <c r="P3689" s="26"/>
      <c r="Q3689" s="26"/>
      <c r="R3689" s="26"/>
      <c r="S3689" s="26"/>
      <c r="T3689" s="26"/>
      <c r="U3689" s="26"/>
      <c r="V3689" s="26"/>
      <c r="W3689" s="26"/>
      <c r="X3689" s="26"/>
      <c r="Y3689" s="26"/>
      <c r="Z3689" s="26"/>
      <c r="AA3689" s="26"/>
      <c r="AB3689" s="26"/>
      <c r="AC3689" s="27"/>
    </row>
    <row r="3690" spans="1:29" x14ac:dyDescent="0.25">
      <c r="A3690" s="1"/>
      <c r="B3690" s="19"/>
      <c r="C3690" s="24"/>
      <c r="D3690" s="1"/>
      <c r="E3690" s="25"/>
      <c r="F3690" s="26"/>
      <c r="G3690" s="26"/>
      <c r="L3690" s="25"/>
      <c r="M3690" s="24"/>
      <c r="N3690" s="26"/>
      <c r="O3690" s="26"/>
      <c r="P3690" s="26"/>
      <c r="Q3690" s="26"/>
      <c r="R3690" s="26"/>
      <c r="S3690" s="26"/>
      <c r="T3690" s="26"/>
      <c r="U3690" s="26"/>
      <c r="V3690" s="26"/>
      <c r="W3690" s="26"/>
      <c r="X3690" s="26"/>
      <c r="Y3690" s="26"/>
      <c r="Z3690" s="26"/>
      <c r="AA3690" s="26"/>
      <c r="AB3690" s="26"/>
      <c r="AC3690" s="27"/>
    </row>
    <row r="3691" spans="1:29" x14ac:dyDescent="0.25">
      <c r="A3691" s="1"/>
      <c r="B3691" s="19"/>
      <c r="C3691" s="24"/>
      <c r="D3691" s="1"/>
      <c r="E3691" s="25"/>
      <c r="F3691" s="26"/>
      <c r="G3691" s="26"/>
      <c r="L3691" s="25"/>
      <c r="M3691" s="24"/>
      <c r="N3691" s="26"/>
      <c r="O3691" s="26"/>
      <c r="P3691" s="26"/>
      <c r="Q3691" s="26"/>
      <c r="R3691" s="26"/>
      <c r="S3691" s="26"/>
      <c r="T3691" s="26"/>
      <c r="U3691" s="26"/>
      <c r="V3691" s="26"/>
      <c r="W3691" s="26"/>
      <c r="X3691" s="26"/>
      <c r="Y3691" s="26"/>
      <c r="Z3691" s="26"/>
      <c r="AA3691" s="26"/>
      <c r="AB3691" s="26"/>
      <c r="AC3691" s="27"/>
    </row>
    <row r="3692" spans="1:29" x14ac:dyDescent="0.25">
      <c r="A3692" s="1"/>
      <c r="B3692" s="19"/>
      <c r="C3692" s="24"/>
      <c r="D3692" s="1"/>
      <c r="E3692" s="25"/>
      <c r="F3692" s="26"/>
      <c r="G3692" s="26"/>
      <c r="L3692" s="25"/>
      <c r="M3692" s="24"/>
      <c r="N3692" s="26"/>
      <c r="O3692" s="26"/>
      <c r="P3692" s="26"/>
      <c r="Q3692" s="26"/>
      <c r="R3692" s="26"/>
      <c r="S3692" s="26"/>
      <c r="T3692" s="26"/>
      <c r="U3692" s="26"/>
      <c r="V3692" s="26"/>
      <c r="W3692" s="26"/>
      <c r="X3692" s="26"/>
      <c r="Y3692" s="26"/>
      <c r="Z3692" s="26"/>
      <c r="AA3692" s="26"/>
      <c r="AB3692" s="26"/>
      <c r="AC3692" s="27"/>
    </row>
    <row r="3693" spans="1:29" x14ac:dyDescent="0.25">
      <c r="A3693" s="1"/>
      <c r="B3693" s="19"/>
      <c r="C3693" s="24"/>
      <c r="D3693" s="1"/>
      <c r="E3693" s="25"/>
      <c r="F3693" s="26"/>
      <c r="G3693" s="26"/>
      <c r="L3693" s="25"/>
      <c r="M3693" s="24"/>
      <c r="N3693" s="26"/>
      <c r="O3693" s="26"/>
      <c r="P3693" s="26"/>
      <c r="Q3693" s="26"/>
      <c r="R3693" s="26"/>
      <c r="S3693" s="26"/>
      <c r="T3693" s="26"/>
      <c r="U3693" s="26"/>
      <c r="V3693" s="26"/>
      <c r="W3693" s="26"/>
      <c r="X3693" s="26"/>
      <c r="Y3693" s="26"/>
      <c r="Z3693" s="26"/>
      <c r="AA3693" s="26"/>
      <c r="AB3693" s="26"/>
      <c r="AC3693" s="27"/>
    </row>
    <row r="3694" spans="1:29" x14ac:dyDescent="0.25">
      <c r="A3694" s="1"/>
      <c r="B3694" s="19"/>
      <c r="C3694" s="24"/>
      <c r="D3694" s="1"/>
      <c r="E3694" s="25"/>
      <c r="F3694" s="26"/>
      <c r="G3694" s="26"/>
      <c r="L3694" s="25"/>
      <c r="M3694" s="24"/>
      <c r="N3694" s="26"/>
      <c r="O3694" s="26"/>
      <c r="P3694" s="26"/>
      <c r="Q3694" s="26"/>
      <c r="R3694" s="26"/>
      <c r="S3694" s="26"/>
      <c r="T3694" s="26"/>
      <c r="U3694" s="26"/>
      <c r="V3694" s="26"/>
      <c r="W3694" s="26"/>
      <c r="X3694" s="26"/>
      <c r="Y3694" s="26"/>
      <c r="Z3694" s="26"/>
      <c r="AA3694" s="26"/>
      <c r="AB3694" s="26"/>
      <c r="AC3694" s="27"/>
    </row>
    <row r="3695" spans="1:29" x14ac:dyDescent="0.25">
      <c r="A3695" s="1"/>
      <c r="B3695" s="19"/>
      <c r="C3695" s="24"/>
      <c r="D3695" s="1"/>
      <c r="E3695" s="25"/>
      <c r="F3695" s="26"/>
      <c r="G3695" s="26"/>
      <c r="L3695" s="25"/>
      <c r="M3695" s="24"/>
      <c r="N3695" s="26"/>
      <c r="O3695" s="26"/>
      <c r="P3695" s="26"/>
      <c r="Q3695" s="26"/>
      <c r="R3695" s="26"/>
      <c r="S3695" s="26"/>
      <c r="T3695" s="26"/>
      <c r="U3695" s="26"/>
      <c r="V3695" s="26"/>
      <c r="W3695" s="26"/>
      <c r="X3695" s="26"/>
      <c r="Y3695" s="26"/>
      <c r="Z3695" s="26"/>
      <c r="AA3695" s="26"/>
      <c r="AB3695" s="26"/>
      <c r="AC3695" s="27"/>
    </row>
    <row r="3696" spans="1:29" x14ac:dyDescent="0.25">
      <c r="A3696" s="1"/>
      <c r="B3696" s="19"/>
      <c r="C3696" s="24"/>
      <c r="D3696" s="1"/>
      <c r="E3696" s="25"/>
      <c r="F3696" s="26"/>
      <c r="G3696" s="26"/>
      <c r="L3696" s="25"/>
      <c r="M3696" s="24"/>
      <c r="N3696" s="26"/>
      <c r="O3696" s="26"/>
      <c r="P3696" s="26"/>
      <c r="Q3696" s="26"/>
      <c r="R3696" s="26"/>
      <c r="S3696" s="26"/>
      <c r="T3696" s="26"/>
      <c r="U3696" s="26"/>
      <c r="V3696" s="26"/>
      <c r="W3696" s="26"/>
      <c r="X3696" s="26"/>
      <c r="Y3696" s="26"/>
      <c r="Z3696" s="26"/>
      <c r="AA3696" s="26"/>
      <c r="AB3696" s="26"/>
      <c r="AC3696" s="27"/>
    </row>
    <row r="3697" spans="1:29" x14ac:dyDescent="0.25">
      <c r="A3697" s="1"/>
      <c r="B3697" s="19"/>
      <c r="C3697" s="24"/>
      <c r="D3697" s="1"/>
      <c r="E3697" s="25"/>
      <c r="F3697" s="26"/>
      <c r="G3697" s="26"/>
      <c r="L3697" s="25"/>
      <c r="M3697" s="24"/>
      <c r="N3697" s="26"/>
      <c r="O3697" s="26"/>
      <c r="P3697" s="26"/>
      <c r="Q3697" s="26"/>
      <c r="R3697" s="26"/>
      <c r="S3697" s="26"/>
      <c r="T3697" s="26"/>
      <c r="U3697" s="26"/>
      <c r="V3697" s="26"/>
      <c r="W3697" s="26"/>
      <c r="X3697" s="26"/>
      <c r="Y3697" s="26"/>
      <c r="Z3697" s="26"/>
      <c r="AA3697" s="26"/>
      <c r="AB3697" s="26"/>
      <c r="AC3697" s="27"/>
    </row>
    <row r="3698" spans="1:29" x14ac:dyDescent="0.25">
      <c r="A3698" s="1"/>
      <c r="B3698" s="19"/>
      <c r="C3698" s="24"/>
      <c r="D3698" s="1"/>
      <c r="E3698" s="25"/>
      <c r="F3698" s="26"/>
      <c r="G3698" s="26"/>
      <c r="L3698" s="25"/>
      <c r="M3698" s="24"/>
      <c r="N3698" s="26"/>
      <c r="O3698" s="26"/>
      <c r="P3698" s="26"/>
      <c r="Q3698" s="26"/>
      <c r="R3698" s="26"/>
      <c r="S3698" s="26"/>
      <c r="T3698" s="26"/>
      <c r="U3698" s="26"/>
      <c r="V3698" s="26"/>
      <c r="W3698" s="26"/>
      <c r="X3698" s="26"/>
      <c r="Y3698" s="26"/>
      <c r="Z3698" s="26"/>
      <c r="AA3698" s="26"/>
      <c r="AB3698" s="26"/>
      <c r="AC3698" s="27"/>
    </row>
    <row r="3699" spans="1:29" x14ac:dyDescent="0.25">
      <c r="A3699" s="1"/>
      <c r="B3699" s="19"/>
      <c r="C3699" s="24"/>
      <c r="D3699" s="1"/>
      <c r="E3699" s="25"/>
      <c r="F3699" s="26"/>
      <c r="G3699" s="26"/>
      <c r="L3699" s="25"/>
      <c r="M3699" s="24"/>
      <c r="N3699" s="26"/>
      <c r="O3699" s="26"/>
      <c r="P3699" s="26"/>
      <c r="Q3699" s="26"/>
      <c r="R3699" s="26"/>
      <c r="S3699" s="26"/>
      <c r="T3699" s="26"/>
      <c r="U3699" s="26"/>
      <c r="V3699" s="26"/>
      <c r="W3699" s="26"/>
      <c r="X3699" s="26"/>
      <c r="Y3699" s="26"/>
      <c r="Z3699" s="26"/>
      <c r="AA3699" s="26"/>
      <c r="AB3699" s="26"/>
      <c r="AC3699" s="27"/>
    </row>
    <row r="3700" spans="1:29" x14ac:dyDescent="0.25">
      <c r="A3700" s="1"/>
      <c r="B3700" s="19"/>
      <c r="C3700" s="24"/>
      <c r="D3700" s="1"/>
      <c r="E3700" s="25"/>
      <c r="F3700" s="26"/>
      <c r="G3700" s="26"/>
      <c r="L3700" s="25"/>
      <c r="M3700" s="24"/>
      <c r="N3700" s="26"/>
      <c r="O3700" s="26"/>
      <c r="P3700" s="26"/>
      <c r="Q3700" s="26"/>
      <c r="R3700" s="26"/>
      <c r="S3700" s="26"/>
      <c r="T3700" s="26"/>
      <c r="U3700" s="26"/>
      <c r="V3700" s="26"/>
      <c r="W3700" s="26"/>
      <c r="X3700" s="26"/>
      <c r="Y3700" s="26"/>
      <c r="Z3700" s="26"/>
      <c r="AA3700" s="26"/>
      <c r="AB3700" s="26"/>
      <c r="AC3700" s="27"/>
    </row>
    <row r="3701" spans="1:29" x14ac:dyDescent="0.25">
      <c r="A3701" s="1"/>
      <c r="B3701" s="19"/>
      <c r="C3701" s="24"/>
      <c r="D3701" s="1"/>
      <c r="E3701" s="25"/>
      <c r="F3701" s="26"/>
      <c r="G3701" s="26"/>
      <c r="L3701" s="25"/>
      <c r="M3701" s="24"/>
      <c r="N3701" s="26"/>
      <c r="O3701" s="26"/>
      <c r="P3701" s="26"/>
      <c r="Q3701" s="26"/>
      <c r="R3701" s="26"/>
      <c r="S3701" s="26"/>
      <c r="T3701" s="26"/>
      <c r="U3701" s="26"/>
      <c r="V3701" s="26"/>
      <c r="W3701" s="26"/>
      <c r="X3701" s="26"/>
      <c r="Y3701" s="26"/>
      <c r="Z3701" s="26"/>
      <c r="AA3701" s="26"/>
      <c r="AB3701" s="26"/>
      <c r="AC3701" s="27"/>
    </row>
    <row r="3702" spans="1:29" x14ac:dyDescent="0.25">
      <c r="A3702" s="1"/>
      <c r="B3702" s="19"/>
      <c r="C3702" s="24"/>
      <c r="D3702" s="1"/>
      <c r="E3702" s="25"/>
      <c r="F3702" s="26"/>
      <c r="G3702" s="26"/>
      <c r="L3702" s="25"/>
      <c r="M3702" s="24"/>
      <c r="N3702" s="26"/>
      <c r="O3702" s="26"/>
      <c r="P3702" s="26"/>
      <c r="Q3702" s="26"/>
      <c r="R3702" s="26"/>
      <c r="S3702" s="26"/>
      <c r="T3702" s="26"/>
      <c r="U3702" s="26"/>
      <c r="V3702" s="26"/>
      <c r="W3702" s="26"/>
      <c r="X3702" s="26"/>
      <c r="Y3702" s="26"/>
      <c r="Z3702" s="26"/>
      <c r="AA3702" s="26"/>
      <c r="AB3702" s="26"/>
      <c r="AC3702" s="27"/>
    </row>
    <row r="3703" spans="1:29" x14ac:dyDescent="0.25">
      <c r="A3703" s="1"/>
      <c r="B3703" s="19"/>
      <c r="C3703" s="24"/>
      <c r="D3703" s="1"/>
      <c r="E3703" s="25"/>
      <c r="F3703" s="26"/>
      <c r="G3703" s="26"/>
      <c r="L3703" s="25"/>
      <c r="M3703" s="24"/>
      <c r="N3703" s="26"/>
      <c r="O3703" s="26"/>
      <c r="P3703" s="26"/>
      <c r="Q3703" s="26"/>
      <c r="R3703" s="26"/>
      <c r="S3703" s="26"/>
      <c r="T3703" s="26"/>
      <c r="U3703" s="26"/>
      <c r="V3703" s="26"/>
      <c r="W3703" s="26"/>
      <c r="X3703" s="26"/>
      <c r="Y3703" s="26"/>
      <c r="Z3703" s="26"/>
      <c r="AA3703" s="26"/>
      <c r="AB3703" s="26"/>
      <c r="AC3703" s="27"/>
    </row>
    <row r="3704" spans="1:29" x14ac:dyDescent="0.25">
      <c r="A3704" s="1"/>
      <c r="B3704" s="19"/>
      <c r="C3704" s="24"/>
      <c r="D3704" s="1"/>
      <c r="E3704" s="25"/>
      <c r="F3704" s="26"/>
      <c r="G3704" s="26"/>
      <c r="L3704" s="25"/>
      <c r="M3704" s="24"/>
      <c r="N3704" s="26"/>
      <c r="O3704" s="26"/>
      <c r="P3704" s="26"/>
      <c r="Q3704" s="26"/>
      <c r="R3704" s="26"/>
      <c r="S3704" s="26"/>
      <c r="T3704" s="26"/>
      <c r="U3704" s="26"/>
      <c r="V3704" s="26"/>
      <c r="W3704" s="26"/>
      <c r="X3704" s="26"/>
      <c r="Y3704" s="26"/>
      <c r="Z3704" s="26"/>
      <c r="AA3704" s="26"/>
      <c r="AB3704" s="26"/>
      <c r="AC3704" s="27"/>
    </row>
    <row r="3705" spans="1:29" x14ac:dyDescent="0.25">
      <c r="A3705" s="1"/>
      <c r="B3705" s="19"/>
      <c r="C3705" s="24"/>
      <c r="D3705" s="1"/>
      <c r="E3705" s="25"/>
      <c r="F3705" s="26"/>
      <c r="G3705" s="26"/>
      <c r="L3705" s="25"/>
      <c r="M3705" s="24"/>
      <c r="N3705" s="26"/>
      <c r="O3705" s="26"/>
      <c r="P3705" s="26"/>
      <c r="Q3705" s="26"/>
      <c r="R3705" s="26"/>
      <c r="S3705" s="26"/>
      <c r="T3705" s="26"/>
      <c r="U3705" s="26"/>
      <c r="V3705" s="26"/>
      <c r="W3705" s="26"/>
      <c r="X3705" s="26"/>
      <c r="Y3705" s="26"/>
      <c r="Z3705" s="26"/>
      <c r="AA3705" s="26"/>
      <c r="AB3705" s="26"/>
      <c r="AC3705" s="27"/>
    </row>
    <row r="3706" spans="1:29" x14ac:dyDescent="0.25">
      <c r="A3706" s="1"/>
      <c r="B3706" s="19"/>
      <c r="C3706" s="24"/>
      <c r="D3706" s="1"/>
      <c r="E3706" s="25"/>
      <c r="F3706" s="26"/>
      <c r="G3706" s="26"/>
      <c r="L3706" s="25"/>
      <c r="M3706" s="24"/>
      <c r="N3706" s="26"/>
      <c r="O3706" s="26"/>
      <c r="P3706" s="26"/>
      <c r="Q3706" s="26"/>
      <c r="R3706" s="26"/>
      <c r="S3706" s="26"/>
      <c r="T3706" s="26"/>
      <c r="U3706" s="26"/>
      <c r="V3706" s="26"/>
      <c r="W3706" s="26"/>
      <c r="X3706" s="26"/>
      <c r="Y3706" s="26"/>
      <c r="Z3706" s="26"/>
      <c r="AA3706" s="26"/>
      <c r="AB3706" s="26"/>
      <c r="AC3706" s="27"/>
    </row>
    <row r="3707" spans="1:29" x14ac:dyDescent="0.25">
      <c r="A3707" s="1"/>
      <c r="B3707" s="19"/>
      <c r="C3707" s="24"/>
      <c r="D3707" s="1"/>
      <c r="E3707" s="25"/>
      <c r="F3707" s="26"/>
      <c r="G3707" s="26"/>
      <c r="L3707" s="25"/>
      <c r="M3707" s="24"/>
      <c r="N3707" s="26"/>
      <c r="O3707" s="26"/>
      <c r="P3707" s="26"/>
      <c r="Q3707" s="26"/>
      <c r="R3707" s="26"/>
      <c r="S3707" s="26"/>
      <c r="T3707" s="26"/>
      <c r="U3707" s="26"/>
      <c r="V3707" s="26"/>
      <c r="W3707" s="26"/>
      <c r="X3707" s="26"/>
      <c r="Y3707" s="26"/>
      <c r="Z3707" s="26"/>
      <c r="AA3707" s="26"/>
      <c r="AB3707" s="26"/>
      <c r="AC3707" s="27"/>
    </row>
    <row r="3708" spans="1:29" x14ac:dyDescent="0.25">
      <c r="A3708" s="1"/>
      <c r="B3708" s="19"/>
      <c r="C3708" s="24"/>
      <c r="D3708" s="1"/>
      <c r="E3708" s="25"/>
      <c r="F3708" s="26"/>
      <c r="G3708" s="26"/>
      <c r="L3708" s="25"/>
      <c r="M3708" s="24"/>
      <c r="N3708" s="26"/>
      <c r="O3708" s="26"/>
      <c r="P3708" s="26"/>
      <c r="Q3708" s="26"/>
      <c r="R3708" s="26"/>
      <c r="S3708" s="26"/>
      <c r="T3708" s="26"/>
      <c r="U3708" s="26"/>
      <c r="V3708" s="26"/>
      <c r="W3708" s="26"/>
      <c r="X3708" s="26"/>
      <c r="Y3708" s="26"/>
      <c r="Z3708" s="26"/>
      <c r="AA3708" s="26"/>
      <c r="AB3708" s="26"/>
      <c r="AC3708" s="27"/>
    </row>
    <row r="3709" spans="1:29" x14ac:dyDescent="0.25">
      <c r="A3709" s="1"/>
      <c r="B3709" s="19"/>
      <c r="C3709" s="24"/>
      <c r="D3709" s="1"/>
      <c r="E3709" s="25"/>
      <c r="F3709" s="26"/>
      <c r="G3709" s="26"/>
      <c r="L3709" s="25"/>
      <c r="M3709" s="24"/>
      <c r="N3709" s="26"/>
      <c r="O3709" s="26"/>
      <c r="P3709" s="26"/>
      <c r="Q3709" s="26"/>
      <c r="R3709" s="26"/>
      <c r="S3709" s="26"/>
      <c r="T3709" s="26"/>
      <c r="U3709" s="26"/>
      <c r="V3709" s="26"/>
      <c r="W3709" s="26"/>
      <c r="X3709" s="26"/>
      <c r="Y3709" s="26"/>
      <c r="Z3709" s="26"/>
      <c r="AA3709" s="26"/>
      <c r="AB3709" s="26"/>
      <c r="AC3709" s="27"/>
    </row>
    <row r="3710" spans="1:29" x14ac:dyDescent="0.25">
      <c r="A3710" s="1"/>
      <c r="B3710" s="19"/>
      <c r="C3710" s="24"/>
      <c r="D3710" s="1"/>
      <c r="E3710" s="25"/>
      <c r="F3710" s="26"/>
      <c r="G3710" s="26"/>
      <c r="L3710" s="25"/>
      <c r="M3710" s="24"/>
      <c r="N3710" s="26"/>
      <c r="O3710" s="26"/>
      <c r="P3710" s="26"/>
      <c r="Q3710" s="26"/>
      <c r="R3710" s="26"/>
      <c r="S3710" s="26"/>
      <c r="T3710" s="26"/>
      <c r="U3710" s="26"/>
      <c r="V3710" s="26"/>
      <c r="W3710" s="26"/>
      <c r="X3710" s="26"/>
      <c r="Y3710" s="26"/>
      <c r="Z3710" s="26"/>
      <c r="AA3710" s="26"/>
      <c r="AB3710" s="26"/>
      <c r="AC3710" s="27"/>
    </row>
    <row r="3711" spans="1:29" x14ac:dyDescent="0.25">
      <c r="A3711" s="1"/>
      <c r="B3711" s="19"/>
      <c r="C3711" s="24"/>
      <c r="D3711" s="1"/>
      <c r="E3711" s="25"/>
      <c r="F3711" s="26"/>
      <c r="G3711" s="26"/>
      <c r="L3711" s="25"/>
      <c r="M3711" s="24"/>
      <c r="N3711" s="26"/>
      <c r="O3711" s="26"/>
      <c r="P3711" s="26"/>
      <c r="Q3711" s="26"/>
      <c r="R3711" s="26"/>
      <c r="S3711" s="26"/>
      <c r="T3711" s="26"/>
      <c r="U3711" s="26"/>
      <c r="V3711" s="26"/>
      <c r="W3711" s="26"/>
      <c r="X3711" s="26"/>
      <c r="Y3711" s="26"/>
      <c r="Z3711" s="26"/>
      <c r="AA3711" s="26"/>
      <c r="AB3711" s="26"/>
      <c r="AC3711" s="27"/>
    </row>
    <row r="3712" spans="1:29" x14ac:dyDescent="0.25">
      <c r="A3712" s="1"/>
      <c r="B3712" s="19"/>
      <c r="C3712" s="24"/>
      <c r="D3712" s="1"/>
      <c r="E3712" s="25"/>
      <c r="F3712" s="26"/>
      <c r="G3712" s="26"/>
      <c r="L3712" s="25"/>
      <c r="M3712" s="24"/>
      <c r="N3712" s="26"/>
      <c r="O3712" s="26"/>
      <c r="P3712" s="26"/>
      <c r="Q3712" s="26"/>
      <c r="R3712" s="26"/>
      <c r="S3712" s="26"/>
      <c r="T3712" s="26"/>
      <c r="U3712" s="26"/>
      <c r="V3712" s="26"/>
      <c r="W3712" s="26"/>
      <c r="X3712" s="26"/>
      <c r="Y3712" s="26"/>
      <c r="Z3712" s="26"/>
      <c r="AA3712" s="26"/>
      <c r="AB3712" s="26"/>
      <c r="AC3712" s="27"/>
    </row>
    <row r="3713" spans="1:29" x14ac:dyDescent="0.25">
      <c r="A3713" s="1"/>
      <c r="B3713" s="19"/>
      <c r="C3713" s="24"/>
      <c r="D3713" s="1"/>
      <c r="E3713" s="25"/>
      <c r="F3713" s="26"/>
      <c r="G3713" s="26"/>
      <c r="L3713" s="25"/>
      <c r="M3713" s="24"/>
      <c r="N3713" s="26"/>
      <c r="O3713" s="26"/>
      <c r="P3713" s="26"/>
      <c r="Q3713" s="26"/>
      <c r="R3713" s="26"/>
      <c r="S3713" s="26"/>
      <c r="T3713" s="26"/>
      <c r="U3713" s="26"/>
      <c r="V3713" s="26"/>
      <c r="W3713" s="26"/>
      <c r="X3713" s="26"/>
      <c r="Y3713" s="26"/>
      <c r="Z3713" s="26"/>
      <c r="AA3713" s="26"/>
      <c r="AB3713" s="26"/>
      <c r="AC3713" s="27"/>
    </row>
    <row r="3714" spans="1:29" x14ac:dyDescent="0.25">
      <c r="A3714" s="1"/>
      <c r="B3714" s="19"/>
      <c r="C3714" s="24"/>
      <c r="D3714" s="1"/>
      <c r="E3714" s="25"/>
      <c r="F3714" s="26"/>
      <c r="G3714" s="26"/>
      <c r="L3714" s="25"/>
      <c r="M3714" s="24"/>
      <c r="N3714" s="26"/>
      <c r="O3714" s="26"/>
      <c r="P3714" s="26"/>
      <c r="Q3714" s="26"/>
      <c r="R3714" s="26"/>
      <c r="S3714" s="26"/>
      <c r="T3714" s="26"/>
      <c r="U3714" s="26"/>
      <c r="V3714" s="26"/>
      <c r="W3714" s="26"/>
      <c r="X3714" s="26"/>
      <c r="Y3714" s="26"/>
      <c r="Z3714" s="26"/>
      <c r="AA3714" s="26"/>
      <c r="AB3714" s="26"/>
      <c r="AC3714" s="27"/>
    </row>
    <row r="3715" spans="1:29" x14ac:dyDescent="0.25">
      <c r="A3715" s="1"/>
      <c r="B3715" s="19"/>
      <c r="C3715" s="24"/>
      <c r="D3715" s="1"/>
      <c r="E3715" s="25"/>
      <c r="F3715" s="26"/>
      <c r="G3715" s="26"/>
      <c r="L3715" s="25"/>
      <c r="M3715" s="24"/>
      <c r="N3715" s="26"/>
      <c r="O3715" s="26"/>
      <c r="P3715" s="26"/>
      <c r="Q3715" s="26"/>
      <c r="R3715" s="26"/>
      <c r="S3715" s="26"/>
      <c r="T3715" s="26"/>
      <c r="U3715" s="26"/>
      <c r="V3715" s="26"/>
      <c r="W3715" s="26"/>
      <c r="X3715" s="26"/>
      <c r="Y3715" s="26"/>
      <c r="Z3715" s="26"/>
      <c r="AA3715" s="26"/>
      <c r="AB3715" s="26"/>
      <c r="AC3715" s="27"/>
    </row>
    <row r="3716" spans="1:29" x14ac:dyDescent="0.25">
      <c r="A3716" s="1"/>
      <c r="B3716" s="19"/>
      <c r="C3716" s="24"/>
      <c r="D3716" s="1"/>
      <c r="E3716" s="25"/>
      <c r="F3716" s="26"/>
      <c r="G3716" s="26"/>
      <c r="L3716" s="25"/>
      <c r="M3716" s="24"/>
      <c r="N3716" s="26"/>
      <c r="O3716" s="26"/>
      <c r="P3716" s="26"/>
      <c r="Q3716" s="26"/>
      <c r="R3716" s="26"/>
      <c r="S3716" s="26"/>
      <c r="T3716" s="26"/>
      <c r="U3716" s="26"/>
      <c r="V3716" s="26"/>
      <c r="W3716" s="26"/>
      <c r="X3716" s="26"/>
      <c r="Y3716" s="26"/>
      <c r="Z3716" s="26"/>
      <c r="AA3716" s="26"/>
      <c r="AB3716" s="26"/>
      <c r="AC3716" s="27"/>
    </row>
    <row r="3717" spans="1:29" x14ac:dyDescent="0.25">
      <c r="A3717" s="1"/>
      <c r="B3717" s="19"/>
      <c r="C3717" s="24"/>
      <c r="D3717" s="1"/>
      <c r="E3717" s="25"/>
      <c r="F3717" s="26"/>
      <c r="G3717" s="26"/>
      <c r="L3717" s="25"/>
      <c r="M3717" s="24"/>
      <c r="N3717" s="26"/>
      <c r="O3717" s="26"/>
      <c r="P3717" s="26"/>
      <c r="Q3717" s="26"/>
      <c r="R3717" s="26"/>
      <c r="S3717" s="26"/>
      <c r="T3717" s="26"/>
      <c r="U3717" s="26"/>
      <c r="V3717" s="26"/>
      <c r="W3717" s="26"/>
      <c r="X3717" s="26"/>
      <c r="Y3717" s="26"/>
      <c r="Z3717" s="26"/>
      <c r="AA3717" s="26"/>
      <c r="AB3717" s="26"/>
      <c r="AC3717" s="27"/>
    </row>
    <row r="3718" spans="1:29" x14ac:dyDescent="0.25">
      <c r="A3718" s="1"/>
      <c r="B3718" s="19"/>
      <c r="C3718" s="24"/>
      <c r="D3718" s="1"/>
      <c r="E3718" s="25"/>
      <c r="F3718" s="26"/>
      <c r="G3718" s="26"/>
      <c r="L3718" s="25"/>
      <c r="M3718" s="24"/>
      <c r="N3718" s="26"/>
      <c r="O3718" s="26"/>
      <c r="P3718" s="26"/>
      <c r="Q3718" s="26"/>
      <c r="R3718" s="26"/>
      <c r="S3718" s="26"/>
      <c r="T3718" s="26"/>
      <c r="U3718" s="26"/>
      <c r="V3718" s="26"/>
      <c r="W3718" s="26"/>
      <c r="X3718" s="26"/>
      <c r="Y3718" s="26"/>
      <c r="Z3718" s="26"/>
      <c r="AA3718" s="26"/>
      <c r="AB3718" s="26"/>
      <c r="AC3718" s="27"/>
    </row>
    <row r="3719" spans="1:29" x14ac:dyDescent="0.25">
      <c r="A3719" s="1"/>
      <c r="B3719" s="19"/>
      <c r="C3719" s="24"/>
      <c r="D3719" s="1"/>
      <c r="E3719" s="25"/>
      <c r="F3719" s="26"/>
      <c r="G3719" s="26"/>
      <c r="L3719" s="25"/>
      <c r="M3719" s="24"/>
      <c r="N3719" s="26"/>
      <c r="O3719" s="26"/>
      <c r="P3719" s="26"/>
      <c r="Q3719" s="26"/>
      <c r="R3719" s="26"/>
      <c r="S3719" s="26"/>
      <c r="T3719" s="26"/>
      <c r="U3719" s="26"/>
      <c r="V3719" s="26"/>
      <c r="W3719" s="26"/>
      <c r="X3719" s="26"/>
      <c r="Y3719" s="26"/>
      <c r="Z3719" s="26"/>
      <c r="AA3719" s="26"/>
      <c r="AB3719" s="26"/>
      <c r="AC3719" s="27"/>
    </row>
    <row r="3720" spans="1:29" x14ac:dyDescent="0.25">
      <c r="A3720" s="1"/>
      <c r="B3720" s="19"/>
      <c r="C3720" s="24"/>
      <c r="D3720" s="1"/>
      <c r="E3720" s="25"/>
      <c r="F3720" s="26"/>
      <c r="G3720" s="26"/>
      <c r="L3720" s="25"/>
      <c r="M3720" s="24"/>
      <c r="N3720" s="26"/>
      <c r="O3720" s="26"/>
      <c r="P3720" s="26"/>
      <c r="Q3720" s="26"/>
      <c r="R3720" s="26"/>
      <c r="S3720" s="26"/>
      <c r="T3720" s="26"/>
      <c r="U3720" s="26"/>
      <c r="V3720" s="26"/>
      <c r="W3720" s="26"/>
      <c r="X3720" s="26"/>
      <c r="Y3720" s="26"/>
      <c r="Z3720" s="26"/>
      <c r="AA3720" s="26"/>
      <c r="AB3720" s="26"/>
      <c r="AC3720" s="27"/>
    </row>
    <row r="3721" spans="1:29" x14ac:dyDescent="0.25">
      <c r="A3721" s="1"/>
      <c r="B3721" s="19"/>
      <c r="C3721" s="24"/>
      <c r="D3721" s="1"/>
      <c r="E3721" s="25"/>
      <c r="F3721" s="26"/>
      <c r="G3721" s="26"/>
      <c r="L3721" s="25"/>
      <c r="M3721" s="24"/>
      <c r="N3721" s="26"/>
      <c r="O3721" s="26"/>
      <c r="P3721" s="26"/>
      <c r="Q3721" s="26"/>
      <c r="R3721" s="26"/>
      <c r="S3721" s="26"/>
      <c r="T3721" s="26"/>
      <c r="U3721" s="26"/>
      <c r="V3721" s="26"/>
      <c r="W3721" s="26"/>
      <c r="X3721" s="26"/>
      <c r="Y3721" s="26"/>
      <c r="Z3721" s="26"/>
      <c r="AA3721" s="26"/>
      <c r="AB3721" s="26"/>
      <c r="AC3721" s="27"/>
    </row>
    <row r="3722" spans="1:29" x14ac:dyDescent="0.25">
      <c r="A3722" s="1"/>
      <c r="B3722" s="19"/>
      <c r="C3722" s="24"/>
      <c r="D3722" s="1"/>
      <c r="E3722" s="25"/>
      <c r="F3722" s="26"/>
      <c r="G3722" s="26"/>
      <c r="L3722" s="25"/>
      <c r="M3722" s="24"/>
      <c r="N3722" s="26"/>
      <c r="O3722" s="26"/>
      <c r="P3722" s="26"/>
      <c r="Q3722" s="26"/>
      <c r="R3722" s="26"/>
      <c r="S3722" s="26"/>
      <c r="T3722" s="26"/>
      <c r="U3722" s="26"/>
      <c r="V3722" s="26"/>
      <c r="W3722" s="26"/>
      <c r="X3722" s="26"/>
      <c r="Y3722" s="26"/>
      <c r="Z3722" s="26"/>
      <c r="AA3722" s="26"/>
      <c r="AB3722" s="26"/>
      <c r="AC3722" s="27"/>
    </row>
    <row r="3723" spans="1:29" x14ac:dyDescent="0.25">
      <c r="A3723" s="1"/>
      <c r="B3723" s="19"/>
      <c r="C3723" s="24"/>
      <c r="D3723" s="1"/>
      <c r="E3723" s="25"/>
      <c r="F3723" s="26"/>
      <c r="G3723" s="26"/>
      <c r="L3723" s="25"/>
      <c r="M3723" s="24"/>
      <c r="N3723" s="26"/>
      <c r="O3723" s="26"/>
      <c r="P3723" s="26"/>
      <c r="Q3723" s="26"/>
      <c r="R3723" s="26"/>
      <c r="S3723" s="26"/>
      <c r="T3723" s="26"/>
      <c r="U3723" s="26"/>
      <c r="V3723" s="26"/>
      <c r="W3723" s="26"/>
      <c r="X3723" s="26"/>
      <c r="Y3723" s="26"/>
      <c r="Z3723" s="26"/>
      <c r="AA3723" s="26"/>
      <c r="AB3723" s="26"/>
      <c r="AC3723" s="27"/>
    </row>
    <row r="3724" spans="1:29" x14ac:dyDescent="0.25">
      <c r="A3724" s="1"/>
      <c r="B3724" s="19"/>
      <c r="C3724" s="24"/>
      <c r="D3724" s="1"/>
      <c r="E3724" s="25"/>
      <c r="F3724" s="26"/>
      <c r="G3724" s="26"/>
      <c r="L3724" s="25"/>
      <c r="M3724" s="24"/>
      <c r="N3724" s="26"/>
      <c r="O3724" s="26"/>
      <c r="P3724" s="26"/>
      <c r="Q3724" s="26"/>
      <c r="R3724" s="26"/>
      <c r="S3724" s="26"/>
      <c r="T3724" s="26"/>
      <c r="U3724" s="26"/>
      <c r="V3724" s="26"/>
      <c r="W3724" s="26"/>
      <c r="X3724" s="26"/>
      <c r="Y3724" s="26"/>
      <c r="Z3724" s="26"/>
      <c r="AA3724" s="26"/>
      <c r="AB3724" s="26"/>
      <c r="AC3724" s="27"/>
    </row>
    <row r="3725" spans="1:29" x14ac:dyDescent="0.25">
      <c r="A3725" s="1"/>
      <c r="B3725" s="19"/>
      <c r="C3725" s="24"/>
      <c r="D3725" s="1"/>
      <c r="E3725" s="25"/>
      <c r="F3725" s="26"/>
      <c r="G3725" s="26"/>
      <c r="L3725" s="25"/>
      <c r="M3725" s="24"/>
      <c r="N3725" s="26"/>
      <c r="O3725" s="26"/>
      <c r="P3725" s="26"/>
      <c r="Q3725" s="26"/>
      <c r="R3725" s="26"/>
      <c r="S3725" s="26"/>
      <c r="T3725" s="26"/>
      <c r="U3725" s="26"/>
      <c r="V3725" s="26"/>
      <c r="W3725" s="26"/>
      <c r="X3725" s="26"/>
      <c r="Y3725" s="26"/>
      <c r="Z3725" s="26"/>
      <c r="AA3725" s="26"/>
      <c r="AB3725" s="26"/>
      <c r="AC3725" s="27"/>
    </row>
    <row r="3726" spans="1:29" x14ac:dyDescent="0.25">
      <c r="A3726" s="1"/>
      <c r="B3726" s="19"/>
      <c r="C3726" s="24"/>
      <c r="D3726" s="1"/>
      <c r="E3726" s="25"/>
      <c r="F3726" s="26"/>
      <c r="G3726" s="26"/>
      <c r="L3726" s="25"/>
      <c r="M3726" s="24"/>
      <c r="N3726" s="26"/>
      <c r="O3726" s="26"/>
      <c r="P3726" s="26"/>
      <c r="Q3726" s="26"/>
      <c r="R3726" s="26"/>
      <c r="S3726" s="26"/>
      <c r="T3726" s="26"/>
      <c r="U3726" s="26"/>
      <c r="V3726" s="26"/>
      <c r="W3726" s="26"/>
      <c r="X3726" s="26"/>
      <c r="Y3726" s="26"/>
      <c r="Z3726" s="26"/>
      <c r="AA3726" s="26"/>
      <c r="AB3726" s="26"/>
      <c r="AC3726" s="27"/>
    </row>
    <row r="3727" spans="1:29" x14ac:dyDescent="0.25">
      <c r="A3727" s="1"/>
      <c r="B3727" s="19"/>
      <c r="C3727" s="24"/>
      <c r="D3727" s="1"/>
      <c r="E3727" s="25"/>
      <c r="F3727" s="26"/>
      <c r="G3727" s="26"/>
      <c r="L3727" s="25"/>
      <c r="M3727" s="24"/>
      <c r="N3727" s="26"/>
      <c r="O3727" s="26"/>
      <c r="P3727" s="26"/>
      <c r="Q3727" s="26"/>
      <c r="R3727" s="26"/>
      <c r="S3727" s="26"/>
      <c r="T3727" s="26"/>
      <c r="U3727" s="26"/>
      <c r="V3727" s="26"/>
      <c r="W3727" s="26"/>
      <c r="X3727" s="26"/>
      <c r="Y3727" s="26"/>
      <c r="Z3727" s="26"/>
      <c r="AA3727" s="26"/>
      <c r="AB3727" s="26"/>
      <c r="AC3727" s="27"/>
    </row>
    <row r="3728" spans="1:29" x14ac:dyDescent="0.25">
      <c r="A3728" s="1"/>
      <c r="B3728" s="19"/>
      <c r="C3728" s="24"/>
      <c r="D3728" s="1"/>
      <c r="E3728" s="25"/>
      <c r="F3728" s="26"/>
      <c r="G3728" s="26"/>
      <c r="L3728" s="25"/>
      <c r="M3728" s="24"/>
      <c r="N3728" s="26"/>
      <c r="O3728" s="26"/>
      <c r="P3728" s="26"/>
      <c r="Q3728" s="26"/>
      <c r="R3728" s="26"/>
      <c r="S3728" s="26"/>
      <c r="T3728" s="26"/>
      <c r="U3728" s="26"/>
      <c r="V3728" s="26"/>
      <c r="W3728" s="26"/>
      <c r="X3728" s="26"/>
      <c r="Y3728" s="26"/>
      <c r="Z3728" s="26"/>
      <c r="AA3728" s="26"/>
      <c r="AB3728" s="26"/>
      <c r="AC3728" s="27"/>
    </row>
    <row r="3729" spans="1:29" x14ac:dyDescent="0.25">
      <c r="A3729" s="1"/>
      <c r="B3729" s="19"/>
      <c r="C3729" s="24"/>
      <c r="D3729" s="1"/>
      <c r="E3729" s="25"/>
      <c r="F3729" s="26"/>
      <c r="G3729" s="26"/>
      <c r="L3729" s="25"/>
      <c r="M3729" s="24"/>
      <c r="N3729" s="26"/>
      <c r="O3729" s="26"/>
      <c r="P3729" s="26"/>
      <c r="Q3729" s="26"/>
      <c r="R3729" s="26"/>
      <c r="S3729" s="26"/>
      <c r="T3729" s="26"/>
      <c r="U3729" s="26"/>
      <c r="V3729" s="26"/>
      <c r="W3729" s="26"/>
      <c r="X3729" s="26"/>
      <c r="Y3729" s="26"/>
      <c r="Z3729" s="26"/>
      <c r="AA3729" s="26"/>
      <c r="AB3729" s="26"/>
      <c r="AC3729" s="27"/>
    </row>
    <row r="3730" spans="1:29" x14ac:dyDescent="0.25">
      <c r="A3730" s="1"/>
      <c r="B3730" s="19"/>
      <c r="C3730" s="24"/>
      <c r="D3730" s="1"/>
      <c r="E3730" s="25"/>
      <c r="F3730" s="26"/>
      <c r="G3730" s="26"/>
      <c r="L3730" s="25"/>
      <c r="M3730" s="24"/>
      <c r="N3730" s="26"/>
      <c r="O3730" s="26"/>
      <c r="P3730" s="26"/>
      <c r="Q3730" s="26"/>
      <c r="R3730" s="26"/>
      <c r="S3730" s="26"/>
      <c r="T3730" s="26"/>
      <c r="U3730" s="26"/>
      <c r="V3730" s="26"/>
      <c r="W3730" s="26"/>
      <c r="X3730" s="26"/>
      <c r="Y3730" s="26"/>
      <c r="Z3730" s="26"/>
      <c r="AA3730" s="26"/>
      <c r="AB3730" s="26"/>
      <c r="AC3730" s="27"/>
    </row>
    <row r="3731" spans="1:29" x14ac:dyDescent="0.25">
      <c r="A3731" s="1"/>
      <c r="B3731" s="19"/>
      <c r="C3731" s="24"/>
      <c r="D3731" s="1"/>
      <c r="E3731" s="25"/>
      <c r="F3731" s="26"/>
      <c r="G3731" s="26"/>
      <c r="L3731" s="25"/>
      <c r="M3731" s="24"/>
      <c r="N3731" s="26"/>
      <c r="O3731" s="26"/>
      <c r="P3731" s="26"/>
      <c r="Q3731" s="26"/>
      <c r="R3731" s="26"/>
      <c r="S3731" s="26"/>
      <c r="T3731" s="26"/>
      <c r="U3731" s="26"/>
      <c r="V3731" s="26"/>
      <c r="W3731" s="26"/>
      <c r="X3731" s="26"/>
      <c r="Y3731" s="26"/>
      <c r="Z3731" s="26"/>
      <c r="AA3731" s="26"/>
      <c r="AB3731" s="26"/>
      <c r="AC3731" s="27"/>
    </row>
    <row r="3732" spans="1:29" x14ac:dyDescent="0.25">
      <c r="A3732" s="1"/>
      <c r="B3732" s="19"/>
      <c r="C3732" s="24"/>
      <c r="D3732" s="1"/>
      <c r="E3732" s="25"/>
      <c r="F3732" s="26"/>
      <c r="G3732" s="26"/>
      <c r="L3732" s="25"/>
      <c r="M3732" s="24"/>
      <c r="N3732" s="26"/>
      <c r="O3732" s="26"/>
      <c r="P3732" s="26"/>
      <c r="Q3732" s="26"/>
      <c r="R3732" s="26"/>
      <c r="S3732" s="26"/>
      <c r="T3732" s="26"/>
      <c r="U3732" s="26"/>
      <c r="V3732" s="26"/>
      <c r="W3732" s="26"/>
      <c r="X3732" s="26"/>
      <c r="Y3732" s="26"/>
      <c r="Z3732" s="26"/>
      <c r="AA3732" s="26"/>
      <c r="AB3732" s="26"/>
      <c r="AC3732" s="27"/>
    </row>
    <row r="3733" spans="1:29" x14ac:dyDescent="0.25">
      <c r="A3733" s="1"/>
      <c r="B3733" s="19"/>
      <c r="C3733" s="24"/>
      <c r="D3733" s="1"/>
      <c r="E3733" s="25"/>
      <c r="F3733" s="26"/>
      <c r="G3733" s="26"/>
      <c r="L3733" s="25"/>
      <c r="M3733" s="24"/>
      <c r="N3733" s="26"/>
      <c r="O3733" s="26"/>
      <c r="P3733" s="26"/>
      <c r="Q3733" s="26"/>
      <c r="R3733" s="26"/>
      <c r="S3733" s="26"/>
      <c r="T3733" s="26"/>
      <c r="U3733" s="26"/>
      <c r="V3733" s="26"/>
      <c r="W3733" s="26"/>
      <c r="X3733" s="26"/>
      <c r="Y3733" s="26"/>
      <c r="Z3733" s="26"/>
      <c r="AA3733" s="26"/>
      <c r="AB3733" s="26"/>
      <c r="AC3733" s="27"/>
    </row>
    <row r="3734" spans="1:29" x14ac:dyDescent="0.25">
      <c r="A3734" s="1"/>
      <c r="B3734" s="19"/>
      <c r="C3734" s="24"/>
      <c r="D3734" s="1"/>
      <c r="E3734" s="25"/>
      <c r="F3734" s="26"/>
      <c r="G3734" s="26"/>
      <c r="L3734" s="25"/>
      <c r="M3734" s="24"/>
      <c r="N3734" s="26"/>
      <c r="O3734" s="26"/>
      <c r="P3734" s="26"/>
      <c r="Q3734" s="26"/>
      <c r="R3734" s="26"/>
      <c r="S3734" s="26"/>
      <c r="T3734" s="26"/>
      <c r="U3734" s="26"/>
      <c r="V3734" s="26"/>
      <c r="W3734" s="26"/>
      <c r="X3734" s="26"/>
      <c r="Y3734" s="26"/>
      <c r="Z3734" s="26"/>
      <c r="AA3734" s="26"/>
      <c r="AB3734" s="26"/>
      <c r="AC3734" s="27"/>
    </row>
    <row r="3735" spans="1:29" x14ac:dyDescent="0.25">
      <c r="A3735" s="1"/>
      <c r="B3735" s="19"/>
      <c r="C3735" s="24"/>
      <c r="D3735" s="1"/>
      <c r="E3735" s="25"/>
      <c r="F3735" s="26"/>
      <c r="G3735" s="26"/>
      <c r="L3735" s="25"/>
      <c r="M3735" s="24"/>
      <c r="N3735" s="26"/>
      <c r="O3735" s="26"/>
      <c r="P3735" s="26"/>
      <c r="Q3735" s="26"/>
      <c r="R3735" s="26"/>
      <c r="S3735" s="26"/>
      <c r="T3735" s="26"/>
      <c r="U3735" s="26"/>
      <c r="V3735" s="26"/>
      <c r="W3735" s="26"/>
      <c r="X3735" s="26"/>
      <c r="Y3735" s="26"/>
      <c r="Z3735" s="26"/>
      <c r="AA3735" s="26"/>
      <c r="AB3735" s="26"/>
      <c r="AC3735" s="27"/>
    </row>
    <row r="3736" spans="1:29" x14ac:dyDescent="0.25">
      <c r="A3736" s="1"/>
      <c r="B3736" s="19"/>
      <c r="C3736" s="24"/>
      <c r="D3736" s="1"/>
      <c r="E3736" s="25"/>
      <c r="F3736" s="26"/>
      <c r="G3736" s="26"/>
      <c r="L3736" s="25"/>
      <c r="M3736" s="24"/>
      <c r="N3736" s="26"/>
      <c r="O3736" s="26"/>
      <c r="P3736" s="26"/>
      <c r="Q3736" s="26"/>
      <c r="R3736" s="26"/>
      <c r="S3736" s="26"/>
      <c r="T3736" s="26"/>
      <c r="U3736" s="26"/>
      <c r="V3736" s="26"/>
      <c r="W3736" s="26"/>
      <c r="X3736" s="26"/>
      <c r="Y3736" s="26"/>
      <c r="Z3736" s="26"/>
      <c r="AA3736" s="26"/>
      <c r="AB3736" s="26"/>
      <c r="AC3736" s="27"/>
    </row>
    <row r="3737" spans="1:29" x14ac:dyDescent="0.25">
      <c r="A3737" s="1"/>
      <c r="B3737" s="19"/>
      <c r="C3737" s="24"/>
      <c r="D3737" s="1"/>
      <c r="E3737" s="25"/>
      <c r="F3737" s="26"/>
      <c r="G3737" s="26"/>
      <c r="L3737" s="25"/>
      <c r="M3737" s="24"/>
      <c r="N3737" s="26"/>
      <c r="O3737" s="26"/>
      <c r="P3737" s="26"/>
      <c r="Q3737" s="26"/>
      <c r="R3737" s="26"/>
      <c r="S3737" s="26"/>
      <c r="T3737" s="26"/>
      <c r="U3737" s="26"/>
      <c r="V3737" s="26"/>
      <c r="W3737" s="26"/>
      <c r="X3737" s="26"/>
      <c r="Y3737" s="26"/>
      <c r="Z3737" s="26"/>
      <c r="AA3737" s="26"/>
      <c r="AB3737" s="26"/>
      <c r="AC3737" s="27"/>
    </row>
    <row r="3738" spans="1:29" x14ac:dyDescent="0.25">
      <c r="A3738" s="1"/>
      <c r="B3738" s="19"/>
      <c r="C3738" s="24"/>
      <c r="D3738" s="1"/>
      <c r="E3738" s="25"/>
      <c r="F3738" s="26"/>
      <c r="G3738" s="26"/>
      <c r="L3738" s="25"/>
      <c r="M3738" s="24"/>
      <c r="N3738" s="26"/>
      <c r="O3738" s="26"/>
      <c r="P3738" s="26"/>
      <c r="Q3738" s="26"/>
      <c r="R3738" s="26"/>
      <c r="S3738" s="26"/>
      <c r="T3738" s="26"/>
      <c r="U3738" s="26"/>
      <c r="V3738" s="26"/>
      <c r="W3738" s="26"/>
      <c r="X3738" s="26"/>
      <c r="Y3738" s="26"/>
      <c r="Z3738" s="26"/>
      <c r="AA3738" s="26"/>
      <c r="AB3738" s="26"/>
      <c r="AC3738" s="27"/>
    </row>
    <row r="3739" spans="1:29" x14ac:dyDescent="0.25">
      <c r="A3739" s="1"/>
      <c r="B3739" s="19"/>
      <c r="C3739" s="24"/>
      <c r="D3739" s="1"/>
      <c r="E3739" s="25"/>
      <c r="F3739" s="26"/>
      <c r="G3739" s="26"/>
      <c r="L3739" s="25"/>
      <c r="M3739" s="24"/>
      <c r="N3739" s="26"/>
      <c r="O3739" s="26"/>
      <c r="P3739" s="26"/>
      <c r="Q3739" s="26"/>
      <c r="R3739" s="26"/>
      <c r="S3739" s="26"/>
      <c r="T3739" s="26"/>
      <c r="U3739" s="26"/>
      <c r="V3739" s="26"/>
      <c r="W3739" s="26"/>
      <c r="X3739" s="26"/>
      <c r="Y3739" s="26"/>
      <c r="Z3739" s="26"/>
      <c r="AA3739" s="26"/>
      <c r="AB3739" s="26"/>
      <c r="AC3739" s="27"/>
    </row>
    <row r="3740" spans="1:29" x14ac:dyDescent="0.25">
      <c r="A3740" s="1"/>
      <c r="B3740" s="19"/>
      <c r="C3740" s="24"/>
      <c r="D3740" s="1"/>
      <c r="E3740" s="25"/>
      <c r="F3740" s="26"/>
      <c r="G3740" s="26"/>
      <c r="L3740" s="25"/>
      <c r="M3740" s="24"/>
      <c r="N3740" s="26"/>
      <c r="O3740" s="26"/>
      <c r="P3740" s="26"/>
      <c r="Q3740" s="26"/>
      <c r="R3740" s="26"/>
      <c r="S3740" s="26"/>
      <c r="T3740" s="26"/>
      <c r="U3740" s="26"/>
      <c r="V3740" s="26"/>
      <c r="W3740" s="26"/>
      <c r="X3740" s="26"/>
      <c r="Y3740" s="26"/>
      <c r="Z3740" s="26"/>
      <c r="AA3740" s="26"/>
      <c r="AB3740" s="26"/>
      <c r="AC3740" s="27"/>
    </row>
    <row r="3741" spans="1:29" x14ac:dyDescent="0.25">
      <c r="A3741" s="1"/>
      <c r="B3741" s="19"/>
      <c r="C3741" s="24"/>
      <c r="D3741" s="1"/>
      <c r="E3741" s="25"/>
      <c r="F3741" s="26"/>
      <c r="G3741" s="26"/>
      <c r="L3741" s="25"/>
      <c r="M3741" s="24"/>
      <c r="N3741" s="26"/>
      <c r="O3741" s="26"/>
      <c r="P3741" s="26"/>
      <c r="Q3741" s="26"/>
      <c r="R3741" s="26"/>
      <c r="S3741" s="26"/>
      <c r="T3741" s="26"/>
      <c r="U3741" s="26"/>
      <c r="V3741" s="26"/>
      <c r="W3741" s="26"/>
      <c r="X3741" s="26"/>
      <c r="Y3741" s="26"/>
      <c r="Z3741" s="26"/>
      <c r="AA3741" s="26"/>
      <c r="AB3741" s="26"/>
      <c r="AC3741" s="27"/>
    </row>
    <row r="3742" spans="1:29" x14ac:dyDescent="0.25">
      <c r="A3742" s="1"/>
      <c r="B3742" s="19"/>
      <c r="C3742" s="24"/>
      <c r="D3742" s="1"/>
      <c r="E3742" s="25"/>
      <c r="F3742" s="26"/>
      <c r="G3742" s="26"/>
      <c r="L3742" s="25"/>
      <c r="M3742" s="24"/>
      <c r="N3742" s="26"/>
      <c r="O3742" s="26"/>
      <c r="P3742" s="26"/>
      <c r="Q3742" s="26"/>
      <c r="R3742" s="26"/>
      <c r="S3742" s="26"/>
      <c r="T3742" s="26"/>
      <c r="U3742" s="26"/>
      <c r="V3742" s="26"/>
      <c r="W3742" s="26"/>
      <c r="X3742" s="26"/>
      <c r="Y3742" s="26"/>
      <c r="Z3742" s="26"/>
      <c r="AA3742" s="26"/>
      <c r="AB3742" s="26"/>
      <c r="AC3742" s="27"/>
    </row>
    <row r="3743" spans="1:29" x14ac:dyDescent="0.25">
      <c r="A3743" s="1"/>
      <c r="B3743" s="19"/>
      <c r="C3743" s="24"/>
      <c r="D3743" s="1"/>
      <c r="E3743" s="25"/>
      <c r="F3743" s="26"/>
      <c r="G3743" s="26"/>
      <c r="L3743" s="25"/>
      <c r="M3743" s="24"/>
      <c r="N3743" s="26"/>
      <c r="O3743" s="26"/>
      <c r="P3743" s="26"/>
      <c r="Q3743" s="26"/>
      <c r="R3743" s="26"/>
      <c r="S3743" s="26"/>
      <c r="T3743" s="26"/>
      <c r="U3743" s="26"/>
      <c r="V3743" s="26"/>
      <c r="W3743" s="26"/>
      <c r="X3743" s="26"/>
      <c r="Y3743" s="26"/>
      <c r="Z3743" s="26"/>
      <c r="AA3743" s="26"/>
      <c r="AB3743" s="26"/>
      <c r="AC3743" s="27"/>
    </row>
    <row r="3744" spans="1:29" x14ac:dyDescent="0.25">
      <c r="A3744" s="1"/>
      <c r="B3744" s="19"/>
      <c r="C3744" s="24"/>
      <c r="D3744" s="1"/>
      <c r="E3744" s="25"/>
      <c r="F3744" s="26"/>
      <c r="G3744" s="26"/>
      <c r="L3744" s="25"/>
      <c r="M3744" s="24"/>
      <c r="N3744" s="26"/>
      <c r="O3744" s="26"/>
      <c r="P3744" s="26"/>
      <c r="Q3744" s="26"/>
      <c r="R3744" s="26"/>
      <c r="S3744" s="26"/>
      <c r="T3744" s="26"/>
      <c r="U3744" s="26"/>
      <c r="V3744" s="26"/>
      <c r="W3744" s="26"/>
      <c r="X3744" s="26"/>
      <c r="Y3744" s="26"/>
      <c r="Z3744" s="26"/>
      <c r="AA3744" s="26"/>
      <c r="AB3744" s="26"/>
      <c r="AC3744" s="27"/>
    </row>
    <row r="3745" spans="1:29" x14ac:dyDescent="0.25">
      <c r="A3745" s="1"/>
      <c r="B3745" s="19"/>
      <c r="C3745" s="24"/>
      <c r="D3745" s="1"/>
      <c r="E3745" s="25"/>
      <c r="F3745" s="26"/>
      <c r="G3745" s="26"/>
      <c r="L3745" s="25"/>
      <c r="M3745" s="24"/>
      <c r="N3745" s="26"/>
      <c r="O3745" s="26"/>
      <c r="P3745" s="26"/>
      <c r="Q3745" s="26"/>
      <c r="R3745" s="26"/>
      <c r="S3745" s="26"/>
      <c r="T3745" s="26"/>
      <c r="U3745" s="26"/>
      <c r="V3745" s="26"/>
      <c r="W3745" s="26"/>
      <c r="X3745" s="26"/>
      <c r="Y3745" s="26"/>
      <c r="Z3745" s="26"/>
      <c r="AA3745" s="26"/>
      <c r="AB3745" s="26"/>
      <c r="AC3745" s="27"/>
    </row>
    <row r="3746" spans="1:29" x14ac:dyDescent="0.25">
      <c r="A3746" s="1"/>
      <c r="B3746" s="19"/>
      <c r="C3746" s="24"/>
      <c r="D3746" s="1"/>
      <c r="E3746" s="25"/>
      <c r="F3746" s="26"/>
      <c r="G3746" s="26"/>
      <c r="L3746" s="25"/>
      <c r="M3746" s="24"/>
      <c r="N3746" s="26"/>
      <c r="O3746" s="26"/>
      <c r="P3746" s="26"/>
      <c r="Q3746" s="26"/>
      <c r="R3746" s="26"/>
      <c r="S3746" s="26"/>
      <c r="T3746" s="26"/>
      <c r="U3746" s="26"/>
      <c r="V3746" s="26"/>
      <c r="W3746" s="26"/>
      <c r="X3746" s="26"/>
      <c r="Y3746" s="26"/>
      <c r="Z3746" s="26"/>
      <c r="AA3746" s="26"/>
      <c r="AB3746" s="26"/>
      <c r="AC3746" s="27"/>
    </row>
    <row r="3747" spans="1:29" x14ac:dyDescent="0.25">
      <c r="A3747" s="1"/>
      <c r="B3747" s="19"/>
      <c r="C3747" s="24"/>
      <c r="D3747" s="1"/>
      <c r="E3747" s="25"/>
      <c r="F3747" s="26"/>
      <c r="G3747" s="26"/>
      <c r="L3747" s="25"/>
      <c r="M3747" s="24"/>
      <c r="N3747" s="26"/>
      <c r="O3747" s="26"/>
      <c r="P3747" s="26"/>
      <c r="Q3747" s="26"/>
      <c r="R3747" s="26"/>
      <c r="S3747" s="26"/>
      <c r="T3747" s="26"/>
      <c r="U3747" s="26"/>
      <c r="V3747" s="26"/>
      <c r="W3747" s="26"/>
      <c r="X3747" s="26"/>
      <c r="Y3747" s="26"/>
      <c r="Z3747" s="26"/>
      <c r="AA3747" s="26"/>
      <c r="AB3747" s="26"/>
      <c r="AC3747" s="27"/>
    </row>
    <row r="3748" spans="1:29" x14ac:dyDescent="0.25">
      <c r="A3748" s="1"/>
      <c r="B3748" s="19"/>
      <c r="C3748" s="24"/>
      <c r="D3748" s="1"/>
      <c r="E3748" s="25"/>
      <c r="F3748" s="26"/>
      <c r="G3748" s="26"/>
      <c r="L3748" s="25"/>
      <c r="M3748" s="24"/>
      <c r="N3748" s="26"/>
      <c r="O3748" s="26"/>
      <c r="P3748" s="26"/>
      <c r="Q3748" s="26"/>
      <c r="R3748" s="26"/>
      <c r="S3748" s="26"/>
      <c r="T3748" s="26"/>
      <c r="U3748" s="26"/>
      <c r="V3748" s="26"/>
      <c r="W3748" s="26"/>
      <c r="X3748" s="26"/>
      <c r="Y3748" s="26"/>
      <c r="Z3748" s="26"/>
      <c r="AA3748" s="26"/>
      <c r="AB3748" s="26"/>
      <c r="AC3748" s="27"/>
    </row>
    <row r="3749" spans="1:29" x14ac:dyDescent="0.25">
      <c r="A3749" s="1"/>
      <c r="B3749" s="19"/>
      <c r="C3749" s="24"/>
      <c r="D3749" s="1"/>
      <c r="E3749" s="25"/>
      <c r="F3749" s="26"/>
      <c r="G3749" s="26"/>
      <c r="L3749" s="25"/>
      <c r="M3749" s="24"/>
      <c r="N3749" s="26"/>
      <c r="O3749" s="26"/>
      <c r="P3749" s="26"/>
      <c r="Q3749" s="26"/>
      <c r="R3749" s="26"/>
      <c r="S3749" s="26"/>
      <c r="T3749" s="26"/>
      <c r="U3749" s="26"/>
      <c r="V3749" s="26"/>
      <c r="W3749" s="26"/>
      <c r="X3749" s="26"/>
      <c r="Y3749" s="26"/>
      <c r="Z3749" s="26"/>
      <c r="AA3749" s="26"/>
      <c r="AB3749" s="26"/>
      <c r="AC3749" s="27"/>
    </row>
    <row r="3750" spans="1:29" x14ac:dyDescent="0.25">
      <c r="A3750" s="1"/>
      <c r="B3750" s="19"/>
      <c r="C3750" s="24"/>
      <c r="D3750" s="1"/>
      <c r="E3750" s="25"/>
      <c r="F3750" s="26"/>
      <c r="G3750" s="26"/>
      <c r="L3750" s="25"/>
      <c r="M3750" s="24"/>
      <c r="N3750" s="26"/>
      <c r="O3750" s="26"/>
      <c r="P3750" s="26"/>
      <c r="Q3750" s="26"/>
      <c r="R3750" s="26"/>
      <c r="S3750" s="26"/>
      <c r="T3750" s="26"/>
      <c r="U3750" s="26"/>
      <c r="V3750" s="26"/>
      <c r="W3750" s="26"/>
      <c r="X3750" s="26"/>
      <c r="Y3750" s="26"/>
      <c r="Z3750" s="26"/>
      <c r="AA3750" s="26"/>
      <c r="AB3750" s="26"/>
      <c r="AC3750" s="27"/>
    </row>
    <row r="3751" spans="1:29" x14ac:dyDescent="0.25">
      <c r="A3751" s="1"/>
      <c r="B3751" s="19"/>
      <c r="C3751" s="24"/>
      <c r="D3751" s="1"/>
      <c r="E3751" s="25"/>
      <c r="F3751" s="26"/>
      <c r="G3751" s="26"/>
      <c r="L3751" s="25"/>
      <c r="M3751" s="24"/>
      <c r="N3751" s="26"/>
      <c r="O3751" s="26"/>
      <c r="P3751" s="26"/>
      <c r="Q3751" s="26"/>
      <c r="R3751" s="26"/>
      <c r="S3751" s="26"/>
      <c r="T3751" s="26"/>
      <c r="U3751" s="26"/>
      <c r="V3751" s="26"/>
      <c r="W3751" s="26"/>
      <c r="X3751" s="26"/>
      <c r="Y3751" s="26"/>
      <c r="Z3751" s="26"/>
      <c r="AA3751" s="26"/>
      <c r="AB3751" s="26"/>
      <c r="AC3751" s="27"/>
    </row>
    <row r="3752" spans="1:29" x14ac:dyDescent="0.25">
      <c r="A3752" s="1"/>
      <c r="B3752" s="19"/>
      <c r="C3752" s="24"/>
      <c r="D3752" s="1"/>
      <c r="E3752" s="25"/>
      <c r="F3752" s="26"/>
      <c r="G3752" s="26"/>
      <c r="L3752" s="25"/>
      <c r="M3752" s="24"/>
      <c r="N3752" s="26"/>
      <c r="O3752" s="26"/>
      <c r="P3752" s="26"/>
      <c r="Q3752" s="26"/>
      <c r="R3752" s="26"/>
      <c r="S3752" s="26"/>
      <c r="T3752" s="26"/>
      <c r="U3752" s="26"/>
      <c r="V3752" s="26"/>
      <c r="W3752" s="26"/>
      <c r="X3752" s="26"/>
      <c r="Y3752" s="26"/>
      <c r="Z3752" s="26"/>
      <c r="AA3752" s="26"/>
      <c r="AB3752" s="26"/>
      <c r="AC3752" s="27"/>
    </row>
    <row r="3753" spans="1:29" x14ac:dyDescent="0.25">
      <c r="A3753" s="1"/>
      <c r="B3753" s="19"/>
      <c r="C3753" s="24"/>
      <c r="D3753" s="1"/>
      <c r="E3753" s="25"/>
      <c r="F3753" s="26"/>
      <c r="G3753" s="26"/>
      <c r="L3753" s="25"/>
      <c r="M3753" s="24"/>
      <c r="N3753" s="26"/>
      <c r="O3753" s="26"/>
      <c r="P3753" s="26"/>
      <c r="Q3753" s="26"/>
      <c r="R3753" s="26"/>
      <c r="S3753" s="26"/>
      <c r="T3753" s="26"/>
      <c r="U3753" s="26"/>
      <c r="V3753" s="26"/>
      <c r="W3753" s="26"/>
      <c r="X3753" s="26"/>
      <c r="Y3753" s="26"/>
      <c r="Z3753" s="26"/>
      <c r="AA3753" s="26"/>
      <c r="AB3753" s="26"/>
      <c r="AC3753" s="27"/>
    </row>
    <row r="3754" spans="1:29" x14ac:dyDescent="0.25">
      <c r="A3754" s="1"/>
      <c r="B3754" s="19"/>
      <c r="C3754" s="24"/>
      <c r="D3754" s="1"/>
      <c r="E3754" s="25"/>
      <c r="F3754" s="26"/>
      <c r="G3754" s="26"/>
      <c r="L3754" s="25"/>
      <c r="M3754" s="24"/>
      <c r="N3754" s="26"/>
      <c r="O3754" s="26"/>
      <c r="P3754" s="26"/>
      <c r="Q3754" s="26"/>
      <c r="R3754" s="26"/>
      <c r="S3754" s="26"/>
      <c r="T3754" s="26"/>
      <c r="U3754" s="26"/>
      <c r="V3754" s="26"/>
      <c r="W3754" s="26"/>
      <c r="X3754" s="26"/>
      <c r="Y3754" s="26"/>
      <c r="Z3754" s="26"/>
      <c r="AA3754" s="26"/>
      <c r="AB3754" s="26"/>
      <c r="AC3754" s="27"/>
    </row>
    <row r="3755" spans="1:29" x14ac:dyDescent="0.25">
      <c r="A3755" s="1"/>
      <c r="B3755" s="19"/>
      <c r="C3755" s="24"/>
      <c r="D3755" s="1"/>
      <c r="E3755" s="25"/>
      <c r="F3755" s="26"/>
      <c r="G3755" s="26"/>
      <c r="L3755" s="25"/>
      <c r="M3755" s="24"/>
      <c r="N3755" s="26"/>
      <c r="O3755" s="26"/>
      <c r="P3755" s="26"/>
      <c r="Q3755" s="26"/>
      <c r="R3755" s="26"/>
      <c r="S3755" s="26"/>
      <c r="T3755" s="26"/>
      <c r="U3755" s="26"/>
      <c r="V3755" s="26"/>
      <c r="W3755" s="26"/>
      <c r="X3755" s="26"/>
      <c r="Y3755" s="26"/>
      <c r="Z3755" s="26"/>
      <c r="AA3755" s="26"/>
      <c r="AB3755" s="26"/>
      <c r="AC3755" s="27"/>
    </row>
    <row r="3756" spans="1:29" x14ac:dyDescent="0.25">
      <c r="A3756" s="1"/>
      <c r="B3756" s="19"/>
      <c r="C3756" s="24"/>
      <c r="D3756" s="1"/>
      <c r="E3756" s="25"/>
      <c r="F3756" s="26"/>
      <c r="G3756" s="26"/>
      <c r="L3756" s="25"/>
      <c r="M3756" s="24"/>
      <c r="N3756" s="26"/>
      <c r="O3756" s="26"/>
      <c r="P3756" s="26"/>
      <c r="Q3756" s="26"/>
      <c r="R3756" s="26"/>
      <c r="S3756" s="26"/>
      <c r="T3756" s="26"/>
      <c r="U3756" s="26"/>
      <c r="V3756" s="26"/>
      <c r="W3756" s="26"/>
      <c r="X3756" s="26"/>
      <c r="Y3756" s="26"/>
      <c r="Z3756" s="26"/>
      <c r="AA3756" s="26"/>
      <c r="AB3756" s="26"/>
      <c r="AC3756" s="27"/>
    </row>
    <row r="3757" spans="1:29" x14ac:dyDescent="0.25">
      <c r="A3757" s="1"/>
      <c r="B3757" s="19"/>
      <c r="C3757" s="24"/>
      <c r="D3757" s="1"/>
      <c r="E3757" s="25"/>
      <c r="F3757" s="26"/>
      <c r="G3757" s="26"/>
      <c r="L3757" s="25"/>
      <c r="M3757" s="24"/>
      <c r="N3757" s="26"/>
      <c r="O3757" s="26"/>
      <c r="P3757" s="26"/>
      <c r="Q3757" s="26"/>
      <c r="R3757" s="26"/>
      <c r="S3757" s="26"/>
      <c r="T3757" s="26"/>
      <c r="U3757" s="26"/>
      <c r="V3757" s="26"/>
      <c r="W3757" s="26"/>
      <c r="X3757" s="26"/>
      <c r="Y3757" s="26"/>
      <c r="Z3757" s="26"/>
      <c r="AA3757" s="26"/>
      <c r="AB3757" s="26"/>
      <c r="AC3757" s="27"/>
    </row>
    <row r="3758" spans="1:29" x14ac:dyDescent="0.25">
      <c r="A3758" s="1"/>
      <c r="B3758" s="19"/>
      <c r="C3758" s="24"/>
      <c r="D3758" s="1"/>
      <c r="E3758" s="25"/>
      <c r="F3758" s="26"/>
      <c r="G3758" s="26"/>
      <c r="L3758" s="25"/>
      <c r="M3758" s="24"/>
      <c r="N3758" s="26"/>
      <c r="O3758" s="26"/>
      <c r="P3758" s="26"/>
      <c r="Q3758" s="26"/>
      <c r="R3758" s="26"/>
      <c r="S3758" s="26"/>
      <c r="T3758" s="26"/>
      <c r="U3758" s="26"/>
      <c r="V3758" s="26"/>
      <c r="W3758" s="26"/>
      <c r="X3758" s="26"/>
      <c r="Y3758" s="26"/>
      <c r="Z3758" s="26"/>
      <c r="AA3758" s="26"/>
      <c r="AB3758" s="26"/>
      <c r="AC3758" s="27"/>
    </row>
    <row r="3759" spans="1:29" x14ac:dyDescent="0.25">
      <c r="A3759" s="1"/>
      <c r="B3759" s="19"/>
      <c r="C3759" s="24"/>
      <c r="D3759" s="1"/>
      <c r="E3759" s="25"/>
      <c r="F3759" s="26"/>
      <c r="G3759" s="26"/>
      <c r="L3759" s="25"/>
      <c r="M3759" s="24"/>
      <c r="N3759" s="26"/>
      <c r="O3759" s="26"/>
      <c r="P3759" s="26"/>
      <c r="Q3759" s="26"/>
      <c r="R3759" s="26"/>
      <c r="S3759" s="26"/>
      <c r="T3759" s="26"/>
      <c r="U3759" s="26"/>
      <c r="V3759" s="26"/>
      <c r="W3759" s="26"/>
      <c r="X3759" s="26"/>
      <c r="Y3759" s="26"/>
      <c r="Z3759" s="26"/>
      <c r="AA3759" s="26"/>
      <c r="AB3759" s="26"/>
      <c r="AC3759" s="27"/>
    </row>
    <row r="3760" spans="1:29" x14ac:dyDescent="0.25">
      <c r="A3760" s="1"/>
      <c r="B3760" s="19"/>
      <c r="C3760" s="24"/>
      <c r="D3760" s="1"/>
      <c r="E3760" s="25"/>
      <c r="F3760" s="26"/>
      <c r="G3760" s="26"/>
      <c r="L3760" s="25"/>
      <c r="M3760" s="24"/>
      <c r="N3760" s="26"/>
      <c r="O3760" s="26"/>
      <c r="P3760" s="26"/>
      <c r="Q3760" s="26"/>
      <c r="R3760" s="26"/>
      <c r="S3760" s="26"/>
      <c r="T3760" s="26"/>
      <c r="U3760" s="26"/>
      <c r="V3760" s="26"/>
      <c r="W3760" s="26"/>
      <c r="X3760" s="26"/>
      <c r="Y3760" s="26"/>
      <c r="Z3760" s="26"/>
      <c r="AA3760" s="26"/>
      <c r="AB3760" s="26"/>
      <c r="AC3760" s="27"/>
    </row>
    <row r="3761" spans="1:29" x14ac:dyDescent="0.25">
      <c r="A3761" s="1"/>
      <c r="B3761" s="19"/>
      <c r="C3761" s="24"/>
      <c r="D3761" s="1"/>
      <c r="E3761" s="25"/>
      <c r="F3761" s="26"/>
      <c r="G3761" s="26"/>
      <c r="L3761" s="25"/>
      <c r="M3761" s="24"/>
      <c r="N3761" s="26"/>
      <c r="O3761" s="26"/>
      <c r="P3761" s="26"/>
      <c r="Q3761" s="26"/>
      <c r="R3761" s="26"/>
      <c r="S3761" s="26"/>
      <c r="T3761" s="26"/>
      <c r="U3761" s="26"/>
      <c r="V3761" s="26"/>
      <c r="W3761" s="26"/>
      <c r="X3761" s="26"/>
      <c r="Y3761" s="26"/>
      <c r="Z3761" s="26"/>
      <c r="AA3761" s="26"/>
      <c r="AB3761" s="26"/>
      <c r="AC3761" s="27"/>
    </row>
    <row r="3762" spans="1:29" x14ac:dyDescent="0.25">
      <c r="A3762" s="1"/>
      <c r="B3762" s="19"/>
      <c r="C3762" s="24"/>
      <c r="D3762" s="1"/>
      <c r="E3762" s="25"/>
      <c r="F3762" s="26"/>
      <c r="G3762" s="26"/>
      <c r="L3762" s="25"/>
      <c r="M3762" s="24"/>
      <c r="N3762" s="26"/>
      <c r="O3762" s="26"/>
      <c r="P3762" s="26"/>
      <c r="Q3762" s="26"/>
      <c r="R3762" s="26"/>
      <c r="S3762" s="26"/>
      <c r="T3762" s="26"/>
      <c r="U3762" s="26"/>
      <c r="V3762" s="26"/>
      <c r="W3762" s="26"/>
      <c r="X3762" s="26"/>
      <c r="Y3762" s="26"/>
      <c r="Z3762" s="26"/>
      <c r="AA3762" s="26"/>
      <c r="AB3762" s="26"/>
      <c r="AC3762" s="27"/>
    </row>
    <row r="3763" spans="1:29" x14ac:dyDescent="0.25">
      <c r="A3763" s="1"/>
      <c r="B3763" s="19"/>
      <c r="C3763" s="24"/>
      <c r="D3763" s="1"/>
      <c r="E3763" s="25"/>
      <c r="F3763" s="26"/>
      <c r="G3763" s="26"/>
      <c r="L3763" s="25"/>
      <c r="M3763" s="24"/>
      <c r="N3763" s="26"/>
      <c r="O3763" s="26"/>
      <c r="P3763" s="26"/>
      <c r="Q3763" s="26"/>
      <c r="R3763" s="26"/>
      <c r="S3763" s="26"/>
      <c r="T3763" s="26"/>
      <c r="U3763" s="26"/>
      <c r="V3763" s="26"/>
      <c r="W3763" s="26"/>
      <c r="X3763" s="26"/>
      <c r="Y3763" s="26"/>
      <c r="Z3763" s="26"/>
      <c r="AA3763" s="26"/>
      <c r="AB3763" s="26"/>
      <c r="AC3763" s="27"/>
    </row>
    <row r="3764" spans="1:29" x14ac:dyDescent="0.25">
      <c r="A3764" s="1"/>
      <c r="B3764" s="19"/>
      <c r="C3764" s="24"/>
      <c r="D3764" s="1"/>
      <c r="E3764" s="25"/>
      <c r="F3764" s="26"/>
      <c r="G3764" s="26"/>
      <c r="L3764" s="25"/>
      <c r="M3764" s="24"/>
      <c r="N3764" s="26"/>
      <c r="O3764" s="26"/>
      <c r="P3764" s="26"/>
      <c r="Q3764" s="26"/>
      <c r="R3764" s="26"/>
      <c r="S3764" s="26"/>
      <c r="T3764" s="26"/>
      <c r="U3764" s="26"/>
      <c r="V3764" s="26"/>
      <c r="W3764" s="26"/>
      <c r="X3764" s="26"/>
      <c r="Y3764" s="26"/>
      <c r="Z3764" s="26"/>
      <c r="AA3764" s="26"/>
      <c r="AB3764" s="26"/>
      <c r="AC3764" s="27"/>
    </row>
    <row r="3765" spans="1:29" x14ac:dyDescent="0.25">
      <c r="A3765" s="1"/>
      <c r="B3765" s="19"/>
      <c r="C3765" s="24"/>
      <c r="D3765" s="1"/>
      <c r="E3765" s="25"/>
      <c r="F3765" s="26"/>
      <c r="G3765" s="26"/>
      <c r="L3765" s="25"/>
      <c r="M3765" s="24"/>
      <c r="N3765" s="26"/>
      <c r="O3765" s="26"/>
      <c r="P3765" s="26"/>
      <c r="Q3765" s="26"/>
      <c r="R3765" s="26"/>
      <c r="S3765" s="26"/>
      <c r="T3765" s="26"/>
      <c r="U3765" s="26"/>
      <c r="V3765" s="26"/>
      <c r="W3765" s="26"/>
      <c r="X3765" s="26"/>
      <c r="Y3765" s="26"/>
      <c r="Z3765" s="26"/>
      <c r="AA3765" s="26"/>
      <c r="AB3765" s="26"/>
      <c r="AC3765" s="27"/>
    </row>
    <row r="3766" spans="1:29" x14ac:dyDescent="0.25">
      <c r="A3766" s="1"/>
      <c r="B3766" s="19"/>
      <c r="C3766" s="24"/>
      <c r="D3766" s="1"/>
      <c r="E3766" s="25"/>
      <c r="F3766" s="26"/>
      <c r="G3766" s="26"/>
      <c r="L3766" s="25"/>
      <c r="M3766" s="24"/>
      <c r="N3766" s="26"/>
      <c r="O3766" s="26"/>
      <c r="P3766" s="26"/>
      <c r="Q3766" s="26"/>
      <c r="R3766" s="26"/>
      <c r="S3766" s="26"/>
      <c r="T3766" s="26"/>
      <c r="U3766" s="26"/>
      <c r="V3766" s="26"/>
      <c r="W3766" s="26"/>
      <c r="X3766" s="26"/>
      <c r="Y3766" s="26"/>
      <c r="Z3766" s="26"/>
      <c r="AA3766" s="26"/>
      <c r="AB3766" s="26"/>
      <c r="AC3766" s="27"/>
    </row>
    <row r="3767" spans="1:29" x14ac:dyDescent="0.25">
      <c r="A3767" s="1"/>
      <c r="B3767" s="19"/>
      <c r="C3767" s="24"/>
      <c r="D3767" s="1"/>
      <c r="E3767" s="25"/>
      <c r="F3767" s="26"/>
      <c r="G3767" s="26"/>
      <c r="L3767" s="25"/>
      <c r="M3767" s="24"/>
      <c r="N3767" s="26"/>
      <c r="O3767" s="26"/>
      <c r="P3767" s="26"/>
      <c r="Q3767" s="26"/>
      <c r="R3767" s="26"/>
      <c r="S3767" s="26"/>
      <c r="T3767" s="26"/>
      <c r="U3767" s="26"/>
      <c r="V3767" s="26"/>
      <c r="W3767" s="26"/>
      <c r="X3767" s="26"/>
      <c r="Y3767" s="26"/>
      <c r="Z3767" s="26"/>
      <c r="AA3767" s="26"/>
      <c r="AB3767" s="26"/>
      <c r="AC3767" s="27"/>
    </row>
    <row r="3768" spans="1:29" x14ac:dyDescent="0.25">
      <c r="A3768" s="1"/>
      <c r="B3768" s="19"/>
      <c r="C3768" s="24"/>
      <c r="D3768" s="1"/>
      <c r="E3768" s="25"/>
      <c r="F3768" s="26"/>
      <c r="G3768" s="26"/>
      <c r="L3768" s="25"/>
      <c r="M3768" s="24"/>
      <c r="N3768" s="26"/>
      <c r="O3768" s="26"/>
      <c r="P3768" s="26"/>
      <c r="Q3768" s="26"/>
      <c r="R3768" s="26"/>
      <c r="S3768" s="26"/>
      <c r="T3768" s="26"/>
      <c r="U3768" s="26"/>
      <c r="V3768" s="26"/>
      <c r="W3768" s="26"/>
      <c r="X3768" s="26"/>
      <c r="Y3768" s="26"/>
      <c r="Z3768" s="26"/>
      <c r="AA3768" s="26"/>
      <c r="AB3768" s="26"/>
      <c r="AC3768" s="27"/>
    </row>
    <row r="3769" spans="1:29" x14ac:dyDescent="0.25">
      <c r="A3769" s="1"/>
      <c r="B3769" s="19"/>
      <c r="C3769" s="24"/>
      <c r="D3769" s="1"/>
      <c r="E3769" s="25"/>
      <c r="F3769" s="26"/>
      <c r="G3769" s="26"/>
      <c r="L3769" s="25"/>
      <c r="M3769" s="24"/>
      <c r="N3769" s="26"/>
      <c r="O3769" s="26"/>
      <c r="P3769" s="26"/>
      <c r="Q3769" s="26"/>
      <c r="R3769" s="26"/>
      <c r="S3769" s="26"/>
      <c r="T3769" s="26"/>
      <c r="U3769" s="26"/>
      <c r="V3769" s="26"/>
      <c r="W3769" s="26"/>
      <c r="X3769" s="26"/>
      <c r="Y3769" s="26"/>
      <c r="Z3769" s="26"/>
      <c r="AA3769" s="26"/>
      <c r="AB3769" s="26"/>
      <c r="AC3769" s="27"/>
    </row>
    <row r="3770" spans="1:29" x14ac:dyDescent="0.25">
      <c r="A3770" s="1"/>
      <c r="B3770" s="19"/>
      <c r="C3770" s="24"/>
      <c r="D3770" s="1"/>
      <c r="E3770" s="25"/>
      <c r="F3770" s="26"/>
      <c r="G3770" s="26"/>
      <c r="L3770" s="25"/>
      <c r="M3770" s="24"/>
      <c r="N3770" s="26"/>
      <c r="O3770" s="26"/>
      <c r="P3770" s="26"/>
      <c r="Q3770" s="26"/>
      <c r="R3770" s="26"/>
      <c r="S3770" s="26"/>
      <c r="T3770" s="26"/>
      <c r="U3770" s="26"/>
      <c r="V3770" s="26"/>
      <c r="W3770" s="26"/>
      <c r="X3770" s="26"/>
      <c r="Y3770" s="26"/>
      <c r="Z3770" s="26"/>
      <c r="AA3770" s="26"/>
      <c r="AB3770" s="26"/>
      <c r="AC3770" s="27"/>
    </row>
    <row r="3771" spans="1:29" x14ac:dyDescent="0.25">
      <c r="A3771" s="1"/>
      <c r="B3771" s="19"/>
      <c r="C3771" s="24"/>
      <c r="D3771" s="1"/>
      <c r="E3771" s="25"/>
      <c r="F3771" s="26"/>
      <c r="G3771" s="26"/>
      <c r="L3771" s="25"/>
      <c r="M3771" s="24"/>
      <c r="N3771" s="26"/>
      <c r="O3771" s="26"/>
      <c r="P3771" s="26"/>
      <c r="Q3771" s="26"/>
      <c r="R3771" s="26"/>
      <c r="S3771" s="26"/>
      <c r="T3771" s="26"/>
      <c r="U3771" s="26"/>
      <c r="V3771" s="26"/>
      <c r="W3771" s="26"/>
      <c r="X3771" s="26"/>
      <c r="Y3771" s="26"/>
      <c r="Z3771" s="26"/>
      <c r="AA3771" s="26"/>
      <c r="AB3771" s="26"/>
      <c r="AC3771" s="27"/>
    </row>
    <row r="3772" spans="1:29" x14ac:dyDescent="0.25">
      <c r="A3772" s="1"/>
      <c r="B3772" s="19"/>
      <c r="C3772" s="24"/>
      <c r="D3772" s="1"/>
      <c r="E3772" s="25"/>
      <c r="F3772" s="26"/>
      <c r="G3772" s="26"/>
      <c r="L3772" s="25"/>
      <c r="M3772" s="24"/>
      <c r="N3772" s="26"/>
      <c r="O3772" s="26"/>
      <c r="P3772" s="26"/>
      <c r="Q3772" s="26"/>
      <c r="R3772" s="26"/>
      <c r="S3772" s="26"/>
      <c r="T3772" s="26"/>
      <c r="U3772" s="26"/>
      <c r="V3772" s="26"/>
      <c r="W3772" s="26"/>
      <c r="X3772" s="26"/>
      <c r="Y3772" s="26"/>
      <c r="Z3772" s="26"/>
      <c r="AA3772" s="26"/>
      <c r="AB3772" s="26"/>
      <c r="AC3772" s="27"/>
    </row>
    <row r="3773" spans="1:29" x14ac:dyDescent="0.25">
      <c r="A3773" s="1"/>
      <c r="B3773" s="19"/>
      <c r="C3773" s="24"/>
      <c r="D3773" s="1"/>
      <c r="E3773" s="25"/>
      <c r="F3773" s="26"/>
      <c r="G3773" s="26"/>
      <c r="L3773" s="25"/>
      <c r="M3773" s="24"/>
      <c r="N3773" s="26"/>
      <c r="O3773" s="26"/>
      <c r="P3773" s="26"/>
      <c r="Q3773" s="26"/>
      <c r="R3773" s="26"/>
      <c r="S3773" s="26"/>
      <c r="T3773" s="26"/>
      <c r="U3773" s="26"/>
      <c r="V3773" s="26"/>
      <c r="W3773" s="26"/>
      <c r="X3773" s="26"/>
      <c r="Y3773" s="26"/>
      <c r="Z3773" s="26"/>
      <c r="AA3773" s="26"/>
      <c r="AB3773" s="26"/>
      <c r="AC3773" s="27"/>
    </row>
    <row r="3774" spans="1:29" x14ac:dyDescent="0.25">
      <c r="A3774" s="1"/>
      <c r="B3774" s="19"/>
      <c r="C3774" s="24"/>
      <c r="D3774" s="1"/>
      <c r="E3774" s="25"/>
      <c r="F3774" s="26"/>
      <c r="G3774" s="26"/>
      <c r="L3774" s="25"/>
      <c r="M3774" s="24"/>
      <c r="N3774" s="26"/>
      <c r="O3774" s="26"/>
      <c r="P3774" s="26"/>
      <c r="Q3774" s="26"/>
      <c r="R3774" s="26"/>
      <c r="S3774" s="26"/>
      <c r="T3774" s="26"/>
      <c r="U3774" s="26"/>
      <c r="V3774" s="26"/>
      <c r="W3774" s="26"/>
      <c r="X3774" s="26"/>
      <c r="Y3774" s="26"/>
      <c r="Z3774" s="26"/>
      <c r="AA3774" s="26"/>
      <c r="AB3774" s="26"/>
      <c r="AC3774" s="27"/>
    </row>
    <row r="3775" spans="1:29" x14ac:dyDescent="0.25">
      <c r="A3775" s="1"/>
      <c r="B3775" s="19"/>
      <c r="C3775" s="24"/>
      <c r="D3775" s="1"/>
      <c r="E3775" s="25"/>
      <c r="F3775" s="26"/>
      <c r="G3775" s="26"/>
      <c r="L3775" s="25"/>
      <c r="M3775" s="24"/>
      <c r="N3775" s="26"/>
      <c r="O3775" s="26"/>
      <c r="P3775" s="26"/>
      <c r="Q3775" s="26"/>
      <c r="R3775" s="26"/>
      <c r="S3775" s="26"/>
      <c r="T3775" s="26"/>
      <c r="U3775" s="26"/>
      <c r="V3775" s="26"/>
      <c r="W3775" s="26"/>
      <c r="X3775" s="26"/>
      <c r="Y3775" s="26"/>
      <c r="Z3775" s="26"/>
      <c r="AA3775" s="26"/>
      <c r="AB3775" s="26"/>
      <c r="AC3775" s="27"/>
    </row>
    <row r="3776" spans="1:29" x14ac:dyDescent="0.25">
      <c r="A3776" s="1"/>
      <c r="B3776" s="19"/>
      <c r="C3776" s="24"/>
      <c r="D3776" s="1"/>
      <c r="E3776" s="25"/>
      <c r="F3776" s="26"/>
      <c r="G3776" s="26"/>
      <c r="L3776" s="25"/>
      <c r="M3776" s="24"/>
      <c r="N3776" s="26"/>
      <c r="O3776" s="26"/>
      <c r="P3776" s="26"/>
      <c r="Q3776" s="26"/>
      <c r="R3776" s="26"/>
      <c r="S3776" s="26"/>
      <c r="T3776" s="26"/>
      <c r="U3776" s="26"/>
      <c r="V3776" s="26"/>
      <c r="W3776" s="26"/>
      <c r="X3776" s="26"/>
      <c r="Y3776" s="26"/>
      <c r="Z3776" s="26"/>
      <c r="AA3776" s="26"/>
      <c r="AB3776" s="26"/>
      <c r="AC3776" s="27"/>
    </row>
    <row r="3777" spans="1:29" x14ac:dyDescent="0.25">
      <c r="A3777" s="1"/>
      <c r="B3777" s="19"/>
      <c r="C3777" s="24"/>
      <c r="D3777" s="1"/>
      <c r="E3777" s="25"/>
      <c r="F3777" s="26"/>
      <c r="G3777" s="26"/>
      <c r="L3777" s="25"/>
      <c r="M3777" s="24"/>
      <c r="N3777" s="26"/>
      <c r="O3777" s="26"/>
      <c r="P3777" s="26"/>
      <c r="Q3777" s="26"/>
      <c r="R3777" s="26"/>
      <c r="S3777" s="26"/>
      <c r="T3777" s="26"/>
      <c r="U3777" s="26"/>
      <c r="V3777" s="26"/>
      <c r="W3777" s="26"/>
      <c r="X3777" s="26"/>
      <c r="Y3777" s="26"/>
      <c r="Z3777" s="26"/>
      <c r="AA3777" s="26"/>
      <c r="AB3777" s="26"/>
      <c r="AC3777" s="27"/>
    </row>
    <row r="3778" spans="1:29" x14ac:dyDescent="0.25">
      <c r="A3778" s="1"/>
      <c r="B3778" s="19"/>
      <c r="C3778" s="24"/>
      <c r="D3778" s="1"/>
      <c r="E3778" s="25"/>
      <c r="F3778" s="26"/>
      <c r="G3778" s="26"/>
      <c r="L3778" s="25"/>
      <c r="M3778" s="24"/>
      <c r="N3778" s="26"/>
      <c r="O3778" s="26"/>
      <c r="P3778" s="26"/>
      <c r="Q3778" s="26"/>
      <c r="R3778" s="26"/>
      <c r="S3778" s="26"/>
      <c r="T3778" s="26"/>
      <c r="U3778" s="26"/>
      <c r="V3778" s="26"/>
      <c r="W3778" s="26"/>
      <c r="X3778" s="26"/>
      <c r="Y3778" s="26"/>
      <c r="Z3778" s="26"/>
      <c r="AA3778" s="26"/>
      <c r="AB3778" s="26"/>
      <c r="AC3778" s="27"/>
    </row>
    <row r="3779" spans="1:29" x14ac:dyDescent="0.25">
      <c r="A3779" s="1"/>
      <c r="B3779" s="19"/>
      <c r="C3779" s="24"/>
      <c r="D3779" s="1"/>
      <c r="E3779" s="25"/>
      <c r="F3779" s="26"/>
      <c r="G3779" s="26"/>
      <c r="L3779" s="25"/>
      <c r="M3779" s="24"/>
      <c r="N3779" s="26"/>
      <c r="O3779" s="26"/>
      <c r="P3779" s="26"/>
      <c r="Q3779" s="26"/>
      <c r="R3779" s="26"/>
      <c r="S3779" s="26"/>
      <c r="T3779" s="26"/>
      <c r="U3779" s="26"/>
      <c r="V3779" s="26"/>
      <c r="W3779" s="26"/>
      <c r="X3779" s="26"/>
      <c r="Y3779" s="26"/>
      <c r="Z3779" s="26"/>
      <c r="AA3779" s="26"/>
      <c r="AB3779" s="26"/>
      <c r="AC3779" s="27"/>
    </row>
    <row r="3780" spans="1:29" x14ac:dyDescent="0.25">
      <c r="A3780" s="1"/>
      <c r="B3780" s="19"/>
      <c r="C3780" s="24"/>
      <c r="D3780" s="1"/>
      <c r="E3780" s="25"/>
      <c r="F3780" s="26"/>
      <c r="G3780" s="26"/>
      <c r="L3780" s="25"/>
      <c r="M3780" s="24"/>
      <c r="N3780" s="26"/>
      <c r="O3780" s="26"/>
      <c r="P3780" s="26"/>
      <c r="Q3780" s="26"/>
      <c r="R3780" s="26"/>
      <c r="S3780" s="26"/>
      <c r="T3780" s="26"/>
      <c r="U3780" s="26"/>
      <c r="V3780" s="26"/>
      <c r="W3780" s="26"/>
      <c r="X3780" s="26"/>
      <c r="Y3780" s="26"/>
      <c r="Z3780" s="26"/>
      <c r="AA3780" s="26"/>
      <c r="AB3780" s="26"/>
      <c r="AC3780" s="27"/>
    </row>
    <row r="3781" spans="1:29" x14ac:dyDescent="0.25">
      <c r="A3781" s="1"/>
      <c r="B3781" s="19"/>
      <c r="C3781" s="24"/>
      <c r="D3781" s="1"/>
      <c r="E3781" s="25"/>
      <c r="F3781" s="26"/>
      <c r="G3781" s="26"/>
      <c r="L3781" s="25"/>
      <c r="M3781" s="24"/>
      <c r="N3781" s="26"/>
      <c r="O3781" s="26"/>
      <c r="P3781" s="26"/>
      <c r="Q3781" s="26"/>
      <c r="R3781" s="26"/>
      <c r="S3781" s="26"/>
      <c r="T3781" s="26"/>
      <c r="U3781" s="26"/>
      <c r="V3781" s="26"/>
      <c r="W3781" s="26"/>
      <c r="X3781" s="26"/>
      <c r="Y3781" s="26"/>
      <c r="Z3781" s="26"/>
      <c r="AA3781" s="26"/>
      <c r="AB3781" s="26"/>
      <c r="AC3781" s="27"/>
    </row>
    <row r="3782" spans="1:29" x14ac:dyDescent="0.25">
      <c r="A3782" s="1"/>
      <c r="B3782" s="19"/>
      <c r="C3782" s="24"/>
      <c r="D3782" s="1"/>
      <c r="E3782" s="25"/>
      <c r="F3782" s="26"/>
      <c r="G3782" s="26"/>
      <c r="L3782" s="25"/>
      <c r="M3782" s="24"/>
      <c r="N3782" s="26"/>
      <c r="O3782" s="26"/>
      <c r="P3782" s="26"/>
      <c r="Q3782" s="26"/>
      <c r="R3782" s="26"/>
      <c r="S3782" s="26"/>
      <c r="T3782" s="26"/>
      <c r="U3782" s="26"/>
      <c r="V3782" s="26"/>
      <c r="W3782" s="26"/>
      <c r="X3782" s="26"/>
      <c r="Y3782" s="26"/>
      <c r="Z3782" s="26"/>
      <c r="AA3782" s="26"/>
      <c r="AB3782" s="26"/>
      <c r="AC3782" s="27"/>
    </row>
    <row r="3783" spans="1:29" x14ac:dyDescent="0.25">
      <c r="A3783" s="1"/>
      <c r="B3783" s="19"/>
      <c r="C3783" s="24"/>
      <c r="D3783" s="1"/>
      <c r="E3783" s="25"/>
      <c r="F3783" s="26"/>
      <c r="G3783" s="26"/>
      <c r="L3783" s="25"/>
      <c r="M3783" s="24"/>
      <c r="N3783" s="26"/>
      <c r="O3783" s="26"/>
      <c r="P3783" s="26"/>
      <c r="Q3783" s="26"/>
      <c r="R3783" s="26"/>
      <c r="S3783" s="26"/>
      <c r="T3783" s="26"/>
      <c r="U3783" s="26"/>
      <c r="V3783" s="26"/>
      <c r="W3783" s="26"/>
      <c r="X3783" s="26"/>
      <c r="Y3783" s="26"/>
      <c r="Z3783" s="26"/>
      <c r="AA3783" s="26"/>
      <c r="AB3783" s="26"/>
      <c r="AC3783" s="27"/>
    </row>
    <row r="3784" spans="1:29" x14ac:dyDescent="0.25">
      <c r="A3784" s="1"/>
      <c r="B3784" s="19"/>
      <c r="C3784" s="24"/>
      <c r="D3784" s="1"/>
      <c r="E3784" s="25"/>
      <c r="F3784" s="26"/>
      <c r="G3784" s="26"/>
      <c r="L3784" s="25"/>
      <c r="M3784" s="24"/>
      <c r="N3784" s="26"/>
      <c r="O3784" s="26"/>
      <c r="P3784" s="26"/>
      <c r="Q3784" s="26"/>
      <c r="R3784" s="26"/>
      <c r="S3784" s="26"/>
      <c r="T3784" s="26"/>
      <c r="U3784" s="26"/>
      <c r="V3784" s="26"/>
      <c r="W3784" s="26"/>
      <c r="X3784" s="26"/>
      <c r="Y3784" s="26"/>
      <c r="Z3784" s="26"/>
      <c r="AA3784" s="26"/>
      <c r="AB3784" s="26"/>
      <c r="AC3784" s="27"/>
    </row>
    <row r="3785" spans="1:29" x14ac:dyDescent="0.25">
      <c r="A3785" s="1"/>
      <c r="B3785" s="19"/>
      <c r="C3785" s="24"/>
      <c r="D3785" s="1"/>
      <c r="E3785" s="25"/>
      <c r="F3785" s="26"/>
      <c r="G3785" s="26"/>
      <c r="L3785" s="25"/>
      <c r="M3785" s="24"/>
      <c r="N3785" s="26"/>
      <c r="O3785" s="26"/>
      <c r="P3785" s="26"/>
      <c r="Q3785" s="26"/>
      <c r="R3785" s="26"/>
      <c r="S3785" s="26"/>
      <c r="T3785" s="26"/>
      <c r="U3785" s="26"/>
      <c r="V3785" s="26"/>
      <c r="W3785" s="26"/>
      <c r="X3785" s="26"/>
      <c r="Y3785" s="26"/>
      <c r="Z3785" s="26"/>
      <c r="AA3785" s="26"/>
      <c r="AB3785" s="26"/>
      <c r="AC3785" s="27"/>
    </row>
    <row r="3786" spans="1:29" x14ac:dyDescent="0.25">
      <c r="A3786" s="1"/>
      <c r="B3786" s="19"/>
      <c r="C3786" s="24"/>
      <c r="D3786" s="1"/>
      <c r="E3786" s="25"/>
      <c r="F3786" s="26"/>
      <c r="G3786" s="26"/>
      <c r="L3786" s="25"/>
      <c r="M3786" s="24"/>
      <c r="N3786" s="26"/>
      <c r="O3786" s="26"/>
      <c r="P3786" s="26"/>
      <c r="Q3786" s="26"/>
      <c r="R3786" s="26"/>
      <c r="S3786" s="26"/>
      <c r="T3786" s="26"/>
      <c r="U3786" s="26"/>
      <c r="V3786" s="26"/>
      <c r="W3786" s="26"/>
      <c r="X3786" s="26"/>
      <c r="Y3786" s="26"/>
      <c r="Z3786" s="26"/>
      <c r="AA3786" s="26"/>
      <c r="AB3786" s="26"/>
      <c r="AC3786" s="27"/>
    </row>
    <row r="3787" spans="1:29" x14ac:dyDescent="0.25">
      <c r="A3787" s="1"/>
      <c r="B3787" s="19"/>
      <c r="C3787" s="24"/>
      <c r="D3787" s="1"/>
      <c r="E3787" s="25"/>
      <c r="F3787" s="26"/>
      <c r="G3787" s="26"/>
      <c r="L3787" s="25"/>
      <c r="M3787" s="24"/>
      <c r="N3787" s="26"/>
      <c r="O3787" s="26"/>
      <c r="P3787" s="26"/>
      <c r="Q3787" s="26"/>
      <c r="R3787" s="26"/>
      <c r="S3787" s="26"/>
      <c r="T3787" s="26"/>
      <c r="U3787" s="26"/>
      <c r="V3787" s="26"/>
      <c r="W3787" s="26"/>
      <c r="X3787" s="26"/>
      <c r="Y3787" s="26"/>
      <c r="Z3787" s="26"/>
      <c r="AA3787" s="26"/>
      <c r="AB3787" s="26"/>
      <c r="AC3787" s="27"/>
    </row>
    <row r="3788" spans="1:29" x14ac:dyDescent="0.25">
      <c r="A3788" s="1"/>
      <c r="B3788" s="19"/>
      <c r="C3788" s="24"/>
      <c r="D3788" s="1"/>
      <c r="E3788" s="25"/>
      <c r="F3788" s="26"/>
      <c r="G3788" s="26"/>
      <c r="L3788" s="25"/>
      <c r="M3788" s="24"/>
      <c r="N3788" s="26"/>
      <c r="O3788" s="26"/>
      <c r="P3788" s="26"/>
      <c r="Q3788" s="26"/>
      <c r="R3788" s="26"/>
      <c r="S3788" s="26"/>
      <c r="T3788" s="26"/>
      <c r="U3788" s="26"/>
      <c r="V3788" s="26"/>
      <c r="W3788" s="26"/>
      <c r="X3788" s="26"/>
      <c r="Y3788" s="26"/>
      <c r="Z3788" s="26"/>
      <c r="AA3788" s="26"/>
      <c r="AB3788" s="26"/>
      <c r="AC3788" s="27"/>
    </row>
    <row r="3789" spans="1:29" x14ac:dyDescent="0.25">
      <c r="A3789" s="1"/>
      <c r="B3789" s="19"/>
      <c r="C3789" s="24"/>
      <c r="D3789" s="1"/>
      <c r="E3789" s="25"/>
      <c r="F3789" s="26"/>
      <c r="G3789" s="26"/>
      <c r="L3789" s="25"/>
      <c r="M3789" s="24"/>
      <c r="N3789" s="26"/>
      <c r="O3789" s="26"/>
      <c r="P3789" s="26"/>
      <c r="Q3789" s="26"/>
      <c r="R3789" s="26"/>
      <c r="S3789" s="26"/>
      <c r="T3789" s="26"/>
      <c r="U3789" s="26"/>
      <c r="V3789" s="26"/>
      <c r="W3789" s="26"/>
      <c r="X3789" s="26"/>
      <c r="Y3789" s="26"/>
      <c r="Z3789" s="26"/>
      <c r="AA3789" s="26"/>
      <c r="AB3789" s="26"/>
      <c r="AC3789" s="27"/>
    </row>
    <row r="3790" spans="1:29" x14ac:dyDescent="0.25">
      <c r="A3790" s="1"/>
      <c r="B3790" s="19"/>
      <c r="C3790" s="24"/>
      <c r="D3790" s="1"/>
      <c r="E3790" s="25"/>
      <c r="F3790" s="26"/>
      <c r="G3790" s="26"/>
      <c r="L3790" s="25"/>
      <c r="M3790" s="24"/>
      <c r="N3790" s="26"/>
      <c r="O3790" s="26"/>
      <c r="P3790" s="26"/>
      <c r="Q3790" s="26"/>
      <c r="R3790" s="26"/>
      <c r="S3790" s="26"/>
      <c r="T3790" s="26"/>
      <c r="U3790" s="26"/>
      <c r="V3790" s="26"/>
      <c r="W3790" s="26"/>
      <c r="X3790" s="26"/>
      <c r="Y3790" s="26"/>
      <c r="Z3790" s="26"/>
      <c r="AA3790" s="26"/>
      <c r="AB3790" s="26"/>
      <c r="AC3790" s="27"/>
    </row>
    <row r="3791" spans="1:29" x14ac:dyDescent="0.25">
      <c r="A3791" s="1"/>
      <c r="B3791" s="19"/>
      <c r="C3791" s="24"/>
      <c r="D3791" s="1"/>
      <c r="E3791" s="25"/>
      <c r="F3791" s="26"/>
      <c r="G3791" s="26"/>
      <c r="L3791" s="25"/>
      <c r="M3791" s="24"/>
      <c r="N3791" s="26"/>
      <c r="O3791" s="26"/>
      <c r="P3791" s="26"/>
      <c r="Q3791" s="26"/>
      <c r="R3791" s="26"/>
      <c r="S3791" s="26"/>
      <c r="T3791" s="26"/>
      <c r="U3791" s="26"/>
      <c r="V3791" s="26"/>
      <c r="W3791" s="26"/>
      <c r="X3791" s="26"/>
      <c r="Y3791" s="26"/>
      <c r="Z3791" s="26"/>
      <c r="AA3791" s="26"/>
      <c r="AB3791" s="26"/>
      <c r="AC3791" s="27"/>
    </row>
    <row r="3792" spans="1:29" x14ac:dyDescent="0.25">
      <c r="A3792" s="1"/>
      <c r="B3792" s="19"/>
      <c r="C3792" s="24"/>
      <c r="D3792" s="1"/>
      <c r="E3792" s="25"/>
      <c r="F3792" s="26"/>
      <c r="G3792" s="26"/>
      <c r="L3792" s="25"/>
      <c r="M3792" s="24"/>
      <c r="N3792" s="26"/>
      <c r="O3792" s="26"/>
      <c r="P3792" s="26"/>
      <c r="Q3792" s="26"/>
      <c r="R3792" s="26"/>
      <c r="S3792" s="26"/>
      <c r="T3792" s="26"/>
      <c r="U3792" s="26"/>
      <c r="V3792" s="26"/>
      <c r="W3792" s="26"/>
      <c r="X3792" s="26"/>
      <c r="Y3792" s="26"/>
      <c r="Z3792" s="26"/>
      <c r="AA3792" s="26"/>
      <c r="AB3792" s="26"/>
      <c r="AC3792" s="27"/>
    </row>
    <row r="3793" spans="1:29" x14ac:dyDescent="0.25">
      <c r="A3793" s="1"/>
      <c r="B3793" s="19"/>
      <c r="C3793" s="24"/>
      <c r="D3793" s="1"/>
      <c r="E3793" s="25"/>
      <c r="F3793" s="26"/>
      <c r="G3793" s="26"/>
      <c r="L3793" s="25"/>
      <c r="M3793" s="24"/>
      <c r="N3793" s="26"/>
      <c r="O3793" s="26"/>
      <c r="P3793" s="26"/>
      <c r="Q3793" s="26"/>
      <c r="R3793" s="26"/>
      <c r="S3793" s="26"/>
      <c r="T3793" s="26"/>
      <c r="U3793" s="26"/>
      <c r="V3793" s="26"/>
      <c r="W3793" s="26"/>
      <c r="X3793" s="26"/>
      <c r="Y3793" s="26"/>
      <c r="Z3793" s="26"/>
      <c r="AA3793" s="26"/>
      <c r="AB3793" s="26"/>
      <c r="AC3793" s="27"/>
    </row>
    <row r="3794" spans="1:29" x14ac:dyDescent="0.25">
      <c r="A3794" s="1"/>
      <c r="B3794" s="19"/>
      <c r="C3794" s="24"/>
      <c r="D3794" s="1"/>
      <c r="E3794" s="25"/>
      <c r="F3794" s="26"/>
      <c r="G3794" s="26"/>
      <c r="L3794" s="25"/>
      <c r="M3794" s="24"/>
      <c r="N3794" s="26"/>
      <c r="O3794" s="26"/>
      <c r="P3794" s="26"/>
      <c r="Q3794" s="26"/>
      <c r="R3794" s="26"/>
      <c r="S3794" s="26"/>
      <c r="T3794" s="26"/>
      <c r="U3794" s="26"/>
      <c r="V3794" s="26"/>
      <c r="W3794" s="26"/>
      <c r="X3794" s="26"/>
      <c r="Y3794" s="26"/>
      <c r="Z3794" s="26"/>
      <c r="AA3794" s="26"/>
      <c r="AB3794" s="26"/>
      <c r="AC3794" s="27"/>
    </row>
    <row r="3795" spans="1:29" x14ac:dyDescent="0.25">
      <c r="A3795" s="1"/>
      <c r="B3795" s="19"/>
      <c r="C3795" s="24"/>
      <c r="D3795" s="1"/>
      <c r="E3795" s="25"/>
      <c r="F3795" s="26"/>
      <c r="G3795" s="26"/>
      <c r="L3795" s="25"/>
      <c r="M3795" s="24"/>
      <c r="N3795" s="26"/>
      <c r="O3795" s="26"/>
      <c r="P3795" s="26"/>
      <c r="Q3795" s="26"/>
      <c r="R3795" s="26"/>
      <c r="S3795" s="26"/>
      <c r="T3795" s="26"/>
      <c r="U3795" s="26"/>
      <c r="V3795" s="26"/>
      <c r="W3795" s="26"/>
      <c r="X3795" s="26"/>
      <c r="Y3795" s="26"/>
      <c r="Z3795" s="26"/>
      <c r="AA3795" s="26"/>
      <c r="AB3795" s="26"/>
      <c r="AC3795" s="27"/>
    </row>
    <row r="3796" spans="1:29" x14ac:dyDescent="0.25">
      <c r="A3796" s="1"/>
      <c r="B3796" s="19"/>
      <c r="C3796" s="24"/>
      <c r="D3796" s="1"/>
      <c r="E3796" s="25"/>
      <c r="F3796" s="26"/>
      <c r="G3796" s="26"/>
      <c r="L3796" s="25"/>
      <c r="M3796" s="24"/>
      <c r="N3796" s="26"/>
      <c r="O3796" s="26"/>
      <c r="P3796" s="26"/>
      <c r="Q3796" s="26"/>
      <c r="R3796" s="26"/>
      <c r="S3796" s="26"/>
      <c r="T3796" s="26"/>
      <c r="U3796" s="26"/>
      <c r="V3796" s="26"/>
      <c r="W3796" s="26"/>
      <c r="X3796" s="26"/>
      <c r="Y3796" s="26"/>
      <c r="Z3796" s="26"/>
      <c r="AA3796" s="26"/>
      <c r="AB3796" s="26"/>
      <c r="AC3796" s="27"/>
    </row>
    <row r="3797" spans="1:29" x14ac:dyDescent="0.25">
      <c r="A3797" s="1"/>
      <c r="B3797" s="19"/>
      <c r="C3797" s="24"/>
      <c r="D3797" s="1"/>
      <c r="E3797" s="25"/>
      <c r="F3797" s="26"/>
      <c r="G3797" s="26"/>
      <c r="L3797" s="25"/>
      <c r="M3797" s="24"/>
      <c r="N3797" s="26"/>
      <c r="O3797" s="26"/>
      <c r="P3797" s="26"/>
      <c r="Q3797" s="26"/>
      <c r="R3797" s="26"/>
      <c r="S3797" s="26"/>
      <c r="T3797" s="26"/>
      <c r="U3797" s="26"/>
      <c r="V3797" s="26"/>
      <c r="W3797" s="26"/>
      <c r="X3797" s="26"/>
      <c r="Y3797" s="26"/>
      <c r="Z3797" s="26"/>
      <c r="AA3797" s="26"/>
      <c r="AB3797" s="26"/>
      <c r="AC3797" s="27"/>
    </row>
    <row r="3798" spans="1:29" x14ac:dyDescent="0.25">
      <c r="A3798" s="1"/>
      <c r="B3798" s="19"/>
      <c r="C3798" s="24"/>
      <c r="D3798" s="1"/>
      <c r="E3798" s="25"/>
      <c r="F3798" s="26"/>
      <c r="G3798" s="26"/>
      <c r="L3798" s="25"/>
      <c r="M3798" s="24"/>
      <c r="N3798" s="26"/>
      <c r="O3798" s="26"/>
      <c r="P3798" s="26"/>
      <c r="Q3798" s="26"/>
      <c r="R3798" s="26"/>
      <c r="S3798" s="26"/>
      <c r="T3798" s="26"/>
      <c r="U3798" s="26"/>
      <c r="V3798" s="26"/>
      <c r="W3798" s="26"/>
      <c r="X3798" s="26"/>
      <c r="Y3798" s="26"/>
      <c r="Z3798" s="26"/>
      <c r="AA3798" s="26"/>
      <c r="AB3798" s="26"/>
      <c r="AC3798" s="27"/>
    </row>
    <row r="3799" spans="1:29" x14ac:dyDescent="0.25">
      <c r="A3799" s="1"/>
      <c r="B3799" s="19"/>
      <c r="C3799" s="24"/>
      <c r="D3799" s="1"/>
      <c r="E3799" s="25"/>
      <c r="F3799" s="26"/>
      <c r="G3799" s="26"/>
      <c r="L3799" s="25"/>
      <c r="M3799" s="24"/>
      <c r="N3799" s="26"/>
      <c r="O3799" s="26"/>
      <c r="P3799" s="26"/>
      <c r="Q3799" s="26"/>
      <c r="R3799" s="26"/>
      <c r="S3799" s="26"/>
      <c r="T3799" s="26"/>
      <c r="U3799" s="26"/>
      <c r="V3799" s="26"/>
      <c r="W3799" s="26"/>
      <c r="X3799" s="26"/>
      <c r="Y3799" s="26"/>
      <c r="Z3799" s="26"/>
      <c r="AA3799" s="26"/>
      <c r="AB3799" s="26"/>
      <c r="AC3799" s="27"/>
    </row>
    <row r="3800" spans="1:29" x14ac:dyDescent="0.25">
      <c r="A3800" s="1"/>
      <c r="B3800" s="19"/>
      <c r="C3800" s="24"/>
      <c r="D3800" s="1"/>
      <c r="E3800" s="25"/>
      <c r="F3800" s="26"/>
      <c r="G3800" s="26"/>
      <c r="L3800" s="25"/>
      <c r="M3800" s="24"/>
      <c r="N3800" s="26"/>
      <c r="O3800" s="26"/>
      <c r="P3800" s="26"/>
      <c r="Q3800" s="26"/>
      <c r="R3800" s="26"/>
      <c r="S3800" s="26"/>
      <c r="T3800" s="26"/>
      <c r="U3800" s="26"/>
      <c r="V3800" s="26"/>
      <c r="W3800" s="26"/>
      <c r="X3800" s="26"/>
      <c r="Y3800" s="26"/>
      <c r="Z3800" s="26"/>
      <c r="AA3800" s="26"/>
      <c r="AB3800" s="26"/>
      <c r="AC3800" s="27"/>
    </row>
    <row r="3801" spans="1:29" x14ac:dyDescent="0.25">
      <c r="A3801" s="1"/>
      <c r="B3801" s="19"/>
      <c r="C3801" s="24"/>
      <c r="D3801" s="1"/>
      <c r="E3801" s="25"/>
      <c r="F3801" s="26"/>
      <c r="G3801" s="26"/>
      <c r="L3801" s="25"/>
      <c r="M3801" s="24"/>
      <c r="N3801" s="26"/>
      <c r="O3801" s="26"/>
      <c r="P3801" s="26"/>
      <c r="Q3801" s="26"/>
      <c r="R3801" s="26"/>
      <c r="S3801" s="26"/>
      <c r="T3801" s="26"/>
      <c r="U3801" s="26"/>
      <c r="V3801" s="26"/>
      <c r="W3801" s="26"/>
      <c r="X3801" s="26"/>
      <c r="Y3801" s="26"/>
      <c r="Z3801" s="26"/>
      <c r="AA3801" s="26"/>
      <c r="AB3801" s="26"/>
      <c r="AC3801" s="27"/>
    </row>
    <row r="3802" spans="1:29" x14ac:dyDescent="0.25">
      <c r="A3802" s="1"/>
      <c r="B3802" s="19"/>
      <c r="C3802" s="24"/>
      <c r="D3802" s="1"/>
      <c r="E3802" s="25"/>
      <c r="F3802" s="26"/>
      <c r="G3802" s="26"/>
      <c r="L3802" s="25"/>
      <c r="M3802" s="24"/>
      <c r="N3802" s="26"/>
      <c r="O3802" s="26"/>
      <c r="P3802" s="26"/>
      <c r="Q3802" s="26"/>
      <c r="R3802" s="26"/>
      <c r="S3802" s="26"/>
      <c r="T3802" s="26"/>
      <c r="U3802" s="26"/>
      <c r="V3802" s="26"/>
      <c r="W3802" s="26"/>
      <c r="X3802" s="26"/>
      <c r="Y3802" s="26"/>
      <c r="Z3802" s="26"/>
      <c r="AA3802" s="26"/>
      <c r="AB3802" s="26"/>
      <c r="AC3802" s="27"/>
    </row>
    <row r="3803" spans="1:29" x14ac:dyDescent="0.25">
      <c r="A3803" s="1"/>
      <c r="B3803" s="19"/>
      <c r="C3803" s="24"/>
      <c r="D3803" s="1"/>
      <c r="E3803" s="25"/>
      <c r="F3803" s="26"/>
      <c r="G3803" s="26"/>
      <c r="L3803" s="25"/>
      <c r="M3803" s="24"/>
      <c r="N3803" s="26"/>
      <c r="O3803" s="26"/>
      <c r="P3803" s="26"/>
      <c r="Q3803" s="26"/>
      <c r="R3803" s="26"/>
      <c r="S3803" s="26"/>
      <c r="T3803" s="26"/>
      <c r="U3803" s="26"/>
      <c r="V3803" s="26"/>
      <c r="W3803" s="26"/>
      <c r="X3803" s="26"/>
      <c r="Y3803" s="26"/>
      <c r="Z3803" s="26"/>
      <c r="AA3803" s="26"/>
      <c r="AB3803" s="26"/>
      <c r="AC3803" s="27"/>
    </row>
    <row r="3804" spans="1:29" x14ac:dyDescent="0.25">
      <c r="A3804" s="1"/>
      <c r="B3804" s="19"/>
      <c r="C3804" s="24"/>
      <c r="D3804" s="1"/>
      <c r="E3804" s="25"/>
      <c r="F3804" s="26"/>
      <c r="G3804" s="26"/>
      <c r="L3804" s="25"/>
      <c r="M3804" s="24"/>
      <c r="N3804" s="26"/>
      <c r="O3804" s="26"/>
      <c r="P3804" s="26"/>
      <c r="Q3804" s="26"/>
      <c r="R3804" s="26"/>
      <c r="S3804" s="26"/>
      <c r="T3804" s="26"/>
      <c r="U3804" s="26"/>
      <c r="V3804" s="26"/>
      <c r="W3804" s="26"/>
      <c r="X3804" s="26"/>
      <c r="Y3804" s="26"/>
      <c r="Z3804" s="26"/>
      <c r="AA3804" s="26"/>
      <c r="AB3804" s="26"/>
      <c r="AC3804" s="27"/>
    </row>
    <row r="3805" spans="1:29" x14ac:dyDescent="0.25">
      <c r="A3805" s="1"/>
      <c r="B3805" s="19"/>
      <c r="C3805" s="24"/>
      <c r="D3805" s="1"/>
      <c r="E3805" s="25"/>
      <c r="F3805" s="26"/>
      <c r="G3805" s="26"/>
      <c r="L3805" s="25"/>
      <c r="M3805" s="24"/>
      <c r="N3805" s="26"/>
      <c r="O3805" s="26"/>
      <c r="P3805" s="26"/>
      <c r="Q3805" s="26"/>
      <c r="R3805" s="26"/>
      <c r="S3805" s="26"/>
      <c r="T3805" s="26"/>
      <c r="U3805" s="26"/>
      <c r="V3805" s="26"/>
      <c r="W3805" s="26"/>
      <c r="X3805" s="26"/>
      <c r="Y3805" s="26"/>
      <c r="Z3805" s="26"/>
      <c r="AA3805" s="26"/>
      <c r="AB3805" s="26"/>
      <c r="AC3805" s="27"/>
    </row>
    <row r="3806" spans="1:29" x14ac:dyDescent="0.25">
      <c r="A3806" s="1"/>
      <c r="B3806" s="19"/>
      <c r="C3806" s="24"/>
      <c r="D3806" s="1"/>
      <c r="E3806" s="25"/>
      <c r="F3806" s="26"/>
      <c r="G3806" s="26"/>
      <c r="L3806" s="25"/>
      <c r="M3806" s="24"/>
      <c r="N3806" s="26"/>
      <c r="O3806" s="26"/>
      <c r="P3806" s="26"/>
      <c r="Q3806" s="26"/>
      <c r="R3806" s="26"/>
      <c r="S3806" s="26"/>
      <c r="T3806" s="26"/>
      <c r="U3806" s="26"/>
      <c r="V3806" s="26"/>
      <c r="W3806" s="26"/>
      <c r="X3806" s="26"/>
      <c r="Y3806" s="26"/>
      <c r="Z3806" s="26"/>
      <c r="AA3806" s="26"/>
      <c r="AB3806" s="26"/>
      <c r="AC3806" s="27"/>
    </row>
    <row r="3807" spans="1:29" x14ac:dyDescent="0.25">
      <c r="A3807" s="1"/>
      <c r="B3807" s="19"/>
      <c r="C3807" s="24"/>
      <c r="D3807" s="1"/>
      <c r="E3807" s="25"/>
      <c r="F3807" s="26"/>
      <c r="G3807" s="26"/>
      <c r="L3807" s="25"/>
      <c r="M3807" s="24"/>
      <c r="N3807" s="26"/>
      <c r="O3807" s="26"/>
      <c r="P3807" s="26"/>
      <c r="Q3807" s="26"/>
      <c r="R3807" s="26"/>
      <c r="S3807" s="26"/>
      <c r="T3807" s="26"/>
      <c r="U3807" s="26"/>
      <c r="V3807" s="26"/>
      <c r="W3807" s="26"/>
      <c r="X3807" s="26"/>
      <c r="Y3807" s="26"/>
      <c r="Z3807" s="26"/>
      <c r="AA3807" s="26"/>
      <c r="AB3807" s="26"/>
      <c r="AC3807" s="27"/>
    </row>
    <row r="3808" spans="1:29" x14ac:dyDescent="0.25">
      <c r="A3808" s="1"/>
      <c r="B3808" s="19"/>
      <c r="C3808" s="24"/>
      <c r="D3808" s="1"/>
      <c r="E3808" s="25"/>
      <c r="F3808" s="26"/>
      <c r="G3808" s="26"/>
      <c r="L3808" s="25"/>
      <c r="M3808" s="24"/>
      <c r="N3808" s="26"/>
      <c r="O3808" s="26"/>
      <c r="P3808" s="26"/>
      <c r="Q3808" s="26"/>
      <c r="R3808" s="26"/>
      <c r="S3808" s="26"/>
      <c r="T3808" s="26"/>
      <c r="U3808" s="26"/>
      <c r="V3808" s="26"/>
      <c r="W3808" s="26"/>
      <c r="X3808" s="26"/>
      <c r="Y3808" s="26"/>
      <c r="Z3808" s="26"/>
      <c r="AA3808" s="26"/>
      <c r="AB3808" s="26"/>
      <c r="AC3808" s="27"/>
    </row>
    <row r="3809" spans="1:29" x14ac:dyDescent="0.25">
      <c r="A3809" s="1"/>
      <c r="B3809" s="19"/>
      <c r="C3809" s="24"/>
      <c r="D3809" s="1"/>
      <c r="E3809" s="25"/>
      <c r="F3809" s="26"/>
      <c r="G3809" s="26"/>
      <c r="L3809" s="25"/>
      <c r="M3809" s="24"/>
      <c r="N3809" s="26"/>
      <c r="O3809" s="26"/>
      <c r="P3809" s="26"/>
      <c r="Q3809" s="26"/>
      <c r="R3809" s="26"/>
      <c r="S3809" s="26"/>
      <c r="T3809" s="26"/>
      <c r="U3809" s="26"/>
      <c r="V3809" s="26"/>
      <c r="W3809" s="26"/>
      <c r="X3809" s="26"/>
      <c r="Y3809" s="26"/>
      <c r="Z3809" s="26"/>
      <c r="AA3809" s="26"/>
      <c r="AB3809" s="26"/>
      <c r="AC3809" s="27"/>
    </row>
    <row r="3810" spans="1:29" x14ac:dyDescent="0.25">
      <c r="A3810" s="1"/>
      <c r="B3810" s="19"/>
      <c r="C3810" s="24"/>
      <c r="D3810" s="1"/>
      <c r="E3810" s="25"/>
      <c r="F3810" s="26"/>
      <c r="G3810" s="26"/>
      <c r="L3810" s="25"/>
      <c r="M3810" s="24"/>
      <c r="N3810" s="26"/>
      <c r="O3810" s="26"/>
      <c r="P3810" s="26"/>
      <c r="Q3810" s="26"/>
      <c r="R3810" s="26"/>
      <c r="S3810" s="26"/>
      <c r="T3810" s="26"/>
      <c r="U3810" s="26"/>
      <c r="V3810" s="26"/>
      <c r="W3810" s="26"/>
      <c r="X3810" s="26"/>
      <c r="Y3810" s="26"/>
      <c r="Z3810" s="26"/>
      <c r="AA3810" s="26"/>
      <c r="AB3810" s="26"/>
      <c r="AC3810" s="27"/>
    </row>
    <row r="3811" spans="1:29" x14ac:dyDescent="0.25">
      <c r="A3811" s="1"/>
      <c r="B3811" s="19"/>
      <c r="C3811" s="24"/>
      <c r="D3811" s="1"/>
      <c r="E3811" s="25"/>
      <c r="F3811" s="26"/>
      <c r="G3811" s="26"/>
      <c r="L3811" s="25"/>
      <c r="M3811" s="24"/>
      <c r="N3811" s="26"/>
      <c r="O3811" s="26"/>
      <c r="P3811" s="26"/>
      <c r="Q3811" s="26"/>
      <c r="R3811" s="26"/>
      <c r="S3811" s="26"/>
      <c r="T3811" s="26"/>
      <c r="U3811" s="26"/>
      <c r="V3811" s="26"/>
      <c r="W3811" s="26"/>
      <c r="X3811" s="26"/>
      <c r="Y3811" s="26"/>
      <c r="Z3811" s="26"/>
      <c r="AA3811" s="26"/>
      <c r="AB3811" s="26"/>
      <c r="AC3811" s="27"/>
    </row>
    <row r="3812" spans="1:29" x14ac:dyDescent="0.25">
      <c r="A3812" s="1"/>
      <c r="B3812" s="19"/>
      <c r="C3812" s="24"/>
      <c r="D3812" s="1"/>
      <c r="E3812" s="25"/>
      <c r="F3812" s="26"/>
      <c r="G3812" s="26"/>
      <c r="L3812" s="25"/>
      <c r="M3812" s="24"/>
      <c r="N3812" s="26"/>
      <c r="O3812" s="26"/>
      <c r="P3812" s="26"/>
      <c r="Q3812" s="26"/>
      <c r="R3812" s="26"/>
      <c r="S3812" s="26"/>
      <c r="T3812" s="26"/>
      <c r="U3812" s="26"/>
      <c r="V3812" s="26"/>
      <c r="W3812" s="26"/>
      <c r="X3812" s="26"/>
      <c r="Y3812" s="26"/>
      <c r="Z3812" s="26"/>
      <c r="AA3812" s="26"/>
      <c r="AB3812" s="26"/>
      <c r="AC3812" s="27"/>
    </row>
    <row r="3813" spans="1:29" x14ac:dyDescent="0.25">
      <c r="A3813" s="1"/>
      <c r="B3813" s="19"/>
      <c r="C3813" s="24"/>
      <c r="D3813" s="1"/>
      <c r="E3813" s="25"/>
      <c r="F3813" s="26"/>
      <c r="G3813" s="26"/>
      <c r="L3813" s="25"/>
      <c r="M3813" s="24"/>
      <c r="N3813" s="26"/>
      <c r="O3813" s="26"/>
      <c r="P3813" s="26"/>
      <c r="Q3813" s="26"/>
      <c r="R3813" s="26"/>
      <c r="S3813" s="26"/>
      <c r="T3813" s="26"/>
      <c r="U3813" s="26"/>
      <c r="V3813" s="26"/>
      <c r="W3813" s="26"/>
      <c r="X3813" s="26"/>
      <c r="Y3813" s="26"/>
      <c r="Z3813" s="26"/>
      <c r="AA3813" s="26"/>
      <c r="AB3813" s="26"/>
      <c r="AC3813" s="27"/>
    </row>
    <row r="3814" spans="1:29" x14ac:dyDescent="0.25">
      <c r="A3814" s="1"/>
      <c r="B3814" s="19"/>
      <c r="C3814" s="24"/>
      <c r="D3814" s="1"/>
      <c r="E3814" s="25"/>
      <c r="F3814" s="26"/>
      <c r="G3814" s="26"/>
      <c r="L3814" s="25"/>
      <c r="M3814" s="24"/>
      <c r="N3814" s="26"/>
      <c r="O3814" s="26"/>
      <c r="P3814" s="26"/>
      <c r="Q3814" s="26"/>
      <c r="R3814" s="26"/>
      <c r="S3814" s="26"/>
      <c r="T3814" s="26"/>
      <c r="U3814" s="26"/>
      <c r="V3814" s="26"/>
      <c r="W3814" s="26"/>
      <c r="X3814" s="26"/>
      <c r="Y3814" s="26"/>
      <c r="Z3814" s="26"/>
      <c r="AA3814" s="26"/>
      <c r="AB3814" s="26"/>
      <c r="AC3814" s="27"/>
    </row>
    <row r="3815" spans="1:29" x14ac:dyDescent="0.25">
      <c r="A3815" s="1"/>
      <c r="B3815" s="19"/>
      <c r="C3815" s="24"/>
      <c r="D3815" s="1"/>
      <c r="E3815" s="25"/>
      <c r="F3815" s="26"/>
      <c r="G3815" s="26"/>
      <c r="L3815" s="25"/>
      <c r="M3815" s="24"/>
      <c r="N3815" s="26"/>
      <c r="O3815" s="26"/>
      <c r="P3815" s="26"/>
      <c r="Q3815" s="26"/>
      <c r="R3815" s="26"/>
      <c r="S3815" s="26"/>
      <c r="T3815" s="26"/>
      <c r="U3815" s="26"/>
      <c r="V3815" s="26"/>
      <c r="W3815" s="26"/>
      <c r="X3815" s="26"/>
      <c r="Y3815" s="26"/>
      <c r="Z3815" s="26"/>
      <c r="AA3815" s="26"/>
      <c r="AB3815" s="26"/>
      <c r="AC3815" s="27"/>
    </row>
    <row r="3816" spans="1:29" x14ac:dyDescent="0.25">
      <c r="A3816" s="1"/>
      <c r="B3816" s="19"/>
      <c r="C3816" s="24"/>
      <c r="D3816" s="1"/>
      <c r="E3816" s="25"/>
      <c r="F3816" s="26"/>
      <c r="G3816" s="26"/>
      <c r="L3816" s="25"/>
      <c r="M3816" s="24"/>
      <c r="N3816" s="26"/>
      <c r="O3816" s="26"/>
      <c r="P3816" s="26"/>
      <c r="Q3816" s="26"/>
      <c r="R3816" s="26"/>
      <c r="S3816" s="26"/>
      <c r="T3816" s="26"/>
      <c r="U3816" s="26"/>
      <c r="V3816" s="26"/>
      <c r="W3816" s="26"/>
      <c r="X3816" s="26"/>
      <c r="Y3816" s="26"/>
      <c r="Z3816" s="26"/>
      <c r="AA3816" s="26"/>
      <c r="AB3816" s="26"/>
      <c r="AC3816" s="27"/>
    </row>
    <row r="3817" spans="1:29" x14ac:dyDescent="0.25">
      <c r="A3817" s="1"/>
      <c r="B3817" s="19"/>
      <c r="C3817" s="24"/>
      <c r="D3817" s="1"/>
      <c r="E3817" s="25"/>
      <c r="F3817" s="26"/>
      <c r="G3817" s="26"/>
      <c r="L3817" s="25"/>
      <c r="M3817" s="24"/>
      <c r="N3817" s="26"/>
      <c r="O3817" s="26"/>
      <c r="P3817" s="26"/>
      <c r="Q3817" s="26"/>
      <c r="R3817" s="26"/>
      <c r="S3817" s="26"/>
      <c r="T3817" s="26"/>
      <c r="U3817" s="26"/>
      <c r="V3817" s="26"/>
      <c r="W3817" s="26"/>
      <c r="X3817" s="26"/>
      <c r="Y3817" s="26"/>
      <c r="Z3817" s="26"/>
      <c r="AA3817" s="26"/>
      <c r="AB3817" s="26"/>
      <c r="AC3817" s="27"/>
    </row>
    <row r="3818" spans="1:29" x14ac:dyDescent="0.25">
      <c r="A3818" s="1"/>
      <c r="B3818" s="19"/>
      <c r="C3818" s="24"/>
      <c r="D3818" s="1"/>
      <c r="E3818" s="25"/>
      <c r="F3818" s="26"/>
      <c r="G3818" s="26"/>
      <c r="L3818" s="25"/>
      <c r="M3818" s="24"/>
      <c r="N3818" s="26"/>
      <c r="O3818" s="26"/>
      <c r="P3818" s="26"/>
      <c r="Q3818" s="26"/>
      <c r="R3818" s="26"/>
      <c r="S3818" s="26"/>
      <c r="T3818" s="26"/>
      <c r="U3818" s="26"/>
      <c r="V3818" s="26"/>
      <c r="W3818" s="26"/>
      <c r="X3818" s="26"/>
      <c r="Y3818" s="26"/>
      <c r="Z3818" s="26"/>
      <c r="AA3818" s="26"/>
      <c r="AB3818" s="26"/>
      <c r="AC3818" s="27"/>
    </row>
    <row r="3819" spans="1:29" x14ac:dyDescent="0.25">
      <c r="A3819" s="1"/>
      <c r="B3819" s="19"/>
      <c r="C3819" s="24"/>
      <c r="D3819" s="1"/>
      <c r="E3819" s="25"/>
      <c r="F3819" s="26"/>
      <c r="G3819" s="26"/>
      <c r="L3819" s="25"/>
      <c r="M3819" s="24"/>
      <c r="N3819" s="26"/>
      <c r="O3819" s="26"/>
      <c r="P3819" s="26"/>
      <c r="Q3819" s="26"/>
      <c r="R3819" s="26"/>
      <c r="S3819" s="26"/>
      <c r="T3819" s="26"/>
      <c r="U3819" s="26"/>
      <c r="V3819" s="26"/>
      <c r="W3819" s="26"/>
      <c r="X3819" s="26"/>
      <c r="Y3819" s="26"/>
      <c r="Z3819" s="26"/>
      <c r="AA3819" s="26"/>
      <c r="AB3819" s="26"/>
      <c r="AC3819" s="27"/>
    </row>
    <row r="3820" spans="1:29" x14ac:dyDescent="0.25">
      <c r="A3820" s="1"/>
      <c r="B3820" s="19"/>
      <c r="C3820" s="24"/>
      <c r="D3820" s="1"/>
      <c r="E3820" s="25"/>
      <c r="F3820" s="26"/>
      <c r="G3820" s="26"/>
      <c r="L3820" s="25"/>
      <c r="M3820" s="24"/>
      <c r="N3820" s="26"/>
      <c r="O3820" s="26"/>
      <c r="P3820" s="26"/>
      <c r="Q3820" s="26"/>
      <c r="R3820" s="26"/>
      <c r="S3820" s="26"/>
      <c r="T3820" s="26"/>
      <c r="U3820" s="26"/>
      <c r="V3820" s="26"/>
      <c r="W3820" s="26"/>
      <c r="X3820" s="26"/>
      <c r="Y3820" s="26"/>
      <c r="Z3820" s="26"/>
      <c r="AA3820" s="26"/>
      <c r="AB3820" s="26"/>
      <c r="AC3820" s="27"/>
    </row>
    <row r="3821" spans="1:29" x14ac:dyDescent="0.25">
      <c r="A3821" s="1"/>
      <c r="B3821" s="19"/>
      <c r="C3821" s="24"/>
      <c r="D3821" s="1"/>
      <c r="E3821" s="25"/>
      <c r="F3821" s="26"/>
      <c r="G3821" s="26"/>
      <c r="L3821" s="25"/>
      <c r="M3821" s="24"/>
      <c r="N3821" s="26"/>
      <c r="O3821" s="26"/>
      <c r="P3821" s="26"/>
      <c r="Q3821" s="26"/>
      <c r="R3821" s="26"/>
      <c r="S3821" s="26"/>
      <c r="T3821" s="26"/>
      <c r="U3821" s="26"/>
      <c r="V3821" s="26"/>
      <c r="W3821" s="26"/>
      <c r="X3821" s="26"/>
      <c r="Y3821" s="26"/>
      <c r="Z3821" s="26"/>
      <c r="AA3821" s="26"/>
      <c r="AB3821" s="26"/>
      <c r="AC3821" s="27"/>
    </row>
    <row r="3822" spans="1:29" x14ac:dyDescent="0.25">
      <c r="A3822" s="1"/>
      <c r="B3822" s="19"/>
      <c r="C3822" s="24"/>
      <c r="D3822" s="1"/>
      <c r="E3822" s="25"/>
      <c r="F3822" s="26"/>
      <c r="G3822" s="26"/>
      <c r="L3822" s="25"/>
      <c r="M3822" s="24"/>
      <c r="N3822" s="26"/>
      <c r="O3822" s="26"/>
      <c r="P3822" s="26"/>
      <c r="Q3822" s="26"/>
      <c r="R3822" s="26"/>
      <c r="S3822" s="26"/>
      <c r="T3822" s="26"/>
      <c r="U3822" s="26"/>
      <c r="V3822" s="26"/>
      <c r="W3822" s="26"/>
      <c r="X3822" s="26"/>
      <c r="Y3822" s="26"/>
      <c r="Z3822" s="26"/>
      <c r="AA3822" s="26"/>
      <c r="AB3822" s="26"/>
      <c r="AC3822" s="27"/>
    </row>
    <row r="3823" spans="1:29" x14ac:dyDescent="0.25">
      <c r="A3823" s="1"/>
      <c r="B3823" s="19"/>
      <c r="C3823" s="24"/>
      <c r="D3823" s="1"/>
      <c r="E3823" s="25"/>
      <c r="F3823" s="26"/>
      <c r="G3823" s="26"/>
      <c r="L3823" s="25"/>
      <c r="M3823" s="24"/>
      <c r="N3823" s="26"/>
      <c r="O3823" s="26"/>
      <c r="P3823" s="26"/>
      <c r="Q3823" s="26"/>
      <c r="R3823" s="26"/>
      <c r="S3823" s="26"/>
      <c r="T3823" s="26"/>
      <c r="U3823" s="26"/>
      <c r="V3823" s="26"/>
      <c r="W3823" s="26"/>
      <c r="X3823" s="26"/>
      <c r="Y3823" s="26"/>
      <c r="Z3823" s="26"/>
      <c r="AA3823" s="26"/>
      <c r="AB3823" s="26"/>
      <c r="AC3823" s="27"/>
    </row>
    <row r="3824" spans="1:29" x14ac:dyDescent="0.25">
      <c r="A3824" s="1"/>
      <c r="B3824" s="19"/>
      <c r="C3824" s="24"/>
      <c r="D3824" s="1"/>
      <c r="E3824" s="25"/>
      <c r="F3824" s="26"/>
      <c r="G3824" s="26"/>
      <c r="L3824" s="25"/>
      <c r="M3824" s="24"/>
      <c r="N3824" s="26"/>
      <c r="O3824" s="26"/>
      <c r="P3824" s="26"/>
      <c r="Q3824" s="26"/>
      <c r="R3824" s="26"/>
      <c r="S3824" s="26"/>
      <c r="T3824" s="26"/>
      <c r="U3824" s="26"/>
      <c r="V3824" s="26"/>
      <c r="W3824" s="26"/>
      <c r="X3824" s="26"/>
      <c r="Y3824" s="26"/>
      <c r="Z3824" s="26"/>
      <c r="AA3824" s="26"/>
      <c r="AB3824" s="26"/>
      <c r="AC3824" s="27"/>
    </row>
    <row r="3825" spans="1:29" x14ac:dyDescent="0.25">
      <c r="A3825" s="1"/>
      <c r="B3825" s="19"/>
      <c r="C3825" s="24"/>
      <c r="D3825" s="1"/>
      <c r="E3825" s="25"/>
      <c r="F3825" s="26"/>
      <c r="G3825" s="26"/>
      <c r="L3825" s="25"/>
      <c r="M3825" s="24"/>
      <c r="N3825" s="26"/>
      <c r="O3825" s="26"/>
      <c r="P3825" s="26"/>
      <c r="Q3825" s="26"/>
      <c r="R3825" s="26"/>
      <c r="S3825" s="26"/>
      <c r="T3825" s="26"/>
      <c r="U3825" s="26"/>
      <c r="V3825" s="26"/>
      <c r="W3825" s="26"/>
      <c r="X3825" s="26"/>
      <c r="Y3825" s="26"/>
      <c r="Z3825" s="26"/>
      <c r="AA3825" s="26"/>
      <c r="AB3825" s="26"/>
      <c r="AC3825" s="27"/>
    </row>
    <row r="3826" spans="1:29" x14ac:dyDescent="0.25">
      <c r="A3826" s="1"/>
      <c r="B3826" s="19"/>
      <c r="C3826" s="24"/>
      <c r="D3826" s="1"/>
      <c r="E3826" s="25"/>
      <c r="F3826" s="26"/>
      <c r="G3826" s="26"/>
      <c r="L3826" s="25"/>
      <c r="M3826" s="24"/>
      <c r="N3826" s="26"/>
      <c r="O3826" s="26"/>
      <c r="P3826" s="26"/>
      <c r="Q3826" s="26"/>
      <c r="R3826" s="26"/>
      <c r="S3826" s="26"/>
      <c r="T3826" s="26"/>
      <c r="U3826" s="26"/>
      <c r="V3826" s="26"/>
      <c r="W3826" s="26"/>
      <c r="X3826" s="26"/>
      <c r="Y3826" s="26"/>
      <c r="Z3826" s="26"/>
      <c r="AA3826" s="26"/>
      <c r="AB3826" s="26"/>
      <c r="AC3826" s="27"/>
    </row>
    <row r="3827" spans="1:29" x14ac:dyDescent="0.25">
      <c r="A3827" s="1"/>
      <c r="B3827" s="19"/>
      <c r="C3827" s="24"/>
      <c r="D3827" s="1"/>
      <c r="E3827" s="25"/>
      <c r="F3827" s="26"/>
      <c r="G3827" s="26"/>
      <c r="L3827" s="25"/>
      <c r="M3827" s="24"/>
      <c r="N3827" s="26"/>
      <c r="O3827" s="26"/>
      <c r="P3827" s="26"/>
      <c r="Q3827" s="26"/>
      <c r="R3827" s="26"/>
      <c r="S3827" s="26"/>
      <c r="T3827" s="26"/>
      <c r="U3827" s="26"/>
      <c r="V3827" s="26"/>
      <c r="W3827" s="26"/>
      <c r="X3827" s="26"/>
      <c r="Y3827" s="26"/>
      <c r="Z3827" s="26"/>
      <c r="AA3827" s="26"/>
      <c r="AB3827" s="26"/>
      <c r="AC3827" s="27"/>
    </row>
    <row r="3828" spans="1:29" x14ac:dyDescent="0.25">
      <c r="A3828" s="1"/>
      <c r="B3828" s="19"/>
      <c r="C3828" s="24"/>
      <c r="D3828" s="1"/>
      <c r="E3828" s="25"/>
      <c r="F3828" s="26"/>
      <c r="G3828" s="26"/>
      <c r="L3828" s="25"/>
      <c r="M3828" s="24"/>
      <c r="N3828" s="26"/>
      <c r="O3828" s="26"/>
      <c r="P3828" s="26"/>
      <c r="Q3828" s="26"/>
      <c r="R3828" s="26"/>
      <c r="S3828" s="26"/>
      <c r="T3828" s="26"/>
      <c r="U3828" s="26"/>
      <c r="V3828" s="26"/>
      <c r="W3828" s="26"/>
      <c r="X3828" s="26"/>
      <c r="Y3828" s="26"/>
      <c r="Z3828" s="26"/>
      <c r="AA3828" s="26"/>
      <c r="AB3828" s="26"/>
      <c r="AC3828" s="27"/>
    </row>
    <row r="3829" spans="1:29" x14ac:dyDescent="0.25">
      <c r="A3829" s="1"/>
      <c r="B3829" s="19"/>
      <c r="C3829" s="24"/>
      <c r="D3829" s="1"/>
      <c r="E3829" s="25"/>
      <c r="F3829" s="26"/>
      <c r="G3829" s="26"/>
      <c r="L3829" s="25"/>
      <c r="M3829" s="24"/>
      <c r="N3829" s="26"/>
      <c r="O3829" s="26"/>
      <c r="P3829" s="26"/>
      <c r="Q3829" s="26"/>
      <c r="R3829" s="26"/>
      <c r="S3829" s="26"/>
      <c r="T3829" s="26"/>
      <c r="U3829" s="26"/>
      <c r="V3829" s="26"/>
      <c r="W3829" s="26"/>
      <c r="X3829" s="26"/>
      <c r="Y3829" s="26"/>
      <c r="Z3829" s="26"/>
      <c r="AA3829" s="26"/>
      <c r="AB3829" s="26"/>
      <c r="AC3829" s="27"/>
    </row>
    <row r="3830" spans="1:29" x14ac:dyDescent="0.25">
      <c r="A3830" s="1"/>
      <c r="B3830" s="19"/>
      <c r="C3830" s="24"/>
      <c r="D3830" s="1"/>
      <c r="E3830" s="25"/>
      <c r="F3830" s="26"/>
      <c r="G3830" s="26"/>
      <c r="L3830" s="25"/>
      <c r="M3830" s="24"/>
      <c r="N3830" s="26"/>
      <c r="O3830" s="26"/>
      <c r="P3830" s="26"/>
      <c r="Q3830" s="26"/>
      <c r="R3830" s="26"/>
      <c r="S3830" s="26"/>
      <c r="T3830" s="26"/>
      <c r="U3830" s="26"/>
      <c r="V3830" s="26"/>
      <c r="W3830" s="26"/>
      <c r="X3830" s="26"/>
      <c r="Y3830" s="26"/>
      <c r="Z3830" s="26"/>
      <c r="AA3830" s="26"/>
      <c r="AB3830" s="26"/>
      <c r="AC3830" s="27"/>
    </row>
    <row r="3831" spans="1:29" x14ac:dyDescent="0.25">
      <c r="A3831" s="1"/>
      <c r="B3831" s="19"/>
      <c r="C3831" s="24"/>
      <c r="D3831" s="1"/>
      <c r="E3831" s="25"/>
      <c r="F3831" s="26"/>
      <c r="G3831" s="26"/>
      <c r="L3831" s="25"/>
      <c r="M3831" s="24"/>
      <c r="N3831" s="26"/>
      <c r="O3831" s="26"/>
      <c r="P3831" s="26"/>
      <c r="Q3831" s="26"/>
      <c r="R3831" s="26"/>
      <c r="S3831" s="26"/>
      <c r="T3831" s="26"/>
      <c r="U3831" s="26"/>
      <c r="V3831" s="26"/>
      <c r="W3831" s="26"/>
      <c r="X3831" s="26"/>
      <c r="Y3831" s="26"/>
      <c r="Z3831" s="26"/>
      <c r="AA3831" s="26"/>
      <c r="AB3831" s="26"/>
      <c r="AC3831" s="27"/>
    </row>
    <row r="3832" spans="1:29" x14ac:dyDescent="0.25">
      <c r="A3832" s="1"/>
      <c r="B3832" s="19"/>
      <c r="C3832" s="24"/>
      <c r="D3832" s="1"/>
      <c r="E3832" s="25"/>
      <c r="F3832" s="26"/>
      <c r="G3832" s="26"/>
      <c r="L3832" s="25"/>
      <c r="M3832" s="24"/>
      <c r="N3832" s="26"/>
      <c r="O3832" s="26"/>
      <c r="P3832" s="26"/>
      <c r="Q3832" s="26"/>
      <c r="R3832" s="26"/>
      <c r="S3832" s="26"/>
      <c r="T3832" s="26"/>
      <c r="U3832" s="26"/>
      <c r="V3832" s="26"/>
      <c r="W3832" s="26"/>
      <c r="X3832" s="26"/>
      <c r="Y3832" s="26"/>
      <c r="Z3832" s="26"/>
      <c r="AA3832" s="26"/>
      <c r="AB3832" s="26"/>
      <c r="AC3832" s="27"/>
    </row>
    <row r="3833" spans="1:29" x14ac:dyDescent="0.25">
      <c r="A3833" s="1"/>
      <c r="B3833" s="19"/>
      <c r="C3833" s="24"/>
      <c r="D3833" s="1"/>
      <c r="E3833" s="25"/>
      <c r="F3833" s="26"/>
      <c r="G3833" s="26"/>
      <c r="L3833" s="25"/>
      <c r="M3833" s="24"/>
      <c r="N3833" s="26"/>
      <c r="O3833" s="26"/>
      <c r="P3833" s="26"/>
      <c r="Q3833" s="26"/>
      <c r="R3833" s="26"/>
      <c r="S3833" s="26"/>
      <c r="T3833" s="26"/>
      <c r="U3833" s="26"/>
      <c r="V3833" s="26"/>
      <c r="W3833" s="26"/>
      <c r="X3833" s="26"/>
      <c r="Y3833" s="26"/>
      <c r="Z3833" s="26"/>
      <c r="AA3833" s="26"/>
      <c r="AB3833" s="26"/>
      <c r="AC3833" s="27"/>
    </row>
    <row r="3834" spans="1:29" x14ac:dyDescent="0.25">
      <c r="A3834" s="1"/>
      <c r="B3834" s="19"/>
      <c r="C3834" s="24"/>
      <c r="D3834" s="1"/>
      <c r="E3834" s="25"/>
      <c r="F3834" s="26"/>
      <c r="G3834" s="26"/>
      <c r="L3834" s="25"/>
      <c r="M3834" s="24"/>
      <c r="N3834" s="26"/>
      <c r="O3834" s="26"/>
      <c r="P3834" s="26"/>
      <c r="Q3834" s="26"/>
      <c r="R3834" s="26"/>
      <c r="S3834" s="26"/>
      <c r="T3834" s="26"/>
      <c r="U3834" s="26"/>
      <c r="V3834" s="26"/>
      <c r="W3834" s="26"/>
      <c r="X3834" s="26"/>
      <c r="Y3834" s="26"/>
      <c r="Z3834" s="26"/>
      <c r="AA3834" s="26"/>
      <c r="AB3834" s="26"/>
      <c r="AC3834" s="27"/>
    </row>
    <row r="3835" spans="1:29" x14ac:dyDescent="0.25">
      <c r="A3835" s="1"/>
      <c r="B3835" s="19"/>
      <c r="C3835" s="24"/>
      <c r="D3835" s="1"/>
      <c r="E3835" s="25"/>
      <c r="F3835" s="26"/>
      <c r="G3835" s="26"/>
      <c r="L3835" s="25"/>
      <c r="M3835" s="24"/>
      <c r="N3835" s="26"/>
      <c r="O3835" s="26"/>
      <c r="P3835" s="26"/>
      <c r="Q3835" s="26"/>
      <c r="R3835" s="26"/>
      <c r="S3835" s="26"/>
      <c r="T3835" s="26"/>
      <c r="U3835" s="26"/>
      <c r="V3835" s="26"/>
      <c r="W3835" s="26"/>
      <c r="X3835" s="26"/>
      <c r="Y3835" s="26"/>
      <c r="Z3835" s="26"/>
      <c r="AA3835" s="26"/>
      <c r="AB3835" s="26"/>
      <c r="AC3835" s="27"/>
    </row>
    <row r="3836" spans="1:29" x14ac:dyDescent="0.25">
      <c r="A3836" s="1"/>
      <c r="B3836" s="19"/>
      <c r="C3836" s="24"/>
      <c r="D3836" s="1"/>
      <c r="E3836" s="25"/>
      <c r="F3836" s="26"/>
      <c r="G3836" s="26"/>
      <c r="L3836" s="25"/>
      <c r="M3836" s="24"/>
      <c r="N3836" s="26"/>
      <c r="O3836" s="26"/>
      <c r="P3836" s="26"/>
      <c r="Q3836" s="26"/>
      <c r="R3836" s="26"/>
      <c r="S3836" s="26"/>
      <c r="T3836" s="26"/>
      <c r="U3836" s="26"/>
      <c r="V3836" s="26"/>
      <c r="W3836" s="26"/>
      <c r="X3836" s="26"/>
      <c r="Y3836" s="26"/>
      <c r="Z3836" s="26"/>
      <c r="AA3836" s="26"/>
      <c r="AB3836" s="26"/>
      <c r="AC3836" s="27"/>
    </row>
    <row r="3837" spans="1:29" x14ac:dyDescent="0.25">
      <c r="A3837" s="1"/>
      <c r="B3837" s="19"/>
      <c r="C3837" s="24"/>
      <c r="D3837" s="1"/>
      <c r="E3837" s="25"/>
      <c r="F3837" s="26"/>
      <c r="G3837" s="26"/>
      <c r="L3837" s="25"/>
      <c r="M3837" s="24"/>
      <c r="N3837" s="26"/>
      <c r="O3837" s="26"/>
      <c r="P3837" s="26"/>
      <c r="Q3837" s="26"/>
      <c r="R3837" s="26"/>
      <c r="S3837" s="26"/>
      <c r="T3837" s="26"/>
      <c r="U3837" s="26"/>
      <c r="V3837" s="26"/>
      <c r="W3837" s="26"/>
      <c r="X3837" s="26"/>
      <c r="Y3837" s="26"/>
      <c r="Z3837" s="26"/>
      <c r="AA3837" s="26"/>
      <c r="AB3837" s="26"/>
      <c r="AC3837" s="27"/>
    </row>
    <row r="3838" spans="1:29" x14ac:dyDescent="0.25">
      <c r="A3838" s="1"/>
      <c r="B3838" s="19"/>
      <c r="C3838" s="24"/>
      <c r="D3838" s="1"/>
      <c r="E3838" s="25"/>
      <c r="F3838" s="26"/>
      <c r="G3838" s="26"/>
      <c r="L3838" s="25"/>
      <c r="M3838" s="24"/>
      <c r="N3838" s="26"/>
      <c r="O3838" s="26"/>
      <c r="P3838" s="26"/>
      <c r="Q3838" s="26"/>
      <c r="R3838" s="26"/>
      <c r="S3838" s="26"/>
      <c r="T3838" s="26"/>
      <c r="U3838" s="26"/>
      <c r="V3838" s="26"/>
      <c r="W3838" s="26"/>
      <c r="X3838" s="26"/>
      <c r="Y3838" s="26"/>
      <c r="Z3838" s="26"/>
      <c r="AA3838" s="26"/>
      <c r="AB3838" s="26"/>
      <c r="AC3838" s="27"/>
    </row>
    <row r="3839" spans="1:29" x14ac:dyDescent="0.25">
      <c r="A3839" s="1"/>
      <c r="B3839" s="19"/>
      <c r="C3839" s="24"/>
      <c r="D3839" s="1"/>
      <c r="E3839" s="25"/>
      <c r="F3839" s="26"/>
      <c r="G3839" s="26"/>
      <c r="L3839" s="25"/>
      <c r="M3839" s="24"/>
      <c r="N3839" s="26"/>
      <c r="O3839" s="26"/>
      <c r="P3839" s="26"/>
      <c r="Q3839" s="26"/>
      <c r="R3839" s="26"/>
      <c r="S3839" s="26"/>
      <c r="T3839" s="26"/>
      <c r="U3839" s="26"/>
      <c r="V3839" s="26"/>
      <c r="W3839" s="26"/>
      <c r="X3839" s="26"/>
      <c r="Y3839" s="26"/>
      <c r="Z3839" s="26"/>
      <c r="AA3839" s="26"/>
      <c r="AB3839" s="26"/>
      <c r="AC3839" s="27"/>
    </row>
    <row r="3840" spans="1:29" x14ac:dyDescent="0.25">
      <c r="A3840" s="1"/>
      <c r="B3840" s="19"/>
      <c r="C3840" s="24"/>
      <c r="D3840" s="1"/>
      <c r="E3840" s="25"/>
      <c r="F3840" s="26"/>
      <c r="G3840" s="26"/>
      <c r="L3840" s="25"/>
      <c r="M3840" s="24"/>
      <c r="N3840" s="26"/>
      <c r="O3840" s="26"/>
      <c r="P3840" s="26"/>
      <c r="Q3840" s="26"/>
      <c r="R3840" s="26"/>
      <c r="S3840" s="26"/>
      <c r="T3840" s="26"/>
      <c r="U3840" s="26"/>
      <c r="V3840" s="26"/>
      <c r="W3840" s="26"/>
      <c r="X3840" s="26"/>
      <c r="Y3840" s="26"/>
      <c r="Z3840" s="26"/>
      <c r="AA3840" s="26"/>
      <c r="AB3840" s="26"/>
      <c r="AC3840" s="27"/>
    </row>
    <row r="3841" spans="1:29" x14ac:dyDescent="0.25">
      <c r="A3841" s="1"/>
      <c r="B3841" s="19"/>
      <c r="C3841" s="24"/>
      <c r="D3841" s="1"/>
      <c r="E3841" s="25"/>
      <c r="F3841" s="26"/>
      <c r="G3841" s="26"/>
      <c r="L3841" s="25"/>
      <c r="M3841" s="24"/>
      <c r="N3841" s="26"/>
      <c r="O3841" s="26"/>
      <c r="P3841" s="26"/>
      <c r="Q3841" s="26"/>
      <c r="R3841" s="26"/>
      <c r="S3841" s="26"/>
      <c r="T3841" s="26"/>
      <c r="U3841" s="26"/>
      <c r="V3841" s="26"/>
      <c r="W3841" s="26"/>
      <c r="X3841" s="26"/>
      <c r="Y3841" s="26"/>
      <c r="Z3841" s="26"/>
      <c r="AA3841" s="26"/>
      <c r="AB3841" s="26"/>
      <c r="AC3841" s="27"/>
    </row>
    <row r="3842" spans="1:29" x14ac:dyDescent="0.25">
      <c r="A3842" s="1"/>
      <c r="B3842" s="19"/>
      <c r="C3842" s="24"/>
      <c r="D3842" s="1"/>
      <c r="E3842" s="25"/>
      <c r="F3842" s="26"/>
      <c r="G3842" s="26"/>
      <c r="L3842" s="25"/>
      <c r="M3842" s="24"/>
      <c r="N3842" s="26"/>
      <c r="O3842" s="26"/>
      <c r="P3842" s="26"/>
      <c r="Q3842" s="26"/>
      <c r="R3842" s="26"/>
      <c r="S3842" s="26"/>
      <c r="T3842" s="26"/>
      <c r="U3842" s="26"/>
      <c r="V3842" s="26"/>
      <c r="W3842" s="26"/>
      <c r="X3842" s="26"/>
      <c r="Y3842" s="26"/>
      <c r="Z3842" s="26"/>
      <c r="AA3842" s="26"/>
      <c r="AB3842" s="26"/>
      <c r="AC3842" s="27"/>
    </row>
    <row r="3843" spans="1:29" x14ac:dyDescent="0.25">
      <c r="A3843" s="1"/>
      <c r="B3843" s="19"/>
      <c r="C3843" s="24"/>
      <c r="D3843" s="1"/>
      <c r="E3843" s="25"/>
      <c r="F3843" s="26"/>
      <c r="G3843" s="26"/>
      <c r="L3843" s="25"/>
      <c r="M3843" s="24"/>
      <c r="N3843" s="26"/>
      <c r="O3843" s="26"/>
      <c r="P3843" s="26"/>
      <c r="Q3843" s="26"/>
      <c r="R3843" s="26"/>
      <c r="S3843" s="26"/>
      <c r="T3843" s="26"/>
      <c r="U3843" s="26"/>
      <c r="V3843" s="26"/>
      <c r="W3843" s="26"/>
      <c r="X3843" s="26"/>
      <c r="Y3843" s="26"/>
      <c r="Z3843" s="26"/>
      <c r="AA3843" s="26"/>
      <c r="AB3843" s="26"/>
      <c r="AC3843" s="27"/>
    </row>
    <row r="3844" spans="1:29" x14ac:dyDescent="0.25">
      <c r="A3844" s="1"/>
      <c r="B3844" s="19"/>
      <c r="C3844" s="24"/>
      <c r="D3844" s="1"/>
      <c r="E3844" s="25"/>
      <c r="F3844" s="26"/>
      <c r="G3844" s="26"/>
      <c r="L3844" s="25"/>
      <c r="M3844" s="24"/>
      <c r="N3844" s="26"/>
      <c r="O3844" s="26"/>
      <c r="P3844" s="26"/>
      <c r="Q3844" s="26"/>
      <c r="R3844" s="26"/>
      <c r="S3844" s="26"/>
      <c r="T3844" s="26"/>
      <c r="U3844" s="26"/>
      <c r="V3844" s="26"/>
      <c r="W3844" s="26"/>
      <c r="X3844" s="26"/>
      <c r="Y3844" s="26"/>
      <c r="Z3844" s="26"/>
      <c r="AA3844" s="26"/>
      <c r="AB3844" s="26"/>
      <c r="AC3844" s="27"/>
    </row>
    <row r="3845" spans="1:29" x14ac:dyDescent="0.25">
      <c r="A3845" s="1"/>
      <c r="B3845" s="19"/>
      <c r="C3845" s="24"/>
      <c r="D3845" s="1"/>
      <c r="E3845" s="25"/>
      <c r="F3845" s="26"/>
      <c r="G3845" s="26"/>
      <c r="L3845" s="25"/>
      <c r="M3845" s="24"/>
      <c r="N3845" s="26"/>
      <c r="O3845" s="26"/>
      <c r="P3845" s="26"/>
      <c r="Q3845" s="26"/>
      <c r="R3845" s="26"/>
      <c r="S3845" s="26"/>
      <c r="T3845" s="26"/>
      <c r="U3845" s="26"/>
      <c r="V3845" s="26"/>
      <c r="W3845" s="26"/>
      <c r="X3845" s="26"/>
      <c r="Y3845" s="26"/>
      <c r="Z3845" s="26"/>
      <c r="AA3845" s="26"/>
      <c r="AB3845" s="26"/>
      <c r="AC3845" s="27"/>
    </row>
    <row r="3846" spans="1:29" x14ac:dyDescent="0.25">
      <c r="A3846" s="1"/>
      <c r="B3846" s="19"/>
      <c r="C3846" s="24"/>
      <c r="D3846" s="1"/>
      <c r="E3846" s="25"/>
      <c r="F3846" s="26"/>
      <c r="G3846" s="26"/>
      <c r="L3846" s="25"/>
      <c r="M3846" s="24"/>
      <c r="N3846" s="26"/>
      <c r="O3846" s="26"/>
      <c r="P3846" s="26"/>
      <c r="Q3846" s="26"/>
      <c r="R3846" s="26"/>
      <c r="S3846" s="26"/>
      <c r="T3846" s="26"/>
      <c r="U3846" s="26"/>
      <c r="V3846" s="26"/>
      <c r="W3846" s="26"/>
      <c r="X3846" s="26"/>
      <c r="Y3846" s="26"/>
      <c r="Z3846" s="26"/>
      <c r="AA3846" s="26"/>
      <c r="AB3846" s="26"/>
      <c r="AC3846" s="27"/>
    </row>
    <row r="3847" spans="1:29" x14ac:dyDescent="0.25">
      <c r="A3847" s="1"/>
      <c r="B3847" s="19"/>
      <c r="C3847" s="24"/>
      <c r="D3847" s="1"/>
      <c r="E3847" s="25"/>
      <c r="F3847" s="26"/>
      <c r="G3847" s="26"/>
      <c r="L3847" s="25"/>
      <c r="M3847" s="24"/>
      <c r="N3847" s="26"/>
      <c r="O3847" s="26"/>
      <c r="P3847" s="26"/>
      <c r="Q3847" s="26"/>
      <c r="R3847" s="26"/>
      <c r="S3847" s="26"/>
      <c r="T3847" s="26"/>
      <c r="U3847" s="26"/>
      <c r="V3847" s="26"/>
      <c r="W3847" s="26"/>
      <c r="X3847" s="26"/>
      <c r="Y3847" s="26"/>
      <c r="Z3847" s="26"/>
      <c r="AA3847" s="26"/>
      <c r="AB3847" s="26"/>
      <c r="AC3847" s="27"/>
    </row>
    <row r="3848" spans="1:29" x14ac:dyDescent="0.25">
      <c r="A3848" s="1"/>
      <c r="B3848" s="19"/>
      <c r="C3848" s="24"/>
      <c r="D3848" s="1"/>
      <c r="E3848" s="25"/>
      <c r="F3848" s="26"/>
      <c r="G3848" s="26"/>
      <c r="L3848" s="25"/>
      <c r="M3848" s="24"/>
      <c r="N3848" s="26"/>
      <c r="O3848" s="26"/>
      <c r="P3848" s="26"/>
      <c r="Q3848" s="26"/>
      <c r="R3848" s="26"/>
      <c r="S3848" s="26"/>
      <c r="T3848" s="26"/>
      <c r="U3848" s="26"/>
      <c r="V3848" s="26"/>
      <c r="W3848" s="26"/>
      <c r="X3848" s="26"/>
      <c r="Y3848" s="26"/>
      <c r="Z3848" s="26"/>
      <c r="AA3848" s="26"/>
      <c r="AB3848" s="26"/>
      <c r="AC3848" s="27"/>
    </row>
    <row r="3849" spans="1:29" x14ac:dyDescent="0.25">
      <c r="A3849" s="1"/>
      <c r="B3849" s="19"/>
      <c r="C3849" s="24"/>
      <c r="D3849" s="1"/>
      <c r="E3849" s="25"/>
      <c r="F3849" s="26"/>
      <c r="G3849" s="26"/>
      <c r="L3849" s="25"/>
      <c r="M3849" s="24"/>
      <c r="N3849" s="26"/>
      <c r="O3849" s="26"/>
      <c r="P3849" s="26"/>
      <c r="Q3849" s="26"/>
      <c r="R3849" s="26"/>
      <c r="S3849" s="26"/>
      <c r="T3849" s="26"/>
      <c r="U3849" s="26"/>
      <c r="V3849" s="26"/>
      <c r="W3849" s="26"/>
      <c r="X3849" s="26"/>
      <c r="Y3849" s="26"/>
      <c r="Z3849" s="26"/>
      <c r="AA3849" s="26"/>
      <c r="AB3849" s="26"/>
      <c r="AC3849" s="27"/>
    </row>
    <row r="3850" spans="1:29" x14ac:dyDescent="0.25">
      <c r="A3850" s="1"/>
      <c r="B3850" s="19"/>
      <c r="C3850" s="24"/>
      <c r="D3850" s="1"/>
      <c r="E3850" s="25"/>
      <c r="F3850" s="26"/>
      <c r="G3850" s="26"/>
      <c r="L3850" s="25"/>
      <c r="M3850" s="24"/>
      <c r="N3850" s="26"/>
      <c r="O3850" s="26"/>
      <c r="P3850" s="26"/>
      <c r="Q3850" s="26"/>
      <c r="R3850" s="26"/>
      <c r="S3850" s="26"/>
      <c r="T3850" s="26"/>
      <c r="U3850" s="26"/>
      <c r="V3850" s="26"/>
      <c r="W3850" s="26"/>
      <c r="X3850" s="26"/>
      <c r="Y3850" s="26"/>
      <c r="Z3850" s="26"/>
      <c r="AA3850" s="26"/>
      <c r="AB3850" s="26"/>
      <c r="AC3850" s="27"/>
    </row>
    <row r="3851" spans="1:29" x14ac:dyDescent="0.25">
      <c r="A3851" s="1"/>
      <c r="B3851" s="19"/>
      <c r="C3851" s="24"/>
      <c r="D3851" s="1"/>
      <c r="E3851" s="25"/>
      <c r="F3851" s="26"/>
      <c r="G3851" s="26"/>
      <c r="L3851" s="25"/>
      <c r="M3851" s="24"/>
      <c r="N3851" s="26"/>
      <c r="O3851" s="26"/>
      <c r="P3851" s="26"/>
      <c r="Q3851" s="26"/>
      <c r="R3851" s="26"/>
      <c r="S3851" s="26"/>
      <c r="T3851" s="26"/>
      <c r="U3851" s="26"/>
      <c r="V3851" s="26"/>
      <c r="W3851" s="26"/>
      <c r="X3851" s="26"/>
      <c r="Y3851" s="26"/>
      <c r="Z3851" s="26"/>
      <c r="AA3851" s="26"/>
      <c r="AB3851" s="26"/>
      <c r="AC3851" s="27"/>
    </row>
    <row r="3852" spans="1:29" x14ac:dyDescent="0.25">
      <c r="A3852" s="1"/>
      <c r="B3852" s="19"/>
      <c r="C3852" s="24"/>
      <c r="D3852" s="1"/>
      <c r="E3852" s="25"/>
      <c r="F3852" s="26"/>
      <c r="G3852" s="26"/>
      <c r="L3852" s="25"/>
      <c r="M3852" s="24"/>
      <c r="N3852" s="26"/>
      <c r="O3852" s="26"/>
      <c r="P3852" s="26"/>
      <c r="Q3852" s="26"/>
      <c r="R3852" s="26"/>
      <c r="S3852" s="26"/>
      <c r="T3852" s="26"/>
      <c r="U3852" s="26"/>
      <c r="V3852" s="26"/>
      <c r="W3852" s="26"/>
      <c r="X3852" s="26"/>
      <c r="Y3852" s="26"/>
      <c r="Z3852" s="26"/>
      <c r="AA3852" s="26"/>
      <c r="AB3852" s="26"/>
      <c r="AC3852" s="27"/>
    </row>
    <row r="3853" spans="1:29" x14ac:dyDescent="0.25">
      <c r="A3853" s="1"/>
      <c r="B3853" s="19"/>
      <c r="C3853" s="24"/>
      <c r="D3853" s="1"/>
      <c r="E3853" s="25"/>
      <c r="F3853" s="26"/>
      <c r="G3853" s="26"/>
      <c r="L3853" s="25"/>
      <c r="M3853" s="24"/>
      <c r="N3853" s="26"/>
      <c r="O3853" s="26"/>
      <c r="P3853" s="26"/>
      <c r="Q3853" s="26"/>
      <c r="R3853" s="26"/>
      <c r="S3853" s="26"/>
      <c r="T3853" s="26"/>
      <c r="U3853" s="26"/>
      <c r="V3853" s="26"/>
      <c r="W3853" s="26"/>
      <c r="X3853" s="26"/>
      <c r="Y3853" s="26"/>
      <c r="Z3853" s="26"/>
      <c r="AA3853" s="26"/>
      <c r="AB3853" s="26"/>
      <c r="AC3853" s="27"/>
    </row>
    <row r="3854" spans="1:29" x14ac:dyDescent="0.25">
      <c r="A3854" s="1"/>
      <c r="B3854" s="19"/>
      <c r="C3854" s="24"/>
      <c r="D3854" s="1"/>
      <c r="E3854" s="25"/>
      <c r="F3854" s="26"/>
      <c r="G3854" s="26"/>
      <c r="L3854" s="25"/>
      <c r="M3854" s="24"/>
      <c r="N3854" s="26"/>
      <c r="O3854" s="26"/>
      <c r="P3854" s="26"/>
      <c r="Q3854" s="26"/>
      <c r="R3854" s="26"/>
      <c r="S3854" s="26"/>
      <c r="T3854" s="26"/>
      <c r="U3854" s="26"/>
      <c r="V3854" s="26"/>
      <c r="W3854" s="26"/>
      <c r="X3854" s="26"/>
      <c r="Y3854" s="26"/>
      <c r="Z3854" s="26"/>
      <c r="AA3854" s="26"/>
      <c r="AB3854" s="26"/>
      <c r="AC3854" s="27"/>
    </row>
    <row r="3855" spans="1:29" x14ac:dyDescent="0.25">
      <c r="A3855" s="1"/>
      <c r="B3855" s="19"/>
      <c r="C3855" s="24"/>
      <c r="D3855" s="1"/>
      <c r="E3855" s="25"/>
      <c r="F3855" s="26"/>
      <c r="G3855" s="26"/>
      <c r="L3855" s="25"/>
      <c r="M3855" s="24"/>
      <c r="N3855" s="26"/>
      <c r="O3855" s="26"/>
      <c r="P3855" s="26"/>
      <c r="Q3855" s="26"/>
      <c r="R3855" s="26"/>
      <c r="S3855" s="26"/>
      <c r="T3855" s="26"/>
      <c r="U3855" s="26"/>
      <c r="V3855" s="26"/>
      <c r="W3855" s="26"/>
      <c r="X3855" s="26"/>
      <c r="Y3855" s="26"/>
      <c r="Z3855" s="26"/>
      <c r="AA3855" s="26"/>
      <c r="AB3855" s="26"/>
      <c r="AC3855" s="27"/>
    </row>
    <row r="3856" spans="1:29" x14ac:dyDescent="0.25">
      <c r="A3856" s="1"/>
      <c r="B3856" s="19"/>
      <c r="C3856" s="24"/>
      <c r="D3856" s="1"/>
      <c r="E3856" s="25"/>
      <c r="F3856" s="26"/>
      <c r="G3856" s="26"/>
      <c r="L3856" s="25"/>
      <c r="M3856" s="24"/>
      <c r="N3856" s="26"/>
      <c r="O3856" s="26"/>
      <c r="P3856" s="26"/>
      <c r="Q3856" s="26"/>
      <c r="R3856" s="26"/>
      <c r="S3856" s="26"/>
      <c r="T3856" s="26"/>
      <c r="U3856" s="26"/>
      <c r="V3856" s="26"/>
      <c r="W3856" s="26"/>
      <c r="X3856" s="26"/>
      <c r="Y3856" s="26"/>
      <c r="Z3856" s="26"/>
      <c r="AA3856" s="26"/>
      <c r="AB3856" s="26"/>
      <c r="AC3856" s="27"/>
    </row>
    <row r="3857" spans="1:29" x14ac:dyDescent="0.25">
      <c r="A3857" s="1"/>
      <c r="B3857" s="19"/>
      <c r="C3857" s="24"/>
      <c r="D3857" s="1"/>
      <c r="E3857" s="25"/>
      <c r="F3857" s="26"/>
      <c r="G3857" s="26"/>
      <c r="L3857" s="25"/>
      <c r="M3857" s="24"/>
      <c r="N3857" s="26"/>
      <c r="O3857" s="26"/>
      <c r="P3857" s="26"/>
      <c r="Q3857" s="26"/>
      <c r="R3857" s="26"/>
      <c r="S3857" s="26"/>
      <c r="T3857" s="26"/>
      <c r="U3857" s="26"/>
      <c r="V3857" s="26"/>
      <c r="W3857" s="26"/>
      <c r="X3857" s="26"/>
      <c r="Y3857" s="26"/>
      <c r="Z3857" s="26"/>
      <c r="AA3857" s="26"/>
      <c r="AB3857" s="26"/>
      <c r="AC3857" s="27"/>
    </row>
    <row r="3858" spans="1:29" x14ac:dyDescent="0.25">
      <c r="A3858" s="1"/>
      <c r="B3858" s="19"/>
      <c r="C3858" s="24"/>
      <c r="D3858" s="1"/>
      <c r="E3858" s="25"/>
      <c r="F3858" s="26"/>
      <c r="G3858" s="26"/>
      <c r="L3858" s="25"/>
      <c r="M3858" s="24"/>
      <c r="N3858" s="26"/>
      <c r="O3858" s="26"/>
      <c r="P3858" s="26"/>
      <c r="Q3858" s="26"/>
      <c r="R3858" s="26"/>
      <c r="S3858" s="26"/>
      <c r="T3858" s="26"/>
      <c r="U3858" s="26"/>
      <c r="V3858" s="26"/>
      <c r="W3858" s="26"/>
      <c r="X3858" s="26"/>
      <c r="Y3858" s="26"/>
      <c r="Z3858" s="26"/>
      <c r="AA3858" s="26"/>
      <c r="AB3858" s="26"/>
      <c r="AC3858" s="27"/>
    </row>
    <row r="3859" spans="1:29" x14ac:dyDescent="0.25">
      <c r="A3859" s="1"/>
      <c r="B3859" s="19"/>
      <c r="C3859" s="24"/>
      <c r="D3859" s="1"/>
      <c r="E3859" s="25"/>
      <c r="F3859" s="26"/>
      <c r="G3859" s="26"/>
      <c r="L3859" s="25"/>
      <c r="M3859" s="24"/>
      <c r="N3859" s="26"/>
      <c r="O3859" s="26"/>
      <c r="P3859" s="26"/>
      <c r="Q3859" s="26"/>
      <c r="R3859" s="26"/>
      <c r="S3859" s="26"/>
      <c r="T3859" s="26"/>
      <c r="U3859" s="26"/>
      <c r="V3859" s="26"/>
      <c r="W3859" s="26"/>
      <c r="X3859" s="26"/>
      <c r="Y3859" s="26"/>
      <c r="Z3859" s="26"/>
      <c r="AA3859" s="26"/>
      <c r="AB3859" s="26"/>
      <c r="AC3859" s="27"/>
    </row>
    <row r="3860" spans="1:29" x14ac:dyDescent="0.25">
      <c r="A3860" s="1"/>
      <c r="B3860" s="19"/>
      <c r="C3860" s="24"/>
      <c r="D3860" s="1"/>
      <c r="E3860" s="25"/>
      <c r="F3860" s="26"/>
      <c r="G3860" s="26"/>
      <c r="L3860" s="25"/>
      <c r="M3860" s="24"/>
      <c r="N3860" s="26"/>
      <c r="O3860" s="26"/>
      <c r="P3860" s="26"/>
      <c r="Q3860" s="26"/>
      <c r="R3860" s="26"/>
      <c r="S3860" s="26"/>
      <c r="T3860" s="26"/>
      <c r="U3860" s="26"/>
      <c r="V3860" s="26"/>
      <c r="W3860" s="26"/>
      <c r="X3860" s="26"/>
      <c r="Y3860" s="26"/>
      <c r="Z3860" s="26"/>
      <c r="AA3860" s="26"/>
      <c r="AB3860" s="26"/>
      <c r="AC3860" s="27"/>
    </row>
    <row r="3861" spans="1:29" x14ac:dyDescent="0.25">
      <c r="A3861" s="1"/>
      <c r="B3861" s="19"/>
      <c r="C3861" s="24"/>
      <c r="D3861" s="1"/>
      <c r="E3861" s="25"/>
      <c r="F3861" s="26"/>
      <c r="G3861" s="26"/>
      <c r="L3861" s="25"/>
      <c r="M3861" s="24"/>
      <c r="N3861" s="26"/>
      <c r="O3861" s="26"/>
      <c r="P3861" s="26"/>
      <c r="Q3861" s="26"/>
      <c r="R3861" s="26"/>
      <c r="S3861" s="26"/>
      <c r="T3861" s="26"/>
      <c r="U3861" s="26"/>
      <c r="V3861" s="26"/>
      <c r="W3861" s="26"/>
      <c r="X3861" s="26"/>
      <c r="Y3861" s="26"/>
      <c r="Z3861" s="26"/>
      <c r="AA3861" s="26"/>
      <c r="AB3861" s="26"/>
      <c r="AC3861" s="27"/>
    </row>
    <row r="3862" spans="1:29" x14ac:dyDescent="0.25">
      <c r="A3862" s="1"/>
      <c r="B3862" s="19"/>
      <c r="C3862" s="24"/>
      <c r="D3862" s="1"/>
      <c r="E3862" s="25"/>
      <c r="F3862" s="26"/>
      <c r="G3862" s="26"/>
      <c r="L3862" s="25"/>
      <c r="M3862" s="24"/>
      <c r="N3862" s="26"/>
      <c r="O3862" s="26"/>
      <c r="P3862" s="26"/>
      <c r="Q3862" s="26"/>
      <c r="R3862" s="26"/>
      <c r="S3862" s="26"/>
      <c r="T3862" s="26"/>
      <c r="U3862" s="26"/>
      <c r="V3862" s="26"/>
      <c r="W3862" s="26"/>
      <c r="X3862" s="26"/>
      <c r="Y3862" s="26"/>
      <c r="Z3862" s="26"/>
      <c r="AA3862" s="26"/>
      <c r="AB3862" s="26"/>
      <c r="AC3862" s="27"/>
    </row>
    <row r="3863" spans="1:29" x14ac:dyDescent="0.25">
      <c r="A3863" s="1"/>
      <c r="B3863" s="19"/>
      <c r="C3863" s="24"/>
      <c r="D3863" s="1"/>
      <c r="E3863" s="25"/>
      <c r="F3863" s="26"/>
      <c r="G3863" s="26"/>
      <c r="L3863" s="25"/>
      <c r="M3863" s="24"/>
      <c r="N3863" s="26"/>
      <c r="O3863" s="26"/>
      <c r="P3863" s="26"/>
      <c r="Q3863" s="26"/>
      <c r="R3863" s="26"/>
      <c r="S3863" s="26"/>
      <c r="T3863" s="26"/>
      <c r="U3863" s="26"/>
      <c r="V3863" s="26"/>
      <c r="W3863" s="26"/>
      <c r="X3863" s="26"/>
      <c r="Y3863" s="26"/>
      <c r="Z3863" s="26"/>
      <c r="AA3863" s="26"/>
      <c r="AB3863" s="26"/>
      <c r="AC3863" s="27"/>
    </row>
    <row r="3864" spans="1:29" x14ac:dyDescent="0.25">
      <c r="A3864" s="1"/>
      <c r="B3864" s="19"/>
      <c r="C3864" s="24"/>
      <c r="D3864" s="1"/>
      <c r="E3864" s="25"/>
      <c r="F3864" s="26"/>
      <c r="G3864" s="26"/>
      <c r="L3864" s="25"/>
      <c r="M3864" s="24"/>
      <c r="N3864" s="26"/>
      <c r="O3864" s="26"/>
      <c r="P3864" s="26"/>
      <c r="Q3864" s="26"/>
      <c r="R3864" s="26"/>
      <c r="S3864" s="26"/>
      <c r="T3864" s="26"/>
      <c r="U3864" s="26"/>
      <c r="V3864" s="26"/>
      <c r="W3864" s="26"/>
      <c r="X3864" s="26"/>
      <c r="Y3864" s="26"/>
      <c r="Z3864" s="26"/>
      <c r="AA3864" s="26"/>
      <c r="AB3864" s="26"/>
      <c r="AC3864" s="27"/>
    </row>
    <row r="3865" spans="1:29" x14ac:dyDescent="0.25">
      <c r="A3865" s="1"/>
      <c r="B3865" s="19"/>
      <c r="C3865" s="24"/>
      <c r="D3865" s="1"/>
      <c r="E3865" s="25"/>
      <c r="F3865" s="26"/>
      <c r="G3865" s="26"/>
      <c r="L3865" s="25"/>
      <c r="M3865" s="24"/>
      <c r="N3865" s="26"/>
      <c r="O3865" s="26"/>
      <c r="P3865" s="26"/>
      <c r="Q3865" s="26"/>
      <c r="R3865" s="26"/>
      <c r="S3865" s="26"/>
      <c r="T3865" s="26"/>
      <c r="U3865" s="26"/>
      <c r="V3865" s="26"/>
      <c r="W3865" s="26"/>
      <c r="X3865" s="26"/>
      <c r="Y3865" s="26"/>
      <c r="Z3865" s="26"/>
      <c r="AA3865" s="26"/>
      <c r="AB3865" s="26"/>
      <c r="AC3865" s="27"/>
    </row>
    <row r="3866" spans="1:29" x14ac:dyDescent="0.25">
      <c r="A3866" s="1"/>
      <c r="B3866" s="19"/>
      <c r="C3866" s="24"/>
      <c r="D3866" s="1"/>
      <c r="E3866" s="25"/>
      <c r="F3866" s="26"/>
      <c r="G3866" s="26"/>
      <c r="L3866" s="25"/>
      <c r="M3866" s="24"/>
      <c r="N3866" s="26"/>
      <c r="O3866" s="26"/>
      <c r="P3866" s="26"/>
      <c r="Q3866" s="26"/>
      <c r="R3866" s="26"/>
      <c r="S3866" s="26"/>
      <c r="T3866" s="26"/>
      <c r="U3866" s="26"/>
      <c r="V3866" s="26"/>
      <c r="W3866" s="26"/>
      <c r="X3866" s="26"/>
      <c r="Y3866" s="26"/>
      <c r="Z3866" s="26"/>
      <c r="AA3866" s="26"/>
      <c r="AB3866" s="26"/>
      <c r="AC3866" s="27"/>
    </row>
    <row r="3867" spans="1:29" x14ac:dyDescent="0.25">
      <c r="A3867" s="1"/>
      <c r="B3867" s="19"/>
      <c r="C3867" s="24"/>
      <c r="D3867" s="1"/>
      <c r="E3867" s="25"/>
      <c r="F3867" s="26"/>
      <c r="G3867" s="26"/>
      <c r="L3867" s="25"/>
      <c r="M3867" s="24"/>
      <c r="N3867" s="26"/>
      <c r="O3867" s="26"/>
      <c r="P3867" s="26"/>
      <c r="Q3867" s="26"/>
      <c r="R3867" s="26"/>
      <c r="S3867" s="26"/>
      <c r="T3867" s="26"/>
      <c r="U3867" s="26"/>
      <c r="V3867" s="26"/>
      <c r="W3867" s="26"/>
      <c r="X3867" s="26"/>
      <c r="Y3867" s="26"/>
      <c r="Z3867" s="26"/>
      <c r="AA3867" s="26"/>
      <c r="AB3867" s="26"/>
      <c r="AC3867" s="27"/>
    </row>
    <row r="3868" spans="1:29" x14ac:dyDescent="0.25">
      <c r="A3868" s="1"/>
      <c r="B3868" s="19"/>
      <c r="C3868" s="24"/>
      <c r="D3868" s="1"/>
      <c r="E3868" s="25"/>
      <c r="F3868" s="26"/>
      <c r="G3868" s="26"/>
      <c r="L3868" s="25"/>
      <c r="M3868" s="24"/>
      <c r="N3868" s="26"/>
      <c r="O3868" s="26"/>
      <c r="P3868" s="26"/>
      <c r="Q3868" s="26"/>
      <c r="R3868" s="26"/>
      <c r="S3868" s="26"/>
      <c r="T3868" s="26"/>
      <c r="U3868" s="26"/>
      <c r="V3868" s="26"/>
      <c r="W3868" s="26"/>
      <c r="X3868" s="26"/>
      <c r="Y3868" s="26"/>
      <c r="Z3868" s="26"/>
      <c r="AA3868" s="26"/>
      <c r="AB3868" s="26"/>
      <c r="AC3868" s="27"/>
    </row>
    <row r="3869" spans="1:29" x14ac:dyDescent="0.25">
      <c r="A3869" s="1"/>
      <c r="B3869" s="19"/>
      <c r="C3869" s="24"/>
      <c r="D3869" s="1"/>
      <c r="E3869" s="25"/>
      <c r="F3869" s="26"/>
      <c r="G3869" s="26"/>
      <c r="L3869" s="25"/>
      <c r="M3869" s="24"/>
      <c r="N3869" s="26"/>
      <c r="O3869" s="26"/>
      <c r="P3869" s="26"/>
      <c r="Q3869" s="26"/>
      <c r="R3869" s="26"/>
      <c r="S3869" s="26"/>
      <c r="T3869" s="26"/>
      <c r="U3869" s="26"/>
      <c r="V3869" s="26"/>
      <c r="W3869" s="26"/>
      <c r="X3869" s="26"/>
      <c r="Y3869" s="26"/>
      <c r="Z3869" s="26"/>
      <c r="AA3869" s="26"/>
      <c r="AB3869" s="26"/>
      <c r="AC3869" s="27"/>
    </row>
    <row r="3870" spans="1:29" x14ac:dyDescent="0.25">
      <c r="A3870" s="1"/>
      <c r="B3870" s="19"/>
      <c r="C3870" s="24"/>
      <c r="D3870" s="1"/>
      <c r="E3870" s="25"/>
      <c r="F3870" s="26"/>
      <c r="G3870" s="26"/>
      <c r="L3870" s="25"/>
      <c r="M3870" s="24"/>
      <c r="N3870" s="26"/>
      <c r="O3870" s="26"/>
      <c r="P3870" s="26"/>
      <c r="Q3870" s="26"/>
      <c r="R3870" s="26"/>
      <c r="S3870" s="26"/>
      <c r="T3870" s="26"/>
      <c r="U3870" s="26"/>
      <c r="V3870" s="26"/>
      <c r="W3870" s="26"/>
      <c r="X3870" s="26"/>
      <c r="Y3870" s="26"/>
      <c r="Z3870" s="26"/>
      <c r="AA3870" s="26"/>
      <c r="AB3870" s="26"/>
      <c r="AC3870" s="27"/>
    </row>
    <row r="3871" spans="1:29" x14ac:dyDescent="0.25">
      <c r="A3871" s="1"/>
      <c r="B3871" s="19"/>
      <c r="C3871" s="24"/>
      <c r="D3871" s="1"/>
      <c r="E3871" s="25"/>
      <c r="F3871" s="26"/>
      <c r="G3871" s="26"/>
      <c r="L3871" s="25"/>
      <c r="M3871" s="24"/>
      <c r="N3871" s="26"/>
      <c r="O3871" s="26"/>
      <c r="P3871" s="26"/>
      <c r="Q3871" s="26"/>
      <c r="R3871" s="26"/>
      <c r="S3871" s="26"/>
      <c r="T3871" s="26"/>
      <c r="U3871" s="26"/>
      <c r="V3871" s="26"/>
      <c r="W3871" s="26"/>
      <c r="X3871" s="26"/>
      <c r="Y3871" s="26"/>
      <c r="Z3871" s="26"/>
      <c r="AA3871" s="26"/>
      <c r="AB3871" s="26"/>
      <c r="AC3871" s="27"/>
    </row>
    <row r="3872" spans="1:29" x14ac:dyDescent="0.25">
      <c r="A3872" s="1"/>
      <c r="B3872" s="19"/>
      <c r="C3872" s="24"/>
      <c r="D3872" s="1"/>
      <c r="E3872" s="25"/>
      <c r="F3872" s="26"/>
      <c r="G3872" s="26"/>
      <c r="L3872" s="25"/>
      <c r="M3872" s="24"/>
      <c r="N3872" s="26"/>
      <c r="O3872" s="26"/>
      <c r="P3872" s="26"/>
      <c r="Q3872" s="26"/>
      <c r="R3872" s="26"/>
      <c r="S3872" s="26"/>
      <c r="T3872" s="26"/>
      <c r="U3872" s="26"/>
      <c r="V3872" s="26"/>
      <c r="W3872" s="26"/>
      <c r="X3872" s="26"/>
      <c r="Y3872" s="26"/>
      <c r="Z3872" s="26"/>
      <c r="AA3872" s="26"/>
      <c r="AB3872" s="26"/>
      <c r="AC3872" s="27"/>
    </row>
    <row r="3873" spans="1:29" x14ac:dyDescent="0.25">
      <c r="A3873" s="1"/>
      <c r="B3873" s="19"/>
      <c r="C3873" s="24"/>
      <c r="D3873" s="1"/>
      <c r="E3873" s="25"/>
      <c r="F3873" s="26"/>
      <c r="G3873" s="26"/>
      <c r="L3873" s="25"/>
      <c r="M3873" s="24"/>
      <c r="N3873" s="26"/>
      <c r="O3873" s="26"/>
      <c r="P3873" s="26"/>
      <c r="Q3873" s="26"/>
      <c r="R3873" s="26"/>
      <c r="S3873" s="26"/>
      <c r="T3873" s="26"/>
      <c r="U3873" s="26"/>
      <c r="V3873" s="26"/>
      <c r="W3873" s="26"/>
      <c r="X3873" s="26"/>
      <c r="Y3873" s="26"/>
      <c r="Z3873" s="26"/>
      <c r="AA3873" s="26"/>
      <c r="AB3873" s="26"/>
      <c r="AC3873" s="27"/>
    </row>
    <row r="3874" spans="1:29" x14ac:dyDescent="0.25">
      <c r="A3874" s="1"/>
      <c r="B3874" s="19"/>
      <c r="C3874" s="24"/>
      <c r="D3874" s="1"/>
      <c r="E3874" s="25"/>
      <c r="F3874" s="26"/>
      <c r="G3874" s="26"/>
      <c r="L3874" s="25"/>
      <c r="M3874" s="24"/>
      <c r="N3874" s="26"/>
      <c r="O3874" s="26"/>
      <c r="P3874" s="26"/>
      <c r="Q3874" s="26"/>
      <c r="R3874" s="26"/>
      <c r="S3874" s="26"/>
      <c r="T3874" s="26"/>
      <c r="U3874" s="26"/>
      <c r="V3874" s="26"/>
      <c r="W3874" s="26"/>
      <c r="X3874" s="26"/>
      <c r="Y3874" s="26"/>
      <c r="Z3874" s="26"/>
      <c r="AA3874" s="26"/>
      <c r="AB3874" s="26"/>
      <c r="AC3874" s="27"/>
    </row>
    <row r="3875" spans="1:29" x14ac:dyDescent="0.25">
      <c r="A3875" s="1"/>
      <c r="B3875" s="19"/>
      <c r="C3875" s="24"/>
      <c r="D3875" s="1"/>
      <c r="E3875" s="25"/>
      <c r="F3875" s="26"/>
      <c r="G3875" s="26"/>
      <c r="L3875" s="25"/>
      <c r="M3875" s="24"/>
      <c r="N3875" s="26"/>
      <c r="O3875" s="26"/>
      <c r="P3875" s="26"/>
      <c r="Q3875" s="26"/>
      <c r="R3875" s="26"/>
      <c r="S3875" s="26"/>
      <c r="T3875" s="26"/>
      <c r="U3875" s="26"/>
      <c r="V3875" s="26"/>
      <c r="W3875" s="26"/>
      <c r="X3875" s="26"/>
      <c r="Y3875" s="26"/>
      <c r="Z3875" s="26"/>
      <c r="AA3875" s="26"/>
      <c r="AB3875" s="26"/>
      <c r="AC3875" s="27"/>
    </row>
    <row r="3876" spans="1:29" x14ac:dyDescent="0.25">
      <c r="A3876" s="1"/>
      <c r="B3876" s="19"/>
      <c r="C3876" s="24"/>
      <c r="D3876" s="1"/>
      <c r="E3876" s="25"/>
      <c r="F3876" s="26"/>
      <c r="G3876" s="26"/>
      <c r="L3876" s="25"/>
      <c r="M3876" s="24"/>
      <c r="N3876" s="26"/>
      <c r="O3876" s="26"/>
      <c r="P3876" s="26"/>
      <c r="Q3876" s="26"/>
      <c r="R3876" s="26"/>
      <c r="S3876" s="26"/>
      <c r="T3876" s="26"/>
      <c r="U3876" s="26"/>
      <c r="V3876" s="26"/>
      <c r="W3876" s="26"/>
      <c r="X3876" s="26"/>
      <c r="Y3876" s="26"/>
      <c r="Z3876" s="26"/>
      <c r="AA3876" s="26"/>
      <c r="AB3876" s="26"/>
      <c r="AC3876" s="27"/>
    </row>
    <row r="3877" spans="1:29" x14ac:dyDescent="0.25">
      <c r="A3877" s="1"/>
      <c r="B3877" s="19"/>
      <c r="C3877" s="24"/>
      <c r="D3877" s="1"/>
      <c r="E3877" s="25"/>
      <c r="F3877" s="26"/>
      <c r="G3877" s="26"/>
      <c r="L3877" s="25"/>
      <c r="M3877" s="24"/>
      <c r="N3877" s="26"/>
      <c r="O3877" s="26"/>
      <c r="P3877" s="26"/>
      <c r="Q3877" s="26"/>
      <c r="R3877" s="26"/>
      <c r="S3877" s="26"/>
      <c r="T3877" s="26"/>
      <c r="U3877" s="26"/>
      <c r="V3877" s="26"/>
      <c r="W3877" s="26"/>
      <c r="X3877" s="26"/>
      <c r="Y3877" s="26"/>
      <c r="Z3877" s="26"/>
      <c r="AA3877" s="26"/>
      <c r="AB3877" s="26"/>
      <c r="AC3877" s="27"/>
    </row>
    <row r="3878" spans="1:29" x14ac:dyDescent="0.25">
      <c r="A3878" s="1"/>
      <c r="B3878" s="19"/>
      <c r="C3878" s="24"/>
      <c r="D3878" s="1"/>
      <c r="E3878" s="25"/>
      <c r="F3878" s="26"/>
      <c r="G3878" s="26"/>
      <c r="L3878" s="25"/>
      <c r="M3878" s="24"/>
      <c r="N3878" s="26"/>
      <c r="O3878" s="26"/>
      <c r="P3878" s="26"/>
      <c r="Q3878" s="26"/>
      <c r="R3878" s="26"/>
      <c r="S3878" s="26"/>
      <c r="T3878" s="26"/>
      <c r="U3878" s="26"/>
      <c r="V3878" s="26"/>
      <c r="W3878" s="26"/>
      <c r="X3878" s="26"/>
      <c r="Y3878" s="26"/>
      <c r="Z3878" s="26"/>
      <c r="AA3878" s="26"/>
      <c r="AB3878" s="26"/>
      <c r="AC3878" s="27"/>
    </row>
    <row r="3879" spans="1:29" x14ac:dyDescent="0.25">
      <c r="A3879" s="1"/>
      <c r="B3879" s="19"/>
      <c r="C3879" s="24"/>
      <c r="D3879" s="1"/>
      <c r="E3879" s="25"/>
      <c r="F3879" s="26"/>
      <c r="G3879" s="26"/>
      <c r="L3879" s="25"/>
      <c r="M3879" s="24"/>
      <c r="N3879" s="26"/>
      <c r="O3879" s="26"/>
      <c r="P3879" s="26"/>
      <c r="Q3879" s="26"/>
      <c r="R3879" s="26"/>
      <c r="S3879" s="26"/>
      <c r="T3879" s="26"/>
      <c r="U3879" s="26"/>
      <c r="V3879" s="26"/>
      <c r="W3879" s="26"/>
      <c r="X3879" s="26"/>
      <c r="Y3879" s="26"/>
      <c r="Z3879" s="26"/>
      <c r="AA3879" s="26"/>
      <c r="AB3879" s="26"/>
      <c r="AC3879" s="27"/>
    </row>
    <row r="3880" spans="1:29" x14ac:dyDescent="0.25">
      <c r="A3880" s="1"/>
      <c r="B3880" s="19"/>
      <c r="C3880" s="24"/>
      <c r="D3880" s="1"/>
      <c r="E3880" s="25"/>
      <c r="F3880" s="26"/>
      <c r="G3880" s="26"/>
      <c r="L3880" s="25"/>
      <c r="M3880" s="24"/>
      <c r="N3880" s="26"/>
      <c r="O3880" s="26"/>
      <c r="P3880" s="26"/>
      <c r="Q3880" s="26"/>
      <c r="R3880" s="26"/>
      <c r="S3880" s="26"/>
      <c r="T3880" s="26"/>
      <c r="U3880" s="26"/>
      <c r="V3880" s="26"/>
      <c r="W3880" s="26"/>
      <c r="X3880" s="26"/>
      <c r="Y3880" s="26"/>
      <c r="Z3880" s="26"/>
      <c r="AA3880" s="26"/>
      <c r="AB3880" s="26"/>
      <c r="AC3880" s="27"/>
    </row>
    <row r="3881" spans="1:29" x14ac:dyDescent="0.25">
      <c r="A3881" s="1"/>
      <c r="B3881" s="19"/>
      <c r="C3881" s="24"/>
      <c r="D3881" s="1"/>
      <c r="E3881" s="25"/>
      <c r="F3881" s="26"/>
      <c r="G3881" s="26"/>
      <c r="L3881" s="25"/>
      <c r="M3881" s="24"/>
      <c r="N3881" s="26"/>
      <c r="O3881" s="26"/>
      <c r="P3881" s="26"/>
      <c r="Q3881" s="26"/>
      <c r="R3881" s="26"/>
      <c r="S3881" s="26"/>
      <c r="T3881" s="26"/>
      <c r="U3881" s="26"/>
      <c r="V3881" s="26"/>
      <c r="W3881" s="26"/>
      <c r="X3881" s="26"/>
      <c r="Y3881" s="26"/>
      <c r="Z3881" s="26"/>
      <c r="AA3881" s="26"/>
      <c r="AB3881" s="26"/>
      <c r="AC3881" s="27"/>
    </row>
    <row r="3882" spans="1:29" x14ac:dyDescent="0.25">
      <c r="A3882" s="1"/>
      <c r="B3882" s="19"/>
      <c r="C3882" s="24"/>
      <c r="D3882" s="1"/>
      <c r="E3882" s="25"/>
      <c r="F3882" s="26"/>
      <c r="G3882" s="26"/>
      <c r="L3882" s="25"/>
      <c r="M3882" s="24"/>
      <c r="N3882" s="26"/>
      <c r="O3882" s="26"/>
      <c r="P3882" s="26"/>
      <c r="Q3882" s="26"/>
      <c r="R3882" s="26"/>
      <c r="S3882" s="26"/>
      <c r="T3882" s="26"/>
      <c r="U3882" s="26"/>
      <c r="V3882" s="26"/>
      <c r="W3882" s="26"/>
      <c r="X3882" s="26"/>
      <c r="Y3882" s="26"/>
      <c r="Z3882" s="26"/>
      <c r="AA3882" s="26"/>
      <c r="AB3882" s="26"/>
      <c r="AC3882" s="27"/>
    </row>
    <row r="3883" spans="1:29" x14ac:dyDescent="0.25">
      <c r="A3883" s="1"/>
      <c r="B3883" s="19"/>
      <c r="C3883" s="24"/>
      <c r="D3883" s="1"/>
      <c r="E3883" s="25"/>
      <c r="F3883" s="26"/>
      <c r="G3883" s="26"/>
      <c r="L3883" s="25"/>
      <c r="M3883" s="24"/>
      <c r="N3883" s="26"/>
      <c r="O3883" s="26"/>
      <c r="P3883" s="26"/>
      <c r="Q3883" s="26"/>
      <c r="R3883" s="26"/>
      <c r="S3883" s="26"/>
      <c r="T3883" s="26"/>
      <c r="U3883" s="26"/>
      <c r="V3883" s="26"/>
      <c r="W3883" s="26"/>
      <c r="X3883" s="26"/>
      <c r="Y3883" s="26"/>
      <c r="Z3883" s="26"/>
      <c r="AA3883" s="26"/>
      <c r="AB3883" s="26"/>
      <c r="AC3883" s="27"/>
    </row>
    <row r="3884" spans="1:29" x14ac:dyDescent="0.25">
      <c r="A3884" s="1"/>
      <c r="B3884" s="19"/>
      <c r="C3884" s="24"/>
      <c r="D3884" s="1"/>
      <c r="E3884" s="25"/>
      <c r="F3884" s="26"/>
      <c r="G3884" s="26"/>
      <c r="L3884" s="25"/>
      <c r="M3884" s="24"/>
      <c r="N3884" s="26"/>
      <c r="O3884" s="26"/>
      <c r="P3884" s="26"/>
      <c r="Q3884" s="26"/>
      <c r="R3884" s="26"/>
      <c r="S3884" s="26"/>
      <c r="T3884" s="26"/>
      <c r="U3884" s="26"/>
      <c r="V3884" s="26"/>
      <c r="W3884" s="26"/>
      <c r="X3884" s="26"/>
      <c r="Y3884" s="26"/>
      <c r="Z3884" s="26"/>
      <c r="AA3884" s="26"/>
      <c r="AB3884" s="26"/>
      <c r="AC3884" s="27"/>
    </row>
    <row r="3885" spans="1:29" x14ac:dyDescent="0.25">
      <c r="A3885" s="1"/>
      <c r="B3885" s="19"/>
      <c r="C3885" s="24"/>
      <c r="D3885" s="1"/>
      <c r="E3885" s="25"/>
      <c r="F3885" s="26"/>
      <c r="G3885" s="26"/>
      <c r="L3885" s="25"/>
      <c r="M3885" s="24"/>
      <c r="N3885" s="26"/>
      <c r="O3885" s="26"/>
      <c r="P3885" s="26"/>
      <c r="Q3885" s="26"/>
      <c r="R3885" s="26"/>
      <c r="S3885" s="26"/>
      <c r="T3885" s="26"/>
      <c r="U3885" s="26"/>
      <c r="V3885" s="26"/>
      <c r="W3885" s="26"/>
      <c r="X3885" s="26"/>
      <c r="Y3885" s="26"/>
      <c r="Z3885" s="26"/>
      <c r="AA3885" s="26"/>
      <c r="AB3885" s="26"/>
      <c r="AC3885" s="27"/>
    </row>
    <row r="3886" spans="1:29" x14ac:dyDescent="0.25">
      <c r="A3886" s="1"/>
      <c r="B3886" s="19"/>
      <c r="C3886" s="24"/>
      <c r="D3886" s="1"/>
      <c r="E3886" s="25"/>
      <c r="F3886" s="26"/>
      <c r="G3886" s="26"/>
      <c r="L3886" s="25"/>
      <c r="M3886" s="24"/>
      <c r="N3886" s="26"/>
      <c r="O3886" s="26"/>
      <c r="P3886" s="26"/>
      <c r="Q3886" s="26"/>
      <c r="R3886" s="26"/>
      <c r="S3886" s="26"/>
      <c r="T3886" s="26"/>
      <c r="U3886" s="26"/>
      <c r="V3886" s="26"/>
      <c r="W3886" s="26"/>
      <c r="X3886" s="26"/>
      <c r="Y3886" s="26"/>
      <c r="Z3886" s="26"/>
      <c r="AA3886" s="26"/>
      <c r="AB3886" s="26"/>
      <c r="AC3886" s="27"/>
    </row>
    <row r="3887" spans="1:29" x14ac:dyDescent="0.25">
      <c r="A3887" s="1"/>
      <c r="B3887" s="19"/>
      <c r="C3887" s="24"/>
      <c r="D3887" s="1"/>
      <c r="E3887" s="25"/>
      <c r="F3887" s="26"/>
      <c r="G3887" s="26"/>
      <c r="L3887" s="25"/>
      <c r="M3887" s="24"/>
      <c r="N3887" s="26"/>
      <c r="O3887" s="26"/>
      <c r="P3887" s="26"/>
      <c r="Q3887" s="26"/>
      <c r="R3887" s="26"/>
      <c r="S3887" s="26"/>
      <c r="T3887" s="26"/>
      <c r="U3887" s="26"/>
      <c r="V3887" s="26"/>
      <c r="W3887" s="26"/>
      <c r="X3887" s="26"/>
      <c r="Y3887" s="26"/>
      <c r="Z3887" s="26"/>
      <c r="AA3887" s="26"/>
      <c r="AB3887" s="26"/>
      <c r="AC3887" s="27"/>
    </row>
    <row r="3888" spans="1:29" x14ac:dyDescent="0.25">
      <c r="A3888" s="1"/>
      <c r="B3888" s="19"/>
      <c r="C3888" s="24"/>
      <c r="D3888" s="1"/>
      <c r="E3888" s="25"/>
      <c r="F3888" s="26"/>
      <c r="G3888" s="26"/>
      <c r="L3888" s="25"/>
      <c r="M3888" s="24"/>
      <c r="N3888" s="26"/>
      <c r="O3888" s="26"/>
      <c r="P3888" s="26"/>
      <c r="Q3888" s="26"/>
      <c r="R3888" s="26"/>
      <c r="S3888" s="26"/>
      <c r="T3888" s="26"/>
      <c r="U3888" s="26"/>
      <c r="V3888" s="26"/>
      <c r="W3888" s="26"/>
      <c r="X3888" s="26"/>
      <c r="Y3888" s="26"/>
      <c r="Z3888" s="26"/>
      <c r="AA3888" s="26"/>
      <c r="AB3888" s="26"/>
      <c r="AC3888" s="27"/>
    </row>
    <row r="3889" spans="1:29" x14ac:dyDescent="0.25">
      <c r="A3889" s="1"/>
      <c r="B3889" s="19"/>
      <c r="C3889" s="24"/>
      <c r="D3889" s="1"/>
      <c r="E3889" s="25"/>
      <c r="F3889" s="26"/>
      <c r="G3889" s="26"/>
      <c r="L3889" s="25"/>
      <c r="M3889" s="24"/>
      <c r="N3889" s="26"/>
      <c r="O3889" s="26"/>
      <c r="P3889" s="26"/>
      <c r="Q3889" s="26"/>
      <c r="R3889" s="26"/>
      <c r="S3889" s="26"/>
      <c r="T3889" s="26"/>
      <c r="U3889" s="26"/>
      <c r="V3889" s="26"/>
      <c r="W3889" s="26"/>
      <c r="X3889" s="26"/>
      <c r="Y3889" s="26"/>
      <c r="Z3889" s="26"/>
      <c r="AA3889" s="26"/>
      <c r="AB3889" s="26"/>
      <c r="AC3889" s="27"/>
    </row>
    <row r="3890" spans="1:29" x14ac:dyDescent="0.25">
      <c r="A3890" s="1"/>
      <c r="B3890" s="19"/>
      <c r="C3890" s="24"/>
      <c r="D3890" s="1"/>
      <c r="E3890" s="25"/>
      <c r="F3890" s="26"/>
      <c r="G3890" s="26"/>
      <c r="L3890" s="25"/>
      <c r="M3890" s="24"/>
      <c r="N3890" s="26"/>
      <c r="O3890" s="26"/>
      <c r="P3890" s="26"/>
      <c r="Q3890" s="26"/>
      <c r="R3890" s="26"/>
      <c r="S3890" s="26"/>
      <c r="T3890" s="26"/>
      <c r="U3890" s="26"/>
      <c r="V3890" s="26"/>
      <c r="W3890" s="26"/>
      <c r="X3890" s="26"/>
      <c r="Y3890" s="26"/>
      <c r="Z3890" s="26"/>
      <c r="AA3890" s="26"/>
      <c r="AB3890" s="26"/>
      <c r="AC3890" s="27"/>
    </row>
    <row r="3891" spans="1:29" x14ac:dyDescent="0.25">
      <c r="A3891" s="1"/>
      <c r="B3891" s="19"/>
      <c r="C3891" s="24"/>
      <c r="D3891" s="1"/>
      <c r="E3891" s="25"/>
      <c r="F3891" s="26"/>
      <c r="G3891" s="26"/>
      <c r="L3891" s="25"/>
      <c r="M3891" s="24"/>
      <c r="N3891" s="26"/>
      <c r="O3891" s="26"/>
      <c r="P3891" s="26"/>
      <c r="Q3891" s="26"/>
      <c r="R3891" s="26"/>
      <c r="S3891" s="26"/>
      <c r="T3891" s="26"/>
      <c r="U3891" s="26"/>
      <c r="V3891" s="26"/>
      <c r="W3891" s="26"/>
      <c r="X3891" s="26"/>
      <c r="Y3891" s="26"/>
      <c r="Z3891" s="26"/>
      <c r="AA3891" s="26"/>
      <c r="AB3891" s="26"/>
      <c r="AC3891" s="27"/>
    </row>
    <row r="3892" spans="1:29" x14ac:dyDescent="0.25">
      <c r="A3892" s="1"/>
      <c r="B3892" s="19"/>
      <c r="C3892" s="24"/>
      <c r="D3892" s="1"/>
      <c r="E3892" s="25"/>
      <c r="F3892" s="26"/>
      <c r="G3892" s="26"/>
      <c r="L3892" s="25"/>
      <c r="M3892" s="24"/>
      <c r="N3892" s="26"/>
      <c r="O3892" s="26"/>
      <c r="P3892" s="26"/>
      <c r="Q3892" s="26"/>
      <c r="R3892" s="26"/>
      <c r="S3892" s="26"/>
      <c r="T3892" s="26"/>
      <c r="U3892" s="26"/>
      <c r="V3892" s="26"/>
      <c r="W3892" s="26"/>
      <c r="X3892" s="26"/>
      <c r="Y3892" s="26"/>
      <c r="Z3892" s="26"/>
      <c r="AA3892" s="26"/>
      <c r="AB3892" s="26"/>
      <c r="AC3892" s="27"/>
    </row>
    <row r="3893" spans="1:29" x14ac:dyDescent="0.25">
      <c r="A3893" s="1"/>
      <c r="B3893" s="19"/>
      <c r="C3893" s="24"/>
      <c r="D3893" s="1"/>
      <c r="E3893" s="25"/>
      <c r="F3893" s="26"/>
      <c r="G3893" s="26"/>
      <c r="L3893" s="25"/>
      <c r="M3893" s="24"/>
      <c r="N3893" s="26"/>
      <c r="O3893" s="26"/>
      <c r="P3893" s="26"/>
      <c r="Q3893" s="26"/>
      <c r="R3893" s="26"/>
      <c r="S3893" s="26"/>
      <c r="T3893" s="26"/>
      <c r="U3893" s="26"/>
      <c r="V3893" s="26"/>
      <c r="W3893" s="26"/>
      <c r="X3893" s="26"/>
      <c r="Y3893" s="26"/>
      <c r="Z3893" s="26"/>
      <c r="AA3893" s="26"/>
      <c r="AB3893" s="26"/>
      <c r="AC3893" s="27"/>
    </row>
    <row r="3894" spans="1:29" x14ac:dyDescent="0.25">
      <c r="A3894" s="1"/>
      <c r="B3894" s="19"/>
      <c r="C3894" s="24"/>
      <c r="D3894" s="1"/>
      <c r="E3894" s="25"/>
      <c r="F3894" s="26"/>
      <c r="G3894" s="26"/>
      <c r="L3894" s="25"/>
      <c r="M3894" s="24"/>
      <c r="N3894" s="26"/>
      <c r="O3894" s="26"/>
      <c r="P3894" s="26"/>
      <c r="Q3894" s="26"/>
      <c r="R3894" s="26"/>
      <c r="S3894" s="26"/>
      <c r="T3894" s="26"/>
      <c r="U3894" s="26"/>
      <c r="V3894" s="26"/>
      <c r="W3894" s="26"/>
      <c r="X3894" s="26"/>
      <c r="Y3894" s="26"/>
      <c r="Z3894" s="26"/>
      <c r="AA3894" s="26"/>
      <c r="AB3894" s="26"/>
      <c r="AC3894" s="27"/>
    </row>
    <row r="3895" spans="1:29" x14ac:dyDescent="0.25">
      <c r="A3895" s="1"/>
      <c r="B3895" s="19"/>
      <c r="C3895" s="24"/>
      <c r="D3895" s="1"/>
      <c r="E3895" s="25"/>
      <c r="F3895" s="26"/>
      <c r="G3895" s="26"/>
      <c r="L3895" s="25"/>
      <c r="M3895" s="24"/>
      <c r="N3895" s="26"/>
      <c r="O3895" s="26"/>
      <c r="P3895" s="26"/>
      <c r="Q3895" s="26"/>
      <c r="R3895" s="26"/>
      <c r="S3895" s="26"/>
      <c r="T3895" s="26"/>
      <c r="U3895" s="26"/>
      <c r="V3895" s="26"/>
      <c r="W3895" s="26"/>
      <c r="X3895" s="26"/>
      <c r="Y3895" s="26"/>
      <c r="Z3895" s="26"/>
      <c r="AA3895" s="26"/>
      <c r="AB3895" s="26"/>
      <c r="AC3895" s="27"/>
    </row>
    <row r="3896" spans="1:29" x14ac:dyDescent="0.25">
      <c r="A3896" s="1"/>
      <c r="B3896" s="19"/>
      <c r="C3896" s="24"/>
      <c r="D3896" s="1"/>
      <c r="E3896" s="25"/>
      <c r="F3896" s="26"/>
      <c r="G3896" s="26"/>
      <c r="L3896" s="25"/>
      <c r="M3896" s="24"/>
      <c r="N3896" s="26"/>
      <c r="O3896" s="26"/>
      <c r="P3896" s="26"/>
      <c r="Q3896" s="26"/>
      <c r="R3896" s="26"/>
      <c r="S3896" s="26"/>
      <c r="T3896" s="26"/>
      <c r="U3896" s="26"/>
      <c r="V3896" s="26"/>
      <c r="W3896" s="26"/>
      <c r="X3896" s="26"/>
      <c r="Y3896" s="26"/>
      <c r="Z3896" s="26"/>
      <c r="AA3896" s="26"/>
      <c r="AB3896" s="26"/>
      <c r="AC3896" s="27"/>
    </row>
    <row r="3897" spans="1:29" x14ac:dyDescent="0.25">
      <c r="A3897" s="1"/>
      <c r="B3897" s="19"/>
      <c r="C3897" s="24"/>
      <c r="D3897" s="1"/>
      <c r="E3897" s="25"/>
      <c r="F3897" s="26"/>
      <c r="G3897" s="26"/>
      <c r="L3897" s="25"/>
      <c r="M3897" s="24"/>
      <c r="N3897" s="26"/>
      <c r="O3897" s="26"/>
      <c r="P3897" s="26"/>
      <c r="Q3897" s="26"/>
      <c r="R3897" s="26"/>
      <c r="S3897" s="26"/>
      <c r="T3897" s="26"/>
      <c r="U3897" s="26"/>
      <c r="V3897" s="26"/>
      <c r="W3897" s="26"/>
      <c r="X3897" s="26"/>
      <c r="Y3897" s="26"/>
      <c r="Z3897" s="26"/>
      <c r="AA3897" s="26"/>
      <c r="AB3897" s="26"/>
      <c r="AC3897" s="27"/>
    </row>
    <row r="3898" spans="1:29" x14ac:dyDescent="0.25">
      <c r="A3898" s="1"/>
      <c r="B3898" s="19"/>
      <c r="C3898" s="24"/>
      <c r="D3898" s="1"/>
      <c r="E3898" s="25"/>
      <c r="F3898" s="26"/>
      <c r="G3898" s="26"/>
      <c r="L3898" s="25"/>
      <c r="M3898" s="24"/>
      <c r="N3898" s="26"/>
      <c r="O3898" s="26"/>
      <c r="P3898" s="26"/>
      <c r="Q3898" s="26"/>
      <c r="R3898" s="26"/>
      <c r="S3898" s="26"/>
      <c r="T3898" s="26"/>
      <c r="U3898" s="26"/>
      <c r="V3898" s="26"/>
      <c r="W3898" s="26"/>
      <c r="X3898" s="26"/>
      <c r="Y3898" s="26"/>
      <c r="Z3898" s="26"/>
      <c r="AA3898" s="26"/>
      <c r="AB3898" s="26"/>
      <c r="AC3898" s="27"/>
    </row>
    <row r="3899" spans="1:29" x14ac:dyDescent="0.25">
      <c r="A3899" s="1"/>
      <c r="B3899" s="19"/>
      <c r="C3899" s="24"/>
      <c r="D3899" s="1"/>
      <c r="E3899" s="25"/>
      <c r="F3899" s="26"/>
      <c r="G3899" s="26"/>
      <c r="L3899" s="25"/>
      <c r="M3899" s="24"/>
      <c r="N3899" s="26"/>
      <c r="O3899" s="26"/>
      <c r="P3899" s="26"/>
      <c r="Q3899" s="26"/>
      <c r="R3899" s="26"/>
      <c r="S3899" s="26"/>
      <c r="T3899" s="26"/>
      <c r="U3899" s="26"/>
      <c r="V3899" s="26"/>
      <c r="W3899" s="26"/>
      <c r="X3899" s="26"/>
      <c r="Y3899" s="26"/>
      <c r="Z3899" s="26"/>
      <c r="AA3899" s="26"/>
      <c r="AB3899" s="26"/>
      <c r="AC3899" s="27"/>
    </row>
    <row r="3900" spans="1:29" x14ac:dyDescent="0.25">
      <c r="A3900" s="1"/>
      <c r="B3900" s="19"/>
      <c r="C3900" s="24"/>
      <c r="D3900" s="1"/>
      <c r="E3900" s="25"/>
      <c r="F3900" s="26"/>
      <c r="G3900" s="26"/>
      <c r="L3900" s="25"/>
      <c r="M3900" s="24"/>
      <c r="N3900" s="26"/>
      <c r="O3900" s="26"/>
      <c r="P3900" s="26"/>
      <c r="Q3900" s="26"/>
      <c r="R3900" s="26"/>
      <c r="S3900" s="26"/>
      <c r="T3900" s="26"/>
      <c r="U3900" s="26"/>
      <c r="V3900" s="26"/>
      <c r="W3900" s="26"/>
      <c r="X3900" s="26"/>
      <c r="Y3900" s="26"/>
      <c r="Z3900" s="26"/>
      <c r="AA3900" s="26"/>
      <c r="AB3900" s="26"/>
      <c r="AC3900" s="27"/>
    </row>
    <row r="3901" spans="1:29" x14ac:dyDescent="0.25">
      <c r="A3901" s="1"/>
      <c r="B3901" s="19"/>
      <c r="C3901" s="24"/>
      <c r="D3901" s="1"/>
      <c r="E3901" s="25"/>
      <c r="F3901" s="26"/>
      <c r="G3901" s="26"/>
      <c r="L3901" s="25"/>
      <c r="M3901" s="24"/>
      <c r="N3901" s="26"/>
      <c r="O3901" s="26"/>
      <c r="P3901" s="26"/>
      <c r="Q3901" s="26"/>
      <c r="R3901" s="26"/>
      <c r="S3901" s="26"/>
      <c r="T3901" s="26"/>
      <c r="U3901" s="26"/>
      <c r="V3901" s="26"/>
      <c r="W3901" s="26"/>
      <c r="X3901" s="26"/>
      <c r="Y3901" s="26"/>
      <c r="Z3901" s="26"/>
      <c r="AA3901" s="26"/>
      <c r="AB3901" s="26"/>
      <c r="AC3901" s="27"/>
    </row>
    <row r="3902" spans="1:29" x14ac:dyDescent="0.25">
      <c r="A3902" s="1"/>
      <c r="B3902" s="19"/>
      <c r="C3902" s="24"/>
      <c r="D3902" s="1"/>
      <c r="E3902" s="25"/>
      <c r="F3902" s="26"/>
      <c r="G3902" s="26"/>
      <c r="L3902" s="25"/>
      <c r="M3902" s="24"/>
      <c r="N3902" s="26"/>
      <c r="O3902" s="26"/>
      <c r="P3902" s="26"/>
      <c r="Q3902" s="26"/>
      <c r="R3902" s="26"/>
      <c r="S3902" s="26"/>
      <c r="T3902" s="26"/>
      <c r="U3902" s="26"/>
      <c r="V3902" s="26"/>
      <c r="W3902" s="26"/>
      <c r="X3902" s="26"/>
      <c r="Y3902" s="26"/>
      <c r="Z3902" s="26"/>
      <c r="AA3902" s="26"/>
      <c r="AB3902" s="26"/>
      <c r="AC3902" s="27"/>
    </row>
    <row r="3903" spans="1:29" x14ac:dyDescent="0.25">
      <c r="A3903" s="1"/>
      <c r="B3903" s="19"/>
      <c r="C3903" s="24"/>
      <c r="D3903" s="1"/>
      <c r="E3903" s="25"/>
      <c r="F3903" s="26"/>
      <c r="G3903" s="26"/>
      <c r="L3903" s="25"/>
      <c r="M3903" s="24"/>
      <c r="N3903" s="26"/>
      <c r="O3903" s="26"/>
      <c r="P3903" s="26"/>
      <c r="Q3903" s="26"/>
      <c r="R3903" s="26"/>
      <c r="S3903" s="26"/>
      <c r="T3903" s="26"/>
      <c r="U3903" s="26"/>
      <c r="V3903" s="26"/>
      <c r="W3903" s="26"/>
      <c r="X3903" s="26"/>
      <c r="Y3903" s="26"/>
      <c r="Z3903" s="26"/>
      <c r="AA3903" s="26"/>
      <c r="AB3903" s="26"/>
      <c r="AC3903" s="27"/>
    </row>
    <row r="3904" spans="1:29" x14ac:dyDescent="0.25">
      <c r="A3904" s="1"/>
      <c r="B3904" s="19"/>
      <c r="C3904" s="24"/>
      <c r="D3904" s="1"/>
      <c r="E3904" s="25"/>
      <c r="F3904" s="26"/>
      <c r="G3904" s="26"/>
      <c r="L3904" s="25"/>
      <c r="M3904" s="24"/>
      <c r="N3904" s="26"/>
      <c r="O3904" s="26"/>
      <c r="P3904" s="26"/>
      <c r="Q3904" s="26"/>
      <c r="R3904" s="26"/>
      <c r="S3904" s="26"/>
      <c r="T3904" s="26"/>
      <c r="U3904" s="26"/>
      <c r="V3904" s="26"/>
      <c r="W3904" s="26"/>
      <c r="X3904" s="26"/>
      <c r="Y3904" s="26"/>
      <c r="Z3904" s="26"/>
      <c r="AA3904" s="26"/>
      <c r="AB3904" s="26"/>
      <c r="AC3904" s="27"/>
    </row>
    <row r="3905" spans="1:29" x14ac:dyDescent="0.25">
      <c r="A3905" s="1"/>
      <c r="B3905" s="19"/>
      <c r="C3905" s="24"/>
      <c r="D3905" s="1"/>
      <c r="E3905" s="25"/>
      <c r="F3905" s="26"/>
      <c r="G3905" s="26"/>
      <c r="L3905" s="25"/>
      <c r="M3905" s="24"/>
      <c r="N3905" s="26"/>
      <c r="O3905" s="26"/>
      <c r="P3905" s="26"/>
      <c r="Q3905" s="26"/>
      <c r="R3905" s="26"/>
      <c r="S3905" s="26"/>
      <c r="T3905" s="26"/>
      <c r="U3905" s="26"/>
      <c r="V3905" s="26"/>
      <c r="W3905" s="26"/>
      <c r="X3905" s="26"/>
      <c r="Y3905" s="26"/>
      <c r="Z3905" s="26"/>
      <c r="AA3905" s="26"/>
      <c r="AB3905" s="26"/>
      <c r="AC3905" s="27"/>
    </row>
    <row r="3906" spans="1:29" x14ac:dyDescent="0.25">
      <c r="A3906" s="1"/>
      <c r="B3906" s="19"/>
      <c r="C3906" s="24"/>
      <c r="D3906" s="1"/>
      <c r="E3906" s="25"/>
      <c r="F3906" s="26"/>
      <c r="G3906" s="26"/>
      <c r="L3906" s="25"/>
      <c r="M3906" s="24"/>
      <c r="N3906" s="26"/>
      <c r="O3906" s="26"/>
      <c r="P3906" s="26"/>
      <c r="Q3906" s="26"/>
      <c r="R3906" s="26"/>
      <c r="S3906" s="26"/>
      <c r="T3906" s="26"/>
      <c r="U3906" s="26"/>
      <c r="V3906" s="26"/>
      <c r="W3906" s="26"/>
      <c r="X3906" s="26"/>
      <c r="Y3906" s="26"/>
      <c r="Z3906" s="26"/>
      <c r="AA3906" s="26"/>
      <c r="AB3906" s="26"/>
      <c r="AC3906" s="27"/>
    </row>
    <row r="3907" spans="1:29" x14ac:dyDescent="0.25">
      <c r="A3907" s="1"/>
      <c r="B3907" s="19"/>
      <c r="C3907" s="24"/>
      <c r="D3907" s="1"/>
      <c r="E3907" s="25"/>
      <c r="F3907" s="26"/>
      <c r="G3907" s="26"/>
      <c r="L3907" s="25"/>
      <c r="M3907" s="24"/>
      <c r="N3907" s="26"/>
      <c r="O3907" s="26"/>
      <c r="P3907" s="26"/>
      <c r="Q3907" s="26"/>
      <c r="R3907" s="26"/>
      <c r="S3907" s="26"/>
      <c r="T3907" s="26"/>
      <c r="U3907" s="26"/>
      <c r="V3907" s="26"/>
      <c r="W3907" s="26"/>
      <c r="X3907" s="26"/>
      <c r="Y3907" s="26"/>
      <c r="Z3907" s="26"/>
      <c r="AA3907" s="26"/>
      <c r="AB3907" s="26"/>
      <c r="AC3907" s="27"/>
    </row>
    <row r="3908" spans="1:29" x14ac:dyDescent="0.25">
      <c r="A3908" s="1"/>
      <c r="B3908" s="19"/>
      <c r="C3908" s="24"/>
      <c r="D3908" s="1"/>
      <c r="E3908" s="25"/>
      <c r="F3908" s="26"/>
      <c r="G3908" s="26"/>
      <c r="L3908" s="25"/>
      <c r="M3908" s="24"/>
      <c r="N3908" s="26"/>
      <c r="O3908" s="26"/>
      <c r="P3908" s="26"/>
      <c r="Q3908" s="26"/>
      <c r="R3908" s="26"/>
      <c r="S3908" s="26"/>
      <c r="T3908" s="26"/>
      <c r="U3908" s="26"/>
      <c r="V3908" s="26"/>
      <c r="W3908" s="26"/>
      <c r="X3908" s="26"/>
      <c r="Y3908" s="26"/>
      <c r="Z3908" s="26"/>
      <c r="AA3908" s="26"/>
      <c r="AB3908" s="26"/>
      <c r="AC3908" s="27"/>
    </row>
    <row r="3909" spans="1:29" x14ac:dyDescent="0.25">
      <c r="A3909" s="1"/>
      <c r="B3909" s="19"/>
      <c r="C3909" s="24"/>
      <c r="D3909" s="1"/>
      <c r="E3909" s="25"/>
      <c r="F3909" s="26"/>
      <c r="G3909" s="26"/>
      <c r="L3909" s="25"/>
      <c r="M3909" s="24"/>
      <c r="N3909" s="26"/>
      <c r="O3909" s="26"/>
      <c r="P3909" s="26"/>
      <c r="Q3909" s="26"/>
      <c r="R3909" s="26"/>
      <c r="S3909" s="26"/>
      <c r="T3909" s="26"/>
      <c r="U3909" s="26"/>
      <c r="V3909" s="26"/>
      <c r="W3909" s="26"/>
      <c r="X3909" s="26"/>
      <c r="Y3909" s="26"/>
      <c r="Z3909" s="26"/>
      <c r="AA3909" s="26"/>
      <c r="AB3909" s="26"/>
      <c r="AC3909" s="27"/>
    </row>
    <row r="3910" spans="1:29" x14ac:dyDescent="0.25">
      <c r="A3910" s="1"/>
      <c r="B3910" s="19"/>
      <c r="C3910" s="24"/>
      <c r="D3910" s="1"/>
      <c r="E3910" s="25"/>
      <c r="F3910" s="26"/>
      <c r="G3910" s="26"/>
      <c r="L3910" s="25"/>
      <c r="M3910" s="24"/>
      <c r="N3910" s="26"/>
      <c r="O3910" s="26"/>
      <c r="P3910" s="26"/>
      <c r="Q3910" s="26"/>
      <c r="R3910" s="26"/>
      <c r="S3910" s="26"/>
      <c r="T3910" s="26"/>
      <c r="U3910" s="26"/>
      <c r="V3910" s="26"/>
      <c r="W3910" s="26"/>
      <c r="X3910" s="26"/>
      <c r="Y3910" s="26"/>
      <c r="Z3910" s="26"/>
      <c r="AA3910" s="26"/>
      <c r="AB3910" s="26"/>
      <c r="AC3910" s="27"/>
    </row>
    <row r="3911" spans="1:29" x14ac:dyDescent="0.25">
      <c r="A3911" s="1"/>
      <c r="B3911" s="19"/>
      <c r="C3911" s="24"/>
      <c r="D3911" s="1"/>
      <c r="E3911" s="25"/>
      <c r="F3911" s="26"/>
      <c r="G3911" s="26"/>
      <c r="L3911" s="25"/>
      <c r="M3911" s="24"/>
      <c r="N3911" s="26"/>
      <c r="O3911" s="26"/>
      <c r="P3911" s="26"/>
      <c r="Q3911" s="26"/>
      <c r="R3911" s="26"/>
      <c r="S3911" s="26"/>
      <c r="T3911" s="26"/>
      <c r="U3911" s="26"/>
      <c r="V3911" s="26"/>
      <c r="W3911" s="26"/>
      <c r="X3911" s="26"/>
      <c r="Y3911" s="26"/>
      <c r="Z3911" s="26"/>
      <c r="AA3911" s="26"/>
      <c r="AB3911" s="26"/>
      <c r="AC3911" s="27"/>
    </row>
    <row r="3912" spans="1:29" x14ac:dyDescent="0.25">
      <c r="A3912" s="1"/>
      <c r="B3912" s="19"/>
      <c r="C3912" s="24"/>
      <c r="D3912" s="1"/>
      <c r="E3912" s="25"/>
      <c r="F3912" s="26"/>
      <c r="G3912" s="26"/>
      <c r="L3912" s="25"/>
      <c r="M3912" s="24"/>
      <c r="N3912" s="26"/>
      <c r="O3912" s="26"/>
      <c r="P3912" s="26"/>
      <c r="Q3912" s="26"/>
      <c r="R3912" s="26"/>
      <c r="S3912" s="26"/>
      <c r="T3912" s="26"/>
      <c r="U3912" s="26"/>
      <c r="V3912" s="26"/>
      <c r="W3912" s="26"/>
      <c r="X3912" s="26"/>
      <c r="Y3912" s="26"/>
      <c r="Z3912" s="26"/>
      <c r="AA3912" s="26"/>
      <c r="AB3912" s="26"/>
      <c r="AC3912" s="27"/>
    </row>
    <row r="3913" spans="1:29" x14ac:dyDescent="0.25">
      <c r="A3913" s="1"/>
      <c r="B3913" s="19"/>
      <c r="C3913" s="24"/>
      <c r="D3913" s="1"/>
      <c r="E3913" s="25"/>
      <c r="F3913" s="26"/>
      <c r="G3913" s="26"/>
      <c r="L3913" s="25"/>
      <c r="M3913" s="24"/>
      <c r="N3913" s="26"/>
      <c r="O3913" s="26"/>
      <c r="P3913" s="26"/>
      <c r="Q3913" s="26"/>
      <c r="R3913" s="26"/>
      <c r="S3913" s="26"/>
      <c r="T3913" s="26"/>
      <c r="U3913" s="26"/>
      <c r="V3913" s="26"/>
      <c r="W3913" s="26"/>
      <c r="X3913" s="26"/>
      <c r="Y3913" s="26"/>
      <c r="Z3913" s="26"/>
      <c r="AA3913" s="26"/>
      <c r="AB3913" s="26"/>
      <c r="AC3913" s="27"/>
    </row>
    <row r="3914" spans="1:29" x14ac:dyDescent="0.25">
      <c r="A3914" s="1"/>
      <c r="B3914" s="19"/>
      <c r="C3914" s="24"/>
      <c r="D3914" s="1"/>
      <c r="E3914" s="25"/>
      <c r="F3914" s="26"/>
      <c r="G3914" s="26"/>
      <c r="L3914" s="25"/>
      <c r="M3914" s="24"/>
      <c r="N3914" s="26"/>
      <c r="O3914" s="26"/>
      <c r="P3914" s="26"/>
      <c r="Q3914" s="26"/>
      <c r="R3914" s="26"/>
      <c r="S3914" s="26"/>
      <c r="T3914" s="26"/>
      <c r="U3914" s="26"/>
      <c r="V3914" s="26"/>
      <c r="W3914" s="26"/>
      <c r="X3914" s="26"/>
      <c r="Y3914" s="26"/>
      <c r="Z3914" s="26"/>
      <c r="AA3914" s="26"/>
      <c r="AB3914" s="26"/>
      <c r="AC3914" s="27"/>
    </row>
    <row r="3915" spans="1:29" x14ac:dyDescent="0.25">
      <c r="A3915" s="1"/>
      <c r="B3915" s="19"/>
      <c r="C3915" s="24"/>
      <c r="D3915" s="1"/>
      <c r="E3915" s="25"/>
      <c r="F3915" s="26"/>
      <c r="G3915" s="26"/>
      <c r="L3915" s="25"/>
      <c r="M3915" s="24"/>
      <c r="N3915" s="26"/>
      <c r="O3915" s="26"/>
      <c r="P3915" s="26"/>
      <c r="Q3915" s="26"/>
      <c r="R3915" s="26"/>
      <c r="S3915" s="26"/>
      <c r="T3915" s="26"/>
      <c r="U3915" s="26"/>
      <c r="V3915" s="26"/>
      <c r="W3915" s="26"/>
      <c r="X3915" s="26"/>
      <c r="Y3915" s="26"/>
      <c r="Z3915" s="26"/>
      <c r="AA3915" s="26"/>
      <c r="AB3915" s="26"/>
      <c r="AC3915" s="27"/>
    </row>
    <row r="3916" spans="1:29" x14ac:dyDescent="0.25">
      <c r="A3916" s="1"/>
      <c r="B3916" s="19"/>
      <c r="C3916" s="24"/>
      <c r="D3916" s="1"/>
      <c r="E3916" s="25"/>
      <c r="F3916" s="26"/>
      <c r="G3916" s="26"/>
      <c r="L3916" s="25"/>
      <c r="M3916" s="24"/>
      <c r="N3916" s="26"/>
      <c r="O3916" s="26"/>
      <c r="P3916" s="26"/>
      <c r="Q3916" s="26"/>
      <c r="R3916" s="26"/>
      <c r="S3916" s="26"/>
      <c r="T3916" s="26"/>
      <c r="U3916" s="26"/>
      <c r="V3916" s="26"/>
      <c r="W3916" s="26"/>
      <c r="X3916" s="26"/>
      <c r="Y3916" s="26"/>
      <c r="Z3916" s="26"/>
      <c r="AA3916" s="26"/>
      <c r="AB3916" s="26"/>
      <c r="AC3916" s="27"/>
    </row>
    <row r="3917" spans="1:29" x14ac:dyDescent="0.25">
      <c r="A3917" s="1"/>
      <c r="B3917" s="19"/>
      <c r="C3917" s="24"/>
      <c r="D3917" s="1"/>
      <c r="E3917" s="25"/>
      <c r="F3917" s="26"/>
      <c r="G3917" s="26"/>
      <c r="L3917" s="25"/>
      <c r="M3917" s="24"/>
      <c r="N3917" s="26"/>
      <c r="O3917" s="26"/>
      <c r="P3917" s="26"/>
      <c r="Q3917" s="26"/>
      <c r="R3917" s="26"/>
      <c r="S3917" s="26"/>
      <c r="T3917" s="26"/>
      <c r="U3917" s="26"/>
      <c r="V3917" s="26"/>
      <c r="W3917" s="26"/>
      <c r="X3917" s="26"/>
      <c r="Y3917" s="26"/>
      <c r="Z3917" s="26"/>
      <c r="AA3917" s="26"/>
      <c r="AB3917" s="26"/>
      <c r="AC3917" s="27"/>
    </row>
    <row r="3918" spans="1:29" x14ac:dyDescent="0.25">
      <c r="A3918" s="1"/>
      <c r="B3918" s="19"/>
      <c r="C3918" s="24"/>
      <c r="D3918" s="1"/>
      <c r="E3918" s="25"/>
      <c r="F3918" s="26"/>
      <c r="G3918" s="26"/>
      <c r="L3918" s="25"/>
      <c r="M3918" s="24"/>
      <c r="N3918" s="26"/>
      <c r="O3918" s="26"/>
      <c r="P3918" s="26"/>
      <c r="Q3918" s="26"/>
      <c r="R3918" s="26"/>
      <c r="S3918" s="26"/>
      <c r="T3918" s="26"/>
      <c r="U3918" s="26"/>
      <c r="V3918" s="26"/>
      <c r="W3918" s="26"/>
      <c r="X3918" s="26"/>
      <c r="Y3918" s="26"/>
      <c r="Z3918" s="26"/>
      <c r="AA3918" s="26"/>
      <c r="AB3918" s="26"/>
      <c r="AC3918" s="27"/>
    </row>
    <row r="3919" spans="1:29" x14ac:dyDescent="0.25">
      <c r="A3919" s="1"/>
      <c r="B3919" s="19"/>
      <c r="C3919" s="24"/>
      <c r="D3919" s="1"/>
      <c r="E3919" s="25"/>
      <c r="F3919" s="26"/>
      <c r="G3919" s="26"/>
      <c r="L3919" s="25"/>
      <c r="M3919" s="24"/>
      <c r="N3919" s="26"/>
      <c r="O3919" s="26"/>
      <c r="P3919" s="26"/>
      <c r="Q3919" s="26"/>
      <c r="R3919" s="26"/>
      <c r="S3919" s="26"/>
      <c r="T3919" s="26"/>
      <c r="U3919" s="26"/>
      <c r="V3919" s="26"/>
      <c r="W3919" s="26"/>
      <c r="X3919" s="26"/>
      <c r="Y3919" s="26"/>
      <c r="Z3919" s="26"/>
      <c r="AA3919" s="26"/>
      <c r="AB3919" s="26"/>
      <c r="AC3919" s="27"/>
    </row>
    <row r="3920" spans="1:29" x14ac:dyDescent="0.25">
      <c r="A3920" s="1"/>
      <c r="B3920" s="19"/>
      <c r="C3920" s="24"/>
      <c r="D3920" s="1"/>
      <c r="E3920" s="25"/>
      <c r="F3920" s="26"/>
      <c r="G3920" s="26"/>
      <c r="L3920" s="25"/>
      <c r="M3920" s="24"/>
      <c r="N3920" s="26"/>
      <c r="O3920" s="26"/>
      <c r="P3920" s="26"/>
      <c r="Q3920" s="26"/>
      <c r="R3920" s="26"/>
      <c r="S3920" s="26"/>
      <c r="T3920" s="26"/>
      <c r="U3920" s="26"/>
      <c r="V3920" s="26"/>
      <c r="W3920" s="26"/>
      <c r="X3920" s="26"/>
      <c r="Y3920" s="26"/>
      <c r="Z3920" s="26"/>
      <c r="AA3920" s="26"/>
      <c r="AB3920" s="26"/>
      <c r="AC3920" s="27"/>
    </row>
    <row r="3921" spans="1:29" x14ac:dyDescent="0.25">
      <c r="A3921" s="1"/>
      <c r="B3921" s="19"/>
      <c r="C3921" s="24"/>
      <c r="D3921" s="1"/>
      <c r="E3921" s="25"/>
      <c r="F3921" s="26"/>
      <c r="G3921" s="26"/>
      <c r="L3921" s="25"/>
      <c r="M3921" s="24"/>
      <c r="N3921" s="26"/>
      <c r="O3921" s="26"/>
      <c r="P3921" s="26"/>
      <c r="Q3921" s="26"/>
      <c r="R3921" s="26"/>
      <c r="S3921" s="26"/>
      <c r="T3921" s="26"/>
      <c r="U3921" s="26"/>
      <c r="V3921" s="26"/>
      <c r="W3921" s="26"/>
      <c r="X3921" s="26"/>
      <c r="Y3921" s="26"/>
      <c r="Z3921" s="26"/>
      <c r="AA3921" s="26"/>
      <c r="AB3921" s="26"/>
      <c r="AC3921" s="27"/>
    </row>
    <row r="3922" spans="1:29" x14ac:dyDescent="0.25">
      <c r="A3922" s="1"/>
      <c r="B3922" s="19"/>
      <c r="C3922" s="24"/>
      <c r="D3922" s="1"/>
      <c r="E3922" s="25"/>
      <c r="F3922" s="26"/>
      <c r="G3922" s="26"/>
      <c r="L3922" s="25"/>
      <c r="M3922" s="24"/>
      <c r="N3922" s="26"/>
      <c r="O3922" s="26"/>
      <c r="P3922" s="26"/>
      <c r="Q3922" s="26"/>
      <c r="R3922" s="26"/>
      <c r="S3922" s="26"/>
      <c r="T3922" s="26"/>
      <c r="U3922" s="26"/>
      <c r="V3922" s="26"/>
      <c r="W3922" s="26"/>
      <c r="X3922" s="26"/>
      <c r="Y3922" s="26"/>
      <c r="Z3922" s="26"/>
      <c r="AA3922" s="26"/>
      <c r="AB3922" s="26"/>
      <c r="AC3922" s="27"/>
    </row>
    <row r="3923" spans="1:29" x14ac:dyDescent="0.25">
      <c r="A3923" s="1"/>
      <c r="B3923" s="19"/>
      <c r="C3923" s="24"/>
      <c r="D3923" s="1"/>
      <c r="E3923" s="25"/>
      <c r="F3923" s="26"/>
      <c r="G3923" s="26"/>
      <c r="L3923" s="25"/>
      <c r="M3923" s="24"/>
      <c r="N3923" s="26"/>
      <c r="O3923" s="26"/>
      <c r="P3923" s="26"/>
      <c r="Q3923" s="26"/>
      <c r="R3923" s="26"/>
      <c r="S3923" s="26"/>
      <c r="T3923" s="26"/>
      <c r="U3923" s="26"/>
      <c r="V3923" s="26"/>
      <c r="W3923" s="26"/>
      <c r="X3923" s="26"/>
      <c r="Y3923" s="26"/>
      <c r="Z3923" s="26"/>
      <c r="AA3923" s="26"/>
      <c r="AB3923" s="26"/>
      <c r="AC3923" s="27"/>
    </row>
    <row r="3924" spans="1:29" x14ac:dyDescent="0.25">
      <c r="A3924" s="1"/>
      <c r="B3924" s="19"/>
      <c r="C3924" s="24"/>
      <c r="D3924" s="1"/>
      <c r="E3924" s="25"/>
      <c r="F3924" s="26"/>
      <c r="G3924" s="26"/>
      <c r="L3924" s="25"/>
      <c r="M3924" s="24"/>
      <c r="N3924" s="26"/>
      <c r="O3924" s="26"/>
      <c r="P3924" s="26"/>
      <c r="Q3924" s="26"/>
      <c r="R3924" s="26"/>
      <c r="S3924" s="26"/>
      <c r="T3924" s="26"/>
      <c r="U3924" s="26"/>
      <c r="V3924" s="26"/>
      <c r="W3924" s="26"/>
      <c r="X3924" s="26"/>
      <c r="Y3924" s="26"/>
      <c r="Z3924" s="26"/>
      <c r="AA3924" s="26"/>
      <c r="AB3924" s="26"/>
      <c r="AC3924" s="27"/>
    </row>
    <row r="3925" spans="1:29" x14ac:dyDescent="0.25">
      <c r="A3925" s="1"/>
      <c r="B3925" s="19"/>
      <c r="C3925" s="24"/>
      <c r="D3925" s="1"/>
      <c r="E3925" s="25"/>
      <c r="F3925" s="26"/>
      <c r="G3925" s="26"/>
      <c r="L3925" s="25"/>
      <c r="M3925" s="24"/>
      <c r="N3925" s="26"/>
      <c r="O3925" s="26"/>
      <c r="P3925" s="26"/>
      <c r="Q3925" s="26"/>
      <c r="R3925" s="26"/>
      <c r="S3925" s="26"/>
      <c r="T3925" s="26"/>
      <c r="U3925" s="26"/>
      <c r="V3925" s="26"/>
      <c r="W3925" s="26"/>
      <c r="X3925" s="26"/>
      <c r="Y3925" s="26"/>
      <c r="Z3925" s="26"/>
      <c r="AA3925" s="26"/>
      <c r="AB3925" s="26"/>
      <c r="AC3925" s="27"/>
    </row>
    <row r="3926" spans="1:29" x14ac:dyDescent="0.25">
      <c r="A3926" s="1"/>
      <c r="B3926" s="19"/>
      <c r="C3926" s="24"/>
      <c r="D3926" s="1"/>
      <c r="E3926" s="25"/>
      <c r="F3926" s="26"/>
      <c r="G3926" s="26"/>
      <c r="L3926" s="25"/>
      <c r="M3926" s="24"/>
      <c r="N3926" s="26"/>
      <c r="O3926" s="26"/>
      <c r="P3926" s="26"/>
      <c r="Q3926" s="26"/>
      <c r="R3926" s="26"/>
      <c r="S3926" s="26"/>
      <c r="T3926" s="26"/>
      <c r="U3926" s="26"/>
      <c r="V3926" s="26"/>
      <c r="W3926" s="26"/>
      <c r="X3926" s="26"/>
      <c r="Y3926" s="26"/>
      <c r="Z3926" s="26"/>
      <c r="AA3926" s="26"/>
      <c r="AB3926" s="26"/>
      <c r="AC3926" s="27"/>
    </row>
    <row r="3927" spans="1:29" x14ac:dyDescent="0.25">
      <c r="A3927" s="1"/>
      <c r="B3927" s="19"/>
      <c r="C3927" s="24"/>
      <c r="D3927" s="1"/>
      <c r="E3927" s="25"/>
      <c r="F3927" s="26"/>
      <c r="G3927" s="26"/>
      <c r="L3927" s="25"/>
      <c r="M3927" s="24"/>
      <c r="N3927" s="26"/>
      <c r="O3927" s="26"/>
      <c r="P3927" s="26"/>
      <c r="Q3927" s="26"/>
      <c r="R3927" s="26"/>
      <c r="S3927" s="26"/>
      <c r="T3927" s="26"/>
      <c r="U3927" s="26"/>
      <c r="V3927" s="26"/>
      <c r="W3927" s="26"/>
      <c r="X3927" s="26"/>
      <c r="Y3927" s="26"/>
      <c r="Z3927" s="26"/>
      <c r="AA3927" s="26"/>
      <c r="AB3927" s="26"/>
      <c r="AC3927" s="27"/>
    </row>
    <row r="3928" spans="1:29" x14ac:dyDescent="0.25">
      <c r="A3928" s="1"/>
      <c r="B3928" s="19"/>
      <c r="C3928" s="24"/>
      <c r="D3928" s="1"/>
      <c r="E3928" s="25"/>
      <c r="F3928" s="26"/>
      <c r="G3928" s="26"/>
      <c r="L3928" s="25"/>
      <c r="M3928" s="24"/>
      <c r="N3928" s="26"/>
      <c r="O3928" s="26"/>
      <c r="P3928" s="26"/>
      <c r="Q3928" s="26"/>
      <c r="R3928" s="26"/>
      <c r="S3928" s="26"/>
      <c r="T3928" s="26"/>
      <c r="U3928" s="26"/>
      <c r="V3928" s="26"/>
      <c r="W3928" s="26"/>
      <c r="X3928" s="26"/>
      <c r="Y3928" s="26"/>
      <c r="Z3928" s="26"/>
      <c r="AA3928" s="26"/>
      <c r="AB3928" s="26"/>
      <c r="AC3928" s="27"/>
    </row>
    <row r="3929" spans="1:29" x14ac:dyDescent="0.25">
      <c r="A3929" s="1"/>
      <c r="B3929" s="19"/>
      <c r="C3929" s="24"/>
      <c r="D3929" s="1"/>
      <c r="E3929" s="25"/>
      <c r="F3929" s="26"/>
      <c r="G3929" s="26"/>
      <c r="L3929" s="25"/>
      <c r="M3929" s="24"/>
      <c r="N3929" s="26"/>
      <c r="O3929" s="26"/>
      <c r="P3929" s="26"/>
      <c r="Q3929" s="26"/>
      <c r="R3929" s="26"/>
      <c r="S3929" s="26"/>
      <c r="T3929" s="26"/>
      <c r="U3929" s="26"/>
      <c r="V3929" s="26"/>
      <c r="W3929" s="26"/>
      <c r="X3929" s="26"/>
      <c r="Y3929" s="26"/>
      <c r="Z3929" s="26"/>
      <c r="AA3929" s="26"/>
      <c r="AB3929" s="26"/>
      <c r="AC3929" s="27"/>
    </row>
    <row r="3930" spans="1:29" x14ac:dyDescent="0.25">
      <c r="A3930" s="1"/>
      <c r="B3930" s="19"/>
      <c r="C3930" s="24"/>
      <c r="D3930" s="1"/>
      <c r="E3930" s="25"/>
      <c r="F3930" s="26"/>
      <c r="G3930" s="26"/>
      <c r="L3930" s="25"/>
      <c r="M3930" s="24"/>
      <c r="N3930" s="26"/>
      <c r="O3930" s="26"/>
      <c r="P3930" s="26"/>
      <c r="Q3930" s="26"/>
      <c r="R3930" s="26"/>
      <c r="S3930" s="26"/>
      <c r="T3930" s="26"/>
      <c r="U3930" s="26"/>
      <c r="V3930" s="26"/>
      <c r="W3930" s="26"/>
      <c r="X3930" s="26"/>
      <c r="Y3930" s="26"/>
      <c r="Z3930" s="26"/>
      <c r="AA3930" s="26"/>
      <c r="AB3930" s="26"/>
      <c r="AC3930" s="27"/>
    </row>
    <row r="3931" spans="1:29" x14ac:dyDescent="0.25">
      <c r="A3931" s="1"/>
      <c r="B3931" s="19"/>
      <c r="C3931" s="24"/>
      <c r="D3931" s="1"/>
      <c r="E3931" s="25"/>
      <c r="F3931" s="26"/>
      <c r="G3931" s="26"/>
      <c r="L3931" s="25"/>
      <c r="M3931" s="24"/>
      <c r="N3931" s="26"/>
      <c r="O3931" s="26"/>
      <c r="P3931" s="26"/>
      <c r="Q3931" s="26"/>
      <c r="R3931" s="26"/>
      <c r="S3931" s="26"/>
      <c r="T3931" s="26"/>
      <c r="U3931" s="26"/>
      <c r="V3931" s="26"/>
      <c r="W3931" s="26"/>
      <c r="X3931" s="26"/>
      <c r="Y3931" s="26"/>
      <c r="Z3931" s="26"/>
      <c r="AA3931" s="26"/>
      <c r="AB3931" s="26"/>
      <c r="AC3931" s="27"/>
    </row>
    <row r="3932" spans="1:29" x14ac:dyDescent="0.25">
      <c r="A3932" s="1"/>
      <c r="B3932" s="19"/>
      <c r="C3932" s="24"/>
      <c r="D3932" s="1"/>
      <c r="E3932" s="25"/>
      <c r="F3932" s="26"/>
      <c r="G3932" s="26"/>
      <c r="L3932" s="25"/>
      <c r="M3932" s="24"/>
      <c r="N3932" s="26"/>
      <c r="O3932" s="26"/>
      <c r="P3932" s="26"/>
      <c r="Q3932" s="26"/>
      <c r="R3932" s="26"/>
      <c r="S3932" s="26"/>
      <c r="T3932" s="26"/>
      <c r="U3932" s="26"/>
      <c r="V3932" s="26"/>
      <c r="W3932" s="26"/>
      <c r="X3932" s="26"/>
      <c r="Y3932" s="26"/>
      <c r="Z3932" s="26"/>
      <c r="AA3932" s="26"/>
      <c r="AB3932" s="26"/>
      <c r="AC3932" s="27"/>
    </row>
    <row r="3933" spans="1:29" x14ac:dyDescent="0.25">
      <c r="A3933" s="1"/>
      <c r="B3933" s="19"/>
      <c r="C3933" s="24"/>
      <c r="D3933" s="1"/>
      <c r="E3933" s="25"/>
      <c r="F3933" s="26"/>
      <c r="G3933" s="26"/>
      <c r="L3933" s="25"/>
      <c r="M3933" s="24"/>
      <c r="N3933" s="26"/>
      <c r="O3933" s="26"/>
      <c r="P3933" s="26"/>
      <c r="Q3933" s="26"/>
      <c r="R3933" s="26"/>
      <c r="S3933" s="26"/>
      <c r="T3933" s="26"/>
      <c r="U3933" s="26"/>
      <c r="V3933" s="26"/>
      <c r="W3933" s="26"/>
      <c r="X3933" s="26"/>
      <c r="Y3933" s="26"/>
      <c r="Z3933" s="26"/>
      <c r="AA3933" s="26"/>
      <c r="AB3933" s="26"/>
      <c r="AC3933" s="27"/>
    </row>
    <row r="3934" spans="1:29" x14ac:dyDescent="0.25">
      <c r="A3934" s="1"/>
      <c r="B3934" s="19"/>
      <c r="C3934" s="24"/>
      <c r="D3934" s="1"/>
      <c r="E3934" s="25"/>
      <c r="F3934" s="26"/>
      <c r="G3934" s="26"/>
      <c r="L3934" s="25"/>
      <c r="M3934" s="24"/>
      <c r="N3934" s="26"/>
      <c r="O3934" s="26"/>
      <c r="P3934" s="26"/>
      <c r="Q3934" s="26"/>
      <c r="R3934" s="26"/>
      <c r="S3934" s="26"/>
      <c r="T3934" s="26"/>
      <c r="U3934" s="26"/>
      <c r="V3934" s="26"/>
      <c r="W3934" s="26"/>
      <c r="X3934" s="26"/>
      <c r="Y3934" s="26"/>
      <c r="Z3934" s="26"/>
      <c r="AA3934" s="26"/>
      <c r="AB3934" s="26"/>
      <c r="AC3934" s="27"/>
    </row>
    <row r="3935" spans="1:29" x14ac:dyDescent="0.25">
      <c r="A3935" s="1"/>
      <c r="B3935" s="19"/>
      <c r="C3935" s="24"/>
      <c r="D3935" s="1"/>
      <c r="E3935" s="25"/>
      <c r="F3935" s="26"/>
      <c r="G3935" s="26"/>
      <c r="L3935" s="25"/>
      <c r="M3935" s="24"/>
      <c r="N3935" s="26"/>
      <c r="O3935" s="26"/>
      <c r="P3935" s="26"/>
      <c r="Q3935" s="26"/>
      <c r="R3935" s="26"/>
      <c r="S3935" s="26"/>
      <c r="T3935" s="26"/>
      <c r="U3935" s="26"/>
      <c r="V3935" s="26"/>
      <c r="W3935" s="26"/>
      <c r="X3935" s="26"/>
      <c r="Y3935" s="26"/>
      <c r="Z3935" s="26"/>
      <c r="AA3935" s="26"/>
      <c r="AB3935" s="26"/>
      <c r="AC3935" s="27"/>
    </row>
    <row r="3936" spans="1:29" x14ac:dyDescent="0.25">
      <c r="A3936" s="1"/>
      <c r="B3936" s="19"/>
      <c r="C3936" s="24"/>
      <c r="D3936" s="1"/>
      <c r="E3936" s="25"/>
      <c r="F3936" s="26"/>
      <c r="G3936" s="26"/>
      <c r="L3936" s="25"/>
      <c r="M3936" s="24"/>
      <c r="N3936" s="26"/>
      <c r="O3936" s="26"/>
      <c r="P3936" s="26"/>
      <c r="Q3936" s="26"/>
      <c r="R3936" s="26"/>
      <c r="S3936" s="26"/>
      <c r="T3936" s="26"/>
      <c r="U3936" s="26"/>
      <c r="V3936" s="26"/>
      <c r="W3936" s="26"/>
      <c r="X3936" s="26"/>
      <c r="Y3936" s="26"/>
      <c r="Z3936" s="26"/>
      <c r="AA3936" s="26"/>
      <c r="AB3936" s="26"/>
      <c r="AC3936" s="27"/>
    </row>
    <row r="3937" spans="1:29" x14ac:dyDescent="0.25">
      <c r="A3937" s="1"/>
      <c r="B3937" s="19"/>
      <c r="C3937" s="24"/>
      <c r="D3937" s="1"/>
      <c r="E3937" s="25"/>
      <c r="F3937" s="26"/>
      <c r="G3937" s="26"/>
      <c r="L3937" s="25"/>
      <c r="M3937" s="24"/>
      <c r="N3937" s="26"/>
      <c r="O3937" s="26"/>
      <c r="P3937" s="26"/>
      <c r="Q3937" s="26"/>
      <c r="R3937" s="26"/>
      <c r="S3937" s="26"/>
      <c r="T3937" s="26"/>
      <c r="U3937" s="26"/>
      <c r="V3937" s="26"/>
      <c r="W3937" s="26"/>
      <c r="X3937" s="26"/>
      <c r="Y3937" s="26"/>
      <c r="Z3937" s="26"/>
      <c r="AA3937" s="26"/>
      <c r="AB3937" s="26"/>
      <c r="AC3937" s="27"/>
    </row>
    <row r="3938" spans="1:29" x14ac:dyDescent="0.25">
      <c r="A3938" s="1"/>
      <c r="B3938" s="19"/>
      <c r="C3938" s="24"/>
      <c r="D3938" s="1"/>
      <c r="E3938" s="25"/>
      <c r="F3938" s="26"/>
      <c r="G3938" s="26"/>
      <c r="L3938" s="25"/>
      <c r="M3938" s="24"/>
      <c r="N3938" s="26"/>
      <c r="O3938" s="26"/>
      <c r="P3938" s="26"/>
      <c r="Q3938" s="26"/>
      <c r="R3938" s="26"/>
      <c r="S3938" s="26"/>
      <c r="T3938" s="26"/>
      <c r="U3938" s="26"/>
      <c r="V3938" s="26"/>
      <c r="W3938" s="26"/>
      <c r="X3938" s="26"/>
      <c r="Y3938" s="26"/>
      <c r="Z3938" s="26"/>
      <c r="AA3938" s="26"/>
      <c r="AB3938" s="26"/>
      <c r="AC3938" s="27"/>
    </row>
    <row r="3939" spans="1:29" x14ac:dyDescent="0.25">
      <c r="A3939" s="1"/>
      <c r="B3939" s="19"/>
      <c r="C3939" s="24"/>
      <c r="D3939" s="1"/>
      <c r="E3939" s="25"/>
      <c r="F3939" s="26"/>
      <c r="G3939" s="26"/>
      <c r="L3939" s="25"/>
      <c r="M3939" s="24"/>
      <c r="N3939" s="26"/>
      <c r="O3939" s="26"/>
      <c r="P3939" s="26"/>
      <c r="Q3939" s="26"/>
      <c r="R3939" s="26"/>
      <c r="S3939" s="26"/>
      <c r="T3939" s="26"/>
      <c r="U3939" s="26"/>
      <c r="V3939" s="26"/>
      <c r="W3939" s="26"/>
      <c r="X3939" s="26"/>
      <c r="Y3939" s="26"/>
      <c r="Z3939" s="26"/>
      <c r="AA3939" s="26"/>
      <c r="AB3939" s="26"/>
      <c r="AC3939" s="27"/>
    </row>
    <row r="3940" spans="1:29" x14ac:dyDescent="0.25">
      <c r="A3940" s="1"/>
      <c r="B3940" s="19"/>
      <c r="C3940" s="24"/>
      <c r="D3940" s="1"/>
      <c r="E3940" s="25"/>
      <c r="F3940" s="26"/>
      <c r="G3940" s="26"/>
      <c r="L3940" s="25"/>
      <c r="M3940" s="24"/>
      <c r="N3940" s="26"/>
      <c r="O3940" s="26"/>
      <c r="P3940" s="26"/>
      <c r="Q3940" s="26"/>
      <c r="R3940" s="26"/>
      <c r="S3940" s="26"/>
      <c r="T3940" s="26"/>
      <c r="U3940" s="26"/>
      <c r="V3940" s="26"/>
      <c r="W3940" s="26"/>
      <c r="X3940" s="26"/>
      <c r="Y3940" s="26"/>
      <c r="Z3940" s="26"/>
      <c r="AA3940" s="26"/>
      <c r="AB3940" s="26"/>
      <c r="AC3940" s="27"/>
    </row>
    <row r="3941" spans="1:29" x14ac:dyDescent="0.25">
      <c r="A3941" s="1"/>
      <c r="B3941" s="19"/>
      <c r="C3941" s="24"/>
      <c r="D3941" s="1"/>
      <c r="E3941" s="25"/>
      <c r="F3941" s="26"/>
      <c r="G3941" s="26"/>
      <c r="L3941" s="25"/>
      <c r="M3941" s="24"/>
      <c r="N3941" s="26"/>
      <c r="O3941" s="26"/>
      <c r="P3941" s="26"/>
      <c r="Q3941" s="26"/>
      <c r="R3941" s="26"/>
      <c r="S3941" s="26"/>
      <c r="T3941" s="26"/>
      <c r="U3941" s="26"/>
      <c r="V3941" s="26"/>
      <c r="W3941" s="26"/>
      <c r="X3941" s="26"/>
      <c r="Y3941" s="26"/>
      <c r="Z3941" s="26"/>
      <c r="AA3941" s="26"/>
      <c r="AB3941" s="26"/>
      <c r="AC3941" s="27"/>
    </row>
    <row r="3942" spans="1:29" x14ac:dyDescent="0.25">
      <c r="A3942" s="1"/>
      <c r="B3942" s="19"/>
      <c r="C3942" s="24"/>
      <c r="D3942" s="1"/>
      <c r="E3942" s="25"/>
      <c r="F3942" s="26"/>
      <c r="G3942" s="26"/>
      <c r="L3942" s="25"/>
      <c r="M3942" s="24"/>
      <c r="N3942" s="26"/>
      <c r="O3942" s="26"/>
      <c r="P3942" s="26"/>
      <c r="Q3942" s="26"/>
      <c r="R3942" s="26"/>
      <c r="S3942" s="26"/>
      <c r="T3942" s="26"/>
      <c r="U3942" s="26"/>
      <c r="V3942" s="26"/>
      <c r="W3942" s="26"/>
      <c r="X3942" s="26"/>
      <c r="Y3942" s="26"/>
      <c r="Z3942" s="26"/>
      <c r="AA3942" s="26"/>
      <c r="AB3942" s="26"/>
      <c r="AC3942" s="27"/>
    </row>
    <row r="3943" spans="1:29" x14ac:dyDescent="0.25">
      <c r="A3943" s="1"/>
      <c r="B3943" s="19"/>
      <c r="C3943" s="24"/>
      <c r="D3943" s="1"/>
      <c r="E3943" s="25"/>
      <c r="F3943" s="26"/>
      <c r="G3943" s="26"/>
      <c r="L3943" s="25"/>
      <c r="M3943" s="24"/>
      <c r="N3943" s="26"/>
      <c r="O3943" s="26"/>
      <c r="P3943" s="26"/>
      <c r="Q3943" s="26"/>
      <c r="R3943" s="26"/>
      <c r="S3943" s="26"/>
      <c r="T3943" s="26"/>
      <c r="U3943" s="26"/>
      <c r="V3943" s="26"/>
      <c r="W3943" s="26"/>
      <c r="X3943" s="26"/>
      <c r="Y3943" s="26"/>
      <c r="Z3943" s="26"/>
      <c r="AA3943" s="26"/>
      <c r="AB3943" s="26"/>
      <c r="AC3943" s="27"/>
    </row>
    <row r="3944" spans="1:29" x14ac:dyDescent="0.25">
      <c r="A3944" s="1"/>
      <c r="B3944" s="19"/>
      <c r="C3944" s="24"/>
      <c r="D3944" s="1"/>
      <c r="E3944" s="25"/>
      <c r="F3944" s="26"/>
      <c r="G3944" s="26"/>
      <c r="L3944" s="25"/>
      <c r="M3944" s="24"/>
      <c r="N3944" s="26"/>
      <c r="O3944" s="26"/>
      <c r="P3944" s="26"/>
      <c r="Q3944" s="26"/>
      <c r="R3944" s="26"/>
      <c r="S3944" s="26"/>
      <c r="T3944" s="26"/>
      <c r="U3944" s="26"/>
      <c r="V3944" s="26"/>
      <c r="W3944" s="26"/>
      <c r="X3944" s="26"/>
      <c r="Y3944" s="26"/>
      <c r="Z3944" s="26"/>
      <c r="AA3944" s="26"/>
      <c r="AB3944" s="26"/>
      <c r="AC3944" s="27"/>
    </row>
    <row r="3945" spans="1:29" x14ac:dyDescent="0.25">
      <c r="A3945" s="1"/>
      <c r="B3945" s="19"/>
      <c r="C3945" s="24"/>
      <c r="D3945" s="1"/>
      <c r="E3945" s="25"/>
      <c r="F3945" s="26"/>
      <c r="G3945" s="26"/>
      <c r="L3945" s="25"/>
      <c r="M3945" s="24"/>
      <c r="N3945" s="26"/>
      <c r="O3945" s="26"/>
      <c r="P3945" s="26"/>
      <c r="Q3945" s="26"/>
      <c r="R3945" s="26"/>
      <c r="S3945" s="26"/>
      <c r="T3945" s="26"/>
      <c r="U3945" s="26"/>
      <c r="V3945" s="26"/>
      <c r="W3945" s="26"/>
      <c r="X3945" s="26"/>
      <c r="Y3945" s="26"/>
      <c r="Z3945" s="26"/>
      <c r="AA3945" s="26"/>
      <c r="AB3945" s="26"/>
      <c r="AC3945" s="27"/>
    </row>
    <row r="3946" spans="1:29" x14ac:dyDescent="0.25">
      <c r="A3946" s="1"/>
      <c r="B3946" s="19"/>
      <c r="C3946" s="24"/>
      <c r="D3946" s="1"/>
      <c r="E3946" s="25"/>
      <c r="F3946" s="26"/>
      <c r="G3946" s="26"/>
      <c r="L3946" s="25"/>
      <c r="M3946" s="24"/>
      <c r="N3946" s="26"/>
      <c r="O3946" s="26"/>
      <c r="P3946" s="26"/>
      <c r="Q3946" s="26"/>
      <c r="R3946" s="26"/>
      <c r="S3946" s="26"/>
      <c r="T3946" s="26"/>
      <c r="U3946" s="26"/>
      <c r="V3946" s="26"/>
      <c r="W3946" s="26"/>
      <c r="X3946" s="26"/>
      <c r="Y3946" s="26"/>
      <c r="Z3946" s="26"/>
      <c r="AA3946" s="26"/>
      <c r="AB3946" s="26"/>
      <c r="AC3946" s="27"/>
    </row>
    <row r="3947" spans="1:29" x14ac:dyDescent="0.25">
      <c r="A3947" s="1"/>
      <c r="B3947" s="19"/>
      <c r="C3947" s="24"/>
      <c r="D3947" s="1"/>
      <c r="E3947" s="25"/>
      <c r="F3947" s="26"/>
      <c r="G3947" s="26"/>
      <c r="L3947" s="25"/>
      <c r="M3947" s="24"/>
      <c r="N3947" s="26"/>
      <c r="O3947" s="26"/>
      <c r="P3947" s="26"/>
      <c r="Q3947" s="26"/>
      <c r="R3947" s="26"/>
      <c r="S3947" s="26"/>
      <c r="T3947" s="26"/>
      <c r="U3947" s="26"/>
      <c r="V3947" s="26"/>
      <c r="W3947" s="26"/>
      <c r="X3947" s="26"/>
      <c r="Y3947" s="26"/>
      <c r="Z3947" s="26"/>
      <c r="AA3947" s="26"/>
      <c r="AB3947" s="26"/>
      <c r="AC3947" s="27"/>
    </row>
    <row r="3948" spans="1:29" x14ac:dyDescent="0.25">
      <c r="A3948" s="1"/>
      <c r="B3948" s="19"/>
      <c r="C3948" s="24"/>
      <c r="D3948" s="1"/>
      <c r="E3948" s="25"/>
      <c r="F3948" s="26"/>
      <c r="G3948" s="26"/>
      <c r="L3948" s="25"/>
      <c r="M3948" s="24"/>
      <c r="N3948" s="26"/>
      <c r="O3948" s="26"/>
      <c r="P3948" s="26"/>
      <c r="Q3948" s="26"/>
      <c r="R3948" s="26"/>
      <c r="S3948" s="26"/>
      <c r="T3948" s="26"/>
      <c r="U3948" s="26"/>
      <c r="V3948" s="26"/>
      <c r="W3948" s="26"/>
      <c r="X3948" s="26"/>
      <c r="Y3948" s="26"/>
      <c r="Z3948" s="26"/>
      <c r="AA3948" s="26"/>
      <c r="AB3948" s="26"/>
      <c r="AC3948" s="27"/>
    </row>
    <row r="3949" spans="1:29" x14ac:dyDescent="0.25">
      <c r="A3949" s="1"/>
      <c r="B3949" s="19"/>
      <c r="C3949" s="24"/>
      <c r="D3949" s="1"/>
      <c r="E3949" s="25"/>
      <c r="F3949" s="26"/>
      <c r="G3949" s="26"/>
      <c r="L3949" s="25"/>
      <c r="M3949" s="24"/>
      <c r="N3949" s="26"/>
      <c r="O3949" s="26"/>
      <c r="P3949" s="26"/>
      <c r="Q3949" s="26"/>
      <c r="R3949" s="26"/>
      <c r="S3949" s="26"/>
      <c r="T3949" s="26"/>
      <c r="U3949" s="26"/>
      <c r="V3949" s="26"/>
      <c r="W3949" s="26"/>
      <c r="X3949" s="26"/>
      <c r="Y3949" s="26"/>
      <c r="Z3949" s="26"/>
      <c r="AA3949" s="26"/>
      <c r="AB3949" s="26"/>
      <c r="AC3949" s="27"/>
    </row>
    <row r="3950" spans="1:29" x14ac:dyDescent="0.25">
      <c r="A3950" s="1"/>
      <c r="B3950" s="19"/>
      <c r="C3950" s="24"/>
      <c r="D3950" s="1"/>
      <c r="E3950" s="25"/>
      <c r="F3950" s="26"/>
      <c r="G3950" s="26"/>
      <c r="L3950" s="25"/>
      <c r="M3950" s="24"/>
      <c r="N3950" s="26"/>
      <c r="O3950" s="26"/>
      <c r="P3950" s="26"/>
      <c r="Q3950" s="26"/>
      <c r="R3950" s="26"/>
      <c r="S3950" s="26"/>
      <c r="T3950" s="26"/>
      <c r="U3950" s="26"/>
      <c r="V3950" s="26"/>
      <c r="W3950" s="26"/>
      <c r="X3950" s="26"/>
      <c r="Y3950" s="26"/>
      <c r="Z3950" s="26"/>
      <c r="AA3950" s="26"/>
      <c r="AB3950" s="26"/>
      <c r="AC3950" s="27"/>
    </row>
    <row r="3951" spans="1:29" x14ac:dyDescent="0.25">
      <c r="A3951" s="1"/>
      <c r="B3951" s="19"/>
      <c r="C3951" s="24"/>
      <c r="D3951" s="1"/>
      <c r="E3951" s="25"/>
      <c r="F3951" s="26"/>
      <c r="G3951" s="26"/>
      <c r="L3951" s="25"/>
      <c r="M3951" s="24"/>
      <c r="N3951" s="26"/>
      <c r="O3951" s="26"/>
      <c r="P3951" s="26"/>
      <c r="Q3951" s="26"/>
      <c r="R3951" s="26"/>
      <c r="S3951" s="26"/>
      <c r="T3951" s="26"/>
      <c r="U3951" s="26"/>
      <c r="V3951" s="26"/>
      <c r="W3951" s="26"/>
      <c r="X3951" s="26"/>
      <c r="Y3951" s="26"/>
      <c r="Z3951" s="26"/>
      <c r="AA3951" s="26"/>
      <c r="AB3951" s="26"/>
      <c r="AC3951" s="27"/>
    </row>
    <row r="3952" spans="1:29" x14ac:dyDescent="0.25">
      <c r="A3952" s="1"/>
      <c r="B3952" s="19"/>
      <c r="C3952" s="24"/>
      <c r="D3952" s="1"/>
      <c r="E3952" s="25"/>
      <c r="F3952" s="26"/>
      <c r="G3952" s="26"/>
      <c r="L3952" s="25"/>
      <c r="M3952" s="24"/>
      <c r="N3952" s="26"/>
      <c r="O3952" s="26"/>
      <c r="P3952" s="26"/>
      <c r="Q3952" s="26"/>
      <c r="R3952" s="26"/>
      <c r="S3952" s="26"/>
      <c r="T3952" s="26"/>
      <c r="U3952" s="26"/>
      <c r="V3952" s="26"/>
      <c r="W3952" s="26"/>
      <c r="X3952" s="26"/>
      <c r="Y3952" s="26"/>
      <c r="Z3952" s="26"/>
      <c r="AA3952" s="26"/>
      <c r="AB3952" s="26"/>
      <c r="AC3952" s="27"/>
    </row>
    <row r="3953" spans="1:29" x14ac:dyDescent="0.25">
      <c r="A3953" s="1"/>
      <c r="B3953" s="19"/>
      <c r="C3953" s="24"/>
      <c r="D3953" s="1"/>
      <c r="E3953" s="25"/>
      <c r="F3953" s="26"/>
      <c r="G3953" s="26"/>
      <c r="L3953" s="25"/>
      <c r="M3953" s="24"/>
      <c r="N3953" s="26"/>
      <c r="O3953" s="26"/>
      <c r="P3953" s="26"/>
      <c r="Q3953" s="26"/>
      <c r="R3953" s="26"/>
      <c r="S3953" s="26"/>
      <c r="T3953" s="26"/>
      <c r="U3953" s="26"/>
      <c r="V3953" s="26"/>
      <c r="W3953" s="26"/>
      <c r="X3953" s="26"/>
      <c r="Y3953" s="26"/>
      <c r="Z3953" s="26"/>
      <c r="AA3953" s="26"/>
      <c r="AB3953" s="26"/>
      <c r="AC3953" s="27"/>
    </row>
    <row r="3954" spans="1:29" x14ac:dyDescent="0.25">
      <c r="A3954" s="1"/>
      <c r="B3954" s="19"/>
      <c r="C3954" s="24"/>
      <c r="D3954" s="1"/>
      <c r="E3954" s="25"/>
      <c r="F3954" s="26"/>
      <c r="G3954" s="26"/>
      <c r="L3954" s="25"/>
      <c r="M3954" s="24"/>
      <c r="N3954" s="26"/>
      <c r="O3954" s="26"/>
      <c r="P3954" s="26"/>
      <c r="Q3954" s="26"/>
      <c r="R3954" s="26"/>
      <c r="S3954" s="26"/>
      <c r="T3954" s="26"/>
      <c r="U3954" s="26"/>
      <c r="V3954" s="26"/>
      <c r="W3954" s="26"/>
      <c r="X3954" s="26"/>
      <c r="Y3954" s="26"/>
      <c r="Z3954" s="26"/>
      <c r="AA3954" s="26"/>
      <c r="AB3954" s="26"/>
      <c r="AC3954" s="27"/>
    </row>
    <row r="3955" spans="1:29" x14ac:dyDescent="0.25">
      <c r="A3955" s="1"/>
      <c r="B3955" s="19"/>
      <c r="C3955" s="24"/>
      <c r="D3955" s="1"/>
      <c r="E3955" s="25"/>
      <c r="F3955" s="26"/>
      <c r="G3955" s="26"/>
      <c r="L3955" s="25"/>
      <c r="M3955" s="24"/>
      <c r="N3955" s="26"/>
      <c r="O3955" s="26"/>
      <c r="P3955" s="26"/>
      <c r="Q3955" s="26"/>
      <c r="R3955" s="26"/>
      <c r="S3955" s="26"/>
      <c r="T3955" s="26"/>
      <c r="U3955" s="26"/>
      <c r="V3955" s="26"/>
      <c r="W3955" s="26"/>
      <c r="X3955" s="26"/>
      <c r="Y3955" s="26"/>
      <c r="Z3955" s="26"/>
      <c r="AA3955" s="26"/>
      <c r="AB3955" s="26"/>
      <c r="AC3955" s="27"/>
    </row>
    <row r="3956" spans="1:29" x14ac:dyDescent="0.25">
      <c r="A3956" s="1"/>
      <c r="B3956" s="19"/>
      <c r="C3956" s="24"/>
      <c r="D3956" s="1"/>
      <c r="E3956" s="25"/>
      <c r="F3956" s="26"/>
      <c r="G3956" s="26"/>
      <c r="L3956" s="25"/>
      <c r="M3956" s="24"/>
      <c r="N3956" s="26"/>
      <c r="O3956" s="26"/>
      <c r="P3956" s="26"/>
      <c r="Q3956" s="26"/>
      <c r="R3956" s="26"/>
      <c r="S3956" s="26"/>
      <c r="T3956" s="26"/>
      <c r="U3956" s="26"/>
      <c r="V3956" s="26"/>
      <c r="W3956" s="26"/>
      <c r="X3956" s="26"/>
      <c r="Y3956" s="26"/>
      <c r="Z3956" s="26"/>
      <c r="AA3956" s="26"/>
      <c r="AB3956" s="26"/>
      <c r="AC3956" s="27"/>
    </row>
    <row r="3957" spans="1:29" x14ac:dyDescent="0.25">
      <c r="A3957" s="1"/>
      <c r="B3957" s="19"/>
      <c r="C3957" s="24"/>
      <c r="D3957" s="1"/>
      <c r="E3957" s="25"/>
      <c r="F3957" s="26"/>
      <c r="G3957" s="26"/>
      <c r="L3957" s="25"/>
      <c r="M3957" s="24"/>
      <c r="N3957" s="26"/>
      <c r="O3957" s="26"/>
      <c r="P3957" s="26"/>
      <c r="Q3957" s="26"/>
      <c r="R3957" s="26"/>
      <c r="S3957" s="26"/>
      <c r="T3957" s="26"/>
      <c r="U3957" s="26"/>
      <c r="V3957" s="26"/>
      <c r="W3957" s="26"/>
      <c r="X3957" s="26"/>
      <c r="Y3957" s="26"/>
      <c r="Z3957" s="26"/>
      <c r="AA3957" s="26"/>
      <c r="AB3957" s="26"/>
      <c r="AC3957" s="27"/>
    </row>
    <row r="3958" spans="1:29" x14ac:dyDescent="0.25">
      <c r="A3958" s="1"/>
      <c r="B3958" s="19"/>
      <c r="C3958" s="24"/>
      <c r="D3958" s="1"/>
      <c r="E3958" s="25"/>
      <c r="F3958" s="26"/>
      <c r="G3958" s="26"/>
      <c r="L3958" s="25"/>
      <c r="M3958" s="24"/>
      <c r="N3958" s="26"/>
      <c r="O3958" s="26"/>
      <c r="P3958" s="26"/>
      <c r="Q3958" s="26"/>
      <c r="R3958" s="26"/>
      <c r="S3958" s="26"/>
      <c r="T3958" s="26"/>
      <c r="U3958" s="26"/>
      <c r="V3958" s="26"/>
      <c r="W3958" s="26"/>
      <c r="X3958" s="26"/>
      <c r="Y3958" s="26"/>
      <c r="Z3958" s="26"/>
      <c r="AA3958" s="26"/>
      <c r="AB3958" s="26"/>
      <c r="AC3958" s="27"/>
    </row>
    <row r="3959" spans="1:29" x14ac:dyDescent="0.25">
      <c r="A3959" s="1"/>
      <c r="B3959" s="19"/>
      <c r="C3959" s="24"/>
      <c r="D3959" s="1"/>
      <c r="E3959" s="25"/>
      <c r="F3959" s="26"/>
      <c r="G3959" s="26"/>
      <c r="L3959" s="25"/>
      <c r="M3959" s="24"/>
      <c r="N3959" s="26"/>
      <c r="O3959" s="26"/>
      <c r="P3959" s="26"/>
      <c r="Q3959" s="26"/>
      <c r="R3959" s="26"/>
      <c r="S3959" s="26"/>
      <c r="T3959" s="26"/>
      <c r="U3959" s="26"/>
      <c r="V3959" s="26"/>
      <c r="W3959" s="26"/>
      <c r="X3959" s="26"/>
      <c r="Y3959" s="26"/>
      <c r="Z3959" s="26"/>
      <c r="AA3959" s="26"/>
      <c r="AB3959" s="26"/>
      <c r="AC3959" s="27"/>
    </row>
    <row r="3960" spans="1:29" x14ac:dyDescent="0.25">
      <c r="A3960" s="1"/>
      <c r="B3960" s="19"/>
      <c r="C3960" s="24"/>
      <c r="D3960" s="1"/>
      <c r="E3960" s="25"/>
      <c r="F3960" s="26"/>
      <c r="G3960" s="26"/>
      <c r="L3960" s="25"/>
      <c r="M3960" s="24"/>
      <c r="N3960" s="26"/>
      <c r="O3960" s="26"/>
      <c r="P3960" s="26"/>
      <c r="Q3960" s="26"/>
      <c r="R3960" s="26"/>
      <c r="S3960" s="26"/>
      <c r="T3960" s="26"/>
      <c r="U3960" s="26"/>
      <c r="V3960" s="26"/>
      <c r="W3960" s="26"/>
      <c r="X3960" s="26"/>
      <c r="Y3960" s="26"/>
      <c r="Z3960" s="26"/>
      <c r="AA3960" s="26"/>
      <c r="AB3960" s="26"/>
      <c r="AC3960" s="27"/>
    </row>
    <row r="3961" spans="1:29" x14ac:dyDescent="0.25">
      <c r="A3961" s="1"/>
      <c r="B3961" s="19"/>
      <c r="C3961" s="24"/>
      <c r="D3961" s="1"/>
      <c r="E3961" s="25"/>
      <c r="F3961" s="26"/>
      <c r="G3961" s="26"/>
      <c r="L3961" s="25"/>
      <c r="M3961" s="24"/>
      <c r="N3961" s="26"/>
      <c r="O3961" s="26"/>
      <c r="P3961" s="26"/>
      <c r="Q3961" s="26"/>
      <c r="R3961" s="26"/>
      <c r="S3961" s="26"/>
      <c r="T3961" s="26"/>
      <c r="U3961" s="26"/>
      <c r="V3961" s="26"/>
      <c r="W3961" s="26"/>
      <c r="X3961" s="26"/>
      <c r="Y3961" s="26"/>
      <c r="Z3961" s="26"/>
      <c r="AA3961" s="26"/>
      <c r="AB3961" s="26"/>
      <c r="AC3961" s="27"/>
    </row>
    <row r="3962" spans="1:29" x14ac:dyDescent="0.25">
      <c r="A3962" s="1"/>
      <c r="B3962" s="19"/>
      <c r="C3962" s="24"/>
      <c r="D3962" s="1"/>
      <c r="E3962" s="25"/>
      <c r="F3962" s="26"/>
      <c r="G3962" s="26"/>
      <c r="L3962" s="25"/>
      <c r="M3962" s="24"/>
      <c r="N3962" s="26"/>
      <c r="O3962" s="26"/>
      <c r="P3962" s="26"/>
      <c r="Q3962" s="26"/>
      <c r="R3962" s="26"/>
      <c r="S3962" s="26"/>
      <c r="T3962" s="26"/>
      <c r="U3962" s="26"/>
      <c r="V3962" s="26"/>
      <c r="W3962" s="26"/>
      <c r="X3962" s="26"/>
      <c r="Y3962" s="26"/>
      <c r="Z3962" s="26"/>
      <c r="AA3962" s="26"/>
      <c r="AB3962" s="26"/>
      <c r="AC3962" s="27"/>
    </row>
    <row r="3963" spans="1:29" x14ac:dyDescent="0.25">
      <c r="A3963" s="1"/>
      <c r="B3963" s="19"/>
      <c r="C3963" s="24"/>
      <c r="D3963" s="1"/>
      <c r="E3963" s="25"/>
      <c r="F3963" s="26"/>
      <c r="G3963" s="26"/>
      <c r="L3963" s="25"/>
      <c r="M3963" s="24"/>
      <c r="N3963" s="26"/>
      <c r="O3963" s="26"/>
      <c r="P3963" s="26"/>
      <c r="Q3963" s="26"/>
      <c r="R3963" s="26"/>
      <c r="S3963" s="26"/>
      <c r="T3963" s="26"/>
      <c r="U3963" s="26"/>
      <c r="V3963" s="26"/>
      <c r="W3963" s="26"/>
      <c r="X3963" s="26"/>
      <c r="Y3963" s="26"/>
      <c r="Z3963" s="26"/>
      <c r="AA3963" s="26"/>
      <c r="AB3963" s="26"/>
      <c r="AC3963" s="27"/>
    </row>
    <row r="3964" spans="1:29" x14ac:dyDescent="0.25">
      <c r="A3964" s="1"/>
      <c r="B3964" s="19"/>
      <c r="C3964" s="24"/>
      <c r="D3964" s="1"/>
      <c r="E3964" s="25"/>
      <c r="F3964" s="26"/>
      <c r="G3964" s="26"/>
      <c r="L3964" s="25"/>
      <c r="M3964" s="24"/>
      <c r="N3964" s="26"/>
      <c r="O3964" s="26"/>
      <c r="P3964" s="26"/>
      <c r="Q3964" s="26"/>
      <c r="R3964" s="26"/>
      <c r="S3964" s="26"/>
      <c r="T3964" s="26"/>
      <c r="U3964" s="26"/>
      <c r="V3964" s="26"/>
      <c r="W3964" s="26"/>
      <c r="X3964" s="26"/>
      <c r="Y3964" s="26"/>
      <c r="Z3964" s="26"/>
      <c r="AA3964" s="26"/>
      <c r="AB3964" s="26"/>
      <c r="AC3964" s="27"/>
    </row>
    <row r="3965" spans="1:29" x14ac:dyDescent="0.25">
      <c r="A3965" s="1"/>
      <c r="B3965" s="19"/>
      <c r="C3965" s="24"/>
      <c r="D3965" s="1"/>
      <c r="E3965" s="25"/>
      <c r="F3965" s="26"/>
      <c r="G3965" s="26"/>
      <c r="L3965" s="25"/>
      <c r="M3965" s="24"/>
      <c r="N3965" s="26"/>
      <c r="O3965" s="26"/>
      <c r="P3965" s="26"/>
      <c r="Q3965" s="26"/>
      <c r="R3965" s="26"/>
      <c r="S3965" s="26"/>
      <c r="T3965" s="26"/>
      <c r="U3965" s="26"/>
      <c r="V3965" s="26"/>
      <c r="W3965" s="26"/>
      <c r="X3965" s="26"/>
      <c r="Y3965" s="26"/>
      <c r="Z3965" s="26"/>
      <c r="AA3965" s="26"/>
      <c r="AB3965" s="26"/>
      <c r="AC3965" s="27"/>
    </row>
    <row r="3966" spans="1:29" x14ac:dyDescent="0.25">
      <c r="A3966" s="1"/>
      <c r="B3966" s="19"/>
      <c r="C3966" s="24"/>
      <c r="D3966" s="1"/>
      <c r="E3966" s="25"/>
      <c r="F3966" s="26"/>
      <c r="G3966" s="26"/>
      <c r="L3966" s="25"/>
      <c r="M3966" s="24"/>
      <c r="N3966" s="26"/>
      <c r="O3966" s="26"/>
      <c r="P3966" s="26"/>
      <c r="Q3966" s="26"/>
      <c r="R3966" s="26"/>
      <c r="S3966" s="26"/>
      <c r="T3966" s="26"/>
      <c r="U3966" s="26"/>
      <c r="V3966" s="26"/>
      <c r="W3966" s="26"/>
      <c r="X3966" s="26"/>
      <c r="Y3966" s="26"/>
      <c r="Z3966" s="26"/>
      <c r="AA3966" s="26"/>
      <c r="AB3966" s="26"/>
      <c r="AC3966" s="27"/>
    </row>
    <row r="3967" spans="1:29" x14ac:dyDescent="0.25">
      <c r="A3967" s="1"/>
      <c r="B3967" s="19"/>
      <c r="C3967" s="24"/>
      <c r="D3967" s="1"/>
      <c r="E3967" s="25"/>
      <c r="F3967" s="26"/>
      <c r="G3967" s="26"/>
      <c r="L3967" s="25"/>
      <c r="M3967" s="24"/>
      <c r="N3967" s="26"/>
      <c r="O3967" s="26"/>
      <c r="P3967" s="26"/>
      <c r="Q3967" s="26"/>
      <c r="R3967" s="26"/>
      <c r="S3967" s="26"/>
      <c r="T3967" s="26"/>
      <c r="U3967" s="26"/>
      <c r="V3967" s="26"/>
      <c r="W3967" s="26"/>
      <c r="X3967" s="26"/>
      <c r="Y3967" s="26"/>
      <c r="Z3967" s="26"/>
      <c r="AA3967" s="26"/>
      <c r="AB3967" s="26"/>
      <c r="AC3967" s="27"/>
    </row>
    <row r="3968" spans="1:29" x14ac:dyDescent="0.25">
      <c r="A3968" s="1"/>
      <c r="B3968" s="19"/>
      <c r="C3968" s="24"/>
      <c r="D3968" s="1"/>
      <c r="E3968" s="25"/>
      <c r="F3968" s="26"/>
      <c r="G3968" s="26"/>
      <c r="L3968" s="25"/>
      <c r="M3968" s="24"/>
      <c r="N3968" s="26"/>
      <c r="O3968" s="26"/>
      <c r="P3968" s="26"/>
      <c r="Q3968" s="26"/>
      <c r="R3968" s="26"/>
      <c r="S3968" s="26"/>
      <c r="T3968" s="26"/>
      <c r="U3968" s="26"/>
      <c r="V3968" s="26"/>
      <c r="W3968" s="26"/>
      <c r="X3968" s="26"/>
      <c r="Y3968" s="26"/>
      <c r="Z3968" s="26"/>
      <c r="AA3968" s="26"/>
      <c r="AB3968" s="26"/>
      <c r="AC3968" s="27"/>
    </row>
    <row r="3969" spans="1:29" x14ac:dyDescent="0.25">
      <c r="A3969" s="1"/>
      <c r="B3969" s="19"/>
      <c r="C3969" s="24"/>
      <c r="D3969" s="1"/>
      <c r="E3969" s="25"/>
      <c r="F3969" s="26"/>
      <c r="G3969" s="26"/>
      <c r="L3969" s="25"/>
      <c r="M3969" s="24"/>
      <c r="N3969" s="26"/>
      <c r="O3969" s="26"/>
      <c r="P3969" s="26"/>
      <c r="Q3969" s="26"/>
      <c r="R3969" s="26"/>
      <c r="S3969" s="26"/>
      <c r="T3969" s="26"/>
      <c r="U3969" s="26"/>
      <c r="V3969" s="26"/>
      <c r="W3969" s="26"/>
      <c r="X3969" s="26"/>
      <c r="Y3969" s="26"/>
      <c r="Z3969" s="26"/>
      <c r="AA3969" s="26"/>
      <c r="AB3969" s="26"/>
      <c r="AC3969" s="27"/>
    </row>
    <row r="3970" spans="1:29" x14ac:dyDescent="0.25">
      <c r="A3970" s="1"/>
      <c r="B3970" s="19"/>
      <c r="C3970" s="24"/>
      <c r="D3970" s="1"/>
      <c r="E3970" s="25"/>
      <c r="F3970" s="26"/>
      <c r="G3970" s="26"/>
      <c r="L3970" s="25"/>
      <c r="M3970" s="24"/>
      <c r="N3970" s="26"/>
      <c r="O3970" s="26"/>
      <c r="P3970" s="26"/>
      <c r="Q3970" s="26"/>
      <c r="R3970" s="26"/>
      <c r="S3970" s="26"/>
      <c r="T3970" s="26"/>
      <c r="U3970" s="26"/>
      <c r="V3970" s="26"/>
      <c r="W3970" s="26"/>
      <c r="X3970" s="26"/>
      <c r="Y3970" s="26"/>
      <c r="Z3970" s="26"/>
      <c r="AA3970" s="26"/>
      <c r="AB3970" s="26"/>
      <c r="AC3970" s="27"/>
    </row>
    <row r="3971" spans="1:29" x14ac:dyDescent="0.25">
      <c r="A3971" s="1"/>
      <c r="B3971" s="19"/>
      <c r="C3971" s="24"/>
      <c r="D3971" s="1"/>
      <c r="E3971" s="25"/>
      <c r="F3971" s="26"/>
      <c r="G3971" s="26"/>
      <c r="L3971" s="25"/>
      <c r="M3971" s="24"/>
      <c r="N3971" s="26"/>
      <c r="O3971" s="26"/>
      <c r="P3971" s="26"/>
      <c r="Q3971" s="26"/>
      <c r="R3971" s="26"/>
      <c r="S3971" s="26"/>
      <c r="T3971" s="26"/>
      <c r="U3971" s="26"/>
      <c r="V3971" s="26"/>
      <c r="W3971" s="26"/>
      <c r="X3971" s="26"/>
      <c r="Y3971" s="26"/>
      <c r="Z3971" s="26"/>
      <c r="AA3971" s="26"/>
      <c r="AB3971" s="26"/>
      <c r="AC3971" s="27"/>
    </row>
    <row r="3972" spans="1:29" x14ac:dyDescent="0.25">
      <c r="A3972" s="1"/>
      <c r="B3972" s="19"/>
      <c r="C3972" s="24"/>
      <c r="D3972" s="1"/>
      <c r="E3972" s="25"/>
      <c r="F3972" s="26"/>
      <c r="G3972" s="26"/>
      <c r="L3972" s="25"/>
      <c r="M3972" s="24"/>
      <c r="N3972" s="26"/>
      <c r="O3972" s="26"/>
      <c r="P3972" s="26"/>
      <c r="Q3972" s="26"/>
      <c r="R3972" s="26"/>
      <c r="S3972" s="26"/>
      <c r="T3972" s="26"/>
      <c r="U3972" s="26"/>
      <c r="V3972" s="26"/>
      <c r="W3972" s="26"/>
      <c r="X3972" s="26"/>
      <c r="Y3972" s="26"/>
      <c r="Z3972" s="26"/>
      <c r="AA3972" s="26"/>
      <c r="AB3972" s="26"/>
      <c r="AC3972" s="27"/>
    </row>
    <row r="3973" spans="1:29" x14ac:dyDescent="0.25">
      <c r="A3973" s="1"/>
      <c r="B3973" s="19"/>
      <c r="C3973" s="24"/>
      <c r="D3973" s="1"/>
      <c r="E3973" s="25"/>
      <c r="F3973" s="26"/>
      <c r="G3973" s="26"/>
      <c r="L3973" s="25"/>
      <c r="M3973" s="24"/>
      <c r="N3973" s="26"/>
      <c r="O3973" s="26"/>
      <c r="P3973" s="26"/>
      <c r="Q3973" s="26"/>
      <c r="R3973" s="26"/>
      <c r="S3973" s="26"/>
      <c r="T3973" s="26"/>
      <c r="U3973" s="26"/>
      <c r="V3973" s="26"/>
      <c r="W3973" s="26"/>
      <c r="X3973" s="26"/>
      <c r="Y3973" s="26"/>
      <c r="Z3973" s="26"/>
      <c r="AA3973" s="26"/>
      <c r="AB3973" s="26"/>
      <c r="AC3973" s="27"/>
    </row>
    <row r="3974" spans="1:29" x14ac:dyDescent="0.25">
      <c r="A3974" s="1"/>
      <c r="B3974" s="19"/>
      <c r="C3974" s="24"/>
      <c r="D3974" s="1"/>
      <c r="E3974" s="25"/>
      <c r="F3974" s="26"/>
      <c r="G3974" s="26"/>
      <c r="L3974" s="25"/>
      <c r="M3974" s="24"/>
      <c r="N3974" s="26"/>
      <c r="O3974" s="26"/>
      <c r="P3974" s="26"/>
      <c r="Q3974" s="26"/>
      <c r="R3974" s="26"/>
      <c r="S3974" s="26"/>
      <c r="T3974" s="26"/>
      <c r="U3974" s="26"/>
      <c r="V3974" s="26"/>
      <c r="W3974" s="26"/>
      <c r="X3974" s="26"/>
      <c r="Y3974" s="26"/>
      <c r="Z3974" s="26"/>
      <c r="AA3974" s="26"/>
      <c r="AB3974" s="26"/>
      <c r="AC3974" s="27"/>
    </row>
    <row r="3975" spans="1:29" x14ac:dyDescent="0.25">
      <c r="A3975" s="1"/>
      <c r="B3975" s="19"/>
      <c r="C3975" s="24"/>
      <c r="D3975" s="1"/>
      <c r="E3975" s="25"/>
      <c r="F3975" s="26"/>
      <c r="G3975" s="26"/>
      <c r="L3975" s="25"/>
      <c r="M3975" s="24"/>
      <c r="N3975" s="26"/>
      <c r="O3975" s="26"/>
      <c r="P3975" s="26"/>
      <c r="Q3975" s="26"/>
      <c r="R3975" s="26"/>
      <c r="S3975" s="26"/>
      <c r="T3975" s="26"/>
      <c r="U3975" s="26"/>
      <c r="V3975" s="26"/>
      <c r="W3975" s="26"/>
      <c r="X3975" s="26"/>
      <c r="Y3975" s="26"/>
      <c r="Z3975" s="26"/>
      <c r="AA3975" s="26"/>
      <c r="AB3975" s="26"/>
      <c r="AC3975" s="27"/>
    </row>
    <row r="3976" spans="1:29" x14ac:dyDescent="0.25">
      <c r="A3976" s="1"/>
      <c r="B3976" s="19"/>
      <c r="C3976" s="24"/>
      <c r="D3976" s="1"/>
      <c r="E3976" s="25"/>
      <c r="F3976" s="26"/>
      <c r="G3976" s="26"/>
      <c r="L3976" s="25"/>
      <c r="M3976" s="24"/>
      <c r="N3976" s="26"/>
      <c r="O3976" s="26"/>
      <c r="P3976" s="26"/>
      <c r="Q3976" s="26"/>
      <c r="R3976" s="26"/>
      <c r="S3976" s="26"/>
      <c r="T3976" s="26"/>
      <c r="U3976" s="26"/>
      <c r="V3976" s="26"/>
      <c r="W3976" s="26"/>
      <c r="X3976" s="26"/>
      <c r="Y3976" s="26"/>
      <c r="Z3976" s="26"/>
      <c r="AA3976" s="26"/>
      <c r="AB3976" s="26"/>
      <c r="AC3976" s="27"/>
    </row>
    <row r="3977" spans="1:29" x14ac:dyDescent="0.25">
      <c r="A3977" s="1"/>
      <c r="B3977" s="19"/>
      <c r="C3977" s="24"/>
      <c r="D3977" s="1"/>
      <c r="E3977" s="25"/>
      <c r="F3977" s="26"/>
      <c r="G3977" s="26"/>
      <c r="L3977" s="25"/>
      <c r="M3977" s="24"/>
      <c r="N3977" s="26"/>
      <c r="O3977" s="26"/>
      <c r="P3977" s="26"/>
      <c r="Q3977" s="26"/>
      <c r="R3977" s="26"/>
      <c r="S3977" s="26"/>
      <c r="T3977" s="26"/>
      <c r="U3977" s="26"/>
      <c r="V3977" s="26"/>
      <c r="W3977" s="26"/>
      <c r="X3977" s="26"/>
      <c r="Y3977" s="26"/>
      <c r="Z3977" s="26"/>
      <c r="AA3977" s="26"/>
      <c r="AB3977" s="26"/>
      <c r="AC3977" s="27"/>
    </row>
    <row r="3978" spans="1:29" x14ac:dyDescent="0.25">
      <c r="A3978" s="1"/>
      <c r="B3978" s="19"/>
      <c r="C3978" s="24"/>
      <c r="D3978" s="1"/>
      <c r="E3978" s="25"/>
      <c r="F3978" s="26"/>
      <c r="G3978" s="26"/>
      <c r="L3978" s="25"/>
      <c r="M3978" s="24"/>
      <c r="N3978" s="26"/>
      <c r="O3978" s="26"/>
      <c r="P3978" s="26"/>
      <c r="Q3978" s="26"/>
      <c r="R3978" s="26"/>
      <c r="S3978" s="26"/>
      <c r="T3978" s="26"/>
      <c r="U3978" s="26"/>
      <c r="V3978" s="26"/>
      <c r="W3978" s="26"/>
      <c r="X3978" s="26"/>
      <c r="Y3978" s="26"/>
      <c r="Z3978" s="26"/>
      <c r="AA3978" s="26"/>
      <c r="AB3978" s="26"/>
      <c r="AC3978" s="27"/>
    </row>
    <row r="3979" spans="1:29" x14ac:dyDescent="0.25">
      <c r="A3979" s="1"/>
      <c r="B3979" s="19"/>
      <c r="C3979" s="24"/>
      <c r="D3979" s="1"/>
      <c r="E3979" s="25"/>
      <c r="F3979" s="26"/>
      <c r="G3979" s="26"/>
      <c r="L3979" s="25"/>
      <c r="M3979" s="24"/>
      <c r="N3979" s="26"/>
      <c r="O3979" s="26"/>
      <c r="P3979" s="26"/>
      <c r="Q3979" s="26"/>
      <c r="R3979" s="26"/>
      <c r="S3979" s="26"/>
      <c r="T3979" s="26"/>
      <c r="U3979" s="26"/>
      <c r="V3979" s="26"/>
      <c r="W3979" s="26"/>
      <c r="X3979" s="26"/>
      <c r="Y3979" s="26"/>
      <c r="Z3979" s="26"/>
      <c r="AA3979" s="26"/>
      <c r="AB3979" s="26"/>
      <c r="AC3979" s="27"/>
    </row>
    <row r="3980" spans="1:29" x14ac:dyDescent="0.25">
      <c r="A3980" s="1"/>
      <c r="B3980" s="19"/>
      <c r="C3980" s="24"/>
      <c r="D3980" s="1"/>
      <c r="E3980" s="25"/>
      <c r="F3980" s="26"/>
      <c r="G3980" s="26"/>
      <c r="L3980" s="25"/>
      <c r="M3980" s="24"/>
      <c r="N3980" s="26"/>
      <c r="O3980" s="26"/>
      <c r="P3980" s="26"/>
      <c r="Q3980" s="26"/>
      <c r="R3980" s="26"/>
      <c r="S3980" s="26"/>
      <c r="T3980" s="26"/>
      <c r="U3980" s="26"/>
      <c r="V3980" s="26"/>
      <c r="W3980" s="26"/>
      <c r="X3980" s="26"/>
      <c r="Y3980" s="26"/>
      <c r="Z3980" s="26"/>
      <c r="AA3980" s="26"/>
      <c r="AB3980" s="26"/>
      <c r="AC3980" s="27"/>
    </row>
    <row r="3981" spans="1:29" x14ac:dyDescent="0.25">
      <c r="A3981" s="1"/>
      <c r="B3981" s="19"/>
      <c r="C3981" s="24"/>
      <c r="D3981" s="1"/>
      <c r="E3981" s="25"/>
      <c r="F3981" s="26"/>
      <c r="G3981" s="26"/>
      <c r="L3981" s="25"/>
      <c r="M3981" s="24"/>
      <c r="N3981" s="26"/>
      <c r="O3981" s="26"/>
      <c r="P3981" s="26"/>
      <c r="Q3981" s="26"/>
      <c r="R3981" s="26"/>
      <c r="S3981" s="26"/>
      <c r="T3981" s="26"/>
      <c r="U3981" s="26"/>
      <c r="V3981" s="26"/>
      <c r="W3981" s="26"/>
      <c r="X3981" s="26"/>
      <c r="Y3981" s="26"/>
      <c r="Z3981" s="26"/>
      <c r="AA3981" s="26"/>
      <c r="AB3981" s="26"/>
      <c r="AC3981" s="27"/>
    </row>
    <row r="3982" spans="1:29" x14ac:dyDescent="0.25">
      <c r="A3982" s="1"/>
      <c r="B3982" s="19"/>
      <c r="C3982" s="24"/>
      <c r="D3982" s="1"/>
      <c r="E3982" s="25"/>
      <c r="F3982" s="26"/>
      <c r="G3982" s="26"/>
      <c r="L3982" s="25"/>
      <c r="M3982" s="24"/>
      <c r="N3982" s="26"/>
      <c r="O3982" s="26"/>
      <c r="P3982" s="26"/>
      <c r="Q3982" s="26"/>
      <c r="R3982" s="26"/>
      <c r="S3982" s="26"/>
      <c r="T3982" s="26"/>
      <c r="U3982" s="26"/>
      <c r="V3982" s="26"/>
      <c r="W3982" s="26"/>
      <c r="X3982" s="26"/>
      <c r="Y3982" s="26"/>
      <c r="Z3982" s="26"/>
      <c r="AA3982" s="26"/>
      <c r="AB3982" s="26"/>
      <c r="AC3982" s="27"/>
    </row>
    <row r="3983" spans="1:29" x14ac:dyDescent="0.25">
      <c r="A3983" s="1"/>
      <c r="B3983" s="19"/>
      <c r="C3983" s="24"/>
      <c r="D3983" s="1"/>
      <c r="E3983" s="25"/>
      <c r="F3983" s="26"/>
      <c r="G3983" s="26"/>
      <c r="L3983" s="25"/>
      <c r="M3983" s="24"/>
      <c r="N3983" s="26"/>
      <c r="O3983" s="26"/>
      <c r="P3983" s="26"/>
      <c r="Q3983" s="26"/>
      <c r="R3983" s="26"/>
      <c r="S3983" s="26"/>
      <c r="T3983" s="26"/>
      <c r="U3983" s="26"/>
      <c r="V3983" s="26"/>
      <c r="W3983" s="26"/>
      <c r="X3983" s="26"/>
      <c r="Y3983" s="26"/>
      <c r="Z3983" s="26"/>
      <c r="AA3983" s="26"/>
      <c r="AB3983" s="26"/>
      <c r="AC3983" s="27"/>
    </row>
    <row r="3984" spans="1:29" x14ac:dyDescent="0.25">
      <c r="A3984" s="1"/>
      <c r="B3984" s="19"/>
      <c r="C3984" s="24"/>
      <c r="D3984" s="1"/>
      <c r="E3984" s="25"/>
      <c r="F3984" s="26"/>
      <c r="G3984" s="26"/>
      <c r="L3984" s="25"/>
      <c r="M3984" s="24"/>
      <c r="N3984" s="26"/>
      <c r="O3984" s="26"/>
      <c r="P3984" s="26"/>
      <c r="Q3984" s="26"/>
      <c r="R3984" s="26"/>
      <c r="S3984" s="26"/>
      <c r="T3984" s="26"/>
      <c r="U3984" s="26"/>
      <c r="V3984" s="26"/>
      <c r="W3984" s="26"/>
      <c r="X3984" s="26"/>
      <c r="Y3984" s="26"/>
      <c r="Z3984" s="26"/>
      <c r="AA3984" s="26"/>
      <c r="AB3984" s="26"/>
      <c r="AC3984" s="27"/>
    </row>
    <row r="3985" spans="1:29" x14ac:dyDescent="0.25">
      <c r="A3985" s="1"/>
      <c r="B3985" s="19"/>
      <c r="C3985" s="24"/>
      <c r="D3985" s="1"/>
      <c r="E3985" s="25"/>
      <c r="F3985" s="26"/>
      <c r="G3985" s="26"/>
      <c r="L3985" s="25"/>
      <c r="M3985" s="24"/>
      <c r="N3985" s="26"/>
      <c r="O3985" s="26"/>
      <c r="P3985" s="26"/>
      <c r="Q3985" s="26"/>
      <c r="R3985" s="26"/>
      <c r="S3985" s="26"/>
      <c r="T3985" s="26"/>
      <c r="U3985" s="26"/>
      <c r="V3985" s="26"/>
      <c r="W3985" s="26"/>
      <c r="X3985" s="26"/>
      <c r="Y3985" s="26"/>
      <c r="Z3985" s="26"/>
      <c r="AA3985" s="26"/>
      <c r="AB3985" s="26"/>
      <c r="AC3985" s="27"/>
    </row>
    <row r="3986" spans="1:29" x14ac:dyDescent="0.25">
      <c r="A3986" s="1"/>
      <c r="B3986" s="19"/>
      <c r="C3986" s="24"/>
      <c r="D3986" s="1"/>
      <c r="E3986" s="25"/>
      <c r="F3986" s="26"/>
      <c r="G3986" s="26"/>
      <c r="L3986" s="25"/>
      <c r="M3986" s="24"/>
      <c r="N3986" s="26"/>
      <c r="O3986" s="26"/>
      <c r="P3986" s="26"/>
      <c r="Q3986" s="26"/>
      <c r="R3986" s="26"/>
      <c r="S3986" s="26"/>
      <c r="T3986" s="26"/>
      <c r="U3986" s="26"/>
      <c r="V3986" s="26"/>
      <c r="W3986" s="26"/>
      <c r="X3986" s="26"/>
      <c r="Y3986" s="26"/>
      <c r="Z3986" s="26"/>
      <c r="AA3986" s="26"/>
      <c r="AB3986" s="26"/>
      <c r="AC3986" s="27"/>
    </row>
    <row r="3987" spans="1:29" x14ac:dyDescent="0.25">
      <c r="A3987" s="1"/>
      <c r="B3987" s="19"/>
      <c r="C3987" s="24"/>
      <c r="D3987" s="1"/>
      <c r="E3987" s="25"/>
      <c r="F3987" s="26"/>
      <c r="G3987" s="26"/>
      <c r="L3987" s="25"/>
      <c r="M3987" s="24"/>
      <c r="N3987" s="26"/>
      <c r="O3987" s="26"/>
      <c r="P3987" s="26"/>
      <c r="Q3987" s="26"/>
      <c r="R3987" s="26"/>
      <c r="S3987" s="26"/>
      <c r="T3987" s="26"/>
      <c r="U3987" s="26"/>
      <c r="V3987" s="26"/>
      <c r="W3987" s="26"/>
      <c r="X3987" s="26"/>
      <c r="Y3987" s="26"/>
      <c r="Z3987" s="26"/>
      <c r="AA3987" s="26"/>
      <c r="AB3987" s="26"/>
      <c r="AC3987" s="27"/>
    </row>
    <row r="3988" spans="1:29" x14ac:dyDescent="0.25">
      <c r="A3988" s="1"/>
      <c r="B3988" s="19"/>
      <c r="C3988" s="24"/>
      <c r="D3988" s="1"/>
      <c r="E3988" s="25"/>
      <c r="F3988" s="26"/>
      <c r="G3988" s="26"/>
      <c r="L3988" s="25"/>
      <c r="M3988" s="24"/>
      <c r="N3988" s="26"/>
      <c r="O3988" s="26"/>
      <c r="P3988" s="26"/>
      <c r="Q3988" s="26"/>
      <c r="R3988" s="26"/>
      <c r="S3988" s="26"/>
      <c r="T3988" s="26"/>
      <c r="U3988" s="26"/>
      <c r="V3988" s="26"/>
      <c r="W3988" s="26"/>
      <c r="X3988" s="26"/>
      <c r="Y3988" s="26"/>
      <c r="Z3988" s="26"/>
      <c r="AA3988" s="26"/>
      <c r="AB3988" s="26"/>
      <c r="AC3988" s="27"/>
    </row>
    <row r="3989" spans="1:29" x14ac:dyDescent="0.25">
      <c r="A3989" s="1"/>
      <c r="B3989" s="19"/>
      <c r="C3989" s="24"/>
      <c r="D3989" s="1"/>
      <c r="E3989" s="25"/>
      <c r="F3989" s="26"/>
      <c r="G3989" s="26"/>
      <c r="L3989" s="25"/>
      <c r="M3989" s="24"/>
      <c r="N3989" s="26"/>
      <c r="O3989" s="26"/>
      <c r="P3989" s="26"/>
      <c r="Q3989" s="26"/>
      <c r="R3989" s="26"/>
      <c r="S3989" s="26"/>
      <c r="T3989" s="26"/>
      <c r="U3989" s="26"/>
      <c r="V3989" s="26"/>
      <c r="W3989" s="26"/>
      <c r="X3989" s="26"/>
      <c r="Y3989" s="26"/>
      <c r="Z3989" s="26"/>
      <c r="AA3989" s="26"/>
      <c r="AB3989" s="26"/>
      <c r="AC3989" s="27"/>
    </row>
    <row r="3990" spans="1:29" x14ac:dyDescent="0.25">
      <c r="A3990" s="1"/>
      <c r="B3990" s="19"/>
      <c r="C3990" s="24"/>
      <c r="D3990" s="1"/>
      <c r="E3990" s="25"/>
      <c r="F3990" s="26"/>
      <c r="G3990" s="26"/>
      <c r="L3990" s="25"/>
      <c r="M3990" s="24"/>
      <c r="N3990" s="26"/>
      <c r="O3990" s="26"/>
      <c r="P3990" s="26"/>
      <c r="Q3990" s="26"/>
      <c r="R3990" s="26"/>
      <c r="S3990" s="26"/>
      <c r="T3990" s="26"/>
      <c r="U3990" s="26"/>
      <c r="V3990" s="26"/>
      <c r="W3990" s="26"/>
      <c r="X3990" s="26"/>
      <c r="Y3990" s="26"/>
      <c r="Z3990" s="26"/>
      <c r="AA3990" s="26"/>
      <c r="AB3990" s="26"/>
      <c r="AC3990" s="27"/>
    </row>
    <row r="3991" spans="1:29" x14ac:dyDescent="0.25">
      <c r="A3991" s="1"/>
      <c r="B3991" s="19"/>
      <c r="C3991" s="24"/>
      <c r="D3991" s="1"/>
      <c r="E3991" s="25"/>
      <c r="F3991" s="26"/>
      <c r="G3991" s="26"/>
      <c r="L3991" s="25"/>
      <c r="M3991" s="24"/>
      <c r="N3991" s="26"/>
      <c r="O3991" s="26"/>
      <c r="P3991" s="26"/>
      <c r="Q3991" s="26"/>
      <c r="R3991" s="26"/>
      <c r="S3991" s="26"/>
      <c r="T3991" s="26"/>
      <c r="U3991" s="26"/>
      <c r="V3991" s="26"/>
      <c r="W3991" s="26"/>
      <c r="X3991" s="26"/>
      <c r="Y3991" s="26"/>
      <c r="Z3991" s="26"/>
      <c r="AA3991" s="26"/>
      <c r="AB3991" s="26"/>
      <c r="AC3991" s="27"/>
    </row>
    <row r="3992" spans="1:29" x14ac:dyDescent="0.25">
      <c r="A3992" s="1"/>
      <c r="B3992" s="19"/>
      <c r="C3992" s="24"/>
      <c r="D3992" s="1"/>
      <c r="E3992" s="25"/>
      <c r="F3992" s="26"/>
      <c r="G3992" s="26"/>
      <c r="L3992" s="25"/>
      <c r="M3992" s="24"/>
      <c r="N3992" s="26"/>
      <c r="O3992" s="26"/>
      <c r="P3992" s="26"/>
      <c r="Q3992" s="26"/>
      <c r="R3992" s="26"/>
      <c r="S3992" s="26"/>
      <c r="T3992" s="26"/>
      <c r="U3992" s="26"/>
      <c r="V3992" s="26"/>
      <c r="W3992" s="26"/>
      <c r="X3992" s="26"/>
      <c r="Y3992" s="26"/>
      <c r="Z3992" s="26"/>
      <c r="AA3992" s="26"/>
      <c r="AB3992" s="26"/>
      <c r="AC3992" s="27"/>
    </row>
    <row r="3993" spans="1:29" x14ac:dyDescent="0.25">
      <c r="A3993" s="1"/>
      <c r="B3993" s="19"/>
      <c r="C3993" s="24"/>
      <c r="D3993" s="1"/>
      <c r="E3993" s="25"/>
      <c r="F3993" s="26"/>
      <c r="G3993" s="26"/>
      <c r="L3993" s="25"/>
      <c r="M3993" s="24"/>
      <c r="N3993" s="26"/>
      <c r="O3993" s="26"/>
      <c r="P3993" s="26"/>
      <c r="Q3993" s="26"/>
      <c r="R3993" s="26"/>
      <c r="S3993" s="26"/>
      <c r="T3993" s="26"/>
      <c r="U3993" s="26"/>
      <c r="V3993" s="26"/>
      <c r="W3993" s="26"/>
      <c r="X3993" s="26"/>
      <c r="Y3993" s="26"/>
      <c r="Z3993" s="26"/>
      <c r="AA3993" s="26"/>
      <c r="AB3993" s="26"/>
      <c r="AC3993" s="27"/>
    </row>
    <row r="3994" spans="1:29" x14ac:dyDescent="0.25">
      <c r="A3994" s="1"/>
      <c r="B3994" s="19"/>
      <c r="C3994" s="24"/>
      <c r="D3994" s="1"/>
      <c r="E3994" s="25"/>
      <c r="F3994" s="26"/>
      <c r="G3994" s="26"/>
      <c r="L3994" s="25"/>
      <c r="M3994" s="24"/>
      <c r="N3994" s="26"/>
      <c r="O3994" s="26"/>
      <c r="P3994" s="26"/>
      <c r="Q3994" s="26"/>
      <c r="R3994" s="26"/>
      <c r="S3994" s="26"/>
      <c r="T3994" s="26"/>
      <c r="U3994" s="26"/>
      <c r="V3994" s="26"/>
      <c r="W3994" s="26"/>
      <c r="X3994" s="26"/>
      <c r="Y3994" s="26"/>
      <c r="Z3994" s="26"/>
      <c r="AA3994" s="26"/>
      <c r="AB3994" s="26"/>
      <c r="AC3994" s="27"/>
    </row>
    <row r="3995" spans="1:29" x14ac:dyDescent="0.25">
      <c r="A3995" s="1"/>
      <c r="B3995" s="19"/>
      <c r="C3995" s="24"/>
      <c r="D3995" s="1"/>
      <c r="E3995" s="25"/>
      <c r="F3995" s="26"/>
      <c r="G3995" s="26"/>
      <c r="L3995" s="25"/>
      <c r="M3995" s="24"/>
      <c r="N3995" s="26"/>
      <c r="O3995" s="26"/>
      <c r="P3995" s="26"/>
      <c r="Q3995" s="26"/>
      <c r="R3995" s="26"/>
      <c r="S3995" s="26"/>
      <c r="T3995" s="26"/>
      <c r="U3995" s="26"/>
      <c r="V3995" s="26"/>
      <c r="W3995" s="26"/>
      <c r="X3995" s="26"/>
      <c r="Y3995" s="26"/>
      <c r="Z3995" s="26"/>
      <c r="AA3995" s="26"/>
      <c r="AB3995" s="26"/>
      <c r="AC3995" s="27"/>
    </row>
    <row r="3996" spans="1:29" x14ac:dyDescent="0.25">
      <c r="A3996" s="1"/>
      <c r="B3996" s="19"/>
      <c r="C3996" s="24"/>
      <c r="D3996" s="1"/>
      <c r="E3996" s="25"/>
      <c r="F3996" s="26"/>
      <c r="G3996" s="26"/>
      <c r="L3996" s="25"/>
      <c r="M3996" s="24"/>
      <c r="N3996" s="26"/>
      <c r="O3996" s="26"/>
      <c r="P3996" s="26"/>
      <c r="Q3996" s="26"/>
      <c r="R3996" s="26"/>
      <c r="S3996" s="26"/>
      <c r="T3996" s="26"/>
      <c r="U3996" s="26"/>
      <c r="V3996" s="26"/>
      <c r="W3996" s="26"/>
      <c r="X3996" s="26"/>
      <c r="Y3996" s="26"/>
      <c r="Z3996" s="26"/>
      <c r="AA3996" s="26"/>
      <c r="AB3996" s="26"/>
      <c r="AC3996" s="27"/>
    </row>
    <row r="3997" spans="1:29" x14ac:dyDescent="0.25">
      <c r="A3997" s="1"/>
      <c r="B3997" s="19"/>
      <c r="C3997" s="24"/>
      <c r="D3997" s="1"/>
      <c r="E3997" s="25"/>
      <c r="F3997" s="26"/>
      <c r="G3997" s="26"/>
      <c r="L3997" s="25"/>
      <c r="M3997" s="24"/>
      <c r="N3997" s="26"/>
      <c r="O3997" s="26"/>
      <c r="P3997" s="26"/>
      <c r="Q3997" s="26"/>
      <c r="R3997" s="26"/>
      <c r="S3997" s="26"/>
      <c r="T3997" s="26"/>
      <c r="U3997" s="26"/>
      <c r="V3997" s="26"/>
      <c r="W3997" s="26"/>
      <c r="X3997" s="26"/>
      <c r="Y3997" s="26"/>
      <c r="Z3997" s="26"/>
      <c r="AA3997" s="26"/>
      <c r="AB3997" s="26"/>
      <c r="AC3997" s="27"/>
    </row>
  </sheetData>
  <sheetProtection autoFilter="0"/>
  <autoFilter ref="A4:AC5" xr:uid="{00000000-0009-0000-0000-000002000000}"/>
  <dataConsolidate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1437"/>
  <sheetViews>
    <sheetView workbookViewId="0"/>
  </sheetViews>
  <sheetFormatPr defaultRowHeight="15" x14ac:dyDescent="0.25"/>
  <cols>
    <col min="1" max="1" width="72.85546875" bestFit="1" customWidth="1"/>
    <col min="2" max="2" width="15.7109375" bestFit="1" customWidth="1"/>
    <col min="3" max="3" width="14.28515625" bestFit="1" customWidth="1"/>
  </cols>
  <sheetData>
    <row r="1" spans="1:3" x14ac:dyDescent="0.25">
      <c r="A1" s="15" t="s">
        <v>99</v>
      </c>
      <c r="B1" s="15" t="s">
        <v>100</v>
      </c>
      <c r="C1" s="15" t="s">
        <v>101</v>
      </c>
    </row>
    <row r="2" spans="1:3" x14ac:dyDescent="0.25">
      <c r="A2" t="s">
        <v>392</v>
      </c>
      <c r="B2" s="14">
        <v>43714.988807870373</v>
      </c>
      <c r="C2" t="s">
        <v>135</v>
      </c>
    </row>
    <row r="3" spans="1:3" x14ac:dyDescent="0.25">
      <c r="A3" t="s">
        <v>393</v>
      </c>
      <c r="B3" s="14">
        <v>43714.988807870373</v>
      </c>
      <c r="C3" t="s">
        <v>135</v>
      </c>
    </row>
    <row r="4" spans="1:3" x14ac:dyDescent="0.25">
      <c r="A4" t="s">
        <v>394</v>
      </c>
      <c r="B4" s="14">
        <v>43714.988807870373</v>
      </c>
      <c r="C4" t="s">
        <v>135</v>
      </c>
    </row>
    <row r="5" spans="1:3" x14ac:dyDescent="0.25">
      <c r="A5" t="s">
        <v>395</v>
      </c>
      <c r="B5" s="14">
        <v>43714.988807870373</v>
      </c>
      <c r="C5" t="s">
        <v>135</v>
      </c>
    </row>
    <row r="6" spans="1:3" x14ac:dyDescent="0.25">
      <c r="A6" t="s">
        <v>396</v>
      </c>
      <c r="B6" s="14">
        <v>43714.988807870373</v>
      </c>
      <c r="C6" t="s">
        <v>135</v>
      </c>
    </row>
    <row r="7" spans="1:3" x14ac:dyDescent="0.25">
      <c r="A7" t="s">
        <v>397</v>
      </c>
      <c r="B7" s="14">
        <v>43714.988807870373</v>
      </c>
      <c r="C7" t="s">
        <v>135</v>
      </c>
    </row>
    <row r="8" spans="1:3" x14ac:dyDescent="0.25">
      <c r="A8" t="s">
        <v>398</v>
      </c>
      <c r="B8" s="14">
        <v>43714.988807870373</v>
      </c>
      <c r="C8" t="s">
        <v>135</v>
      </c>
    </row>
    <row r="9" spans="1:3" x14ac:dyDescent="0.25">
      <c r="A9" t="s">
        <v>399</v>
      </c>
      <c r="B9" s="14">
        <v>43714.988807870373</v>
      </c>
      <c r="C9" t="s">
        <v>135</v>
      </c>
    </row>
    <row r="10" spans="1:3" x14ac:dyDescent="0.25">
      <c r="A10" t="s">
        <v>400</v>
      </c>
      <c r="B10" s="14">
        <v>43714.988807870373</v>
      </c>
      <c r="C10" t="s">
        <v>135</v>
      </c>
    </row>
    <row r="11" spans="1:3" x14ac:dyDescent="0.25">
      <c r="A11" t="s">
        <v>401</v>
      </c>
      <c r="B11" s="14">
        <v>43714.988807870373</v>
      </c>
      <c r="C11" t="s">
        <v>135</v>
      </c>
    </row>
    <row r="12" spans="1:3" x14ac:dyDescent="0.25">
      <c r="A12" t="s">
        <v>402</v>
      </c>
      <c r="B12" s="14">
        <v>43714.988807870373</v>
      </c>
      <c r="C12" t="s">
        <v>135</v>
      </c>
    </row>
    <row r="13" spans="1:3" x14ac:dyDescent="0.25">
      <c r="A13" t="s">
        <v>403</v>
      </c>
      <c r="B13" s="14">
        <v>43714.988807870373</v>
      </c>
      <c r="C13" t="s">
        <v>135</v>
      </c>
    </row>
    <row r="14" spans="1:3" x14ac:dyDescent="0.25">
      <c r="A14" t="s">
        <v>404</v>
      </c>
      <c r="B14" s="14">
        <v>43714.988819444443</v>
      </c>
      <c r="C14" t="s">
        <v>135</v>
      </c>
    </row>
    <row r="15" spans="1:3" x14ac:dyDescent="0.25">
      <c r="A15" t="s">
        <v>405</v>
      </c>
      <c r="B15" s="14">
        <v>43714.988819444443</v>
      </c>
      <c r="C15" t="s">
        <v>135</v>
      </c>
    </row>
    <row r="16" spans="1:3" x14ac:dyDescent="0.25">
      <c r="A16" t="s">
        <v>406</v>
      </c>
      <c r="B16" s="14">
        <v>43714.988819444443</v>
      </c>
      <c r="C16" t="s">
        <v>135</v>
      </c>
    </row>
    <row r="17" spans="1:3" x14ac:dyDescent="0.25">
      <c r="A17" t="s">
        <v>407</v>
      </c>
      <c r="B17" s="14">
        <v>43714.988819444443</v>
      </c>
      <c r="C17" t="s">
        <v>135</v>
      </c>
    </row>
    <row r="18" spans="1:3" x14ac:dyDescent="0.25">
      <c r="A18" t="s">
        <v>408</v>
      </c>
      <c r="B18" s="14">
        <v>43714.988819444443</v>
      </c>
      <c r="C18" t="s">
        <v>135</v>
      </c>
    </row>
    <row r="19" spans="1:3" x14ac:dyDescent="0.25">
      <c r="A19" t="s">
        <v>409</v>
      </c>
      <c r="B19" s="14">
        <v>43714.988819444443</v>
      </c>
      <c r="C19" t="s">
        <v>135</v>
      </c>
    </row>
    <row r="20" spans="1:3" x14ac:dyDescent="0.25">
      <c r="A20" t="s">
        <v>410</v>
      </c>
      <c r="B20" s="14">
        <v>43714.988819444443</v>
      </c>
      <c r="C20" t="s">
        <v>135</v>
      </c>
    </row>
    <row r="21" spans="1:3" x14ac:dyDescent="0.25">
      <c r="A21" t="s">
        <v>411</v>
      </c>
      <c r="B21" s="14">
        <v>43714.988819444443</v>
      </c>
      <c r="C21" t="s">
        <v>135</v>
      </c>
    </row>
    <row r="22" spans="1:3" x14ac:dyDescent="0.25">
      <c r="A22" t="s">
        <v>412</v>
      </c>
      <c r="B22" s="14">
        <v>43714.988819444443</v>
      </c>
      <c r="C22" t="s">
        <v>135</v>
      </c>
    </row>
    <row r="23" spans="1:3" x14ac:dyDescent="0.25">
      <c r="A23" t="s">
        <v>413</v>
      </c>
      <c r="B23" s="14">
        <v>43714.988819444443</v>
      </c>
      <c r="C23" t="s">
        <v>135</v>
      </c>
    </row>
    <row r="24" spans="1:3" x14ac:dyDescent="0.25">
      <c r="A24" t="s">
        <v>414</v>
      </c>
      <c r="B24" s="14">
        <v>43714.988819444443</v>
      </c>
      <c r="C24" t="s">
        <v>135</v>
      </c>
    </row>
    <row r="25" spans="1:3" x14ac:dyDescent="0.25">
      <c r="A25" t="s">
        <v>415</v>
      </c>
      <c r="B25" s="14">
        <v>43714.988819444443</v>
      </c>
      <c r="C25" t="s">
        <v>135</v>
      </c>
    </row>
    <row r="26" spans="1:3" x14ac:dyDescent="0.25">
      <c r="A26" t="s">
        <v>416</v>
      </c>
      <c r="B26" s="14">
        <v>43714.988819444443</v>
      </c>
      <c r="C26" t="s">
        <v>135</v>
      </c>
    </row>
    <row r="27" spans="1:3" x14ac:dyDescent="0.25">
      <c r="A27" t="s">
        <v>417</v>
      </c>
      <c r="B27" s="14">
        <v>43714.988819444443</v>
      </c>
      <c r="C27" t="s">
        <v>135</v>
      </c>
    </row>
    <row r="28" spans="1:3" x14ac:dyDescent="0.25">
      <c r="A28" t="s">
        <v>418</v>
      </c>
      <c r="B28" s="14">
        <v>43714.988819444443</v>
      </c>
      <c r="C28" t="s">
        <v>135</v>
      </c>
    </row>
    <row r="29" spans="1:3" x14ac:dyDescent="0.25">
      <c r="A29" t="s">
        <v>419</v>
      </c>
      <c r="B29" s="14">
        <v>43714.988819444443</v>
      </c>
      <c r="C29" t="s">
        <v>135</v>
      </c>
    </row>
    <row r="30" spans="1:3" x14ac:dyDescent="0.25">
      <c r="A30" t="s">
        <v>420</v>
      </c>
      <c r="B30" s="14">
        <v>43714.988819444443</v>
      </c>
      <c r="C30" t="s">
        <v>135</v>
      </c>
    </row>
    <row r="31" spans="1:3" x14ac:dyDescent="0.25">
      <c r="A31" t="s">
        <v>421</v>
      </c>
      <c r="B31" s="14">
        <v>43714.988819444443</v>
      </c>
      <c r="C31" t="s">
        <v>135</v>
      </c>
    </row>
    <row r="32" spans="1:3" x14ac:dyDescent="0.25">
      <c r="B32" s="14"/>
    </row>
    <row r="33" spans="2:2" x14ac:dyDescent="0.25">
      <c r="B33" s="14"/>
    </row>
    <row r="34" spans="2:2" x14ac:dyDescent="0.25">
      <c r="B34" s="14"/>
    </row>
    <row r="35" spans="2:2" x14ac:dyDescent="0.25">
      <c r="B35" s="14"/>
    </row>
    <row r="36" spans="2:2" x14ac:dyDescent="0.25">
      <c r="B36" s="14"/>
    </row>
    <row r="37" spans="2:2" x14ac:dyDescent="0.25">
      <c r="B37" s="14"/>
    </row>
    <row r="38" spans="2:2" x14ac:dyDescent="0.25">
      <c r="B38" s="14"/>
    </row>
    <row r="39" spans="2:2" x14ac:dyDescent="0.25">
      <c r="B39" s="14"/>
    </row>
    <row r="40" spans="2:2" x14ac:dyDescent="0.25">
      <c r="B40" s="14"/>
    </row>
    <row r="41" spans="2:2" x14ac:dyDescent="0.25">
      <c r="B41" s="14"/>
    </row>
    <row r="42" spans="2:2" x14ac:dyDescent="0.25">
      <c r="B42" s="14"/>
    </row>
    <row r="43" spans="2:2" x14ac:dyDescent="0.25">
      <c r="B43" s="14"/>
    </row>
    <row r="44" spans="2:2" x14ac:dyDescent="0.25">
      <c r="B44" s="14"/>
    </row>
    <row r="45" spans="2:2" x14ac:dyDescent="0.25">
      <c r="B45" s="14"/>
    </row>
    <row r="46" spans="2:2" x14ac:dyDescent="0.25">
      <c r="B46" s="14"/>
    </row>
    <row r="47" spans="2:2" x14ac:dyDescent="0.25">
      <c r="B47" s="14"/>
    </row>
    <row r="48" spans="2:2" x14ac:dyDescent="0.25">
      <c r="B48" s="14"/>
    </row>
    <row r="49" spans="2:2" x14ac:dyDescent="0.25">
      <c r="B49" s="14"/>
    </row>
    <row r="50" spans="2:2" x14ac:dyDescent="0.25">
      <c r="B50" s="14"/>
    </row>
    <row r="51" spans="2:2" x14ac:dyDescent="0.25">
      <c r="B51" s="14"/>
    </row>
    <row r="52" spans="2:2" x14ac:dyDescent="0.25">
      <c r="B52" s="14"/>
    </row>
    <row r="53" spans="2:2" x14ac:dyDescent="0.25">
      <c r="B53" s="14"/>
    </row>
    <row r="54" spans="2:2" x14ac:dyDescent="0.25">
      <c r="B54" s="14"/>
    </row>
    <row r="55" spans="2:2" x14ac:dyDescent="0.25">
      <c r="B55" s="14"/>
    </row>
    <row r="56" spans="2:2" x14ac:dyDescent="0.25">
      <c r="B56" s="14"/>
    </row>
    <row r="57" spans="2:2" x14ac:dyDescent="0.25">
      <c r="B57" s="14"/>
    </row>
    <row r="58" spans="2:2" x14ac:dyDescent="0.25">
      <c r="B58" s="14"/>
    </row>
    <row r="59" spans="2:2" x14ac:dyDescent="0.25">
      <c r="B59" s="14"/>
    </row>
    <row r="60" spans="2:2" x14ac:dyDescent="0.25">
      <c r="B60" s="14"/>
    </row>
    <row r="61" spans="2:2" x14ac:dyDescent="0.25">
      <c r="B61" s="14"/>
    </row>
    <row r="62" spans="2:2" x14ac:dyDescent="0.25">
      <c r="B62" s="14"/>
    </row>
    <row r="63" spans="2:2" x14ac:dyDescent="0.25">
      <c r="B63" s="14"/>
    </row>
    <row r="64" spans="2:2" x14ac:dyDescent="0.25">
      <c r="B64" s="14"/>
    </row>
    <row r="65" spans="2:2" x14ac:dyDescent="0.25">
      <c r="B65" s="14"/>
    </row>
    <row r="66" spans="2:2" x14ac:dyDescent="0.25">
      <c r="B66" s="14"/>
    </row>
    <row r="67" spans="2:2" x14ac:dyDescent="0.25">
      <c r="B67" s="14"/>
    </row>
    <row r="68" spans="2:2" x14ac:dyDescent="0.25">
      <c r="B68" s="14"/>
    </row>
    <row r="69" spans="2:2" x14ac:dyDescent="0.25">
      <c r="B69" s="14"/>
    </row>
    <row r="70" spans="2:2" x14ac:dyDescent="0.25">
      <c r="B70" s="14"/>
    </row>
    <row r="71" spans="2:2" x14ac:dyDescent="0.25">
      <c r="B71" s="14"/>
    </row>
    <row r="72" spans="2:2" x14ac:dyDescent="0.25">
      <c r="B72" s="14"/>
    </row>
    <row r="73" spans="2:2" x14ac:dyDescent="0.25">
      <c r="B73" s="14"/>
    </row>
    <row r="74" spans="2:2" x14ac:dyDescent="0.25">
      <c r="B74" s="14"/>
    </row>
    <row r="75" spans="2:2" x14ac:dyDescent="0.25">
      <c r="B75" s="14"/>
    </row>
    <row r="76" spans="2:2" x14ac:dyDescent="0.25">
      <c r="B76" s="14"/>
    </row>
    <row r="77" spans="2:2" x14ac:dyDescent="0.25">
      <c r="B77" s="14"/>
    </row>
    <row r="78" spans="2:2" x14ac:dyDescent="0.25">
      <c r="B78" s="14"/>
    </row>
    <row r="79" spans="2:2" x14ac:dyDescent="0.25">
      <c r="B79" s="14"/>
    </row>
    <row r="80" spans="2:2" x14ac:dyDescent="0.25">
      <c r="B80" s="14"/>
    </row>
    <row r="81" spans="2:2" x14ac:dyDescent="0.25">
      <c r="B81" s="14"/>
    </row>
    <row r="82" spans="2:2" x14ac:dyDescent="0.25">
      <c r="B82" s="14"/>
    </row>
    <row r="83" spans="2:2" x14ac:dyDescent="0.25">
      <c r="B83" s="14"/>
    </row>
    <row r="84" spans="2:2" x14ac:dyDescent="0.25">
      <c r="B84" s="14"/>
    </row>
    <row r="85" spans="2:2" x14ac:dyDescent="0.25">
      <c r="B85" s="14"/>
    </row>
    <row r="86" spans="2:2" x14ac:dyDescent="0.25">
      <c r="B86" s="14"/>
    </row>
    <row r="87" spans="2:2" x14ac:dyDescent="0.25">
      <c r="B87" s="14"/>
    </row>
    <row r="88" spans="2:2" x14ac:dyDescent="0.25">
      <c r="B88" s="14"/>
    </row>
    <row r="89" spans="2:2" x14ac:dyDescent="0.25">
      <c r="B89" s="14"/>
    </row>
    <row r="90" spans="2:2" x14ac:dyDescent="0.25">
      <c r="B90" s="14"/>
    </row>
    <row r="91" spans="2:2" x14ac:dyDescent="0.25">
      <c r="B91" s="14"/>
    </row>
    <row r="92" spans="2:2" x14ac:dyDescent="0.25">
      <c r="B92" s="14"/>
    </row>
    <row r="93" spans="2:2" x14ac:dyDescent="0.25">
      <c r="B93" s="14"/>
    </row>
    <row r="94" spans="2:2" x14ac:dyDescent="0.25">
      <c r="B94" s="14"/>
    </row>
    <row r="95" spans="2:2" x14ac:dyDescent="0.25">
      <c r="B95" s="14"/>
    </row>
    <row r="96" spans="2:2" x14ac:dyDescent="0.25">
      <c r="B96" s="14"/>
    </row>
    <row r="97" spans="2:2" x14ac:dyDescent="0.25">
      <c r="B97" s="14"/>
    </row>
    <row r="98" spans="2:2" x14ac:dyDescent="0.25">
      <c r="B98" s="14"/>
    </row>
    <row r="99" spans="2:2" x14ac:dyDescent="0.25">
      <c r="B99" s="14"/>
    </row>
    <row r="100" spans="2:2" x14ac:dyDescent="0.25">
      <c r="B100" s="14"/>
    </row>
    <row r="101" spans="2:2" x14ac:dyDescent="0.25">
      <c r="B101" s="14"/>
    </row>
    <row r="102" spans="2:2" x14ac:dyDescent="0.25">
      <c r="B102" s="14"/>
    </row>
    <row r="103" spans="2:2" x14ac:dyDescent="0.25">
      <c r="B103" s="14"/>
    </row>
    <row r="104" spans="2:2" x14ac:dyDescent="0.25">
      <c r="B104" s="14"/>
    </row>
    <row r="105" spans="2:2" x14ac:dyDescent="0.25">
      <c r="B105" s="14"/>
    </row>
    <row r="106" spans="2:2" x14ac:dyDescent="0.25">
      <c r="B106" s="14"/>
    </row>
    <row r="107" spans="2:2" x14ac:dyDescent="0.25">
      <c r="B107" s="14"/>
    </row>
    <row r="108" spans="2:2" x14ac:dyDescent="0.25">
      <c r="B108" s="14"/>
    </row>
    <row r="109" spans="2:2" x14ac:dyDescent="0.25">
      <c r="B109" s="14"/>
    </row>
    <row r="110" spans="2:2" x14ac:dyDescent="0.25">
      <c r="B110" s="14"/>
    </row>
    <row r="111" spans="2:2" x14ac:dyDescent="0.25">
      <c r="B111" s="14"/>
    </row>
    <row r="112" spans="2:2" x14ac:dyDescent="0.25">
      <c r="B112" s="14"/>
    </row>
    <row r="113" spans="2:2" x14ac:dyDescent="0.25">
      <c r="B113" s="14"/>
    </row>
    <row r="114" spans="2:2" x14ac:dyDescent="0.25">
      <c r="B114" s="14"/>
    </row>
    <row r="115" spans="2:2" x14ac:dyDescent="0.25">
      <c r="B115" s="14"/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/>
    </row>
    <row r="120" spans="2:2" x14ac:dyDescent="0.25">
      <c r="B120" s="14"/>
    </row>
    <row r="121" spans="2:2" x14ac:dyDescent="0.25">
      <c r="B121" s="14"/>
    </row>
    <row r="122" spans="2:2" x14ac:dyDescent="0.25">
      <c r="B122" s="14"/>
    </row>
    <row r="123" spans="2:2" x14ac:dyDescent="0.25">
      <c r="B123" s="14"/>
    </row>
    <row r="124" spans="2:2" x14ac:dyDescent="0.25">
      <c r="B124" s="14"/>
    </row>
    <row r="125" spans="2:2" x14ac:dyDescent="0.25">
      <c r="B125" s="14"/>
    </row>
    <row r="126" spans="2:2" x14ac:dyDescent="0.25">
      <c r="B126" s="14"/>
    </row>
    <row r="127" spans="2:2" x14ac:dyDescent="0.25">
      <c r="B127" s="14"/>
    </row>
    <row r="128" spans="2:2" x14ac:dyDescent="0.25">
      <c r="B128" s="14"/>
    </row>
    <row r="129" spans="2:2" x14ac:dyDescent="0.25">
      <c r="B129" s="14"/>
    </row>
    <row r="130" spans="2:2" x14ac:dyDescent="0.25">
      <c r="B130" s="14"/>
    </row>
    <row r="131" spans="2:2" x14ac:dyDescent="0.25">
      <c r="B131" s="14"/>
    </row>
    <row r="132" spans="2:2" x14ac:dyDescent="0.25">
      <c r="B132" s="14"/>
    </row>
    <row r="133" spans="2:2" x14ac:dyDescent="0.25">
      <c r="B133" s="14"/>
    </row>
    <row r="134" spans="2:2" x14ac:dyDescent="0.25">
      <c r="B134" s="14"/>
    </row>
    <row r="135" spans="2:2" x14ac:dyDescent="0.25">
      <c r="B135" s="14"/>
    </row>
    <row r="136" spans="2:2" x14ac:dyDescent="0.25">
      <c r="B136" s="14"/>
    </row>
    <row r="137" spans="2:2" x14ac:dyDescent="0.25">
      <c r="B137" s="14"/>
    </row>
    <row r="138" spans="2:2" x14ac:dyDescent="0.25">
      <c r="B138" s="14"/>
    </row>
    <row r="139" spans="2:2" x14ac:dyDescent="0.25">
      <c r="B139" s="14"/>
    </row>
    <row r="140" spans="2:2" x14ac:dyDescent="0.25">
      <c r="B140" s="14"/>
    </row>
    <row r="141" spans="2:2" x14ac:dyDescent="0.25">
      <c r="B141" s="14"/>
    </row>
    <row r="142" spans="2:2" x14ac:dyDescent="0.25">
      <c r="B142" s="14"/>
    </row>
    <row r="143" spans="2:2" x14ac:dyDescent="0.25">
      <c r="B143" s="14"/>
    </row>
    <row r="144" spans="2:2" x14ac:dyDescent="0.25">
      <c r="B144" s="14"/>
    </row>
    <row r="145" spans="2:2" x14ac:dyDescent="0.25">
      <c r="B145" s="14"/>
    </row>
    <row r="146" spans="2:2" x14ac:dyDescent="0.25">
      <c r="B146" s="14"/>
    </row>
    <row r="147" spans="2:2" x14ac:dyDescent="0.25">
      <c r="B147" s="14"/>
    </row>
    <row r="148" spans="2:2" x14ac:dyDescent="0.25">
      <c r="B148" s="14"/>
    </row>
    <row r="149" spans="2:2" x14ac:dyDescent="0.25">
      <c r="B149" s="14"/>
    </row>
    <row r="150" spans="2:2" x14ac:dyDescent="0.25">
      <c r="B150" s="14"/>
    </row>
    <row r="151" spans="2:2" x14ac:dyDescent="0.25">
      <c r="B151" s="14"/>
    </row>
    <row r="152" spans="2:2" x14ac:dyDescent="0.25">
      <c r="B152" s="14"/>
    </row>
    <row r="153" spans="2:2" x14ac:dyDescent="0.25">
      <c r="B153" s="14"/>
    </row>
    <row r="154" spans="2:2" x14ac:dyDescent="0.25">
      <c r="B154" s="14"/>
    </row>
    <row r="155" spans="2:2" x14ac:dyDescent="0.25">
      <c r="B155" s="14"/>
    </row>
    <row r="156" spans="2:2" x14ac:dyDescent="0.25">
      <c r="B156" s="14"/>
    </row>
    <row r="157" spans="2:2" x14ac:dyDescent="0.25">
      <c r="B157" s="14"/>
    </row>
    <row r="158" spans="2:2" x14ac:dyDescent="0.25">
      <c r="B158" s="14"/>
    </row>
    <row r="159" spans="2:2" x14ac:dyDescent="0.25">
      <c r="B159" s="14"/>
    </row>
    <row r="160" spans="2:2" x14ac:dyDescent="0.25">
      <c r="B160" s="14"/>
    </row>
    <row r="161" spans="2:2" x14ac:dyDescent="0.25">
      <c r="B161" s="14"/>
    </row>
    <row r="162" spans="2:2" x14ac:dyDescent="0.25">
      <c r="B162" s="14"/>
    </row>
    <row r="163" spans="2:2" x14ac:dyDescent="0.25">
      <c r="B163" s="14"/>
    </row>
    <row r="164" spans="2:2" x14ac:dyDescent="0.25">
      <c r="B164" s="14"/>
    </row>
    <row r="165" spans="2:2" x14ac:dyDescent="0.25">
      <c r="B165" s="14"/>
    </row>
    <row r="166" spans="2:2" x14ac:dyDescent="0.25">
      <c r="B166" s="14"/>
    </row>
    <row r="167" spans="2:2" x14ac:dyDescent="0.25">
      <c r="B167" s="14"/>
    </row>
    <row r="168" spans="2:2" x14ac:dyDescent="0.25">
      <c r="B168" s="14"/>
    </row>
    <row r="169" spans="2:2" x14ac:dyDescent="0.25">
      <c r="B169" s="14"/>
    </row>
    <row r="170" spans="2:2" x14ac:dyDescent="0.25">
      <c r="B170" s="14"/>
    </row>
    <row r="171" spans="2:2" x14ac:dyDescent="0.25">
      <c r="B171" s="14"/>
    </row>
    <row r="172" spans="2:2" x14ac:dyDescent="0.25">
      <c r="B172" s="14"/>
    </row>
    <row r="173" spans="2:2" x14ac:dyDescent="0.25">
      <c r="B173" s="14"/>
    </row>
    <row r="174" spans="2:2" x14ac:dyDescent="0.25">
      <c r="B174" s="14"/>
    </row>
    <row r="175" spans="2:2" x14ac:dyDescent="0.25">
      <c r="B175" s="14"/>
    </row>
    <row r="176" spans="2:2" x14ac:dyDescent="0.25">
      <c r="B176" s="14"/>
    </row>
    <row r="177" spans="2:2" x14ac:dyDescent="0.25">
      <c r="B177" s="14"/>
    </row>
    <row r="178" spans="2:2" x14ac:dyDescent="0.25">
      <c r="B178" s="14"/>
    </row>
    <row r="179" spans="2:2" x14ac:dyDescent="0.25">
      <c r="B179" s="14"/>
    </row>
    <row r="180" spans="2:2" x14ac:dyDescent="0.25">
      <c r="B180" s="14"/>
    </row>
    <row r="181" spans="2:2" x14ac:dyDescent="0.25">
      <c r="B181" s="14"/>
    </row>
    <row r="182" spans="2:2" x14ac:dyDescent="0.25">
      <c r="B182" s="14"/>
    </row>
    <row r="183" spans="2:2" x14ac:dyDescent="0.25">
      <c r="B183" s="14"/>
    </row>
    <row r="184" spans="2:2" x14ac:dyDescent="0.25">
      <c r="B184" s="14"/>
    </row>
    <row r="185" spans="2:2" x14ac:dyDescent="0.25">
      <c r="B185" s="14"/>
    </row>
    <row r="186" spans="2:2" x14ac:dyDescent="0.25">
      <c r="B186" s="14"/>
    </row>
    <row r="187" spans="2:2" x14ac:dyDescent="0.25">
      <c r="B187" s="14"/>
    </row>
    <row r="188" spans="2:2" x14ac:dyDescent="0.25">
      <c r="B188" s="14"/>
    </row>
    <row r="189" spans="2:2" x14ac:dyDescent="0.25">
      <c r="B189" s="14"/>
    </row>
    <row r="190" spans="2:2" x14ac:dyDescent="0.25">
      <c r="B190" s="14"/>
    </row>
    <row r="191" spans="2:2" x14ac:dyDescent="0.25">
      <c r="B191" s="14"/>
    </row>
    <row r="192" spans="2:2" x14ac:dyDescent="0.25">
      <c r="B192" s="14"/>
    </row>
    <row r="193" spans="2:2" x14ac:dyDescent="0.25">
      <c r="B193" s="14"/>
    </row>
    <row r="194" spans="2:2" x14ac:dyDescent="0.25">
      <c r="B194" s="14"/>
    </row>
    <row r="195" spans="2:2" x14ac:dyDescent="0.25">
      <c r="B195" s="14"/>
    </row>
    <row r="196" spans="2:2" x14ac:dyDescent="0.25">
      <c r="B196" s="14"/>
    </row>
    <row r="197" spans="2:2" x14ac:dyDescent="0.25">
      <c r="B197" s="14"/>
    </row>
    <row r="198" spans="2:2" x14ac:dyDescent="0.25">
      <c r="B198" s="14"/>
    </row>
    <row r="199" spans="2:2" x14ac:dyDescent="0.25">
      <c r="B199" s="14"/>
    </row>
    <row r="200" spans="2:2" x14ac:dyDescent="0.25">
      <c r="B200" s="14"/>
    </row>
    <row r="201" spans="2:2" x14ac:dyDescent="0.25">
      <c r="B201" s="14"/>
    </row>
    <row r="202" spans="2:2" x14ac:dyDescent="0.25">
      <c r="B202" s="14"/>
    </row>
    <row r="203" spans="2:2" x14ac:dyDescent="0.25">
      <c r="B203" s="14"/>
    </row>
    <row r="204" spans="2:2" x14ac:dyDescent="0.25">
      <c r="B204" s="14"/>
    </row>
    <row r="205" spans="2:2" x14ac:dyDescent="0.25">
      <c r="B205" s="14"/>
    </row>
    <row r="206" spans="2:2" x14ac:dyDescent="0.25">
      <c r="B206" s="14"/>
    </row>
    <row r="207" spans="2:2" x14ac:dyDescent="0.25">
      <c r="B207" s="14"/>
    </row>
    <row r="208" spans="2:2" x14ac:dyDescent="0.25">
      <c r="B208" s="14"/>
    </row>
    <row r="209" spans="2:2" x14ac:dyDescent="0.25">
      <c r="B209" s="14"/>
    </row>
    <row r="210" spans="2:2" x14ac:dyDescent="0.25">
      <c r="B210" s="14"/>
    </row>
    <row r="211" spans="2:2" x14ac:dyDescent="0.25">
      <c r="B211" s="14"/>
    </row>
    <row r="212" spans="2:2" x14ac:dyDescent="0.25">
      <c r="B212" s="14"/>
    </row>
    <row r="213" spans="2:2" x14ac:dyDescent="0.25">
      <c r="B213" s="14"/>
    </row>
    <row r="214" spans="2:2" x14ac:dyDescent="0.25">
      <c r="B214" s="14"/>
    </row>
    <row r="215" spans="2:2" x14ac:dyDescent="0.25">
      <c r="B215" s="14"/>
    </row>
    <row r="216" spans="2:2" x14ac:dyDescent="0.25">
      <c r="B216" s="14"/>
    </row>
    <row r="217" spans="2:2" x14ac:dyDescent="0.25">
      <c r="B217" s="14"/>
    </row>
    <row r="218" spans="2:2" x14ac:dyDescent="0.25">
      <c r="B218" s="14"/>
    </row>
    <row r="219" spans="2:2" x14ac:dyDescent="0.25">
      <c r="B219" s="14"/>
    </row>
    <row r="220" spans="2:2" x14ac:dyDescent="0.25">
      <c r="B220" s="14"/>
    </row>
    <row r="221" spans="2:2" x14ac:dyDescent="0.25">
      <c r="B221" s="14"/>
    </row>
    <row r="222" spans="2:2" x14ac:dyDescent="0.25">
      <c r="B222" s="14"/>
    </row>
    <row r="223" spans="2:2" x14ac:dyDescent="0.25">
      <c r="B223" s="14"/>
    </row>
    <row r="224" spans="2:2" x14ac:dyDescent="0.25">
      <c r="B224" s="14"/>
    </row>
    <row r="225" spans="2:2" x14ac:dyDescent="0.25">
      <c r="B225" s="14"/>
    </row>
    <row r="226" spans="2:2" x14ac:dyDescent="0.25">
      <c r="B226" s="14"/>
    </row>
    <row r="227" spans="2:2" x14ac:dyDescent="0.25">
      <c r="B227" s="14"/>
    </row>
    <row r="228" spans="2:2" x14ac:dyDescent="0.25">
      <c r="B228" s="14"/>
    </row>
    <row r="229" spans="2:2" x14ac:dyDescent="0.25">
      <c r="B229" s="14"/>
    </row>
    <row r="230" spans="2:2" x14ac:dyDescent="0.25">
      <c r="B230" s="14"/>
    </row>
    <row r="231" spans="2:2" x14ac:dyDescent="0.25">
      <c r="B231" s="14"/>
    </row>
    <row r="232" spans="2:2" x14ac:dyDescent="0.25">
      <c r="B232" s="14"/>
    </row>
    <row r="233" spans="2:2" x14ac:dyDescent="0.25">
      <c r="B233" s="14"/>
    </row>
    <row r="234" spans="2:2" x14ac:dyDescent="0.25">
      <c r="B234" s="14"/>
    </row>
    <row r="235" spans="2:2" x14ac:dyDescent="0.25">
      <c r="B235" s="14"/>
    </row>
    <row r="236" spans="2:2" x14ac:dyDescent="0.25">
      <c r="B236" s="14"/>
    </row>
    <row r="237" spans="2:2" x14ac:dyDescent="0.25">
      <c r="B237" s="14"/>
    </row>
    <row r="238" spans="2:2" x14ac:dyDescent="0.25">
      <c r="B238" s="14"/>
    </row>
    <row r="239" spans="2:2" x14ac:dyDescent="0.25">
      <c r="B239" s="14"/>
    </row>
    <row r="240" spans="2:2" x14ac:dyDescent="0.25">
      <c r="B240" s="14"/>
    </row>
    <row r="241" spans="2:2" x14ac:dyDescent="0.25">
      <c r="B241" s="14"/>
    </row>
    <row r="242" spans="2:2" x14ac:dyDescent="0.25">
      <c r="B242" s="14"/>
    </row>
    <row r="243" spans="2:2" x14ac:dyDescent="0.25">
      <c r="B243" s="14"/>
    </row>
    <row r="244" spans="2:2" x14ac:dyDescent="0.25">
      <c r="B244" s="14"/>
    </row>
    <row r="245" spans="2:2" x14ac:dyDescent="0.25">
      <c r="B245" s="14"/>
    </row>
    <row r="246" spans="2:2" x14ac:dyDescent="0.25">
      <c r="B246" s="14"/>
    </row>
    <row r="247" spans="2:2" x14ac:dyDescent="0.25">
      <c r="B247" s="14"/>
    </row>
    <row r="248" spans="2:2" x14ac:dyDescent="0.25">
      <c r="B248" s="14"/>
    </row>
    <row r="249" spans="2:2" x14ac:dyDescent="0.25">
      <c r="B249" s="14"/>
    </row>
    <row r="250" spans="2:2" x14ac:dyDescent="0.25">
      <c r="B250" s="14"/>
    </row>
    <row r="251" spans="2:2" x14ac:dyDescent="0.25">
      <c r="B251" s="14"/>
    </row>
    <row r="252" spans="2:2" x14ac:dyDescent="0.25">
      <c r="B252" s="14"/>
    </row>
    <row r="253" spans="2:2" x14ac:dyDescent="0.25">
      <c r="B253" s="14"/>
    </row>
    <row r="254" spans="2:2" x14ac:dyDescent="0.25">
      <c r="B254" s="14"/>
    </row>
    <row r="255" spans="2:2" x14ac:dyDescent="0.25">
      <c r="B255" s="14"/>
    </row>
    <row r="256" spans="2:2" x14ac:dyDescent="0.25">
      <c r="B256" s="14"/>
    </row>
    <row r="257" spans="2:2" x14ac:dyDescent="0.25">
      <c r="B257" s="14"/>
    </row>
    <row r="258" spans="2:2" x14ac:dyDescent="0.25">
      <c r="B258" s="14"/>
    </row>
    <row r="259" spans="2:2" x14ac:dyDescent="0.25">
      <c r="B259" s="14"/>
    </row>
    <row r="260" spans="2:2" x14ac:dyDescent="0.25">
      <c r="B260" s="14"/>
    </row>
    <row r="261" spans="2:2" x14ac:dyDescent="0.25">
      <c r="B261" s="14"/>
    </row>
    <row r="262" spans="2:2" x14ac:dyDescent="0.25">
      <c r="B262" s="14"/>
    </row>
    <row r="263" spans="2:2" x14ac:dyDescent="0.25">
      <c r="B263" s="14"/>
    </row>
    <row r="264" spans="2:2" x14ac:dyDescent="0.25">
      <c r="B264" s="14"/>
    </row>
    <row r="265" spans="2:2" x14ac:dyDescent="0.25">
      <c r="B265" s="14"/>
    </row>
    <row r="266" spans="2:2" x14ac:dyDescent="0.25">
      <c r="B266" s="14"/>
    </row>
    <row r="267" spans="2:2" x14ac:dyDescent="0.25">
      <c r="B267" s="14"/>
    </row>
    <row r="268" spans="2:2" x14ac:dyDescent="0.25">
      <c r="B268" s="14"/>
    </row>
    <row r="269" spans="2:2" x14ac:dyDescent="0.25">
      <c r="B269" s="14"/>
    </row>
    <row r="270" spans="2:2" x14ac:dyDescent="0.25">
      <c r="B270" s="14"/>
    </row>
    <row r="271" spans="2:2" x14ac:dyDescent="0.25">
      <c r="B271" s="14"/>
    </row>
    <row r="272" spans="2:2" x14ac:dyDescent="0.25">
      <c r="B272" s="14"/>
    </row>
    <row r="273" spans="2:2" x14ac:dyDescent="0.25">
      <c r="B273" s="14"/>
    </row>
    <row r="274" spans="2:2" x14ac:dyDescent="0.25">
      <c r="B274" s="14"/>
    </row>
    <row r="275" spans="2:2" x14ac:dyDescent="0.25">
      <c r="B275" s="14"/>
    </row>
    <row r="276" spans="2:2" x14ac:dyDescent="0.25">
      <c r="B276" s="14"/>
    </row>
    <row r="277" spans="2:2" x14ac:dyDescent="0.25">
      <c r="B277" s="14"/>
    </row>
    <row r="278" spans="2:2" x14ac:dyDescent="0.25">
      <c r="B278" s="14"/>
    </row>
    <row r="279" spans="2:2" x14ac:dyDescent="0.25">
      <c r="B279" s="14"/>
    </row>
    <row r="280" spans="2:2" x14ac:dyDescent="0.25">
      <c r="B280" s="14"/>
    </row>
    <row r="281" spans="2:2" x14ac:dyDescent="0.25">
      <c r="B281" s="14"/>
    </row>
    <row r="282" spans="2:2" x14ac:dyDescent="0.25">
      <c r="B282" s="14"/>
    </row>
    <row r="283" spans="2:2" x14ac:dyDescent="0.25">
      <c r="B283" s="14"/>
    </row>
    <row r="284" spans="2:2" x14ac:dyDescent="0.25">
      <c r="B284" s="14"/>
    </row>
    <row r="285" spans="2:2" x14ac:dyDescent="0.25">
      <c r="B285" s="14"/>
    </row>
    <row r="286" spans="2:2" x14ac:dyDescent="0.25">
      <c r="B286" s="14"/>
    </row>
    <row r="287" spans="2:2" x14ac:dyDescent="0.25">
      <c r="B287" s="14"/>
    </row>
    <row r="288" spans="2:2" x14ac:dyDescent="0.25">
      <c r="B288" s="14"/>
    </row>
    <row r="289" spans="2:2" x14ac:dyDescent="0.25">
      <c r="B289" s="14"/>
    </row>
    <row r="290" spans="2:2" x14ac:dyDescent="0.25">
      <c r="B290" s="14"/>
    </row>
    <row r="291" spans="2:2" x14ac:dyDescent="0.25">
      <c r="B291" s="14"/>
    </row>
    <row r="292" spans="2:2" x14ac:dyDescent="0.25">
      <c r="B292" s="14"/>
    </row>
    <row r="293" spans="2:2" x14ac:dyDescent="0.25">
      <c r="B293" s="14"/>
    </row>
    <row r="294" spans="2:2" x14ac:dyDescent="0.25">
      <c r="B294" s="14"/>
    </row>
    <row r="295" spans="2:2" x14ac:dyDescent="0.25">
      <c r="B295" s="14"/>
    </row>
    <row r="296" spans="2:2" x14ac:dyDescent="0.25">
      <c r="B296" s="14"/>
    </row>
    <row r="297" spans="2:2" x14ac:dyDescent="0.25">
      <c r="B297" s="14"/>
    </row>
    <row r="298" spans="2:2" x14ac:dyDescent="0.25">
      <c r="B298" s="14"/>
    </row>
    <row r="299" spans="2:2" x14ac:dyDescent="0.25">
      <c r="B299" s="14"/>
    </row>
    <row r="300" spans="2:2" x14ac:dyDescent="0.25">
      <c r="B300" s="14"/>
    </row>
    <row r="301" spans="2:2" x14ac:dyDescent="0.25">
      <c r="B301" s="14"/>
    </row>
    <row r="302" spans="2:2" x14ac:dyDescent="0.25">
      <c r="B302" s="14"/>
    </row>
    <row r="303" spans="2:2" x14ac:dyDescent="0.25">
      <c r="B303" s="14"/>
    </row>
    <row r="304" spans="2:2" x14ac:dyDescent="0.25">
      <c r="B304" s="14"/>
    </row>
    <row r="305" spans="2:2" x14ac:dyDescent="0.25">
      <c r="B305" s="14"/>
    </row>
    <row r="306" spans="2:2" x14ac:dyDescent="0.25">
      <c r="B306" s="14"/>
    </row>
    <row r="307" spans="2:2" x14ac:dyDescent="0.25">
      <c r="B307" s="14"/>
    </row>
    <row r="308" spans="2:2" x14ac:dyDescent="0.25">
      <c r="B308" s="14"/>
    </row>
    <row r="309" spans="2:2" x14ac:dyDescent="0.25">
      <c r="B309" s="14"/>
    </row>
    <row r="310" spans="2:2" x14ac:dyDescent="0.25">
      <c r="B310" s="14"/>
    </row>
    <row r="311" spans="2:2" x14ac:dyDescent="0.25">
      <c r="B311" s="14"/>
    </row>
    <row r="312" spans="2:2" x14ac:dyDescent="0.25">
      <c r="B312" s="14"/>
    </row>
    <row r="313" spans="2:2" x14ac:dyDescent="0.25">
      <c r="B313" s="14"/>
    </row>
    <row r="314" spans="2:2" x14ac:dyDescent="0.25">
      <c r="B314" s="14"/>
    </row>
    <row r="315" spans="2:2" x14ac:dyDescent="0.25">
      <c r="B315" s="14"/>
    </row>
    <row r="316" spans="2:2" x14ac:dyDescent="0.25">
      <c r="B316" s="14"/>
    </row>
    <row r="317" spans="2:2" x14ac:dyDescent="0.25">
      <c r="B317" s="14"/>
    </row>
    <row r="318" spans="2:2" x14ac:dyDescent="0.25">
      <c r="B318" s="14"/>
    </row>
    <row r="319" spans="2:2" x14ac:dyDescent="0.25">
      <c r="B319" s="14"/>
    </row>
    <row r="320" spans="2:2" x14ac:dyDescent="0.25">
      <c r="B320" s="14"/>
    </row>
    <row r="321" spans="2:2" x14ac:dyDescent="0.25">
      <c r="B321" s="14"/>
    </row>
    <row r="322" spans="2:2" x14ac:dyDescent="0.25">
      <c r="B322" s="14"/>
    </row>
    <row r="323" spans="2:2" x14ac:dyDescent="0.25">
      <c r="B323" s="14"/>
    </row>
    <row r="324" spans="2:2" x14ac:dyDescent="0.25">
      <c r="B324" s="14"/>
    </row>
    <row r="325" spans="2:2" x14ac:dyDescent="0.25">
      <c r="B325" s="14"/>
    </row>
    <row r="326" spans="2:2" x14ac:dyDescent="0.25">
      <c r="B326" s="14"/>
    </row>
    <row r="327" spans="2:2" x14ac:dyDescent="0.25">
      <c r="B327" s="14"/>
    </row>
    <row r="328" spans="2:2" x14ac:dyDescent="0.25">
      <c r="B328" s="14"/>
    </row>
    <row r="329" spans="2:2" x14ac:dyDescent="0.25">
      <c r="B329" s="14"/>
    </row>
    <row r="330" spans="2:2" x14ac:dyDescent="0.25">
      <c r="B330" s="14"/>
    </row>
    <row r="331" spans="2:2" x14ac:dyDescent="0.25">
      <c r="B331" s="14"/>
    </row>
    <row r="332" spans="2:2" x14ac:dyDescent="0.25">
      <c r="B332" s="14"/>
    </row>
    <row r="333" spans="2:2" x14ac:dyDescent="0.25">
      <c r="B333" s="14"/>
    </row>
    <row r="334" spans="2:2" x14ac:dyDescent="0.25">
      <c r="B334" s="14"/>
    </row>
    <row r="335" spans="2:2" x14ac:dyDescent="0.25">
      <c r="B335" s="14"/>
    </row>
    <row r="336" spans="2:2" x14ac:dyDescent="0.25">
      <c r="B336" s="14"/>
    </row>
    <row r="337" spans="2:2" x14ac:dyDescent="0.25">
      <c r="B337" s="14"/>
    </row>
    <row r="338" spans="2:2" x14ac:dyDescent="0.25">
      <c r="B338" s="14"/>
    </row>
    <row r="339" spans="2:2" x14ac:dyDescent="0.25">
      <c r="B339" s="14"/>
    </row>
    <row r="340" spans="2:2" x14ac:dyDescent="0.25">
      <c r="B340" s="14"/>
    </row>
    <row r="341" spans="2:2" x14ac:dyDescent="0.25">
      <c r="B341" s="14"/>
    </row>
    <row r="342" spans="2:2" x14ac:dyDescent="0.25">
      <c r="B342" s="14"/>
    </row>
    <row r="343" spans="2:2" x14ac:dyDescent="0.25">
      <c r="B343" s="14"/>
    </row>
    <row r="344" spans="2:2" x14ac:dyDescent="0.25">
      <c r="B344" s="14"/>
    </row>
    <row r="345" spans="2:2" x14ac:dyDescent="0.25">
      <c r="B345" s="14"/>
    </row>
    <row r="346" spans="2:2" x14ac:dyDescent="0.25">
      <c r="B346" s="14"/>
    </row>
    <row r="347" spans="2:2" x14ac:dyDescent="0.25">
      <c r="B347" s="14"/>
    </row>
    <row r="348" spans="2:2" x14ac:dyDescent="0.25">
      <c r="B348" s="14"/>
    </row>
    <row r="349" spans="2:2" x14ac:dyDescent="0.25">
      <c r="B349" s="14"/>
    </row>
    <row r="350" spans="2:2" x14ac:dyDescent="0.25">
      <c r="B350" s="14"/>
    </row>
    <row r="351" spans="2:2" x14ac:dyDescent="0.25">
      <c r="B351" s="14"/>
    </row>
    <row r="352" spans="2:2" x14ac:dyDescent="0.25">
      <c r="B352" s="14"/>
    </row>
    <row r="353" spans="2:2" x14ac:dyDescent="0.25">
      <c r="B353" s="14"/>
    </row>
    <row r="354" spans="2:2" x14ac:dyDescent="0.25">
      <c r="B354" s="14"/>
    </row>
    <row r="355" spans="2:2" x14ac:dyDescent="0.25">
      <c r="B355" s="14"/>
    </row>
    <row r="356" spans="2:2" x14ac:dyDescent="0.25">
      <c r="B356" s="14"/>
    </row>
    <row r="357" spans="2:2" x14ac:dyDescent="0.25">
      <c r="B357" s="14"/>
    </row>
    <row r="358" spans="2:2" x14ac:dyDescent="0.25">
      <c r="B358" s="14"/>
    </row>
    <row r="359" spans="2:2" x14ac:dyDescent="0.25">
      <c r="B359" s="14"/>
    </row>
    <row r="360" spans="2:2" x14ac:dyDescent="0.25">
      <c r="B360" s="14"/>
    </row>
    <row r="361" spans="2:2" x14ac:dyDescent="0.25">
      <c r="B361" s="14"/>
    </row>
    <row r="362" spans="2:2" x14ac:dyDescent="0.25">
      <c r="B362" s="14"/>
    </row>
    <row r="363" spans="2:2" x14ac:dyDescent="0.25">
      <c r="B363" s="14"/>
    </row>
    <row r="364" spans="2:2" x14ac:dyDescent="0.25">
      <c r="B364" s="14"/>
    </row>
    <row r="365" spans="2:2" x14ac:dyDescent="0.25">
      <c r="B365" s="14"/>
    </row>
    <row r="366" spans="2:2" x14ac:dyDescent="0.25">
      <c r="B366" s="14"/>
    </row>
    <row r="367" spans="2:2" x14ac:dyDescent="0.25">
      <c r="B367" s="14"/>
    </row>
    <row r="368" spans="2:2" x14ac:dyDescent="0.25">
      <c r="B368" s="14"/>
    </row>
    <row r="369" spans="2:2" x14ac:dyDescent="0.25">
      <c r="B369" s="14"/>
    </row>
    <row r="370" spans="2:2" x14ac:dyDescent="0.25">
      <c r="B370" s="14"/>
    </row>
    <row r="371" spans="2:2" x14ac:dyDescent="0.25">
      <c r="B371" s="14"/>
    </row>
    <row r="372" spans="2:2" x14ac:dyDescent="0.25">
      <c r="B372" s="14"/>
    </row>
    <row r="373" spans="2:2" x14ac:dyDescent="0.25">
      <c r="B373" s="14"/>
    </row>
    <row r="374" spans="2:2" x14ac:dyDescent="0.25">
      <c r="B374" s="14"/>
    </row>
    <row r="375" spans="2:2" x14ac:dyDescent="0.25">
      <c r="B375" s="14"/>
    </row>
    <row r="376" spans="2:2" x14ac:dyDescent="0.25">
      <c r="B376" s="14"/>
    </row>
    <row r="377" spans="2:2" x14ac:dyDescent="0.25">
      <c r="B377" s="14"/>
    </row>
    <row r="378" spans="2:2" x14ac:dyDescent="0.25">
      <c r="B378" s="14"/>
    </row>
    <row r="379" spans="2:2" x14ac:dyDescent="0.25">
      <c r="B379" s="14"/>
    </row>
    <row r="380" spans="2:2" x14ac:dyDescent="0.25">
      <c r="B380" s="14"/>
    </row>
    <row r="381" spans="2:2" x14ac:dyDescent="0.25">
      <c r="B381" s="14"/>
    </row>
    <row r="382" spans="2:2" x14ac:dyDescent="0.25">
      <c r="B382" s="14"/>
    </row>
    <row r="383" spans="2:2" x14ac:dyDescent="0.25">
      <c r="B383" s="14"/>
    </row>
    <row r="384" spans="2:2" x14ac:dyDescent="0.25">
      <c r="B384" s="14"/>
    </row>
    <row r="385" spans="2:2" x14ac:dyDescent="0.25">
      <c r="B385" s="14"/>
    </row>
    <row r="386" spans="2:2" x14ac:dyDescent="0.25">
      <c r="B386" s="14"/>
    </row>
    <row r="387" spans="2:2" x14ac:dyDescent="0.25">
      <c r="B387" s="14"/>
    </row>
    <row r="388" spans="2:2" x14ac:dyDescent="0.25">
      <c r="B388" s="14"/>
    </row>
    <row r="389" spans="2:2" x14ac:dyDescent="0.25">
      <c r="B389" s="14"/>
    </row>
    <row r="390" spans="2:2" x14ac:dyDescent="0.25">
      <c r="B390" s="14"/>
    </row>
    <row r="391" spans="2:2" x14ac:dyDescent="0.25">
      <c r="B391" s="14"/>
    </row>
    <row r="392" spans="2:2" x14ac:dyDescent="0.25">
      <c r="B392" s="14"/>
    </row>
    <row r="393" spans="2:2" x14ac:dyDescent="0.25">
      <c r="B393" s="14"/>
    </row>
    <row r="394" spans="2:2" x14ac:dyDescent="0.25">
      <c r="B394" s="14"/>
    </row>
    <row r="395" spans="2:2" x14ac:dyDescent="0.25">
      <c r="B395" s="14"/>
    </row>
    <row r="396" spans="2:2" x14ac:dyDescent="0.25">
      <c r="B396" s="14"/>
    </row>
    <row r="397" spans="2:2" x14ac:dyDescent="0.25">
      <c r="B397" s="14"/>
    </row>
    <row r="398" spans="2:2" x14ac:dyDescent="0.25">
      <c r="B398" s="14"/>
    </row>
    <row r="399" spans="2:2" x14ac:dyDescent="0.25">
      <c r="B399" s="14"/>
    </row>
    <row r="400" spans="2:2" x14ac:dyDescent="0.25">
      <c r="B400" s="14"/>
    </row>
    <row r="401" spans="2:2" x14ac:dyDescent="0.25">
      <c r="B401" s="14"/>
    </row>
    <row r="402" spans="2:2" x14ac:dyDescent="0.25">
      <c r="B402" s="14"/>
    </row>
    <row r="403" spans="2:2" x14ac:dyDescent="0.25">
      <c r="B403" s="14"/>
    </row>
    <row r="404" spans="2:2" x14ac:dyDescent="0.25">
      <c r="B404" s="14"/>
    </row>
    <row r="405" spans="2:2" x14ac:dyDescent="0.25">
      <c r="B405" s="14"/>
    </row>
    <row r="406" spans="2:2" x14ac:dyDescent="0.25">
      <c r="B406" s="14"/>
    </row>
    <row r="407" spans="2:2" x14ac:dyDescent="0.25">
      <c r="B407" s="14"/>
    </row>
    <row r="408" spans="2:2" x14ac:dyDescent="0.25">
      <c r="B408" s="14"/>
    </row>
    <row r="409" spans="2:2" x14ac:dyDescent="0.25">
      <c r="B409" s="14"/>
    </row>
    <row r="410" spans="2:2" x14ac:dyDescent="0.25">
      <c r="B410" s="14"/>
    </row>
    <row r="411" spans="2:2" x14ac:dyDescent="0.25">
      <c r="B411" s="14"/>
    </row>
    <row r="412" spans="2:2" x14ac:dyDescent="0.25">
      <c r="B412" s="14"/>
    </row>
    <row r="413" spans="2:2" x14ac:dyDescent="0.25">
      <c r="B413" s="14"/>
    </row>
    <row r="414" spans="2:2" x14ac:dyDescent="0.25">
      <c r="B414" s="14"/>
    </row>
    <row r="415" spans="2:2" x14ac:dyDescent="0.25">
      <c r="B415" s="14"/>
    </row>
    <row r="416" spans="2:2" x14ac:dyDescent="0.25">
      <c r="B416" s="14"/>
    </row>
    <row r="417" spans="2:2" x14ac:dyDescent="0.25">
      <c r="B417" s="14"/>
    </row>
    <row r="418" spans="2:2" x14ac:dyDescent="0.25">
      <c r="B418" s="14"/>
    </row>
    <row r="419" spans="2:2" x14ac:dyDescent="0.25">
      <c r="B419" s="14"/>
    </row>
    <row r="420" spans="2:2" x14ac:dyDescent="0.25">
      <c r="B420" s="14"/>
    </row>
    <row r="421" spans="2:2" x14ac:dyDescent="0.25">
      <c r="B421" s="14"/>
    </row>
    <row r="422" spans="2:2" x14ac:dyDescent="0.25">
      <c r="B422" s="14"/>
    </row>
    <row r="423" spans="2:2" x14ac:dyDescent="0.25">
      <c r="B423" s="14"/>
    </row>
    <row r="424" spans="2:2" x14ac:dyDescent="0.25">
      <c r="B424" s="14"/>
    </row>
    <row r="425" spans="2:2" x14ac:dyDescent="0.25">
      <c r="B425" s="14"/>
    </row>
    <row r="426" spans="2:2" x14ac:dyDescent="0.25">
      <c r="B426" s="14"/>
    </row>
    <row r="427" spans="2:2" x14ac:dyDescent="0.25">
      <c r="B427" s="14"/>
    </row>
    <row r="428" spans="2:2" x14ac:dyDescent="0.25">
      <c r="B428" s="14"/>
    </row>
    <row r="429" spans="2:2" x14ac:dyDescent="0.25">
      <c r="B429" s="14"/>
    </row>
    <row r="430" spans="2:2" x14ac:dyDescent="0.25">
      <c r="B430" s="14"/>
    </row>
    <row r="431" spans="2:2" x14ac:dyDescent="0.25">
      <c r="B431" s="14"/>
    </row>
    <row r="432" spans="2:2" x14ac:dyDescent="0.25">
      <c r="B432" s="14"/>
    </row>
    <row r="433" spans="2:2" x14ac:dyDescent="0.25">
      <c r="B433" s="14"/>
    </row>
    <row r="434" spans="2:2" x14ac:dyDescent="0.25">
      <c r="B434" s="14"/>
    </row>
    <row r="435" spans="2:2" x14ac:dyDescent="0.25">
      <c r="B435" s="14"/>
    </row>
    <row r="436" spans="2:2" x14ac:dyDescent="0.25">
      <c r="B436" s="14"/>
    </row>
    <row r="437" spans="2:2" x14ac:dyDescent="0.25">
      <c r="B437" s="14"/>
    </row>
    <row r="438" spans="2:2" x14ac:dyDescent="0.25">
      <c r="B438" s="14"/>
    </row>
    <row r="439" spans="2:2" x14ac:dyDescent="0.25">
      <c r="B439" s="14"/>
    </row>
    <row r="440" spans="2:2" x14ac:dyDescent="0.25">
      <c r="B440" s="14"/>
    </row>
    <row r="441" spans="2:2" x14ac:dyDescent="0.25">
      <c r="B441" s="14"/>
    </row>
    <row r="442" spans="2:2" x14ac:dyDescent="0.25">
      <c r="B442" s="14"/>
    </row>
    <row r="443" spans="2:2" x14ac:dyDescent="0.25">
      <c r="B443" s="14"/>
    </row>
    <row r="444" spans="2:2" x14ac:dyDescent="0.25">
      <c r="B444" s="14"/>
    </row>
    <row r="445" spans="2:2" x14ac:dyDescent="0.25">
      <c r="B445" s="14"/>
    </row>
    <row r="446" spans="2:2" x14ac:dyDescent="0.25">
      <c r="B446" s="14"/>
    </row>
    <row r="447" spans="2:2" x14ac:dyDescent="0.25">
      <c r="B447" s="14"/>
    </row>
    <row r="448" spans="2:2" x14ac:dyDescent="0.25">
      <c r="B448" s="14"/>
    </row>
    <row r="449" spans="2:2" x14ac:dyDescent="0.25">
      <c r="B449" s="14"/>
    </row>
    <row r="450" spans="2:2" x14ac:dyDescent="0.25">
      <c r="B450" s="14"/>
    </row>
    <row r="451" spans="2:2" x14ac:dyDescent="0.25">
      <c r="B451" s="14"/>
    </row>
    <row r="452" spans="2:2" x14ac:dyDescent="0.25">
      <c r="B452" s="14"/>
    </row>
    <row r="453" spans="2:2" x14ac:dyDescent="0.25">
      <c r="B453" s="14"/>
    </row>
    <row r="454" spans="2:2" x14ac:dyDescent="0.25">
      <c r="B454" s="14"/>
    </row>
    <row r="455" spans="2:2" x14ac:dyDescent="0.25">
      <c r="B455" s="14"/>
    </row>
    <row r="456" spans="2:2" x14ac:dyDescent="0.25">
      <c r="B456" s="14"/>
    </row>
    <row r="457" spans="2:2" x14ac:dyDescent="0.25">
      <c r="B457" s="14"/>
    </row>
    <row r="458" spans="2:2" x14ac:dyDescent="0.25">
      <c r="B458" s="14"/>
    </row>
    <row r="459" spans="2:2" x14ac:dyDescent="0.25">
      <c r="B459" s="14"/>
    </row>
    <row r="460" spans="2:2" x14ac:dyDescent="0.25">
      <c r="B460" s="14"/>
    </row>
    <row r="461" spans="2:2" x14ac:dyDescent="0.25">
      <c r="B461" s="14"/>
    </row>
    <row r="462" spans="2:2" x14ac:dyDescent="0.25">
      <c r="B462" s="14"/>
    </row>
    <row r="463" spans="2:2" x14ac:dyDescent="0.25">
      <c r="B463" s="14"/>
    </row>
    <row r="464" spans="2:2" x14ac:dyDescent="0.25">
      <c r="B464" s="14"/>
    </row>
    <row r="465" spans="2:2" x14ac:dyDescent="0.25">
      <c r="B465" s="14"/>
    </row>
    <row r="466" spans="2:2" x14ac:dyDescent="0.25">
      <c r="B466" s="14"/>
    </row>
    <row r="467" spans="2:2" x14ac:dyDescent="0.25">
      <c r="B467" s="14"/>
    </row>
    <row r="468" spans="2:2" x14ac:dyDescent="0.25">
      <c r="B468" s="14"/>
    </row>
    <row r="469" spans="2:2" x14ac:dyDescent="0.25">
      <c r="B469" s="14"/>
    </row>
    <row r="470" spans="2:2" x14ac:dyDescent="0.25">
      <c r="B470" s="14"/>
    </row>
    <row r="471" spans="2:2" x14ac:dyDescent="0.25">
      <c r="B471" s="14"/>
    </row>
    <row r="472" spans="2:2" x14ac:dyDescent="0.25">
      <c r="B472" s="14"/>
    </row>
    <row r="473" spans="2:2" x14ac:dyDescent="0.25">
      <c r="B473" s="14"/>
    </row>
    <row r="474" spans="2:2" x14ac:dyDescent="0.25">
      <c r="B474" s="14"/>
    </row>
    <row r="475" spans="2:2" x14ac:dyDescent="0.25">
      <c r="B475" s="14"/>
    </row>
    <row r="476" spans="2:2" x14ac:dyDescent="0.25">
      <c r="B476" s="14"/>
    </row>
    <row r="477" spans="2:2" x14ac:dyDescent="0.25">
      <c r="B477" s="14"/>
    </row>
    <row r="478" spans="2:2" x14ac:dyDescent="0.25">
      <c r="B478" s="14"/>
    </row>
    <row r="479" spans="2:2" x14ac:dyDescent="0.25">
      <c r="B479" s="14"/>
    </row>
    <row r="480" spans="2:2" x14ac:dyDescent="0.25">
      <c r="B480" s="14"/>
    </row>
    <row r="481" spans="2:2" x14ac:dyDescent="0.25">
      <c r="B481" s="14"/>
    </row>
    <row r="482" spans="2:2" x14ac:dyDescent="0.25">
      <c r="B482" s="14"/>
    </row>
    <row r="483" spans="2:2" x14ac:dyDescent="0.25">
      <c r="B483" s="14"/>
    </row>
    <row r="484" spans="2:2" x14ac:dyDescent="0.25">
      <c r="B484" s="14"/>
    </row>
    <row r="485" spans="2:2" x14ac:dyDescent="0.25">
      <c r="B485" s="14"/>
    </row>
    <row r="486" spans="2:2" x14ac:dyDescent="0.25">
      <c r="B486" s="14"/>
    </row>
    <row r="487" spans="2:2" x14ac:dyDescent="0.25">
      <c r="B487" s="14"/>
    </row>
    <row r="488" spans="2:2" x14ac:dyDescent="0.25">
      <c r="B488" s="14"/>
    </row>
    <row r="489" spans="2:2" x14ac:dyDescent="0.25">
      <c r="B489" s="14"/>
    </row>
    <row r="490" spans="2:2" x14ac:dyDescent="0.25">
      <c r="B490" s="14"/>
    </row>
    <row r="491" spans="2:2" x14ac:dyDescent="0.25">
      <c r="B491" s="14"/>
    </row>
    <row r="492" spans="2:2" x14ac:dyDescent="0.25">
      <c r="B492" s="14"/>
    </row>
    <row r="493" spans="2:2" x14ac:dyDescent="0.25">
      <c r="B493" s="14"/>
    </row>
    <row r="494" spans="2:2" x14ac:dyDescent="0.25">
      <c r="B494" s="14"/>
    </row>
    <row r="495" spans="2:2" x14ac:dyDescent="0.25">
      <c r="B495" s="14"/>
    </row>
    <row r="496" spans="2:2" x14ac:dyDescent="0.25">
      <c r="B496" s="14"/>
    </row>
    <row r="497" spans="2:2" x14ac:dyDescent="0.25">
      <c r="B497" s="14"/>
    </row>
    <row r="498" spans="2:2" x14ac:dyDescent="0.25">
      <c r="B498" s="14"/>
    </row>
    <row r="499" spans="2:2" x14ac:dyDescent="0.25">
      <c r="B499" s="14"/>
    </row>
    <row r="500" spans="2:2" x14ac:dyDescent="0.25">
      <c r="B500" s="14"/>
    </row>
    <row r="501" spans="2:2" x14ac:dyDescent="0.25">
      <c r="B501" s="14"/>
    </row>
    <row r="502" spans="2:2" x14ac:dyDescent="0.25">
      <c r="B502" s="14"/>
    </row>
    <row r="503" spans="2:2" x14ac:dyDescent="0.25">
      <c r="B503" s="14"/>
    </row>
    <row r="504" spans="2:2" x14ac:dyDescent="0.25">
      <c r="B504" s="14"/>
    </row>
    <row r="505" spans="2:2" x14ac:dyDescent="0.25">
      <c r="B505" s="14"/>
    </row>
    <row r="506" spans="2:2" x14ac:dyDescent="0.25">
      <c r="B506" s="14"/>
    </row>
    <row r="507" spans="2:2" x14ac:dyDescent="0.25">
      <c r="B507" s="14"/>
    </row>
    <row r="508" spans="2:2" x14ac:dyDescent="0.25">
      <c r="B508" s="14"/>
    </row>
    <row r="509" spans="2:2" x14ac:dyDescent="0.25">
      <c r="B509" s="14"/>
    </row>
    <row r="510" spans="2:2" x14ac:dyDescent="0.25">
      <c r="B510" s="14"/>
    </row>
    <row r="511" spans="2:2" x14ac:dyDescent="0.25">
      <c r="B511" s="14"/>
    </row>
    <row r="512" spans="2:2" x14ac:dyDescent="0.25">
      <c r="B512" s="14"/>
    </row>
    <row r="513" spans="2:2" x14ac:dyDescent="0.25">
      <c r="B513" s="14"/>
    </row>
    <row r="514" spans="2:2" x14ac:dyDescent="0.25">
      <c r="B514" s="14"/>
    </row>
    <row r="515" spans="2:2" x14ac:dyDescent="0.25">
      <c r="B515" s="14"/>
    </row>
    <row r="516" spans="2:2" x14ac:dyDescent="0.25">
      <c r="B516" s="14"/>
    </row>
    <row r="517" spans="2:2" x14ac:dyDescent="0.25">
      <c r="B517" s="14"/>
    </row>
    <row r="518" spans="2:2" x14ac:dyDescent="0.25">
      <c r="B518" s="14"/>
    </row>
    <row r="519" spans="2:2" x14ac:dyDescent="0.25">
      <c r="B519" s="14"/>
    </row>
    <row r="520" spans="2:2" x14ac:dyDescent="0.25">
      <c r="B520" s="14"/>
    </row>
    <row r="521" spans="2:2" x14ac:dyDescent="0.25">
      <c r="B521" s="14"/>
    </row>
    <row r="522" spans="2:2" x14ac:dyDescent="0.25">
      <c r="B522" s="14"/>
    </row>
    <row r="523" spans="2:2" x14ac:dyDescent="0.25">
      <c r="B523" s="14"/>
    </row>
    <row r="524" spans="2:2" x14ac:dyDescent="0.25">
      <c r="B524" s="14"/>
    </row>
    <row r="525" spans="2:2" x14ac:dyDescent="0.25">
      <c r="B525" s="14"/>
    </row>
    <row r="526" spans="2:2" x14ac:dyDescent="0.25">
      <c r="B526" s="14"/>
    </row>
    <row r="527" spans="2:2" x14ac:dyDescent="0.25">
      <c r="B527" s="14"/>
    </row>
    <row r="528" spans="2:2" x14ac:dyDescent="0.25">
      <c r="B528" s="14"/>
    </row>
    <row r="529" spans="2:2" x14ac:dyDescent="0.25">
      <c r="B529" s="14"/>
    </row>
    <row r="530" spans="2:2" x14ac:dyDescent="0.25">
      <c r="B530" s="14"/>
    </row>
    <row r="531" spans="2:2" x14ac:dyDescent="0.25">
      <c r="B531" s="14"/>
    </row>
    <row r="532" spans="2:2" x14ac:dyDescent="0.25">
      <c r="B532" s="14"/>
    </row>
    <row r="533" spans="2:2" x14ac:dyDescent="0.25">
      <c r="B533" s="14"/>
    </row>
    <row r="534" spans="2:2" x14ac:dyDescent="0.25">
      <c r="B534" s="14"/>
    </row>
    <row r="535" spans="2:2" x14ac:dyDescent="0.25">
      <c r="B535" s="14"/>
    </row>
    <row r="536" spans="2:2" x14ac:dyDescent="0.25">
      <c r="B536" s="14"/>
    </row>
    <row r="537" spans="2:2" x14ac:dyDescent="0.25">
      <c r="B537" s="14"/>
    </row>
    <row r="538" spans="2:2" x14ac:dyDescent="0.25">
      <c r="B538" s="14"/>
    </row>
    <row r="539" spans="2:2" x14ac:dyDescent="0.25">
      <c r="B539" s="14"/>
    </row>
    <row r="540" spans="2:2" x14ac:dyDescent="0.25">
      <c r="B540" s="14"/>
    </row>
    <row r="541" spans="2:2" x14ac:dyDescent="0.25">
      <c r="B541" s="14"/>
    </row>
    <row r="542" spans="2:2" x14ac:dyDescent="0.25">
      <c r="B542" s="14"/>
    </row>
    <row r="543" spans="2:2" x14ac:dyDescent="0.25">
      <c r="B543" s="14"/>
    </row>
    <row r="544" spans="2:2" x14ac:dyDescent="0.25">
      <c r="B544" s="14"/>
    </row>
    <row r="545" spans="2:2" x14ac:dyDescent="0.25">
      <c r="B545" s="14"/>
    </row>
    <row r="546" spans="2:2" x14ac:dyDescent="0.25">
      <c r="B546" s="14"/>
    </row>
    <row r="547" spans="2:2" x14ac:dyDescent="0.25">
      <c r="B547" s="14"/>
    </row>
    <row r="548" spans="2:2" x14ac:dyDescent="0.25">
      <c r="B548" s="14"/>
    </row>
    <row r="549" spans="2:2" x14ac:dyDescent="0.25">
      <c r="B549" s="14"/>
    </row>
    <row r="550" spans="2:2" x14ac:dyDescent="0.25">
      <c r="B550" s="14"/>
    </row>
    <row r="551" spans="2:2" x14ac:dyDescent="0.25">
      <c r="B551" s="14"/>
    </row>
    <row r="552" spans="2:2" x14ac:dyDescent="0.25">
      <c r="B552" s="14"/>
    </row>
    <row r="553" spans="2:2" x14ac:dyDescent="0.25">
      <c r="B553" s="14"/>
    </row>
    <row r="554" spans="2:2" x14ac:dyDescent="0.25">
      <c r="B554" s="14"/>
    </row>
    <row r="555" spans="2:2" x14ac:dyDescent="0.25">
      <c r="B555" s="14"/>
    </row>
    <row r="556" spans="2:2" x14ac:dyDescent="0.25">
      <c r="B556" s="14"/>
    </row>
    <row r="557" spans="2:2" x14ac:dyDescent="0.25">
      <c r="B557" s="14"/>
    </row>
    <row r="558" spans="2:2" x14ac:dyDescent="0.25">
      <c r="B558" s="14"/>
    </row>
    <row r="559" spans="2:2" x14ac:dyDescent="0.25">
      <c r="B559" s="14"/>
    </row>
    <row r="560" spans="2:2" x14ac:dyDescent="0.25">
      <c r="B560" s="14"/>
    </row>
    <row r="561" spans="2:2" x14ac:dyDescent="0.25">
      <c r="B561" s="14"/>
    </row>
    <row r="562" spans="2:2" x14ac:dyDescent="0.25">
      <c r="B562" s="14"/>
    </row>
    <row r="563" spans="2:2" x14ac:dyDescent="0.25">
      <c r="B563" s="14"/>
    </row>
    <row r="564" spans="2:2" x14ac:dyDescent="0.25">
      <c r="B564" s="14"/>
    </row>
    <row r="565" spans="2:2" x14ac:dyDescent="0.25">
      <c r="B565" s="14"/>
    </row>
    <row r="566" spans="2:2" x14ac:dyDescent="0.25">
      <c r="B566" s="14"/>
    </row>
    <row r="567" spans="2:2" x14ac:dyDescent="0.25">
      <c r="B567" s="14"/>
    </row>
    <row r="568" spans="2:2" x14ac:dyDescent="0.25">
      <c r="B568" s="14"/>
    </row>
    <row r="569" spans="2:2" x14ac:dyDescent="0.25">
      <c r="B569" s="14"/>
    </row>
    <row r="570" spans="2:2" x14ac:dyDescent="0.25">
      <c r="B570" s="14"/>
    </row>
    <row r="571" spans="2:2" x14ac:dyDescent="0.25">
      <c r="B571" s="14"/>
    </row>
    <row r="572" spans="2:2" x14ac:dyDescent="0.25">
      <c r="B572" s="14"/>
    </row>
    <row r="573" spans="2:2" x14ac:dyDescent="0.25">
      <c r="B573" s="14"/>
    </row>
    <row r="574" spans="2:2" x14ac:dyDescent="0.25">
      <c r="B574" s="14"/>
    </row>
    <row r="575" spans="2:2" x14ac:dyDescent="0.25">
      <c r="B575" s="14"/>
    </row>
    <row r="576" spans="2:2" x14ac:dyDescent="0.25">
      <c r="B576" s="14"/>
    </row>
    <row r="577" spans="2:2" x14ac:dyDescent="0.25">
      <c r="B577" s="14"/>
    </row>
    <row r="578" spans="2:2" x14ac:dyDescent="0.25">
      <c r="B578" s="14"/>
    </row>
    <row r="579" spans="2:2" x14ac:dyDescent="0.25">
      <c r="B579" s="14"/>
    </row>
    <row r="580" spans="2:2" x14ac:dyDescent="0.25">
      <c r="B580" s="14"/>
    </row>
    <row r="581" spans="2:2" x14ac:dyDescent="0.25">
      <c r="B581" s="14"/>
    </row>
    <row r="582" spans="2:2" x14ac:dyDescent="0.25">
      <c r="B582" s="14"/>
    </row>
    <row r="583" spans="2:2" x14ac:dyDescent="0.25">
      <c r="B583" s="14"/>
    </row>
    <row r="584" spans="2:2" x14ac:dyDescent="0.25">
      <c r="B584" s="14"/>
    </row>
    <row r="585" spans="2:2" x14ac:dyDescent="0.25">
      <c r="B585" s="14"/>
    </row>
    <row r="586" spans="2:2" x14ac:dyDescent="0.25">
      <c r="B586" s="14"/>
    </row>
    <row r="587" spans="2:2" x14ac:dyDescent="0.25">
      <c r="B587" s="14"/>
    </row>
    <row r="588" spans="2:2" x14ac:dyDescent="0.25">
      <c r="B588" s="14"/>
    </row>
    <row r="589" spans="2:2" x14ac:dyDescent="0.25">
      <c r="B589" s="14"/>
    </row>
    <row r="590" spans="2:2" x14ac:dyDescent="0.25">
      <c r="B590" s="14"/>
    </row>
    <row r="591" spans="2:2" x14ac:dyDescent="0.25">
      <c r="B591" s="14"/>
    </row>
    <row r="592" spans="2:2" x14ac:dyDescent="0.25">
      <c r="B592" s="14"/>
    </row>
    <row r="593" spans="2:2" x14ac:dyDescent="0.25">
      <c r="B593" s="14"/>
    </row>
    <row r="594" spans="2:2" x14ac:dyDescent="0.25">
      <c r="B594" s="14"/>
    </row>
    <row r="595" spans="2:2" x14ac:dyDescent="0.25">
      <c r="B595" s="14"/>
    </row>
    <row r="596" spans="2:2" x14ac:dyDescent="0.25">
      <c r="B596" s="14"/>
    </row>
    <row r="597" spans="2:2" x14ac:dyDescent="0.25">
      <c r="B597" s="14"/>
    </row>
    <row r="598" spans="2:2" x14ac:dyDescent="0.25">
      <c r="B598" s="14"/>
    </row>
    <row r="599" spans="2:2" x14ac:dyDescent="0.25">
      <c r="B599" s="14"/>
    </row>
    <row r="600" spans="2:2" x14ac:dyDescent="0.25">
      <c r="B600" s="14"/>
    </row>
    <row r="601" spans="2:2" x14ac:dyDescent="0.25">
      <c r="B601" s="14"/>
    </row>
    <row r="602" spans="2:2" x14ac:dyDescent="0.25">
      <c r="B602" s="14"/>
    </row>
    <row r="603" spans="2:2" x14ac:dyDescent="0.25">
      <c r="B603" s="14"/>
    </row>
    <row r="604" spans="2:2" x14ac:dyDescent="0.25">
      <c r="B604" s="14"/>
    </row>
    <row r="605" spans="2:2" x14ac:dyDescent="0.25">
      <c r="B605" s="14"/>
    </row>
    <row r="606" spans="2:2" x14ac:dyDescent="0.25">
      <c r="B606" s="14"/>
    </row>
    <row r="607" spans="2:2" x14ac:dyDescent="0.25">
      <c r="B607" s="14"/>
    </row>
    <row r="608" spans="2:2" x14ac:dyDescent="0.25">
      <c r="B608" s="14"/>
    </row>
    <row r="609" spans="2:2" x14ac:dyDescent="0.25">
      <c r="B609" s="14"/>
    </row>
    <row r="610" spans="2:2" x14ac:dyDescent="0.25">
      <c r="B610" s="14"/>
    </row>
    <row r="611" spans="2:2" x14ac:dyDescent="0.25">
      <c r="B611" s="14"/>
    </row>
    <row r="612" spans="2:2" x14ac:dyDescent="0.25">
      <c r="B612" s="14"/>
    </row>
    <row r="613" spans="2:2" x14ac:dyDescent="0.25">
      <c r="B613" s="14"/>
    </row>
    <row r="614" spans="2:2" x14ac:dyDescent="0.25">
      <c r="B614" s="14"/>
    </row>
    <row r="615" spans="2:2" x14ac:dyDescent="0.25">
      <c r="B615" s="14"/>
    </row>
    <row r="616" spans="2:2" x14ac:dyDescent="0.25">
      <c r="B616" s="14"/>
    </row>
    <row r="617" spans="2:2" x14ac:dyDescent="0.25">
      <c r="B617" s="14"/>
    </row>
    <row r="618" spans="2:2" x14ac:dyDescent="0.25">
      <c r="B618" s="14"/>
    </row>
    <row r="619" spans="2:2" x14ac:dyDescent="0.25">
      <c r="B619" s="14"/>
    </row>
    <row r="620" spans="2:2" x14ac:dyDescent="0.25">
      <c r="B620" s="14"/>
    </row>
    <row r="621" spans="2:2" x14ac:dyDescent="0.25">
      <c r="B621" s="14"/>
    </row>
    <row r="622" spans="2:2" x14ac:dyDescent="0.25">
      <c r="B622" s="14"/>
    </row>
    <row r="623" spans="2:2" x14ac:dyDescent="0.25">
      <c r="B623" s="14"/>
    </row>
    <row r="624" spans="2:2" x14ac:dyDescent="0.25">
      <c r="B624" s="14"/>
    </row>
    <row r="625" spans="2:2" x14ac:dyDescent="0.25">
      <c r="B625" s="14"/>
    </row>
    <row r="626" spans="2:2" x14ac:dyDescent="0.25">
      <c r="B626" s="14"/>
    </row>
    <row r="627" spans="2:2" x14ac:dyDescent="0.25">
      <c r="B627" s="14"/>
    </row>
    <row r="628" spans="2:2" x14ac:dyDescent="0.25">
      <c r="B628" s="14"/>
    </row>
    <row r="629" spans="2:2" x14ac:dyDescent="0.25">
      <c r="B629" s="14"/>
    </row>
    <row r="630" spans="2:2" x14ac:dyDescent="0.25">
      <c r="B630" s="14"/>
    </row>
    <row r="631" spans="2:2" x14ac:dyDescent="0.25">
      <c r="B631" s="14"/>
    </row>
    <row r="632" spans="2:2" x14ac:dyDescent="0.25">
      <c r="B632" s="14"/>
    </row>
    <row r="633" spans="2:2" x14ac:dyDescent="0.25">
      <c r="B633" s="14"/>
    </row>
    <row r="634" spans="2:2" x14ac:dyDescent="0.25">
      <c r="B634" s="14"/>
    </row>
    <row r="635" spans="2:2" x14ac:dyDescent="0.25">
      <c r="B635" s="14"/>
    </row>
    <row r="636" spans="2:2" x14ac:dyDescent="0.25">
      <c r="B636" s="14"/>
    </row>
    <row r="637" spans="2:2" x14ac:dyDescent="0.25">
      <c r="B637" s="14"/>
    </row>
    <row r="638" spans="2:2" x14ac:dyDescent="0.25">
      <c r="B638" s="14"/>
    </row>
    <row r="639" spans="2:2" x14ac:dyDescent="0.25">
      <c r="B639" s="14"/>
    </row>
    <row r="640" spans="2:2" x14ac:dyDescent="0.25">
      <c r="B640" s="14"/>
    </row>
    <row r="641" spans="2:2" x14ac:dyDescent="0.25">
      <c r="B641" s="14"/>
    </row>
    <row r="642" spans="2:2" x14ac:dyDescent="0.25">
      <c r="B642" s="14"/>
    </row>
    <row r="643" spans="2:2" x14ac:dyDescent="0.25">
      <c r="B643" s="14"/>
    </row>
    <row r="644" spans="2:2" x14ac:dyDescent="0.25">
      <c r="B644" s="14"/>
    </row>
    <row r="645" spans="2:2" x14ac:dyDescent="0.25">
      <c r="B645" s="14"/>
    </row>
    <row r="646" spans="2:2" x14ac:dyDescent="0.25">
      <c r="B646" s="14"/>
    </row>
    <row r="647" spans="2:2" x14ac:dyDescent="0.25">
      <c r="B647" s="14"/>
    </row>
    <row r="648" spans="2:2" x14ac:dyDescent="0.25">
      <c r="B648" s="14"/>
    </row>
    <row r="649" spans="2:2" x14ac:dyDescent="0.25">
      <c r="B649" s="14"/>
    </row>
    <row r="650" spans="2:2" x14ac:dyDescent="0.25">
      <c r="B650" s="14"/>
    </row>
    <row r="651" spans="2:2" x14ac:dyDescent="0.25">
      <c r="B651" s="14"/>
    </row>
    <row r="652" spans="2:2" x14ac:dyDescent="0.25">
      <c r="B652" s="14"/>
    </row>
    <row r="653" spans="2:2" x14ac:dyDescent="0.25">
      <c r="B653" s="14"/>
    </row>
    <row r="654" spans="2:2" x14ac:dyDescent="0.25">
      <c r="B654" s="14"/>
    </row>
    <row r="655" spans="2:2" x14ac:dyDescent="0.25">
      <c r="B655" s="14"/>
    </row>
    <row r="656" spans="2:2" x14ac:dyDescent="0.25">
      <c r="B656" s="14"/>
    </row>
    <row r="657" spans="2:2" x14ac:dyDescent="0.25">
      <c r="B657" s="14"/>
    </row>
    <row r="658" spans="2:2" x14ac:dyDescent="0.25">
      <c r="B658" s="14"/>
    </row>
    <row r="659" spans="2:2" x14ac:dyDescent="0.25">
      <c r="B659" s="14"/>
    </row>
    <row r="660" spans="2:2" x14ac:dyDescent="0.25">
      <c r="B660" s="14"/>
    </row>
    <row r="661" spans="2:2" x14ac:dyDescent="0.25">
      <c r="B661" s="14"/>
    </row>
    <row r="662" spans="2:2" x14ac:dyDescent="0.25">
      <c r="B662" s="14"/>
    </row>
    <row r="663" spans="2:2" x14ac:dyDescent="0.25">
      <c r="B663" s="14"/>
    </row>
    <row r="664" spans="2:2" x14ac:dyDescent="0.25">
      <c r="B664" s="14"/>
    </row>
    <row r="665" spans="2:2" x14ac:dyDescent="0.25">
      <c r="B665" s="14"/>
    </row>
    <row r="666" spans="2:2" x14ac:dyDescent="0.25">
      <c r="B666" s="14"/>
    </row>
    <row r="667" spans="2:2" x14ac:dyDescent="0.25">
      <c r="B667" s="14"/>
    </row>
    <row r="668" spans="2:2" x14ac:dyDescent="0.25">
      <c r="B668" s="14"/>
    </row>
    <row r="669" spans="2:2" x14ac:dyDescent="0.25">
      <c r="B669" s="14"/>
    </row>
    <row r="670" spans="2:2" x14ac:dyDescent="0.25">
      <c r="B670" s="14"/>
    </row>
    <row r="671" spans="2:2" x14ac:dyDescent="0.25">
      <c r="B671" s="14"/>
    </row>
    <row r="672" spans="2:2" x14ac:dyDescent="0.25">
      <c r="B672" s="14"/>
    </row>
    <row r="673" spans="2:2" x14ac:dyDescent="0.25">
      <c r="B673" s="14"/>
    </row>
    <row r="674" spans="2:2" x14ac:dyDescent="0.25">
      <c r="B674" s="14"/>
    </row>
    <row r="675" spans="2:2" x14ac:dyDescent="0.25">
      <c r="B675" s="14"/>
    </row>
    <row r="676" spans="2:2" x14ac:dyDescent="0.25">
      <c r="B676" s="14"/>
    </row>
    <row r="677" spans="2:2" x14ac:dyDescent="0.25">
      <c r="B677" s="14"/>
    </row>
    <row r="678" spans="2:2" x14ac:dyDescent="0.25">
      <c r="B678" s="14"/>
    </row>
    <row r="679" spans="2:2" x14ac:dyDescent="0.25">
      <c r="B679" s="14"/>
    </row>
    <row r="680" spans="2:2" x14ac:dyDescent="0.25">
      <c r="B680" s="14"/>
    </row>
    <row r="681" spans="2:2" x14ac:dyDescent="0.25">
      <c r="B681" s="14"/>
    </row>
    <row r="682" spans="2:2" x14ac:dyDescent="0.25">
      <c r="B682" s="14"/>
    </row>
    <row r="683" spans="2:2" x14ac:dyDescent="0.25">
      <c r="B683" s="14"/>
    </row>
    <row r="684" spans="2:2" x14ac:dyDescent="0.25">
      <c r="B684" s="14"/>
    </row>
    <row r="685" spans="2:2" x14ac:dyDescent="0.25">
      <c r="B685" s="14"/>
    </row>
    <row r="686" spans="2:2" x14ac:dyDescent="0.25">
      <c r="B686" s="14"/>
    </row>
    <row r="687" spans="2:2" x14ac:dyDescent="0.25">
      <c r="B687" s="14"/>
    </row>
    <row r="688" spans="2:2" x14ac:dyDescent="0.25">
      <c r="B688" s="14"/>
    </row>
    <row r="689" spans="2:2" x14ac:dyDescent="0.25">
      <c r="B689" s="14"/>
    </row>
    <row r="690" spans="2:2" x14ac:dyDescent="0.25">
      <c r="B690" s="14"/>
    </row>
    <row r="691" spans="2:2" x14ac:dyDescent="0.25">
      <c r="B691" s="14"/>
    </row>
    <row r="692" spans="2:2" x14ac:dyDescent="0.25">
      <c r="B692" s="14"/>
    </row>
    <row r="693" spans="2:2" x14ac:dyDescent="0.25">
      <c r="B693" s="14"/>
    </row>
    <row r="694" spans="2:2" x14ac:dyDescent="0.25">
      <c r="B694" s="14"/>
    </row>
    <row r="695" spans="2:2" x14ac:dyDescent="0.25">
      <c r="B695" s="14"/>
    </row>
    <row r="696" spans="2:2" x14ac:dyDescent="0.25">
      <c r="B696" s="14"/>
    </row>
    <row r="697" spans="2:2" x14ac:dyDescent="0.25">
      <c r="B697" s="14"/>
    </row>
    <row r="698" spans="2:2" x14ac:dyDescent="0.25">
      <c r="B698" s="14"/>
    </row>
    <row r="699" spans="2:2" x14ac:dyDescent="0.25">
      <c r="B699" s="14"/>
    </row>
    <row r="700" spans="2:2" x14ac:dyDescent="0.25">
      <c r="B700" s="14"/>
    </row>
    <row r="701" spans="2:2" x14ac:dyDescent="0.25">
      <c r="B701" s="14"/>
    </row>
    <row r="702" spans="2:2" x14ac:dyDescent="0.25">
      <c r="B702" s="14"/>
    </row>
    <row r="703" spans="2:2" x14ac:dyDescent="0.25">
      <c r="B703" s="14"/>
    </row>
    <row r="704" spans="2:2" x14ac:dyDescent="0.25">
      <c r="B704" s="14"/>
    </row>
    <row r="705" spans="2:2" x14ac:dyDescent="0.25">
      <c r="B705" s="14"/>
    </row>
    <row r="706" spans="2:2" x14ac:dyDescent="0.25">
      <c r="B706" s="14"/>
    </row>
    <row r="707" spans="2:2" x14ac:dyDescent="0.25">
      <c r="B707" s="14"/>
    </row>
    <row r="708" spans="2:2" x14ac:dyDescent="0.25">
      <c r="B708" s="14"/>
    </row>
    <row r="709" spans="2:2" x14ac:dyDescent="0.25">
      <c r="B709" s="14"/>
    </row>
    <row r="710" spans="2:2" x14ac:dyDescent="0.25">
      <c r="B710" s="14"/>
    </row>
    <row r="711" spans="2:2" x14ac:dyDescent="0.25">
      <c r="B711" s="14"/>
    </row>
    <row r="712" spans="2:2" x14ac:dyDescent="0.25">
      <c r="B712" s="14"/>
    </row>
    <row r="713" spans="2:2" x14ac:dyDescent="0.25">
      <c r="B713" s="14"/>
    </row>
    <row r="714" spans="2:2" x14ac:dyDescent="0.25">
      <c r="B714" s="14"/>
    </row>
    <row r="715" spans="2:2" x14ac:dyDescent="0.25">
      <c r="B715" s="14"/>
    </row>
    <row r="716" spans="2:2" x14ac:dyDescent="0.25">
      <c r="B716" s="14"/>
    </row>
    <row r="717" spans="2:2" x14ac:dyDescent="0.25">
      <c r="B717" s="14"/>
    </row>
    <row r="718" spans="2:2" x14ac:dyDescent="0.25">
      <c r="B718" s="14"/>
    </row>
    <row r="719" spans="2:2" x14ac:dyDescent="0.25">
      <c r="B719" s="14"/>
    </row>
    <row r="720" spans="2:2" x14ac:dyDescent="0.25">
      <c r="B720" s="14"/>
    </row>
    <row r="721" spans="2:2" x14ac:dyDescent="0.25">
      <c r="B721" s="14"/>
    </row>
    <row r="722" spans="2:2" x14ac:dyDescent="0.25">
      <c r="B722" s="14"/>
    </row>
    <row r="723" spans="2:2" x14ac:dyDescent="0.25">
      <c r="B723" s="14"/>
    </row>
    <row r="724" spans="2:2" x14ac:dyDescent="0.25">
      <c r="B724" s="14"/>
    </row>
    <row r="725" spans="2:2" x14ac:dyDescent="0.25">
      <c r="B725" s="14"/>
    </row>
    <row r="726" spans="2:2" x14ac:dyDescent="0.25">
      <c r="B726" s="14"/>
    </row>
    <row r="727" spans="2:2" x14ac:dyDescent="0.25">
      <c r="B727" s="14"/>
    </row>
    <row r="728" spans="2:2" x14ac:dyDescent="0.25">
      <c r="B728" s="14"/>
    </row>
    <row r="729" spans="2:2" x14ac:dyDescent="0.25">
      <c r="B729" s="14"/>
    </row>
    <row r="730" spans="2:2" x14ac:dyDescent="0.25">
      <c r="B730" s="14"/>
    </row>
    <row r="731" spans="2:2" x14ac:dyDescent="0.25">
      <c r="B731" s="14"/>
    </row>
    <row r="732" spans="2:2" x14ac:dyDescent="0.25">
      <c r="B732" s="14"/>
    </row>
    <row r="733" spans="2:2" x14ac:dyDescent="0.25">
      <c r="B733" s="14"/>
    </row>
    <row r="734" spans="2:2" x14ac:dyDescent="0.25">
      <c r="B734" s="14"/>
    </row>
    <row r="735" spans="2:2" x14ac:dyDescent="0.25">
      <c r="B735" s="14"/>
    </row>
    <row r="736" spans="2:2" x14ac:dyDescent="0.25">
      <c r="B736" s="14"/>
    </row>
    <row r="737" spans="2:2" x14ac:dyDescent="0.25">
      <c r="B737" s="14"/>
    </row>
    <row r="738" spans="2:2" x14ac:dyDescent="0.25">
      <c r="B738" s="14"/>
    </row>
    <row r="739" spans="2:2" x14ac:dyDescent="0.25">
      <c r="B739" s="14"/>
    </row>
    <row r="740" spans="2:2" x14ac:dyDescent="0.25">
      <c r="B740" s="14"/>
    </row>
    <row r="741" spans="2:2" x14ac:dyDescent="0.25">
      <c r="B741" s="14"/>
    </row>
    <row r="742" spans="2:2" x14ac:dyDescent="0.25">
      <c r="B742" s="14"/>
    </row>
    <row r="743" spans="2:2" x14ac:dyDescent="0.25">
      <c r="B743" s="14"/>
    </row>
    <row r="744" spans="2:2" x14ac:dyDescent="0.25">
      <c r="B744" s="14"/>
    </row>
    <row r="745" spans="2:2" x14ac:dyDescent="0.25">
      <c r="B745" s="14"/>
    </row>
    <row r="746" spans="2:2" x14ac:dyDescent="0.25">
      <c r="B746" s="14"/>
    </row>
    <row r="747" spans="2:2" x14ac:dyDescent="0.25">
      <c r="B747" s="14"/>
    </row>
    <row r="748" spans="2:2" x14ac:dyDescent="0.25">
      <c r="B748" s="14"/>
    </row>
    <row r="749" spans="2:2" x14ac:dyDescent="0.25">
      <c r="B749" s="14"/>
    </row>
    <row r="750" spans="2:2" x14ac:dyDescent="0.25">
      <c r="B750" s="14"/>
    </row>
    <row r="751" spans="2:2" x14ac:dyDescent="0.25">
      <c r="B751" s="14"/>
    </row>
    <row r="752" spans="2:2" x14ac:dyDescent="0.25">
      <c r="B752" s="14"/>
    </row>
    <row r="753" spans="2:2" x14ac:dyDescent="0.25">
      <c r="B753" s="14"/>
    </row>
    <row r="754" spans="2:2" x14ac:dyDescent="0.25">
      <c r="B754" s="14"/>
    </row>
    <row r="755" spans="2:2" x14ac:dyDescent="0.25">
      <c r="B755" s="14"/>
    </row>
    <row r="756" spans="2:2" x14ac:dyDescent="0.25">
      <c r="B756" s="14"/>
    </row>
    <row r="757" spans="2:2" x14ac:dyDescent="0.25">
      <c r="B757" s="14"/>
    </row>
    <row r="758" spans="2:2" x14ac:dyDescent="0.25">
      <c r="B758" s="14"/>
    </row>
    <row r="759" spans="2:2" x14ac:dyDescent="0.25">
      <c r="B759" s="14"/>
    </row>
    <row r="760" spans="2:2" x14ac:dyDescent="0.25">
      <c r="B760" s="14"/>
    </row>
    <row r="761" spans="2:2" x14ac:dyDescent="0.25">
      <c r="B761" s="14"/>
    </row>
    <row r="762" spans="2:2" x14ac:dyDescent="0.25">
      <c r="B762" s="14"/>
    </row>
    <row r="763" spans="2:2" x14ac:dyDescent="0.25">
      <c r="B763" s="14"/>
    </row>
    <row r="764" spans="2:2" x14ac:dyDescent="0.25">
      <c r="B764" s="14"/>
    </row>
    <row r="765" spans="2:2" x14ac:dyDescent="0.25">
      <c r="B765" s="14"/>
    </row>
    <row r="766" spans="2:2" x14ac:dyDescent="0.25">
      <c r="B766" s="14"/>
    </row>
    <row r="767" spans="2:2" x14ac:dyDescent="0.25">
      <c r="B767" s="14"/>
    </row>
    <row r="768" spans="2:2" x14ac:dyDescent="0.25">
      <c r="B768" s="14"/>
    </row>
    <row r="769" spans="2:2" x14ac:dyDescent="0.25">
      <c r="B769" s="14"/>
    </row>
    <row r="770" spans="2:2" x14ac:dyDescent="0.25">
      <c r="B770" s="14"/>
    </row>
    <row r="771" spans="2:2" x14ac:dyDescent="0.25">
      <c r="B771" s="14"/>
    </row>
    <row r="772" spans="2:2" x14ac:dyDescent="0.25">
      <c r="B772" s="14"/>
    </row>
    <row r="773" spans="2:2" x14ac:dyDescent="0.25">
      <c r="B773" s="14"/>
    </row>
    <row r="774" spans="2:2" x14ac:dyDescent="0.25">
      <c r="B774" s="14"/>
    </row>
    <row r="775" spans="2:2" x14ac:dyDescent="0.25">
      <c r="B775" s="14"/>
    </row>
    <row r="776" spans="2:2" x14ac:dyDescent="0.25">
      <c r="B776" s="14"/>
    </row>
    <row r="777" spans="2:2" x14ac:dyDescent="0.25">
      <c r="B777" s="14"/>
    </row>
    <row r="778" spans="2:2" x14ac:dyDescent="0.25">
      <c r="B778" s="14"/>
    </row>
    <row r="779" spans="2:2" x14ac:dyDescent="0.25">
      <c r="B779" s="14"/>
    </row>
    <row r="780" spans="2:2" x14ac:dyDescent="0.25">
      <c r="B780" s="14"/>
    </row>
    <row r="781" spans="2:2" x14ac:dyDescent="0.25">
      <c r="B781" s="14"/>
    </row>
    <row r="782" spans="2:2" x14ac:dyDescent="0.25">
      <c r="B782" s="14"/>
    </row>
    <row r="783" spans="2:2" x14ac:dyDescent="0.25">
      <c r="B783" s="14"/>
    </row>
    <row r="784" spans="2:2" x14ac:dyDescent="0.25">
      <c r="B784" s="14"/>
    </row>
    <row r="785" spans="2:2" x14ac:dyDescent="0.25">
      <c r="B785" s="14"/>
    </row>
    <row r="786" spans="2:2" x14ac:dyDescent="0.25">
      <c r="B786" s="14"/>
    </row>
    <row r="787" spans="2:2" x14ac:dyDescent="0.25">
      <c r="B787" s="14"/>
    </row>
    <row r="788" spans="2:2" x14ac:dyDescent="0.25">
      <c r="B788" s="14"/>
    </row>
    <row r="789" spans="2:2" x14ac:dyDescent="0.25">
      <c r="B789" s="14"/>
    </row>
    <row r="790" spans="2:2" x14ac:dyDescent="0.25">
      <c r="B790" s="14"/>
    </row>
    <row r="791" spans="2:2" x14ac:dyDescent="0.25">
      <c r="B791" s="14"/>
    </row>
    <row r="792" spans="2:2" x14ac:dyDescent="0.25">
      <c r="B792" s="14"/>
    </row>
    <row r="793" spans="2:2" x14ac:dyDescent="0.25">
      <c r="B793" s="14"/>
    </row>
    <row r="794" spans="2:2" x14ac:dyDescent="0.25">
      <c r="B794" s="14"/>
    </row>
    <row r="795" spans="2:2" x14ac:dyDescent="0.25">
      <c r="B795" s="14"/>
    </row>
    <row r="796" spans="2:2" x14ac:dyDescent="0.25">
      <c r="B796" s="14"/>
    </row>
    <row r="797" spans="2:2" x14ac:dyDescent="0.25">
      <c r="B797" s="14"/>
    </row>
    <row r="798" spans="2:2" x14ac:dyDescent="0.25">
      <c r="B798" s="14"/>
    </row>
    <row r="799" spans="2:2" x14ac:dyDescent="0.25">
      <c r="B799" s="14"/>
    </row>
    <row r="800" spans="2:2" x14ac:dyDescent="0.25">
      <c r="B800" s="14"/>
    </row>
    <row r="801" spans="2:2" x14ac:dyDescent="0.25">
      <c r="B801" s="14"/>
    </row>
    <row r="802" spans="2:2" x14ac:dyDescent="0.25">
      <c r="B802" s="14"/>
    </row>
    <row r="803" spans="2:2" x14ac:dyDescent="0.25">
      <c r="B803" s="14"/>
    </row>
    <row r="804" spans="2:2" x14ac:dyDescent="0.25">
      <c r="B804" s="14"/>
    </row>
    <row r="805" spans="2:2" x14ac:dyDescent="0.25">
      <c r="B805" s="14"/>
    </row>
    <row r="806" spans="2:2" x14ac:dyDescent="0.25">
      <c r="B806" s="14"/>
    </row>
    <row r="807" spans="2:2" x14ac:dyDescent="0.25">
      <c r="B807" s="14"/>
    </row>
    <row r="808" spans="2:2" x14ac:dyDescent="0.25">
      <c r="B808" s="14"/>
    </row>
    <row r="809" spans="2:2" x14ac:dyDescent="0.25">
      <c r="B809" s="14"/>
    </row>
    <row r="810" spans="2:2" x14ac:dyDescent="0.25">
      <c r="B810" s="14"/>
    </row>
    <row r="811" spans="2:2" x14ac:dyDescent="0.25">
      <c r="B811" s="14"/>
    </row>
    <row r="812" spans="2:2" x14ac:dyDescent="0.25">
      <c r="B812" s="14"/>
    </row>
    <row r="813" spans="2:2" x14ac:dyDescent="0.25">
      <c r="B813" s="14"/>
    </row>
    <row r="814" spans="2:2" x14ac:dyDescent="0.25">
      <c r="B814" s="14"/>
    </row>
    <row r="815" spans="2:2" x14ac:dyDescent="0.25">
      <c r="B815" s="14"/>
    </row>
    <row r="816" spans="2:2" x14ac:dyDescent="0.25">
      <c r="B816" s="14"/>
    </row>
    <row r="817" spans="2:2" x14ac:dyDescent="0.25">
      <c r="B817" s="14"/>
    </row>
    <row r="818" spans="2:2" x14ac:dyDescent="0.25">
      <c r="B818" s="14"/>
    </row>
    <row r="819" spans="2:2" x14ac:dyDescent="0.25">
      <c r="B819" s="14"/>
    </row>
    <row r="820" spans="2:2" x14ac:dyDescent="0.25">
      <c r="B820" s="14"/>
    </row>
    <row r="821" spans="2:2" x14ac:dyDescent="0.25">
      <c r="B821" s="14"/>
    </row>
    <row r="822" spans="2:2" x14ac:dyDescent="0.25">
      <c r="B822" s="14"/>
    </row>
    <row r="823" spans="2:2" x14ac:dyDescent="0.25">
      <c r="B823" s="14"/>
    </row>
    <row r="824" spans="2:2" x14ac:dyDescent="0.25">
      <c r="B824" s="14"/>
    </row>
    <row r="825" spans="2:2" x14ac:dyDescent="0.25">
      <c r="B825" s="14"/>
    </row>
    <row r="826" spans="2:2" x14ac:dyDescent="0.25">
      <c r="B826" s="14"/>
    </row>
    <row r="827" spans="2:2" x14ac:dyDescent="0.25">
      <c r="B827" s="14"/>
    </row>
    <row r="828" spans="2:2" x14ac:dyDescent="0.25">
      <c r="B828" s="14"/>
    </row>
    <row r="829" spans="2:2" x14ac:dyDescent="0.25">
      <c r="B829" s="14"/>
    </row>
    <row r="830" spans="2:2" x14ac:dyDescent="0.25">
      <c r="B830" s="14"/>
    </row>
    <row r="831" spans="2:2" x14ac:dyDescent="0.25">
      <c r="B831" s="14"/>
    </row>
    <row r="832" spans="2:2" x14ac:dyDescent="0.25">
      <c r="B832" s="14"/>
    </row>
    <row r="833" spans="2:2" x14ac:dyDescent="0.25">
      <c r="B833" s="14"/>
    </row>
    <row r="834" spans="2:2" x14ac:dyDescent="0.25">
      <c r="B834" s="14"/>
    </row>
    <row r="835" spans="2:2" x14ac:dyDescent="0.25">
      <c r="B835" s="14"/>
    </row>
    <row r="836" spans="2:2" x14ac:dyDescent="0.25">
      <c r="B836" s="14"/>
    </row>
    <row r="837" spans="2:2" x14ac:dyDescent="0.25">
      <c r="B837" s="14"/>
    </row>
    <row r="838" spans="2:2" x14ac:dyDescent="0.25">
      <c r="B838" s="14"/>
    </row>
    <row r="839" spans="2:2" x14ac:dyDescent="0.25">
      <c r="B839" s="14"/>
    </row>
    <row r="840" spans="2:2" x14ac:dyDescent="0.25">
      <c r="B840" s="14"/>
    </row>
    <row r="841" spans="2:2" x14ac:dyDescent="0.25">
      <c r="B841" s="14"/>
    </row>
    <row r="842" spans="2:2" x14ac:dyDescent="0.25">
      <c r="B842" s="14"/>
    </row>
    <row r="843" spans="2:2" x14ac:dyDescent="0.25">
      <c r="B843" s="14"/>
    </row>
    <row r="844" spans="2:2" x14ac:dyDescent="0.25">
      <c r="B844" s="14"/>
    </row>
    <row r="845" spans="2:2" x14ac:dyDescent="0.25">
      <c r="B845" s="14"/>
    </row>
    <row r="846" spans="2:2" x14ac:dyDescent="0.25">
      <c r="B846" s="14"/>
    </row>
    <row r="847" spans="2:2" x14ac:dyDescent="0.25">
      <c r="B847" s="14"/>
    </row>
    <row r="848" spans="2:2" x14ac:dyDescent="0.25">
      <c r="B848" s="14"/>
    </row>
    <row r="849" spans="2:2" x14ac:dyDescent="0.25">
      <c r="B849" s="14"/>
    </row>
    <row r="850" spans="2:2" x14ac:dyDescent="0.25">
      <c r="B850" s="14"/>
    </row>
    <row r="851" spans="2:2" x14ac:dyDescent="0.25">
      <c r="B851" s="14"/>
    </row>
    <row r="852" spans="2:2" x14ac:dyDescent="0.25">
      <c r="B852" s="14"/>
    </row>
    <row r="853" spans="2:2" x14ac:dyDescent="0.25">
      <c r="B853" s="14"/>
    </row>
    <row r="854" spans="2:2" x14ac:dyDescent="0.25">
      <c r="B854" s="14"/>
    </row>
    <row r="855" spans="2:2" x14ac:dyDescent="0.25">
      <c r="B855" s="14"/>
    </row>
    <row r="856" spans="2:2" x14ac:dyDescent="0.25">
      <c r="B856" s="14"/>
    </row>
    <row r="857" spans="2:2" x14ac:dyDescent="0.25">
      <c r="B857" s="14"/>
    </row>
    <row r="858" spans="2:2" x14ac:dyDescent="0.25">
      <c r="B858" s="14"/>
    </row>
    <row r="859" spans="2:2" x14ac:dyDescent="0.25">
      <c r="B859" s="14"/>
    </row>
    <row r="860" spans="2:2" x14ac:dyDescent="0.25">
      <c r="B860" s="14"/>
    </row>
    <row r="861" spans="2:2" x14ac:dyDescent="0.25">
      <c r="B861" s="14"/>
    </row>
    <row r="862" spans="2:2" x14ac:dyDescent="0.25">
      <c r="B862" s="14"/>
    </row>
    <row r="863" spans="2:2" x14ac:dyDescent="0.25">
      <c r="B863" s="14"/>
    </row>
    <row r="864" spans="2:2" x14ac:dyDescent="0.25">
      <c r="B864" s="14"/>
    </row>
    <row r="865" spans="2:2" x14ac:dyDescent="0.25">
      <c r="B865" s="14"/>
    </row>
    <row r="866" spans="2:2" x14ac:dyDescent="0.25">
      <c r="B866" s="14"/>
    </row>
    <row r="867" spans="2:2" x14ac:dyDescent="0.25">
      <c r="B867" s="14"/>
    </row>
    <row r="868" spans="2:2" x14ac:dyDescent="0.25">
      <c r="B868" s="14"/>
    </row>
    <row r="869" spans="2:2" x14ac:dyDescent="0.25">
      <c r="B869" s="14"/>
    </row>
    <row r="870" spans="2:2" x14ac:dyDescent="0.25">
      <c r="B870" s="14"/>
    </row>
    <row r="871" spans="2:2" x14ac:dyDescent="0.25">
      <c r="B871" s="14"/>
    </row>
    <row r="872" spans="2:2" x14ac:dyDescent="0.25">
      <c r="B872" s="14"/>
    </row>
    <row r="873" spans="2:2" x14ac:dyDescent="0.25">
      <c r="B873" s="14"/>
    </row>
    <row r="874" spans="2:2" x14ac:dyDescent="0.25">
      <c r="B874" s="14"/>
    </row>
    <row r="875" spans="2:2" x14ac:dyDescent="0.25">
      <c r="B875" s="14"/>
    </row>
    <row r="876" spans="2:2" x14ac:dyDescent="0.25">
      <c r="B876" s="14"/>
    </row>
    <row r="877" spans="2:2" x14ac:dyDescent="0.25">
      <c r="B877" s="14"/>
    </row>
    <row r="878" spans="2:2" x14ac:dyDescent="0.25">
      <c r="B878" s="14"/>
    </row>
    <row r="879" spans="2:2" x14ac:dyDescent="0.25">
      <c r="B879" s="14"/>
    </row>
    <row r="880" spans="2:2" x14ac:dyDescent="0.25">
      <c r="B880" s="14"/>
    </row>
    <row r="881" spans="2:2" x14ac:dyDescent="0.25">
      <c r="B881" s="14"/>
    </row>
    <row r="882" spans="2:2" x14ac:dyDescent="0.25">
      <c r="B882" s="14"/>
    </row>
    <row r="883" spans="2:2" x14ac:dyDescent="0.25">
      <c r="B883" s="14"/>
    </row>
    <row r="884" spans="2:2" x14ac:dyDescent="0.25">
      <c r="B884" s="14"/>
    </row>
    <row r="885" spans="2:2" x14ac:dyDescent="0.25">
      <c r="B885" s="14"/>
    </row>
    <row r="886" spans="2:2" x14ac:dyDescent="0.25">
      <c r="B886" s="14"/>
    </row>
    <row r="887" spans="2:2" x14ac:dyDescent="0.25">
      <c r="B887" s="14"/>
    </row>
    <row r="888" spans="2:2" x14ac:dyDescent="0.25">
      <c r="B888" s="14"/>
    </row>
    <row r="889" spans="2:2" x14ac:dyDescent="0.25">
      <c r="B889" s="14"/>
    </row>
    <row r="890" spans="2:2" x14ac:dyDescent="0.25">
      <c r="B890" s="14"/>
    </row>
    <row r="891" spans="2:2" x14ac:dyDescent="0.25">
      <c r="B891" s="14"/>
    </row>
    <row r="892" spans="2:2" x14ac:dyDescent="0.25">
      <c r="B892" s="14"/>
    </row>
    <row r="893" spans="2:2" x14ac:dyDescent="0.25">
      <c r="B893" s="14"/>
    </row>
    <row r="894" spans="2:2" x14ac:dyDescent="0.25">
      <c r="B894" s="14"/>
    </row>
    <row r="895" spans="2:2" x14ac:dyDescent="0.25">
      <c r="B895" s="14"/>
    </row>
    <row r="896" spans="2:2" x14ac:dyDescent="0.25">
      <c r="B896" s="14"/>
    </row>
    <row r="897" spans="2:2" x14ac:dyDescent="0.25">
      <c r="B897" s="14"/>
    </row>
    <row r="898" spans="2:2" x14ac:dyDescent="0.25">
      <c r="B898" s="14"/>
    </row>
    <row r="899" spans="2:2" x14ac:dyDescent="0.25">
      <c r="B899" s="14"/>
    </row>
    <row r="900" spans="2:2" x14ac:dyDescent="0.25">
      <c r="B900" s="14"/>
    </row>
    <row r="901" spans="2:2" x14ac:dyDescent="0.25">
      <c r="B901" s="14"/>
    </row>
    <row r="902" spans="2:2" x14ac:dyDescent="0.25">
      <c r="B902" s="14"/>
    </row>
    <row r="903" spans="2:2" x14ac:dyDescent="0.25">
      <c r="B903" s="14"/>
    </row>
    <row r="904" spans="2:2" x14ac:dyDescent="0.25">
      <c r="B904" s="14"/>
    </row>
    <row r="905" spans="2:2" x14ac:dyDescent="0.25">
      <c r="B905" s="14"/>
    </row>
    <row r="906" spans="2:2" x14ac:dyDescent="0.25">
      <c r="B906" s="14"/>
    </row>
    <row r="907" spans="2:2" x14ac:dyDescent="0.25">
      <c r="B907" s="14"/>
    </row>
    <row r="908" spans="2:2" x14ac:dyDescent="0.25">
      <c r="B908" s="14"/>
    </row>
    <row r="909" spans="2:2" x14ac:dyDescent="0.25">
      <c r="B909" s="14"/>
    </row>
    <row r="910" spans="2:2" x14ac:dyDescent="0.25">
      <c r="B910" s="14"/>
    </row>
    <row r="911" spans="2:2" x14ac:dyDescent="0.25">
      <c r="B911" s="14"/>
    </row>
    <row r="912" spans="2:2" x14ac:dyDescent="0.25">
      <c r="B912" s="14"/>
    </row>
    <row r="913" spans="2:2" x14ac:dyDescent="0.25">
      <c r="B913" s="14"/>
    </row>
    <row r="914" spans="2:2" x14ac:dyDescent="0.25">
      <c r="B914" s="14"/>
    </row>
    <row r="915" spans="2:2" x14ac:dyDescent="0.25">
      <c r="B915" s="14"/>
    </row>
    <row r="916" spans="2:2" x14ac:dyDescent="0.25">
      <c r="B916" s="14"/>
    </row>
    <row r="917" spans="2:2" x14ac:dyDescent="0.25">
      <c r="B917" s="14"/>
    </row>
    <row r="918" spans="2:2" x14ac:dyDescent="0.25">
      <c r="B918" s="14"/>
    </row>
    <row r="919" spans="2:2" x14ac:dyDescent="0.25">
      <c r="B919" s="14"/>
    </row>
    <row r="920" spans="2:2" x14ac:dyDescent="0.25">
      <c r="B920" s="14"/>
    </row>
    <row r="921" spans="2:2" x14ac:dyDescent="0.25">
      <c r="B921" s="14"/>
    </row>
    <row r="922" spans="2:2" x14ac:dyDescent="0.25">
      <c r="B922" s="14"/>
    </row>
    <row r="923" spans="2:2" x14ac:dyDescent="0.25">
      <c r="B923" s="14"/>
    </row>
    <row r="924" spans="2:2" x14ac:dyDescent="0.25">
      <c r="B924" s="14"/>
    </row>
    <row r="925" spans="2:2" x14ac:dyDescent="0.25">
      <c r="B925" s="14"/>
    </row>
    <row r="926" spans="2:2" x14ac:dyDescent="0.25">
      <c r="B926" s="14"/>
    </row>
    <row r="927" spans="2:2" x14ac:dyDescent="0.25">
      <c r="B927" s="14"/>
    </row>
    <row r="928" spans="2:2" x14ac:dyDescent="0.25">
      <c r="B928" s="14"/>
    </row>
    <row r="929" spans="2:2" x14ac:dyDescent="0.25">
      <c r="B929" s="14"/>
    </row>
    <row r="930" spans="2:2" x14ac:dyDescent="0.25">
      <c r="B930" s="14"/>
    </row>
    <row r="931" spans="2:2" x14ac:dyDescent="0.25">
      <c r="B931" s="14"/>
    </row>
    <row r="932" spans="2:2" x14ac:dyDescent="0.25">
      <c r="B932" s="14"/>
    </row>
    <row r="933" spans="2:2" x14ac:dyDescent="0.25">
      <c r="B933" s="14"/>
    </row>
    <row r="934" spans="2:2" x14ac:dyDescent="0.25">
      <c r="B934" s="14"/>
    </row>
    <row r="935" spans="2:2" x14ac:dyDescent="0.25">
      <c r="B935" s="14"/>
    </row>
    <row r="936" spans="2:2" x14ac:dyDescent="0.25">
      <c r="B936" s="14"/>
    </row>
    <row r="937" spans="2:2" x14ac:dyDescent="0.25">
      <c r="B937" s="14"/>
    </row>
    <row r="938" spans="2:2" x14ac:dyDescent="0.25">
      <c r="B938" s="14"/>
    </row>
    <row r="939" spans="2:2" x14ac:dyDescent="0.25">
      <c r="B939" s="14"/>
    </row>
    <row r="940" spans="2:2" x14ac:dyDescent="0.25">
      <c r="B940" s="14"/>
    </row>
    <row r="941" spans="2:2" x14ac:dyDescent="0.25">
      <c r="B941" s="14"/>
    </row>
    <row r="942" spans="2:2" x14ac:dyDescent="0.25">
      <c r="B942" s="14"/>
    </row>
    <row r="943" spans="2:2" x14ac:dyDescent="0.25">
      <c r="B943" s="14"/>
    </row>
    <row r="944" spans="2:2" x14ac:dyDescent="0.25">
      <c r="B944" s="14"/>
    </row>
    <row r="945" spans="2:2" x14ac:dyDescent="0.25">
      <c r="B945" s="14"/>
    </row>
    <row r="946" spans="2:2" x14ac:dyDescent="0.25">
      <c r="B946" s="14"/>
    </row>
    <row r="947" spans="2:2" x14ac:dyDescent="0.25">
      <c r="B947" s="14"/>
    </row>
    <row r="948" spans="2:2" x14ac:dyDescent="0.25">
      <c r="B948" s="14"/>
    </row>
    <row r="949" spans="2:2" x14ac:dyDescent="0.25">
      <c r="B949" s="14"/>
    </row>
    <row r="950" spans="2:2" x14ac:dyDescent="0.25">
      <c r="B950" s="14"/>
    </row>
    <row r="951" spans="2:2" x14ac:dyDescent="0.25">
      <c r="B951" s="14"/>
    </row>
    <row r="952" spans="2:2" x14ac:dyDescent="0.25">
      <c r="B952" s="14"/>
    </row>
    <row r="953" spans="2:2" x14ac:dyDescent="0.25">
      <c r="B953" s="14"/>
    </row>
    <row r="954" spans="2:2" x14ac:dyDescent="0.25">
      <c r="B954" s="14"/>
    </row>
    <row r="955" spans="2:2" x14ac:dyDescent="0.25">
      <c r="B955" s="14"/>
    </row>
    <row r="956" spans="2:2" x14ac:dyDescent="0.25">
      <c r="B956" s="14"/>
    </row>
    <row r="957" spans="2:2" x14ac:dyDescent="0.25">
      <c r="B957" s="14"/>
    </row>
    <row r="958" spans="2:2" x14ac:dyDescent="0.25">
      <c r="B958" s="14"/>
    </row>
    <row r="959" spans="2:2" x14ac:dyDescent="0.25">
      <c r="B959" s="14"/>
    </row>
    <row r="960" spans="2:2" x14ac:dyDescent="0.25">
      <c r="B960" s="14"/>
    </row>
    <row r="961" spans="2:2" x14ac:dyDescent="0.25">
      <c r="B961" s="14"/>
    </row>
    <row r="962" spans="2:2" x14ac:dyDescent="0.25">
      <c r="B962" s="14"/>
    </row>
    <row r="963" spans="2:2" x14ac:dyDescent="0.25">
      <c r="B963" s="14"/>
    </row>
    <row r="964" spans="2:2" x14ac:dyDescent="0.25">
      <c r="B964" s="14"/>
    </row>
    <row r="965" spans="2:2" x14ac:dyDescent="0.25">
      <c r="B965" s="14"/>
    </row>
    <row r="966" spans="2:2" x14ac:dyDescent="0.25">
      <c r="B966" s="14"/>
    </row>
    <row r="967" spans="2:2" x14ac:dyDescent="0.25">
      <c r="B967" s="14"/>
    </row>
    <row r="968" spans="2:2" x14ac:dyDescent="0.25">
      <c r="B968" s="14"/>
    </row>
    <row r="969" spans="2:2" x14ac:dyDescent="0.25">
      <c r="B969" s="14"/>
    </row>
    <row r="970" spans="2:2" x14ac:dyDescent="0.25">
      <c r="B970" s="14"/>
    </row>
    <row r="971" spans="2:2" x14ac:dyDescent="0.25">
      <c r="B971" s="14"/>
    </row>
    <row r="972" spans="2:2" x14ac:dyDescent="0.25">
      <c r="B972" s="14"/>
    </row>
    <row r="973" spans="2:2" x14ac:dyDescent="0.25">
      <c r="B973" s="14"/>
    </row>
    <row r="974" spans="2:2" x14ac:dyDescent="0.25">
      <c r="B974" s="14"/>
    </row>
    <row r="975" spans="2:2" x14ac:dyDescent="0.25">
      <c r="B975" s="14"/>
    </row>
    <row r="976" spans="2:2" x14ac:dyDescent="0.25">
      <c r="B976" s="14"/>
    </row>
    <row r="977" spans="2:2" x14ac:dyDescent="0.25">
      <c r="B977" s="14"/>
    </row>
    <row r="978" spans="2:2" x14ac:dyDescent="0.25">
      <c r="B978" s="14"/>
    </row>
    <row r="979" spans="2:2" x14ac:dyDescent="0.25">
      <c r="B979" s="14"/>
    </row>
    <row r="980" spans="2:2" x14ac:dyDescent="0.25">
      <c r="B980" s="14"/>
    </row>
    <row r="981" spans="2:2" x14ac:dyDescent="0.25">
      <c r="B981" s="14"/>
    </row>
    <row r="982" spans="2:2" x14ac:dyDescent="0.25">
      <c r="B982" s="14"/>
    </row>
    <row r="983" spans="2:2" x14ac:dyDescent="0.25">
      <c r="B983" s="14"/>
    </row>
    <row r="984" spans="2:2" x14ac:dyDescent="0.25">
      <c r="B984" s="14"/>
    </row>
    <row r="985" spans="2:2" x14ac:dyDescent="0.25">
      <c r="B985" s="14"/>
    </row>
    <row r="986" spans="2:2" x14ac:dyDescent="0.25">
      <c r="B986" s="14"/>
    </row>
    <row r="987" spans="2:2" x14ac:dyDescent="0.25">
      <c r="B987" s="14"/>
    </row>
    <row r="988" spans="2:2" x14ac:dyDescent="0.25">
      <c r="B988" s="14"/>
    </row>
    <row r="989" spans="2:2" x14ac:dyDescent="0.25">
      <c r="B989" s="14"/>
    </row>
    <row r="990" spans="2:2" x14ac:dyDescent="0.25">
      <c r="B990" s="14"/>
    </row>
    <row r="991" spans="2:2" x14ac:dyDescent="0.25">
      <c r="B991" s="14"/>
    </row>
    <row r="992" spans="2:2" x14ac:dyDescent="0.25">
      <c r="B992" s="14"/>
    </row>
    <row r="993" spans="2:2" x14ac:dyDescent="0.25">
      <c r="B993" s="14"/>
    </row>
    <row r="994" spans="2:2" x14ac:dyDescent="0.25">
      <c r="B994" s="14"/>
    </row>
    <row r="995" spans="2:2" x14ac:dyDescent="0.25">
      <c r="B995" s="14"/>
    </row>
    <row r="996" spans="2:2" x14ac:dyDescent="0.25">
      <c r="B996" s="14"/>
    </row>
    <row r="997" spans="2:2" x14ac:dyDescent="0.25">
      <c r="B997" s="14"/>
    </row>
    <row r="998" spans="2:2" x14ac:dyDescent="0.25">
      <c r="B998" s="14"/>
    </row>
    <row r="999" spans="2:2" x14ac:dyDescent="0.25">
      <c r="B999" s="14"/>
    </row>
    <row r="1000" spans="2:2" x14ac:dyDescent="0.25">
      <c r="B1000" s="14"/>
    </row>
    <row r="1001" spans="2:2" x14ac:dyDescent="0.25">
      <c r="B1001" s="14"/>
    </row>
    <row r="1002" spans="2:2" x14ac:dyDescent="0.25">
      <c r="B1002" s="14"/>
    </row>
    <row r="1003" spans="2:2" x14ac:dyDescent="0.25">
      <c r="B1003" s="14"/>
    </row>
    <row r="1004" spans="2:2" x14ac:dyDescent="0.25">
      <c r="B1004" s="14"/>
    </row>
    <row r="1005" spans="2:2" x14ac:dyDescent="0.25">
      <c r="B1005" s="14"/>
    </row>
    <row r="1006" spans="2:2" x14ac:dyDescent="0.25">
      <c r="B1006" s="14"/>
    </row>
    <row r="1007" spans="2:2" x14ac:dyDescent="0.25">
      <c r="B1007" s="14"/>
    </row>
    <row r="1008" spans="2:2" x14ac:dyDescent="0.25">
      <c r="B1008" s="14"/>
    </row>
    <row r="1009" spans="2:2" x14ac:dyDescent="0.25">
      <c r="B1009" s="14"/>
    </row>
    <row r="1010" spans="2:2" x14ac:dyDescent="0.25">
      <c r="B1010" s="14"/>
    </row>
    <row r="1011" spans="2:2" x14ac:dyDescent="0.25">
      <c r="B1011" s="14"/>
    </row>
    <row r="1012" spans="2:2" x14ac:dyDescent="0.25">
      <c r="B1012" s="14"/>
    </row>
    <row r="1013" spans="2:2" x14ac:dyDescent="0.25">
      <c r="B1013" s="14"/>
    </row>
    <row r="1014" spans="2:2" x14ac:dyDescent="0.25">
      <c r="B1014" s="14"/>
    </row>
    <row r="1015" spans="2:2" x14ac:dyDescent="0.25">
      <c r="B1015" s="14"/>
    </row>
    <row r="1016" spans="2:2" x14ac:dyDescent="0.25">
      <c r="B1016" s="14"/>
    </row>
    <row r="1017" spans="2:2" x14ac:dyDescent="0.25">
      <c r="B1017" s="14"/>
    </row>
    <row r="1018" spans="2:2" x14ac:dyDescent="0.25">
      <c r="B1018" s="14"/>
    </row>
    <row r="1019" spans="2:2" x14ac:dyDescent="0.25">
      <c r="B1019" s="14"/>
    </row>
    <row r="1020" spans="2:2" x14ac:dyDescent="0.25">
      <c r="B1020" s="14"/>
    </row>
    <row r="1021" spans="2:2" x14ac:dyDescent="0.25">
      <c r="B1021" s="14"/>
    </row>
    <row r="1022" spans="2:2" x14ac:dyDescent="0.25">
      <c r="B1022" s="14"/>
    </row>
    <row r="1023" spans="2:2" x14ac:dyDescent="0.25">
      <c r="B1023" s="14"/>
    </row>
    <row r="1024" spans="2:2" x14ac:dyDescent="0.25">
      <c r="B1024" s="14"/>
    </row>
    <row r="1025" spans="2:2" x14ac:dyDescent="0.25">
      <c r="B1025" s="14"/>
    </row>
    <row r="1026" spans="2:2" x14ac:dyDescent="0.25">
      <c r="B1026" s="14"/>
    </row>
    <row r="1027" spans="2:2" x14ac:dyDescent="0.25">
      <c r="B1027" s="14"/>
    </row>
    <row r="1028" spans="2:2" x14ac:dyDescent="0.25">
      <c r="B1028" s="14"/>
    </row>
    <row r="1029" spans="2:2" x14ac:dyDescent="0.25">
      <c r="B1029" s="14"/>
    </row>
    <row r="1030" spans="2:2" x14ac:dyDescent="0.25">
      <c r="B1030" s="14"/>
    </row>
    <row r="1031" spans="2:2" x14ac:dyDescent="0.25">
      <c r="B1031" s="14"/>
    </row>
    <row r="1032" spans="2:2" x14ac:dyDescent="0.25">
      <c r="B1032" s="14"/>
    </row>
    <row r="1033" spans="2:2" x14ac:dyDescent="0.25">
      <c r="B1033" s="14"/>
    </row>
    <row r="1034" spans="2:2" x14ac:dyDescent="0.25">
      <c r="B1034" s="14"/>
    </row>
    <row r="1035" spans="2:2" x14ac:dyDescent="0.25">
      <c r="B1035" s="14"/>
    </row>
    <row r="1036" spans="2:2" x14ac:dyDescent="0.25">
      <c r="B1036" s="14"/>
    </row>
    <row r="1037" spans="2:2" x14ac:dyDescent="0.25">
      <c r="B1037" s="14"/>
    </row>
    <row r="1038" spans="2:2" x14ac:dyDescent="0.25">
      <c r="B1038" s="14"/>
    </row>
    <row r="1039" spans="2:2" x14ac:dyDescent="0.25">
      <c r="B1039" s="14"/>
    </row>
    <row r="1040" spans="2:2" x14ac:dyDescent="0.25">
      <c r="B1040" s="14"/>
    </row>
    <row r="1041" spans="2:2" x14ac:dyDescent="0.25">
      <c r="B1041" s="14"/>
    </row>
    <row r="1042" spans="2:2" x14ac:dyDescent="0.25">
      <c r="B1042" s="14"/>
    </row>
    <row r="1043" spans="2:2" x14ac:dyDescent="0.25">
      <c r="B1043" s="14"/>
    </row>
    <row r="1044" spans="2:2" x14ac:dyDescent="0.25">
      <c r="B1044" s="14"/>
    </row>
    <row r="1045" spans="2:2" x14ac:dyDescent="0.25">
      <c r="B1045" s="14"/>
    </row>
    <row r="1046" spans="2:2" x14ac:dyDescent="0.25">
      <c r="B1046" s="14"/>
    </row>
    <row r="1047" spans="2:2" x14ac:dyDescent="0.25">
      <c r="B1047" s="14"/>
    </row>
    <row r="1048" spans="2:2" x14ac:dyDescent="0.25">
      <c r="B1048" s="14"/>
    </row>
    <row r="1049" spans="2:2" x14ac:dyDescent="0.25">
      <c r="B1049" s="14"/>
    </row>
    <row r="1050" spans="2:2" x14ac:dyDescent="0.25">
      <c r="B1050" s="14"/>
    </row>
    <row r="1051" spans="2:2" x14ac:dyDescent="0.25">
      <c r="B1051" s="14"/>
    </row>
    <row r="1052" spans="2:2" x14ac:dyDescent="0.25">
      <c r="B1052" s="14"/>
    </row>
    <row r="1053" spans="2:2" x14ac:dyDescent="0.25">
      <c r="B1053" s="14"/>
    </row>
    <row r="1054" spans="2:2" x14ac:dyDescent="0.25">
      <c r="B1054" s="14"/>
    </row>
    <row r="1055" spans="2:2" x14ac:dyDescent="0.25">
      <c r="B1055" s="14"/>
    </row>
    <row r="1056" spans="2:2" x14ac:dyDescent="0.25">
      <c r="B1056" s="14"/>
    </row>
    <row r="1057" spans="2:2" x14ac:dyDescent="0.25">
      <c r="B1057" s="14"/>
    </row>
    <row r="1058" spans="2:2" x14ac:dyDescent="0.25">
      <c r="B1058" s="14"/>
    </row>
    <row r="1059" spans="2:2" x14ac:dyDescent="0.25">
      <c r="B1059" s="14"/>
    </row>
    <row r="1060" spans="2:2" x14ac:dyDescent="0.25">
      <c r="B1060" s="14"/>
    </row>
    <row r="1061" spans="2:2" x14ac:dyDescent="0.25">
      <c r="B1061" s="14"/>
    </row>
    <row r="1062" spans="2:2" x14ac:dyDescent="0.25">
      <c r="B1062" s="14"/>
    </row>
    <row r="1063" spans="2:2" x14ac:dyDescent="0.25">
      <c r="B1063" s="14"/>
    </row>
    <row r="1064" spans="2:2" x14ac:dyDescent="0.25">
      <c r="B1064" s="14"/>
    </row>
    <row r="1065" spans="2:2" x14ac:dyDescent="0.25">
      <c r="B1065" s="14"/>
    </row>
    <row r="1066" spans="2:2" x14ac:dyDescent="0.25">
      <c r="B1066" s="14"/>
    </row>
    <row r="1067" spans="2:2" x14ac:dyDescent="0.25">
      <c r="B1067" s="14"/>
    </row>
    <row r="1068" spans="2:2" x14ac:dyDescent="0.25">
      <c r="B1068" s="14"/>
    </row>
    <row r="1069" spans="2:2" x14ac:dyDescent="0.25">
      <c r="B1069" s="14"/>
    </row>
    <row r="1070" spans="2:2" x14ac:dyDescent="0.25">
      <c r="B1070" s="14"/>
    </row>
    <row r="1071" spans="2:2" x14ac:dyDescent="0.25">
      <c r="B1071" s="14"/>
    </row>
    <row r="1072" spans="2:2" x14ac:dyDescent="0.25">
      <c r="B1072" s="14"/>
    </row>
    <row r="1073" spans="2:2" x14ac:dyDescent="0.25">
      <c r="B1073" s="14"/>
    </row>
    <row r="1074" spans="2:2" x14ac:dyDescent="0.25">
      <c r="B1074" s="14"/>
    </row>
    <row r="1075" spans="2:2" x14ac:dyDescent="0.25">
      <c r="B1075" s="14"/>
    </row>
    <row r="1076" spans="2:2" x14ac:dyDescent="0.25">
      <c r="B1076" s="14"/>
    </row>
    <row r="1077" spans="2:2" x14ac:dyDescent="0.25">
      <c r="B1077" s="14"/>
    </row>
    <row r="1078" spans="2:2" x14ac:dyDescent="0.25">
      <c r="B1078" s="14"/>
    </row>
    <row r="1079" spans="2:2" x14ac:dyDescent="0.25">
      <c r="B1079" s="14"/>
    </row>
    <row r="1080" spans="2:2" x14ac:dyDescent="0.25">
      <c r="B1080" s="14"/>
    </row>
    <row r="1081" spans="2:2" x14ac:dyDescent="0.25">
      <c r="B1081" s="14"/>
    </row>
    <row r="1082" spans="2:2" x14ac:dyDescent="0.25">
      <c r="B1082" s="14"/>
    </row>
    <row r="1083" spans="2:2" x14ac:dyDescent="0.25">
      <c r="B1083" s="14"/>
    </row>
    <row r="1084" spans="2:2" x14ac:dyDescent="0.25">
      <c r="B1084" s="14"/>
    </row>
    <row r="1085" spans="2:2" x14ac:dyDescent="0.25">
      <c r="B1085" s="14"/>
    </row>
    <row r="1086" spans="2:2" x14ac:dyDescent="0.25">
      <c r="B1086" s="14"/>
    </row>
    <row r="1087" spans="2:2" x14ac:dyDescent="0.25">
      <c r="B1087" s="14"/>
    </row>
    <row r="1088" spans="2:2" x14ac:dyDescent="0.25">
      <c r="B1088" s="14"/>
    </row>
    <row r="1089" spans="2:2" x14ac:dyDescent="0.25">
      <c r="B1089" s="14"/>
    </row>
    <row r="1090" spans="2:2" x14ac:dyDescent="0.25">
      <c r="B1090" s="14"/>
    </row>
    <row r="1091" spans="2:2" x14ac:dyDescent="0.25">
      <c r="B1091" s="14"/>
    </row>
    <row r="1092" spans="2:2" x14ac:dyDescent="0.25">
      <c r="B1092" s="14"/>
    </row>
    <row r="1093" spans="2:2" x14ac:dyDescent="0.25">
      <c r="B1093" s="14"/>
    </row>
    <row r="1094" spans="2:2" x14ac:dyDescent="0.25">
      <c r="B1094" s="14"/>
    </row>
    <row r="1095" spans="2:2" x14ac:dyDescent="0.25">
      <c r="B1095" s="14"/>
    </row>
    <row r="1096" spans="2:2" x14ac:dyDescent="0.25">
      <c r="B1096" s="14"/>
    </row>
    <row r="1097" spans="2:2" x14ac:dyDescent="0.25">
      <c r="B1097" s="14"/>
    </row>
    <row r="1098" spans="2:2" x14ac:dyDescent="0.25">
      <c r="B1098" s="14"/>
    </row>
    <row r="1099" spans="2:2" x14ac:dyDescent="0.25">
      <c r="B1099" s="14"/>
    </row>
    <row r="1100" spans="2:2" x14ac:dyDescent="0.25">
      <c r="B1100" s="14"/>
    </row>
    <row r="1101" spans="2:2" x14ac:dyDescent="0.25">
      <c r="B1101" s="14"/>
    </row>
    <row r="1102" spans="2:2" x14ac:dyDescent="0.25">
      <c r="B1102" s="14"/>
    </row>
    <row r="1103" spans="2:2" x14ac:dyDescent="0.25">
      <c r="B1103" s="14"/>
    </row>
    <row r="1104" spans="2:2" x14ac:dyDescent="0.25">
      <c r="B1104" s="14"/>
    </row>
    <row r="1105" spans="2:2" x14ac:dyDescent="0.25">
      <c r="B1105" s="14"/>
    </row>
    <row r="1106" spans="2:2" x14ac:dyDescent="0.25">
      <c r="B1106" s="14"/>
    </row>
    <row r="1107" spans="2:2" x14ac:dyDescent="0.25">
      <c r="B1107" s="14"/>
    </row>
    <row r="1108" spans="2:2" x14ac:dyDescent="0.25">
      <c r="B1108" s="14"/>
    </row>
    <row r="1109" spans="2:2" x14ac:dyDescent="0.25">
      <c r="B1109" s="14"/>
    </row>
    <row r="1110" spans="2:2" x14ac:dyDescent="0.25">
      <c r="B1110" s="14"/>
    </row>
    <row r="1111" spans="2:2" x14ac:dyDescent="0.25">
      <c r="B1111" s="14"/>
    </row>
    <row r="1112" spans="2:2" x14ac:dyDescent="0.25">
      <c r="B1112" s="14"/>
    </row>
    <row r="1113" spans="2:2" x14ac:dyDescent="0.25">
      <c r="B1113" s="14"/>
    </row>
    <row r="1114" spans="2:2" x14ac:dyDescent="0.25">
      <c r="B1114" s="14"/>
    </row>
    <row r="1115" spans="2:2" x14ac:dyDescent="0.25">
      <c r="B1115" s="14"/>
    </row>
    <row r="1116" spans="2:2" x14ac:dyDescent="0.25">
      <c r="B1116" s="14"/>
    </row>
    <row r="1117" spans="2:2" x14ac:dyDescent="0.25">
      <c r="B1117" s="14"/>
    </row>
    <row r="1118" spans="2:2" x14ac:dyDescent="0.25">
      <c r="B1118" s="14"/>
    </row>
    <row r="1119" spans="2:2" x14ac:dyDescent="0.25">
      <c r="B1119" s="14"/>
    </row>
    <row r="1120" spans="2:2" x14ac:dyDescent="0.25">
      <c r="B1120" s="14"/>
    </row>
    <row r="1121" spans="2:2" x14ac:dyDescent="0.25">
      <c r="B1121" s="14"/>
    </row>
    <row r="1122" spans="2:2" x14ac:dyDescent="0.25">
      <c r="B1122" s="14"/>
    </row>
    <row r="1123" spans="2:2" x14ac:dyDescent="0.25">
      <c r="B1123" s="14"/>
    </row>
    <row r="1124" spans="2:2" x14ac:dyDescent="0.25">
      <c r="B1124" s="14"/>
    </row>
    <row r="1125" spans="2:2" x14ac:dyDescent="0.25">
      <c r="B1125" s="14"/>
    </row>
    <row r="1126" spans="2:2" x14ac:dyDescent="0.25">
      <c r="B1126" s="14"/>
    </row>
    <row r="1127" spans="2:2" x14ac:dyDescent="0.25">
      <c r="B1127" s="14"/>
    </row>
    <row r="1128" spans="2:2" x14ac:dyDescent="0.25">
      <c r="B1128" s="14"/>
    </row>
    <row r="1129" spans="2:2" x14ac:dyDescent="0.25">
      <c r="B1129" s="14"/>
    </row>
    <row r="1130" spans="2:2" x14ac:dyDescent="0.25">
      <c r="B1130" s="14"/>
    </row>
    <row r="1131" spans="2:2" x14ac:dyDescent="0.25">
      <c r="B1131" s="14"/>
    </row>
    <row r="1132" spans="2:2" x14ac:dyDescent="0.25">
      <c r="B1132" s="14"/>
    </row>
    <row r="1133" spans="2:2" x14ac:dyDescent="0.25">
      <c r="B1133" s="14"/>
    </row>
    <row r="1134" spans="2:2" x14ac:dyDescent="0.25">
      <c r="B1134" s="14"/>
    </row>
    <row r="1135" spans="2:2" x14ac:dyDescent="0.25">
      <c r="B1135" s="14"/>
    </row>
    <row r="1136" spans="2:2" x14ac:dyDescent="0.25">
      <c r="B1136" s="14"/>
    </row>
    <row r="1137" spans="2:2" x14ac:dyDescent="0.25">
      <c r="B1137" s="14"/>
    </row>
    <row r="1138" spans="2:2" x14ac:dyDescent="0.25">
      <c r="B1138" s="14"/>
    </row>
    <row r="1139" spans="2:2" x14ac:dyDescent="0.25">
      <c r="B1139" s="14"/>
    </row>
    <row r="1140" spans="2:2" x14ac:dyDescent="0.25">
      <c r="B1140" s="14"/>
    </row>
    <row r="1141" spans="2:2" x14ac:dyDescent="0.25">
      <c r="B1141" s="14"/>
    </row>
    <row r="1142" spans="2:2" x14ac:dyDescent="0.25">
      <c r="B1142" s="14"/>
    </row>
    <row r="1143" spans="2:2" x14ac:dyDescent="0.25">
      <c r="B1143" s="14"/>
    </row>
    <row r="1144" spans="2:2" x14ac:dyDescent="0.25">
      <c r="B1144" s="14"/>
    </row>
    <row r="1145" spans="2:2" x14ac:dyDescent="0.25">
      <c r="B1145" s="14"/>
    </row>
    <row r="1146" spans="2:2" x14ac:dyDescent="0.25">
      <c r="B1146" s="14"/>
    </row>
    <row r="1147" spans="2:2" x14ac:dyDescent="0.25">
      <c r="B1147" s="14"/>
    </row>
    <row r="1148" spans="2:2" x14ac:dyDescent="0.25">
      <c r="B1148" s="14"/>
    </row>
    <row r="1149" spans="2:2" x14ac:dyDescent="0.25">
      <c r="B1149" s="14"/>
    </row>
    <row r="1150" spans="2:2" x14ac:dyDescent="0.25">
      <c r="B1150" s="14"/>
    </row>
    <row r="1151" spans="2:2" x14ac:dyDescent="0.25">
      <c r="B1151" s="14"/>
    </row>
    <row r="1152" spans="2:2" x14ac:dyDescent="0.25">
      <c r="B1152" s="14"/>
    </row>
    <row r="1153" spans="2:2" x14ac:dyDescent="0.25">
      <c r="B1153" s="14"/>
    </row>
    <row r="1154" spans="2:2" x14ac:dyDescent="0.25">
      <c r="B1154" s="14"/>
    </row>
    <row r="1155" spans="2:2" x14ac:dyDescent="0.25">
      <c r="B1155" s="14"/>
    </row>
    <row r="1156" spans="2:2" x14ac:dyDescent="0.25">
      <c r="B1156" s="14"/>
    </row>
    <row r="1157" spans="2:2" x14ac:dyDescent="0.25">
      <c r="B1157" s="14"/>
    </row>
    <row r="1158" spans="2:2" x14ac:dyDescent="0.25">
      <c r="B1158" s="14"/>
    </row>
    <row r="1159" spans="2:2" x14ac:dyDescent="0.25">
      <c r="B1159" s="14"/>
    </row>
    <row r="1160" spans="2:2" x14ac:dyDescent="0.25">
      <c r="B1160" s="14"/>
    </row>
    <row r="1161" spans="2:2" x14ac:dyDescent="0.25">
      <c r="B1161" s="14"/>
    </row>
    <row r="1162" spans="2:2" x14ac:dyDescent="0.25">
      <c r="B1162" s="14"/>
    </row>
    <row r="1163" spans="2:2" x14ac:dyDescent="0.25">
      <c r="B1163" s="14"/>
    </row>
    <row r="1164" spans="2:2" x14ac:dyDescent="0.25">
      <c r="B1164" s="14"/>
    </row>
    <row r="1165" spans="2:2" x14ac:dyDescent="0.25">
      <c r="B1165" s="14"/>
    </row>
    <row r="1166" spans="2:2" x14ac:dyDescent="0.25">
      <c r="B1166" s="14"/>
    </row>
    <row r="1167" spans="2:2" x14ac:dyDescent="0.25">
      <c r="B1167" s="14"/>
    </row>
    <row r="1168" spans="2:2" x14ac:dyDescent="0.25">
      <c r="B1168" s="14"/>
    </row>
    <row r="1169" spans="2:2" x14ac:dyDescent="0.25">
      <c r="B1169" s="14"/>
    </row>
    <row r="1170" spans="2:2" x14ac:dyDescent="0.25">
      <c r="B1170" s="14"/>
    </row>
    <row r="1171" spans="2:2" x14ac:dyDescent="0.25">
      <c r="B1171" s="14"/>
    </row>
    <row r="1172" spans="2:2" x14ac:dyDescent="0.25">
      <c r="B1172" s="14"/>
    </row>
    <row r="1173" spans="2:2" x14ac:dyDescent="0.25">
      <c r="B1173" s="14"/>
    </row>
    <row r="1174" spans="2:2" x14ac:dyDescent="0.25">
      <c r="B1174" s="14"/>
    </row>
    <row r="1175" spans="2:2" x14ac:dyDescent="0.25">
      <c r="B1175" s="14"/>
    </row>
    <row r="1176" spans="2:2" x14ac:dyDescent="0.25">
      <c r="B1176" s="14"/>
    </row>
    <row r="1177" spans="2:2" x14ac:dyDescent="0.25">
      <c r="B1177" s="14"/>
    </row>
    <row r="1178" spans="2:2" x14ac:dyDescent="0.25">
      <c r="B1178" s="14"/>
    </row>
    <row r="1179" spans="2:2" x14ac:dyDescent="0.25">
      <c r="B1179" s="14"/>
    </row>
    <row r="1180" spans="2:2" x14ac:dyDescent="0.25">
      <c r="B1180" s="14"/>
    </row>
    <row r="1181" spans="2:2" x14ac:dyDescent="0.25">
      <c r="B1181" s="14"/>
    </row>
    <row r="1182" spans="2:2" x14ac:dyDescent="0.25">
      <c r="B1182" s="14"/>
    </row>
    <row r="1183" spans="2:2" x14ac:dyDescent="0.25">
      <c r="B1183" s="14"/>
    </row>
    <row r="1184" spans="2:2" x14ac:dyDescent="0.25">
      <c r="B1184" s="14"/>
    </row>
    <row r="1185" spans="2:2" x14ac:dyDescent="0.25">
      <c r="B1185" s="14"/>
    </row>
    <row r="1186" spans="2:2" x14ac:dyDescent="0.25">
      <c r="B1186" s="14"/>
    </row>
    <row r="1187" spans="2:2" x14ac:dyDescent="0.25">
      <c r="B1187" s="14"/>
    </row>
    <row r="1188" spans="2:2" x14ac:dyDescent="0.25">
      <c r="B1188" s="14"/>
    </row>
    <row r="1189" spans="2:2" x14ac:dyDescent="0.25">
      <c r="B1189" s="14"/>
    </row>
    <row r="1190" spans="2:2" x14ac:dyDescent="0.25">
      <c r="B1190" s="14"/>
    </row>
    <row r="1191" spans="2:2" x14ac:dyDescent="0.25">
      <c r="B1191" s="14"/>
    </row>
    <row r="1192" spans="2:2" x14ac:dyDescent="0.25">
      <c r="B1192" s="14"/>
    </row>
    <row r="1193" spans="2:2" x14ac:dyDescent="0.25">
      <c r="B1193" s="14"/>
    </row>
    <row r="1194" spans="2:2" x14ac:dyDescent="0.25">
      <c r="B1194" s="14"/>
    </row>
    <row r="1195" spans="2:2" x14ac:dyDescent="0.25">
      <c r="B1195" s="14"/>
    </row>
    <row r="1196" spans="2:2" x14ac:dyDescent="0.25">
      <c r="B1196" s="14"/>
    </row>
    <row r="1197" spans="2:2" x14ac:dyDescent="0.25">
      <c r="B1197" s="14"/>
    </row>
    <row r="1198" spans="2:2" x14ac:dyDescent="0.25">
      <c r="B1198" s="14"/>
    </row>
    <row r="1199" spans="2:2" x14ac:dyDescent="0.25">
      <c r="B1199" s="14"/>
    </row>
    <row r="1200" spans="2:2" x14ac:dyDescent="0.25">
      <c r="B1200" s="14"/>
    </row>
    <row r="1201" spans="2:2" x14ac:dyDescent="0.25">
      <c r="B1201" s="14"/>
    </row>
    <row r="1202" spans="2:2" x14ac:dyDescent="0.25">
      <c r="B1202" s="14"/>
    </row>
    <row r="1203" spans="2:2" x14ac:dyDescent="0.25">
      <c r="B1203" s="14"/>
    </row>
    <row r="1204" spans="2:2" x14ac:dyDescent="0.25">
      <c r="B1204" s="14"/>
    </row>
    <row r="1205" spans="2:2" x14ac:dyDescent="0.25">
      <c r="B1205" s="14"/>
    </row>
    <row r="1206" spans="2:2" x14ac:dyDescent="0.25">
      <c r="B1206" s="14"/>
    </row>
    <row r="1207" spans="2:2" x14ac:dyDescent="0.25">
      <c r="B1207" s="14"/>
    </row>
    <row r="1208" spans="2:2" x14ac:dyDescent="0.25">
      <c r="B1208" s="14"/>
    </row>
    <row r="1209" spans="2:2" x14ac:dyDescent="0.25">
      <c r="B1209" s="14"/>
    </row>
    <row r="1210" spans="2:2" x14ac:dyDescent="0.25">
      <c r="B1210" s="14"/>
    </row>
    <row r="1211" spans="2:2" x14ac:dyDescent="0.25">
      <c r="B1211" s="14"/>
    </row>
    <row r="1212" spans="2:2" x14ac:dyDescent="0.25">
      <c r="B1212" s="14"/>
    </row>
    <row r="1213" spans="2:2" x14ac:dyDescent="0.25">
      <c r="B1213" s="14"/>
    </row>
    <row r="1214" spans="2:2" x14ac:dyDescent="0.25">
      <c r="B1214" s="14"/>
    </row>
    <row r="1215" spans="2:2" x14ac:dyDescent="0.25">
      <c r="B1215" s="14"/>
    </row>
    <row r="1216" spans="2:2" x14ac:dyDescent="0.25">
      <c r="B1216" s="14"/>
    </row>
    <row r="1217" spans="2:2" x14ac:dyDescent="0.25">
      <c r="B1217" s="14"/>
    </row>
    <row r="1218" spans="2:2" x14ac:dyDescent="0.25">
      <c r="B1218" s="14"/>
    </row>
    <row r="1219" spans="2:2" x14ac:dyDescent="0.25">
      <c r="B1219" s="14"/>
    </row>
    <row r="1220" spans="2:2" x14ac:dyDescent="0.25">
      <c r="B1220" s="14"/>
    </row>
    <row r="1221" spans="2:2" x14ac:dyDescent="0.25">
      <c r="B1221" s="14"/>
    </row>
    <row r="1222" spans="2:2" x14ac:dyDescent="0.25">
      <c r="B1222" s="14"/>
    </row>
    <row r="1223" spans="2:2" x14ac:dyDescent="0.25">
      <c r="B1223" s="14"/>
    </row>
    <row r="1224" spans="2:2" x14ac:dyDescent="0.25">
      <c r="B1224" s="14"/>
    </row>
    <row r="1225" spans="2:2" x14ac:dyDescent="0.25">
      <c r="B1225" s="14"/>
    </row>
    <row r="1226" spans="2:2" x14ac:dyDescent="0.25">
      <c r="B1226" s="14"/>
    </row>
    <row r="1227" spans="2:2" x14ac:dyDescent="0.25">
      <c r="B1227" s="14"/>
    </row>
    <row r="1228" spans="2:2" x14ac:dyDescent="0.25">
      <c r="B1228" s="14"/>
    </row>
    <row r="1229" spans="2:2" x14ac:dyDescent="0.25">
      <c r="B1229" s="14"/>
    </row>
    <row r="1230" spans="2:2" x14ac:dyDescent="0.25">
      <c r="B1230" s="14"/>
    </row>
    <row r="1231" spans="2:2" x14ac:dyDescent="0.25">
      <c r="B1231" s="14"/>
    </row>
    <row r="1232" spans="2:2" x14ac:dyDescent="0.25">
      <c r="B1232" s="14"/>
    </row>
    <row r="1233" spans="2:2" x14ac:dyDescent="0.25">
      <c r="B1233" s="14"/>
    </row>
    <row r="1234" spans="2:2" x14ac:dyDescent="0.25">
      <c r="B1234" s="14"/>
    </row>
    <row r="1235" spans="2:2" x14ac:dyDescent="0.25">
      <c r="B1235" s="14"/>
    </row>
    <row r="1236" spans="2:2" x14ac:dyDescent="0.25">
      <c r="B1236" s="14"/>
    </row>
    <row r="1237" spans="2:2" x14ac:dyDescent="0.25">
      <c r="B1237" s="14"/>
    </row>
    <row r="1238" spans="2:2" x14ac:dyDescent="0.25">
      <c r="B1238" s="14"/>
    </row>
    <row r="1239" spans="2:2" x14ac:dyDescent="0.25">
      <c r="B1239" s="14"/>
    </row>
    <row r="1240" spans="2:2" x14ac:dyDescent="0.25">
      <c r="B1240" s="14"/>
    </row>
    <row r="1241" spans="2:2" x14ac:dyDescent="0.25">
      <c r="B1241" s="14"/>
    </row>
    <row r="1242" spans="2:2" x14ac:dyDescent="0.25">
      <c r="B1242" s="14"/>
    </row>
    <row r="1243" spans="2:2" x14ac:dyDescent="0.25">
      <c r="B1243" s="14"/>
    </row>
    <row r="1244" spans="2:2" x14ac:dyDescent="0.25">
      <c r="B1244" s="14"/>
    </row>
    <row r="1245" spans="2:2" x14ac:dyDescent="0.25">
      <c r="B1245" s="14"/>
    </row>
    <row r="1246" spans="2:2" x14ac:dyDescent="0.25">
      <c r="B1246" s="14"/>
    </row>
    <row r="1247" spans="2:2" x14ac:dyDescent="0.25">
      <c r="B1247" s="14"/>
    </row>
    <row r="1248" spans="2:2" x14ac:dyDescent="0.25">
      <c r="B1248" s="14"/>
    </row>
    <row r="1249" spans="2:2" x14ac:dyDescent="0.25">
      <c r="B1249" s="14"/>
    </row>
    <row r="1250" spans="2:2" x14ac:dyDescent="0.25">
      <c r="B1250" s="14"/>
    </row>
    <row r="1251" spans="2:2" x14ac:dyDescent="0.25">
      <c r="B1251" s="14"/>
    </row>
    <row r="1252" spans="2:2" x14ac:dyDescent="0.25">
      <c r="B1252" s="14"/>
    </row>
    <row r="1253" spans="2:2" x14ac:dyDescent="0.25">
      <c r="B1253" s="14"/>
    </row>
    <row r="1254" spans="2:2" x14ac:dyDescent="0.25">
      <c r="B1254" s="14"/>
    </row>
    <row r="1255" spans="2:2" x14ac:dyDescent="0.25">
      <c r="B1255" s="14"/>
    </row>
    <row r="1256" spans="2:2" x14ac:dyDescent="0.25">
      <c r="B1256" s="14"/>
    </row>
    <row r="1257" spans="2:2" x14ac:dyDescent="0.25">
      <c r="B1257" s="14"/>
    </row>
    <row r="1258" spans="2:2" x14ac:dyDescent="0.25">
      <c r="B1258" s="14"/>
    </row>
    <row r="1259" spans="2:2" x14ac:dyDescent="0.25">
      <c r="B1259" s="14"/>
    </row>
    <row r="1260" spans="2:2" x14ac:dyDescent="0.25">
      <c r="B1260" s="14"/>
    </row>
    <row r="1261" spans="2:2" x14ac:dyDescent="0.25">
      <c r="B1261" s="14"/>
    </row>
    <row r="1262" spans="2:2" x14ac:dyDescent="0.25">
      <c r="B1262" s="14"/>
    </row>
    <row r="1263" spans="2:2" x14ac:dyDescent="0.25">
      <c r="B1263" s="14"/>
    </row>
    <row r="1264" spans="2:2" x14ac:dyDescent="0.25">
      <c r="B1264" s="14"/>
    </row>
    <row r="1265" spans="2:2" x14ac:dyDescent="0.25">
      <c r="B1265" s="14"/>
    </row>
    <row r="1266" spans="2:2" x14ac:dyDescent="0.25">
      <c r="B1266" s="14"/>
    </row>
    <row r="1267" spans="2:2" x14ac:dyDescent="0.25">
      <c r="B1267" s="14"/>
    </row>
    <row r="1268" spans="2:2" x14ac:dyDescent="0.25">
      <c r="B1268" s="14"/>
    </row>
    <row r="1269" spans="2:2" x14ac:dyDescent="0.25">
      <c r="B1269" s="14"/>
    </row>
    <row r="1270" spans="2:2" x14ac:dyDescent="0.25">
      <c r="B1270" s="14"/>
    </row>
    <row r="1271" spans="2:2" x14ac:dyDescent="0.25">
      <c r="B1271" s="14"/>
    </row>
    <row r="1272" spans="2:2" x14ac:dyDescent="0.25">
      <c r="B1272" s="14"/>
    </row>
    <row r="1273" spans="2:2" x14ac:dyDescent="0.25">
      <c r="B1273" s="14"/>
    </row>
    <row r="1274" spans="2:2" x14ac:dyDescent="0.25">
      <c r="B1274" s="14"/>
    </row>
    <row r="1275" spans="2:2" x14ac:dyDescent="0.25">
      <c r="B1275" s="14"/>
    </row>
    <row r="1276" spans="2:2" x14ac:dyDescent="0.25">
      <c r="B1276" s="14"/>
    </row>
    <row r="1277" spans="2:2" x14ac:dyDescent="0.25">
      <c r="B1277" s="14"/>
    </row>
    <row r="1278" spans="2:2" x14ac:dyDescent="0.25">
      <c r="B1278" s="14"/>
    </row>
    <row r="1279" spans="2:2" x14ac:dyDescent="0.25">
      <c r="B1279" s="14"/>
    </row>
    <row r="1280" spans="2:2" x14ac:dyDescent="0.25">
      <c r="B1280" s="14"/>
    </row>
    <row r="1281" spans="2:2" x14ac:dyDescent="0.25">
      <c r="B1281" s="14"/>
    </row>
    <row r="1282" spans="2:2" x14ac:dyDescent="0.25">
      <c r="B1282" s="14"/>
    </row>
    <row r="1283" spans="2:2" x14ac:dyDescent="0.25">
      <c r="B1283" s="14"/>
    </row>
    <row r="1284" spans="2:2" x14ac:dyDescent="0.25">
      <c r="B1284" s="14"/>
    </row>
    <row r="1285" spans="2:2" x14ac:dyDescent="0.25">
      <c r="B1285" s="14"/>
    </row>
    <row r="1286" spans="2:2" x14ac:dyDescent="0.25">
      <c r="B1286" s="14"/>
    </row>
    <row r="1287" spans="2:2" x14ac:dyDescent="0.25">
      <c r="B1287" s="14"/>
    </row>
    <row r="1288" spans="2:2" x14ac:dyDescent="0.25">
      <c r="B1288" s="14"/>
    </row>
    <row r="1289" spans="2:2" x14ac:dyDescent="0.25">
      <c r="B1289" s="14"/>
    </row>
    <row r="1290" spans="2:2" x14ac:dyDescent="0.25">
      <c r="B1290" s="14"/>
    </row>
    <row r="1291" spans="2:2" x14ac:dyDescent="0.25">
      <c r="B1291" s="14"/>
    </row>
    <row r="1292" spans="2:2" x14ac:dyDescent="0.25">
      <c r="B1292" s="14"/>
    </row>
    <row r="1293" spans="2:2" x14ac:dyDescent="0.25">
      <c r="B1293" s="14"/>
    </row>
    <row r="1294" spans="2:2" x14ac:dyDescent="0.25">
      <c r="B1294" s="14"/>
    </row>
    <row r="1295" spans="2:2" x14ac:dyDescent="0.25">
      <c r="B1295" s="14"/>
    </row>
    <row r="1296" spans="2:2" x14ac:dyDescent="0.25">
      <c r="B1296" s="14"/>
    </row>
    <row r="1297" spans="2:2" x14ac:dyDescent="0.25">
      <c r="B1297" s="14"/>
    </row>
    <row r="1298" spans="2:2" x14ac:dyDescent="0.25">
      <c r="B1298" s="14"/>
    </row>
    <row r="1299" spans="2:2" x14ac:dyDescent="0.25">
      <c r="B1299" s="14"/>
    </row>
    <row r="1300" spans="2:2" x14ac:dyDescent="0.25">
      <c r="B1300" s="14"/>
    </row>
    <row r="1301" spans="2:2" x14ac:dyDescent="0.25">
      <c r="B1301" s="14"/>
    </row>
    <row r="1302" spans="2:2" x14ac:dyDescent="0.25">
      <c r="B1302" s="14"/>
    </row>
    <row r="1303" spans="2:2" x14ac:dyDescent="0.25">
      <c r="B1303" s="14"/>
    </row>
    <row r="1304" spans="2:2" x14ac:dyDescent="0.25">
      <c r="B1304" s="14"/>
    </row>
    <row r="1305" spans="2:2" x14ac:dyDescent="0.25">
      <c r="B1305" s="14"/>
    </row>
    <row r="1306" spans="2:2" x14ac:dyDescent="0.25">
      <c r="B1306" s="14"/>
    </row>
    <row r="1307" spans="2:2" x14ac:dyDescent="0.25">
      <c r="B1307" s="14"/>
    </row>
    <row r="1308" spans="2:2" x14ac:dyDescent="0.25">
      <c r="B1308" s="14"/>
    </row>
    <row r="1309" spans="2:2" x14ac:dyDescent="0.25">
      <c r="B1309" s="14"/>
    </row>
    <row r="1310" spans="2:2" x14ac:dyDescent="0.25">
      <c r="B1310" s="14"/>
    </row>
    <row r="1311" spans="2:2" x14ac:dyDescent="0.25">
      <c r="B1311" s="14"/>
    </row>
    <row r="1312" spans="2:2" x14ac:dyDescent="0.25">
      <c r="B1312" s="14"/>
    </row>
    <row r="1313" spans="2:2" x14ac:dyDescent="0.25">
      <c r="B1313" s="14"/>
    </row>
    <row r="1314" spans="2:2" x14ac:dyDescent="0.25">
      <c r="B1314" s="14"/>
    </row>
    <row r="1315" spans="2:2" x14ac:dyDescent="0.25">
      <c r="B1315" s="14"/>
    </row>
    <row r="1316" spans="2:2" x14ac:dyDescent="0.25">
      <c r="B1316" s="14"/>
    </row>
    <row r="1317" spans="2:2" x14ac:dyDescent="0.25">
      <c r="B1317" s="14"/>
    </row>
    <row r="1318" spans="2:2" x14ac:dyDescent="0.25">
      <c r="B1318" s="14"/>
    </row>
    <row r="1319" spans="2:2" x14ac:dyDescent="0.25">
      <c r="B1319" s="14"/>
    </row>
    <row r="1320" spans="2:2" x14ac:dyDescent="0.25">
      <c r="B1320" s="14"/>
    </row>
    <row r="1321" spans="2:2" x14ac:dyDescent="0.25">
      <c r="B1321" s="14"/>
    </row>
    <row r="1322" spans="2:2" x14ac:dyDescent="0.25">
      <c r="B1322" s="14"/>
    </row>
    <row r="1323" spans="2:2" x14ac:dyDescent="0.25">
      <c r="B1323" s="14"/>
    </row>
    <row r="1324" spans="2:2" x14ac:dyDescent="0.25">
      <c r="B1324" s="14"/>
    </row>
    <row r="1325" spans="2:2" x14ac:dyDescent="0.25">
      <c r="B1325" s="14"/>
    </row>
    <row r="1326" spans="2:2" x14ac:dyDescent="0.25">
      <c r="B1326" s="14"/>
    </row>
    <row r="1327" spans="2:2" x14ac:dyDescent="0.25">
      <c r="B1327" s="14"/>
    </row>
    <row r="1328" spans="2:2" x14ac:dyDescent="0.25">
      <c r="B1328" s="14"/>
    </row>
    <row r="1329" spans="2:2" x14ac:dyDescent="0.25">
      <c r="B1329" s="14"/>
    </row>
    <row r="1330" spans="2:2" x14ac:dyDescent="0.25">
      <c r="B1330" s="14"/>
    </row>
    <row r="1331" spans="2:2" x14ac:dyDescent="0.25">
      <c r="B1331" s="14"/>
    </row>
    <row r="1332" spans="2:2" x14ac:dyDescent="0.25">
      <c r="B1332" s="14"/>
    </row>
    <row r="1333" spans="2:2" x14ac:dyDescent="0.25">
      <c r="B1333" s="14"/>
    </row>
    <row r="1334" spans="2:2" x14ac:dyDescent="0.25">
      <c r="B1334" s="14"/>
    </row>
    <row r="1335" spans="2:2" x14ac:dyDescent="0.25">
      <c r="B1335" s="14"/>
    </row>
    <row r="1336" spans="2:2" x14ac:dyDescent="0.25">
      <c r="B1336" s="14"/>
    </row>
    <row r="1337" spans="2:2" x14ac:dyDescent="0.25">
      <c r="B1337" s="14"/>
    </row>
    <row r="1338" spans="2:2" x14ac:dyDescent="0.25">
      <c r="B1338" s="14"/>
    </row>
    <row r="1339" spans="2:2" x14ac:dyDescent="0.25">
      <c r="B1339" s="14"/>
    </row>
    <row r="1340" spans="2:2" x14ac:dyDescent="0.25">
      <c r="B1340" s="14"/>
    </row>
    <row r="1341" spans="2:2" x14ac:dyDescent="0.25">
      <c r="B1341" s="14"/>
    </row>
    <row r="1342" spans="2:2" x14ac:dyDescent="0.25">
      <c r="B1342" s="14"/>
    </row>
    <row r="1343" spans="2:2" x14ac:dyDescent="0.25">
      <c r="B1343" s="14"/>
    </row>
    <row r="1344" spans="2:2" x14ac:dyDescent="0.25">
      <c r="B1344" s="14"/>
    </row>
    <row r="1345" spans="2:2" x14ac:dyDescent="0.25">
      <c r="B1345" s="14"/>
    </row>
    <row r="1346" spans="2:2" x14ac:dyDescent="0.25">
      <c r="B1346" s="14"/>
    </row>
    <row r="1347" spans="2:2" x14ac:dyDescent="0.25">
      <c r="B1347" s="14"/>
    </row>
    <row r="1348" spans="2:2" x14ac:dyDescent="0.25">
      <c r="B1348" s="14"/>
    </row>
    <row r="1349" spans="2:2" x14ac:dyDescent="0.25">
      <c r="B1349" s="14"/>
    </row>
    <row r="1350" spans="2:2" x14ac:dyDescent="0.25">
      <c r="B1350" s="14"/>
    </row>
    <row r="1351" spans="2:2" x14ac:dyDescent="0.25">
      <c r="B1351" s="14"/>
    </row>
    <row r="1352" spans="2:2" x14ac:dyDescent="0.25">
      <c r="B1352" s="14"/>
    </row>
    <row r="1353" spans="2:2" x14ac:dyDescent="0.25">
      <c r="B1353" s="14"/>
    </row>
    <row r="1354" spans="2:2" x14ac:dyDescent="0.25">
      <c r="B1354" s="14"/>
    </row>
    <row r="1355" spans="2:2" x14ac:dyDescent="0.25">
      <c r="B1355" s="14"/>
    </row>
    <row r="1356" spans="2:2" x14ac:dyDescent="0.25">
      <c r="B1356" s="14"/>
    </row>
    <row r="1357" spans="2:2" x14ac:dyDescent="0.25">
      <c r="B1357" s="14"/>
    </row>
    <row r="1358" spans="2:2" x14ac:dyDescent="0.25">
      <c r="B1358" s="14"/>
    </row>
    <row r="1359" spans="2:2" x14ac:dyDescent="0.25">
      <c r="B1359" s="14"/>
    </row>
    <row r="1360" spans="2:2" x14ac:dyDescent="0.25">
      <c r="B1360" s="14"/>
    </row>
    <row r="1361" spans="2:2" x14ac:dyDescent="0.25">
      <c r="B1361" s="14"/>
    </row>
    <row r="1362" spans="2:2" x14ac:dyDescent="0.25">
      <c r="B1362" s="14"/>
    </row>
    <row r="1363" spans="2:2" x14ac:dyDescent="0.25">
      <c r="B1363" s="14"/>
    </row>
    <row r="1364" spans="2:2" x14ac:dyDescent="0.25">
      <c r="B1364" s="14"/>
    </row>
    <row r="1365" spans="2:2" x14ac:dyDescent="0.25">
      <c r="B1365" s="14"/>
    </row>
    <row r="1366" spans="2:2" x14ac:dyDescent="0.25">
      <c r="B1366" s="14"/>
    </row>
    <row r="1367" spans="2:2" x14ac:dyDescent="0.25">
      <c r="B1367" s="14"/>
    </row>
    <row r="1368" spans="2:2" x14ac:dyDescent="0.25">
      <c r="B1368" s="14"/>
    </row>
    <row r="1369" spans="2:2" x14ac:dyDescent="0.25">
      <c r="B1369" s="14"/>
    </row>
    <row r="1370" spans="2:2" x14ac:dyDescent="0.25">
      <c r="B1370" s="14"/>
    </row>
    <row r="1371" spans="2:2" x14ac:dyDescent="0.25">
      <c r="B1371" s="14"/>
    </row>
    <row r="1372" spans="2:2" x14ac:dyDescent="0.25">
      <c r="B1372" s="14"/>
    </row>
    <row r="1373" spans="2:2" x14ac:dyDescent="0.25">
      <c r="B1373" s="14"/>
    </row>
    <row r="1374" spans="2:2" x14ac:dyDescent="0.25">
      <c r="B1374" s="14"/>
    </row>
    <row r="1375" spans="2:2" x14ac:dyDescent="0.25">
      <c r="B1375" s="14"/>
    </row>
    <row r="1376" spans="2:2" x14ac:dyDescent="0.25">
      <c r="B1376" s="14"/>
    </row>
    <row r="1377" spans="2:2" x14ac:dyDescent="0.25">
      <c r="B1377" s="14"/>
    </row>
    <row r="1378" spans="2:2" x14ac:dyDescent="0.25">
      <c r="B1378" s="14"/>
    </row>
    <row r="1379" spans="2:2" x14ac:dyDescent="0.25">
      <c r="B1379" s="14"/>
    </row>
    <row r="1380" spans="2:2" x14ac:dyDescent="0.25">
      <c r="B1380" s="14"/>
    </row>
    <row r="1381" spans="2:2" x14ac:dyDescent="0.25">
      <c r="B1381" s="14"/>
    </row>
    <row r="1382" spans="2:2" x14ac:dyDescent="0.25">
      <c r="B1382" s="14"/>
    </row>
    <row r="1383" spans="2:2" x14ac:dyDescent="0.25">
      <c r="B1383" s="14"/>
    </row>
    <row r="1384" spans="2:2" x14ac:dyDescent="0.25">
      <c r="B1384" s="14"/>
    </row>
    <row r="1385" spans="2:2" x14ac:dyDescent="0.25">
      <c r="B1385" s="14"/>
    </row>
    <row r="1386" spans="2:2" x14ac:dyDescent="0.25">
      <c r="B1386" s="14"/>
    </row>
    <row r="1387" spans="2:2" x14ac:dyDescent="0.25">
      <c r="B1387" s="14"/>
    </row>
    <row r="1388" spans="2:2" x14ac:dyDescent="0.25">
      <c r="B1388" s="14"/>
    </row>
    <row r="1389" spans="2:2" x14ac:dyDescent="0.25">
      <c r="B1389" s="14"/>
    </row>
    <row r="1390" spans="2:2" x14ac:dyDescent="0.25">
      <c r="B1390" s="14"/>
    </row>
    <row r="1391" spans="2:2" x14ac:dyDescent="0.25">
      <c r="B1391" s="14"/>
    </row>
    <row r="1392" spans="2:2" x14ac:dyDescent="0.25">
      <c r="B1392" s="14"/>
    </row>
    <row r="1393" spans="2:2" x14ac:dyDescent="0.25">
      <c r="B1393" s="14"/>
    </row>
    <row r="1394" spans="2:2" x14ac:dyDescent="0.25">
      <c r="B1394" s="14"/>
    </row>
    <row r="1395" spans="2:2" x14ac:dyDescent="0.25">
      <c r="B1395" s="14"/>
    </row>
    <row r="1396" spans="2:2" x14ac:dyDescent="0.25">
      <c r="B1396" s="14"/>
    </row>
    <row r="1397" spans="2:2" x14ac:dyDescent="0.25">
      <c r="B1397" s="14"/>
    </row>
    <row r="1398" spans="2:2" x14ac:dyDescent="0.25">
      <c r="B1398" s="14"/>
    </row>
    <row r="1399" spans="2:2" x14ac:dyDescent="0.25">
      <c r="B1399" s="14"/>
    </row>
    <row r="1400" spans="2:2" x14ac:dyDescent="0.25">
      <c r="B1400" s="14"/>
    </row>
    <row r="1401" spans="2:2" x14ac:dyDescent="0.25">
      <c r="B1401" s="14"/>
    </row>
    <row r="1402" spans="2:2" x14ac:dyDescent="0.25">
      <c r="B1402" s="14"/>
    </row>
    <row r="1403" spans="2:2" x14ac:dyDescent="0.25">
      <c r="B1403" s="14"/>
    </row>
    <row r="1404" spans="2:2" x14ac:dyDescent="0.25">
      <c r="B1404" s="14"/>
    </row>
    <row r="1405" spans="2:2" x14ac:dyDescent="0.25">
      <c r="B1405" s="14"/>
    </row>
    <row r="1406" spans="2:2" x14ac:dyDescent="0.25">
      <c r="B1406" s="14"/>
    </row>
    <row r="1407" spans="2:2" x14ac:dyDescent="0.25">
      <c r="B1407" s="14"/>
    </row>
    <row r="1408" spans="2:2" x14ac:dyDescent="0.25">
      <c r="B1408" s="14"/>
    </row>
    <row r="1409" spans="2:2" x14ac:dyDescent="0.25">
      <c r="B1409" s="14"/>
    </row>
    <row r="1410" spans="2:2" x14ac:dyDescent="0.25">
      <c r="B1410" s="14"/>
    </row>
    <row r="1411" spans="2:2" x14ac:dyDescent="0.25">
      <c r="B1411" s="14"/>
    </row>
    <row r="1412" spans="2:2" x14ac:dyDescent="0.25">
      <c r="B1412" s="14"/>
    </row>
    <row r="1413" spans="2:2" x14ac:dyDescent="0.25">
      <c r="B1413" s="14"/>
    </row>
    <row r="1414" spans="2:2" x14ac:dyDescent="0.25">
      <c r="B1414" s="14"/>
    </row>
    <row r="1415" spans="2:2" x14ac:dyDescent="0.25">
      <c r="B1415" s="14"/>
    </row>
    <row r="1416" spans="2:2" x14ac:dyDescent="0.25">
      <c r="B1416" s="14"/>
    </row>
    <row r="1417" spans="2:2" x14ac:dyDescent="0.25">
      <c r="B1417" s="14"/>
    </row>
    <row r="1418" spans="2:2" x14ac:dyDescent="0.25">
      <c r="B1418" s="14"/>
    </row>
    <row r="1419" spans="2:2" x14ac:dyDescent="0.25">
      <c r="B1419" s="14"/>
    </row>
    <row r="1420" spans="2:2" x14ac:dyDescent="0.25">
      <c r="B1420" s="14"/>
    </row>
    <row r="1421" spans="2:2" x14ac:dyDescent="0.25">
      <c r="B1421" s="14"/>
    </row>
    <row r="1422" spans="2:2" x14ac:dyDescent="0.25">
      <c r="B1422" s="14"/>
    </row>
    <row r="1423" spans="2:2" x14ac:dyDescent="0.25">
      <c r="B1423" s="14"/>
    </row>
    <row r="1424" spans="2:2" x14ac:dyDescent="0.25">
      <c r="B1424" s="14"/>
    </row>
    <row r="1425" spans="2:2" x14ac:dyDescent="0.25">
      <c r="B1425" s="14"/>
    </row>
    <row r="1426" spans="2:2" x14ac:dyDescent="0.25">
      <c r="B1426" s="14"/>
    </row>
    <row r="1427" spans="2:2" x14ac:dyDescent="0.25">
      <c r="B1427" s="14"/>
    </row>
    <row r="1428" spans="2:2" x14ac:dyDescent="0.25">
      <c r="B1428" s="14"/>
    </row>
    <row r="1429" spans="2:2" x14ac:dyDescent="0.25">
      <c r="B1429" s="14"/>
    </row>
    <row r="1430" spans="2:2" x14ac:dyDescent="0.25">
      <c r="B1430" s="14"/>
    </row>
    <row r="1431" spans="2:2" x14ac:dyDescent="0.25">
      <c r="B1431" s="14"/>
    </row>
    <row r="1432" spans="2:2" x14ac:dyDescent="0.25">
      <c r="B1432" s="14"/>
    </row>
    <row r="1433" spans="2:2" x14ac:dyDescent="0.25">
      <c r="B1433" s="14"/>
    </row>
    <row r="1434" spans="2:2" x14ac:dyDescent="0.25">
      <c r="B1434" s="14"/>
    </row>
    <row r="1435" spans="2:2" x14ac:dyDescent="0.25">
      <c r="B1435" s="14"/>
    </row>
    <row r="1436" spans="2:2" x14ac:dyDescent="0.25">
      <c r="B1436" s="14"/>
    </row>
    <row r="1437" spans="2:2" x14ac:dyDescent="0.25">
      <c r="B1437" s="14"/>
    </row>
  </sheetData>
  <sheetProtection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Tables</vt:lpstr>
      <vt:lpstr>Checks</vt:lpstr>
      <vt:lpstr>Report</vt:lpstr>
      <vt:lpstr>AvailableObjects</vt:lpstr>
      <vt:lpstr>FA_folder</vt:lpstr>
      <vt:lpstr>globalCheck</vt:lpstr>
      <vt:lpstr>globalCheckTxt</vt:lpstr>
      <vt:lpstr>GlobalWarning</vt:lpstr>
      <vt:lpstr>GlobalWarningText</vt:lpstr>
      <vt:lpstr>Header</vt:lpstr>
      <vt:lpstr>IRM34_FLAG</vt:lpstr>
      <vt:lpstr>ItemsCount</vt:lpstr>
      <vt:lpstr>JobflowFolder</vt:lpstr>
      <vt:lpstr>NodeFolder</vt:lpstr>
    </vt:vector>
  </TitlesOfParts>
  <Company>SAS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Hoorens</dc:creator>
  <cp:lastModifiedBy>Rocco Cannizzaro</cp:lastModifiedBy>
  <dcterms:created xsi:type="dcterms:W3CDTF">2015-07-10T15:55:22Z</dcterms:created>
  <dcterms:modified xsi:type="dcterms:W3CDTF">2019-09-07T03:46:59Z</dcterms:modified>
</cp:coreProperties>
</file>